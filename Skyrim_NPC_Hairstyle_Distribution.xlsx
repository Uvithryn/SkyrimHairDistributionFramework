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PC List" sheetId="1" r:id="rId5"/>
    <sheet state="visible" name="Hairstyles" sheetId="2" r:id="rId6"/>
    <sheet state="visible" name="Hairstyle Requirements" sheetId="3" r:id="rId7"/>
    <sheet state="visible" name="Race Default Hairstyles" sheetId="4" r:id="rId8"/>
    <sheet state="visible" name="Screenshot Creation" sheetId="5" r:id="rId9"/>
  </sheets>
  <definedNames>
    <definedName name="Argonian_Female">#REF!</definedName>
    <definedName name="Human_Male">#REF!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tc={10f9d5f9-9f6e-4603-951c-a4a14cf6611e}</author>
    <author>tc={1b7ca92e-3cf2-4070-9603-48add9f83981}</author>
    <author>tc={1c07dc0e-64ac-4a87-823d-95c677c278b0}</author>
    <author>tc={211d15e4-2166-4d56-bcc6-515b01fef90f}</author>
    <author>tc={376a58ff-492d-4886-ba95-4307e8c621ac}</author>
    <author>tc={56a2b03b-776d-472e-aa2e-00455a03571b}</author>
    <author>tc={6caf98bc-a377-4936-b27a-ba6f32f08654}</author>
    <author>tc={7736e0e1-849c-4f8b-9207-d881a30b3e5f}</author>
    <author>tc={81b6a518-7cb7-4d1c-b4dd-e3977c58a6f5}</author>
    <author>tc={839fd52e-67a1-4ec6-bca0-7d9980cb9601}</author>
    <author>tc={c0d529e1-ed1b-4696-9d1b-5ae1a3ab940e}</author>
    <author>tc={c7c70c86-aacb-4a6e-bf94-89fb1a1d34b6}</author>
  </authors>
  <commentList>
    <comment authorId="0" xr:uid="{10f9d5f9-9f6e-4603-951c-a4a14cf6611e}" ref="A1">
      <text>
        <t xml:space="preserve">[Threaded comment]
 Your version of Excel allows you to read this threaded comment; however, any edits to it will get removed if the file is opened in a newer version of Excel. Learn more: https://go.microsoft.com/fwlink/?linkid=870924
Comment:
	Used to determine which hairstyles are available to the NPC
</t>
      </text>
    </comment>
    <comment authorId="1" xr:uid="{1b7ca92e-3cf2-4070-9603-48add9f83981}" ref="A1">
      <text>
        <t xml:space="preserve">[Threaded comment]
 Your version of Excel allows you to read this threaded comment; however, any edits to it will get removed if the file is opened in a newer version of Excel. Learn more: https://go.microsoft.com/fwlink/?linkid=870924
Comment:
	Select an alternate hairstyle if you want. The vanilla hairstyle will be commented out in the SPID form if anything is entered here.
Dropdown options are based on the NPC's hair category.
</t>
      </text>
    </comment>
    <comment authorId="2" xr:uid="{1c07dc0e-64ac-4a87-823d-95c677c278b0}" ref="A1">
      <text>
        <t xml:space="preserve">[Threaded comment]
 Your version of Excel allows you to read this threaded comment; however, any edits to it will get removed if the file is opened in a newer version of Excel. Learn more: https://go.microsoft.com/fwlink/?linkid=870924
Comment:
	Add an X (or anything) here to have the NPC's vanilla hairstyle commented out in the SPID form. It will automatically be commented out if an alternate hairstyle is added.
</t>
      </text>
    </comment>
    <comment authorId="3" xr:uid="{211d15e4-2166-4d56-bcc6-515b01fef90f}" ref="A1">
      <text>
        <t xml:space="preserve">[Threaded comment]
 Your version of Excel allows you to read this threaded comment; however, any edits to it will get removed if the file is opened in a newer version of Excel. Learn more: https://go.microsoft.com/fwlink/?linkid=870924
Comment:
	Notes will appear next to the NPC's name in the SPID form.
</t>
      </text>
    </comment>
    <comment authorId="4" xr:uid="{376a58ff-492d-4886-ba95-4307e8c621ac}" ref="A1">
      <text>
        <t xml:space="preserve">[Threaded comment]
 Your version of Excel allows you to read this threaded comment; however, any edits to it will get removed if the file is opened in a newer version of Excel. Learn more: https://go.microsoft.com/fwlink/?linkid=870924
Comment:
	The name of the NPC's Vanilla Hairstyle.
</t>
      </text>
    </comment>
    <comment authorId="5" xr:uid="{56a2b03b-776d-472e-aa2e-00455a03571b}" ref="A1">
      <text>
        <t xml:space="preserve">[Threaded comment]
 Your version of Excel allows you to read this threaded comment; however, any edits to it will get removed if the file is opened in a newer version of Excel. Learn more: https://go.microsoft.com/fwlink/?linkid=870924
Comment:
	The NPC's Vanilla Hairstyle. This will appear in the SPID form, but can be overridden by choosing an alternate hairstyle.
</t>
      </text>
    </comment>
    <comment authorId="6" xr:uid="{6caf98bc-a377-4936-b27a-ba6f32f08654}" ref="A1">
      <text>
        <t xml:space="preserve">[Threaded comment]
 Your version of Excel allows you to read this threaded comment; however, any edits to it will get removed if the file is opened in a newer version of Excel. Learn more: https://go.microsoft.com/fwlink/?linkid=870924
Comment:
	Add an X (or anything) here to have the NPC's alternate hairstyle commented out in the SPID form.
</t>
      </text>
    </comment>
    <comment authorId="7" xr:uid="{7736e0e1-849c-4f8b-9207-d881a30b3e5f}" ref="A1">
      <text>
        <t xml:space="preserve">[Threaded comment]
 Your version of Excel allows you to read this threaded comment; however, any edits to it will get removed if the file is opened in a newer version of Excel. Learn more: https://go.microsoft.com/fwlink/?linkid=870924
Comment:
	Race is used to check the validity of the chosen wig.
</t>
      </text>
    </comment>
    <comment authorId="8" xr:uid="{81b6a518-7cb7-4d1c-b4dd-e3977c58a6f5}" ref="A1">
      <text>
        <t xml:space="preserve">[Threaded comment]
 Your version of Excel allows you to read this threaded comment; however, any edits to it will get removed if the file is opened in a newer version of Excel. Learn more: https://go.microsoft.com/fwlink/?linkid=870924
Comment:
	Enter an NPC's EditorID here. If it's in the "NPC List" tab, the NPC's info will automatically populate in the other columns.
</t>
      </text>
    </comment>
    <comment authorId="9" xr:uid="{839fd52e-67a1-4ec6-bca0-7d9980cb9601}" ref="A1">
      <text>
        <t xml:space="preserve">[Threaded comment]
 Your version of Excel allows you to read this threaded comment; however, any edits to it will get removed if the file is opened in a newer version of Excel. Learn more: https://go.microsoft.com/fwlink/?linkid=870924
Comment:
	Gender is used to check the validity of the chosen wig.
</t>
      </text>
    </comment>
    <comment authorId="10" xr:uid="{c0d529e1-ed1b-4696-9d1b-5ae1a3ab940e}" ref="A1">
      <text>
        <t xml:space="preserve">[Threaded comment]
 Your version of Excel allows you to read this threaded comment; however, any edits to it will get removed if the file is opened in a newer version of Excel. Learn more: https://go.microsoft.com/fwlink/?linkid=870924
Comment:
	The FormID can be handy when running player.placeatme commands in-game to see how the new hairstyle looks.
</t>
      </text>
    </comment>
    <comment authorId="11" xr:uid="{c7c70c86-aacb-4a6e-bf94-89fb1a1d34b6}" ref="A1">
      <text>
        <t xml:space="preserve">[Threaded comment]
 Your version of Excel allows you to read this threaded comment; however, any edits to it will get removed if the file is opened in a newer version of Excel. Learn more: https://go.microsoft.com/fwlink/?linkid=870924
Comment:
	Automatically generated based on all the other columns. 
Highlight this whole column (except the header) and copy/paste it into your SPID distribution ini file.
</t>
      </text>
    </comment>
  </commentList>
</comments>
</file>

<file path=xl/sharedStrings.xml><?xml version="1.0" encoding="utf-8"?>
<sst xmlns="http://schemas.openxmlformats.org/spreadsheetml/2006/main" count="22890" uniqueCount="9402">
  <si>
    <t>RequirementID</t>
  </si>
  <si>
    <t>Race</t>
  </si>
  <si>
    <t>FormID</t>
  </si>
  <si>
    <t>Mod</t>
  </si>
  <si>
    <t>Link Text</t>
  </si>
  <si>
    <t>Link</t>
  </si>
  <si>
    <t>Race Type</t>
  </si>
  <si>
    <t>VHR</t>
  </si>
  <si>
    <t>Default Male Hair</t>
  </si>
  <si>
    <t>Default Female Hair</t>
  </si>
  <si>
    <t>Argonian</t>
  </si>
  <si>
    <t>NPC EditorID</t>
  </si>
  <si>
    <t>NPC Name</t>
  </si>
  <si>
    <t>ArgonianVampire</t>
  </si>
  <si>
    <t>NPC Race</t>
  </si>
  <si>
    <t>Vanilla Hair Remake (Main file)</t>
  </si>
  <si>
    <t>Breton</t>
  </si>
  <si>
    <t>NPC Gender</t>
  </si>
  <si>
    <t>Human</t>
  </si>
  <si>
    <t>HairMaleImperial1</t>
  </si>
  <si>
    <t>Vanilla Hair ID</t>
  </si>
  <si>
    <t>https://www.nexusmods.com/skyrimspecialedition/mods/63979</t>
  </si>
  <si>
    <t>HairFemaleNord05</t>
  </si>
  <si>
    <t>BretonChild</t>
  </si>
  <si>
    <t>HumanChild</t>
  </si>
  <si>
    <t>Vanilla Hair SPID Form</t>
  </si>
  <si>
    <t>Hairstyle EditorIDs</t>
  </si>
  <si>
    <t>HairMaleImperialChild01</t>
  </si>
  <si>
    <t>HairFemaleNordChild01</t>
  </si>
  <si>
    <t>Hairstyle Name</t>
  </si>
  <si>
    <t>BretonChildVampire</t>
  </si>
  <si>
    <t>Zoom F</t>
  </si>
  <si>
    <t>Zoom S</t>
  </si>
  <si>
    <t>0008774F</t>
  </si>
  <si>
    <t>BretonVampire</t>
  </si>
  <si>
    <t>Abelone</t>
  </si>
  <si>
    <t>Wig Spell EditorID</t>
  </si>
  <si>
    <t>DA13Afflicted</t>
  </si>
  <si>
    <t>Nord</t>
  </si>
  <si>
    <t>Valid Race Types</t>
  </si>
  <si>
    <t>HairMaleNord01</t>
  </si>
  <si>
    <t>Female</t>
  </si>
  <si>
    <t>HairFemaleNord01</t>
  </si>
  <si>
    <t>Valid Genders</t>
  </si>
  <si>
    <t>HairFemaleNord07</t>
  </si>
  <si>
    <t>DarkElf</t>
  </si>
  <si>
    <t>Elf</t>
  </si>
  <si>
    <t>HairMaleDarkElf01</t>
  </si>
  <si>
    <t>HairFemaleDarkElf01</t>
  </si>
  <si>
    <t>Race_Gender Categories</t>
  </si>
  <si>
    <t>DarkElfVampire</t>
  </si>
  <si>
    <t>Elder</t>
  </si>
  <si>
    <t>Requirements</t>
  </si>
  <si>
    <t>HairFemaleElder02</t>
  </si>
  <si>
    <t>Race/Gender Specific Requirements</t>
  </si>
  <si>
    <t>ElderVampire</t>
  </si>
  <si>
    <t>Process_Screenshots CSV</t>
  </si>
  <si>
    <t>HighElf</t>
  </si>
  <si>
    <t>HighElfVampire</t>
  </si>
  <si>
    <t>Imperial</t>
  </si>
  <si>
    <t>ImperialChild</t>
  </si>
  <si>
    <t>Vanilla</t>
  </si>
  <si>
    <t>HairFemaleNordChild02</t>
  </si>
  <si>
    <t>ImperialVampire</t>
  </si>
  <si>
    <t>HairArgonianFemale00,HairArgonianMale00,HairKhajiit00,HairKhajiitMale10,KhajiitFemaleEarTufts,KhajiitMaleEarTufts,NoHair</t>
  </si>
  <si>
    <t>Khajiit</t>
  </si>
  <si>
    <t>Vanilla - Bald</t>
  </si>
  <si>
    <t>KhajiitVampire</t>
  </si>
  <si>
    <t>HairMaleNord10</t>
  </si>
  <si>
    <t>HairFemaleNord04</t>
  </si>
  <si>
    <t>Uvi_Wig_Spell_VHRU_BaldCap</t>
  </si>
  <si>
    <t>NordAstrid</t>
  </si>
  <si>
    <t>Argonian_Male, Argonian_Female, Elf_Male, Elf_Female, Human_Male, Human_Female, HumanChild_Male, HumanChild_Female, Khajiit_Male, Khajiit_Female, Orc_Male, Orc_Female</t>
  </si>
  <si>
    <t>VHR,VHRWU</t>
  </si>
  <si>
    <t>NordChild</t>
  </si>
  <si>
    <t>VHRWU</t>
  </si>
  <si>
    <t>HairMaleNordChild01</t>
  </si>
  <si>
    <t>Vanilla Hair Remake Wigs Unlocked</t>
  </si>
  <si>
    <t>https://www.nexusmods.com/skyrimspecialedition/mods/187429</t>
  </si>
  <si>
    <t>NordVampire</t>
  </si>
  <si>
    <t>Orc</t>
  </si>
  <si>
    <t>HairMaleOrc01</t>
  </si>
  <si>
    <t>OrcVampire</t>
  </si>
  <si>
    <t>Redguard</t>
  </si>
  <si>
    <t>HairMaleRedguard2</t>
  </si>
  <si>
    <t>HairFemaleRedguard01</t>
  </si>
  <si>
    <t>RedguardChild</t>
  </si>
  <si>
    <t>HairMaleRedguardChild01</t>
  </si>
  <si>
    <t>HairFemaleRedguardChild01</t>
  </si>
  <si>
    <t>RedguardVampire</t>
  </si>
  <si>
    <t>WoodElf</t>
  </si>
  <si>
    <t>HairMaleDarkElf06</t>
  </si>
  <si>
    <t>HairFemaleDarkElf03</t>
  </si>
  <si>
    <t>WoodElfVampire</t>
  </si>
  <si>
    <t>SnowElf</t>
  </si>
  <si>
    <t>Dint02</t>
  </si>
  <si>
    <t>Dint Hair Pack 02</t>
  </si>
  <si>
    <t>HairMaleSnowElf01</t>
  </si>
  <si>
    <t>https://www.patreon.com/dint999/posts/hairpack02-hdt-1-29917266</t>
  </si>
  <si>
    <t>DLC1Nord</t>
  </si>
  <si>
    <t>DLC1HairFemaleSeranaHuman</t>
  </si>
  <si>
    <t>DLC2Miraak</t>
  </si>
  <si>
    <t>Mod_SMP_Hair</t>
  </si>
  <si>
    <t>Modular SMP Hairstyles</t>
  </si>
  <si>
    <t>https://www.nexusmods.com/skyrimspecialedition/mods/93608</t>
  </si>
  <si>
    <t>HairArgonianFemale01,HairArgonianMale01</t>
  </si>
  <si>
    <t>Vanilla - Argonian 01</t>
  </si>
  <si>
    <t>Uvi_Wig_Spell_VHRU_Argonian01</t>
  </si>
  <si>
    <t>Argonian_Female, Argonian_Male</t>
  </si>
  <si>
    <t>Mod_SMP_Wig</t>
  </si>
  <si>
    <t>Modular SMP Wigs</t>
  </si>
  <si>
    <t>https://www.nexusmods.com/skyrimspecialedition/mods/180029</t>
  </si>
  <si>
    <t>HairArgonianFemale02,HairArgonianMale02</t>
  </si>
  <si>
    <t>Vanilla - Argonian 02</t>
  </si>
  <si>
    <t>Uvi_Wig_Spell_VHRU_Argonian02</t>
  </si>
  <si>
    <t>Kora1</t>
  </si>
  <si>
    <t>Koralina's Hair Collection 1 (Wig file)</t>
  </si>
  <si>
    <t>HairArgonianFemale03,HairArgonianMale03</t>
  </si>
  <si>
    <t>Vanilla - Argonian 03</t>
  </si>
  <si>
    <t>https://www.nexusmods.com/skyrimspecialedition/mods/114769</t>
  </si>
  <si>
    <t>Uvi_Wig_Spell_VHRU_Argonian03</t>
  </si>
  <si>
    <t>HairArgonianFemale04,HairArgonianMale04</t>
  </si>
  <si>
    <t>Vanilla - Argonian 04</t>
  </si>
  <si>
    <t>Uvi_Wig_Spell_VHRU_Argonian04</t>
  </si>
  <si>
    <t>Kora2</t>
  </si>
  <si>
    <t>Koralina's Hair Collection 2 (Wig file)</t>
  </si>
  <si>
    <t>https://www.nexusmods.com/skyrimspecialedition/mods/172939</t>
  </si>
  <si>
    <t>HairArgonianFemale05,HairArgonianMale05</t>
  </si>
  <si>
    <t>Vanilla - Argonian 05</t>
  </si>
  <si>
    <t>Uvi_Wig_Spell_VHRU_Argonian05</t>
  </si>
  <si>
    <t>HairArgonianFemale06,HairArgonianMale06</t>
  </si>
  <si>
    <t>Vanilla - Argonian 06</t>
  </si>
  <si>
    <t>Fuse_Aldo</t>
  </si>
  <si>
    <t>Uvi_Wig_Spell_VHRU_Argonian06</t>
  </si>
  <si>
    <t>Fuse Hair Collection - Aldo</t>
  </si>
  <si>
    <t>https://www.patreon.com/posts/68250938?collection=209996</t>
  </si>
  <si>
    <t>HairArgonianFemale07,HairArgonianMale07</t>
  </si>
  <si>
    <t>Vanilla - Argonian 07</t>
  </si>
  <si>
    <t>Uvi_Wig_Spell_VHRU_Argonian07</t>
  </si>
  <si>
    <t>HairArgonianFemale08,HairArgonianMale08</t>
  </si>
  <si>
    <t>Vanilla - Argonian 08</t>
  </si>
  <si>
    <t>Uvi_Wig_Spell_VHRU_Argonian08</t>
  </si>
  <si>
    <t>Fuse_Alucard</t>
  </si>
  <si>
    <t>Fuse Hair Collection - Alucard</t>
  </si>
  <si>
    <t>https://www.patreon.com/posts/98291872?collection=209996</t>
  </si>
  <si>
    <t>HairArgonianFemale09,HairArgonianMale09</t>
  </si>
  <si>
    <t>Vanilla - Argonian 09</t>
  </si>
  <si>
    <t>Uvi_Wig_Spell_VHRU_Argonian09</t>
  </si>
  <si>
    <t>HairArgonianFemale10,HairArgonianMale10</t>
  </si>
  <si>
    <t>Vanilla - Argonian 10</t>
  </si>
  <si>
    <t>Fuse_Amber</t>
  </si>
  <si>
    <t>Fuse Hair Collection - Amber</t>
  </si>
  <si>
    <t>Uvi_Wig_Spell_VHRU_Argonian10</t>
  </si>
  <si>
    <t>https://www.patreon.com/posts/76570894?collection=209996</t>
  </si>
  <si>
    <t>HairArgonianFemale11</t>
  </si>
  <si>
    <t>Vanilla - Argonian 11</t>
  </si>
  <si>
    <t>Uvi_Wig_Spell_VHRU_Argonian11</t>
  </si>
  <si>
    <t>Argonian_Female</t>
  </si>
  <si>
    <t>HairArgonianFemale12</t>
  </si>
  <si>
    <t>Vanilla - Argonian 12</t>
  </si>
  <si>
    <t>Uvi_Wig_Spell_VHRU_Argonian12</t>
  </si>
  <si>
    <t>HairArgonianFemale13</t>
  </si>
  <si>
    <t>Fuse_BraidedHair</t>
  </si>
  <si>
    <t>Vanilla - Argonian 13</t>
  </si>
  <si>
    <t>Fuse Hair Collection - Braided Hairstyles</t>
  </si>
  <si>
    <t>https://www.patreon.com/posts/64262256?collection=209996</t>
  </si>
  <si>
    <t>Uvi_Wig_Spell_VHRU_Argonian13</t>
  </si>
  <si>
    <t>HairMaleRedguard4</t>
  </si>
  <si>
    <t>Vanilla - Afro Large</t>
  </si>
  <si>
    <t>Uvi_Wig_Spell_VHRU_AfroLarge</t>
  </si>
  <si>
    <t>Human_Female, Human_Male, Elf_Female, Elf_Male, Orc_Female, Orc_Male</t>
  </si>
  <si>
    <t>Fuse_Dreadlocks</t>
  </si>
  <si>
    <t>Fuse Hair Collection - Dreadlocks</t>
  </si>
  <si>
    <t>https://www.patreon.com/posts/62876423?collection=209996</t>
  </si>
  <si>
    <t>HairMaleRedguard3</t>
  </si>
  <si>
    <t>Vanilla - Afro Small</t>
  </si>
  <si>
    <t>Uvi_Wig_Spell_VHRU_AfroSmall</t>
  </si>
  <si>
    <t>HairMaleOrc08</t>
  </si>
  <si>
    <t>Vanilla - Balding Bun</t>
  </si>
  <si>
    <t>Fuse_Hilda</t>
  </si>
  <si>
    <t>Hairstyle Category</t>
  </si>
  <si>
    <t>Uvi_Wig_Spell_VHRU_BaldingBun</t>
  </si>
  <si>
    <t>Fuse Hair Collection - Hilda</t>
  </si>
  <si>
    <t>https://www.patreon.com/posts/86395571?collection=209996</t>
  </si>
  <si>
    <t>Hair Spell IDs</t>
  </si>
  <si>
    <t>Human_Male, Orc_Male</t>
  </si>
  <si>
    <t>Screenshot Name</t>
  </si>
  <si>
    <t>Human_Male</t>
  </si>
  <si>
    <t>HairMaleNord19,HairMaleElf09</t>
  </si>
  <si>
    <t>Vanilla - Balding Long</t>
  </si>
  <si>
    <t>Uvi_Wig_Spell_VHRU_BaldingLong</t>
  </si>
  <si>
    <t>Human_Male, Elf_Male, Orc_Male, Khajiit_Male</t>
  </si>
  <si>
    <t>Fuse_King</t>
  </si>
  <si>
    <t>HairMaleOrc11,HairMaleElder6</t>
  </si>
  <si>
    <t>Fuse Hair Collection - King</t>
  </si>
  <si>
    <t>Vanilla - Balding Ponytail Long</t>
  </si>
  <si>
    <t>https://www.patreon.com/posts/89043767?collection=209996</t>
  </si>
  <si>
    <t>Uvi_Wig_Spell_VHRU_BaldingPonytailLong</t>
  </si>
  <si>
    <t>Human_Male, Elf_Male, Orc_Male</t>
  </si>
  <si>
    <t>HairMaleOrc10</t>
  </si>
  <si>
    <t>Vanilla - Balding Ponytail Medium</t>
  </si>
  <si>
    <t>Uvi_Wig_Spell_VHRU_BaldingPonytailMedium</t>
  </si>
  <si>
    <t>Orc_Male</t>
  </si>
  <si>
    <t>Fuse_Lagertha</t>
  </si>
  <si>
    <t>Fuse Hair Collection - Lagertha</t>
  </si>
  <si>
    <t>https://www.patreon.com/posts/72123559?collection=209996</t>
  </si>
  <si>
    <t>HairMaleOrc09</t>
  </si>
  <si>
    <t>Vanilla - Balding Ponytail Short</t>
  </si>
  <si>
    <t>Uvi_Wig_Spell_VHRU_BaldingPonytailShort</t>
  </si>
  <si>
    <t>HairMaleElder1</t>
  </si>
  <si>
    <t>Vanilla - Balding Short 1</t>
  </si>
  <si>
    <t>Uvi_Wig_Spell_VHRU_BaldingShort1</t>
  </si>
  <si>
    <t>Fuse_Marco</t>
  </si>
  <si>
    <t>Fuse Hair Collection - Marco</t>
  </si>
  <si>
    <t>https://www.patreon.com/posts/65302074?collection=209996</t>
  </si>
  <si>
    <t>HairMaleElder2</t>
  </si>
  <si>
    <t>Vanilla - Balding Short 2</t>
  </si>
  <si>
    <t>Uvi_Wig_Spell_VHRU_BaldingShort2</t>
  </si>
  <si>
    <t>HairMaleElder3</t>
  </si>
  <si>
    <t>Fuse_P</t>
  </si>
  <si>
    <t>Vanilla - Balding Short 3</t>
  </si>
  <si>
    <t>Fuse Hair Collection - P</t>
  </si>
  <si>
    <t>https://www.patreon.com/posts/73058791?collection=209996</t>
  </si>
  <si>
    <t>Uvi_Wig_Spell_VHRU_BaldingShort3</t>
  </si>
  <si>
    <t>HairMaleElder4</t>
  </si>
  <si>
    <t>Vanilla - Balding Short 4</t>
  </si>
  <si>
    <t>Uvi_Wig_Spell_VHRU_BaldingShort4</t>
  </si>
  <si>
    <t>000D3E79</t>
  </si>
  <si>
    <t>AcolyteJenssen</t>
  </si>
  <si>
    <t>Acolyte Jenssen</t>
  </si>
  <si>
    <t>Fuse_Siren</t>
  </si>
  <si>
    <t>Fuse Hair Collection - Siren</t>
  </si>
  <si>
    <t>https://www.patreon.com/posts/75589695?collection=209996</t>
  </si>
  <si>
    <t>Male</t>
  </si>
  <si>
    <t>HairMaleNord05</t>
  </si>
  <si>
    <t>HairMaleElder5</t>
  </si>
  <si>
    <t>Vanilla - Balding Short 5</t>
  </si>
  <si>
    <t>Uvi_Wig_Spell_VHRU_BaldingShort5</t>
  </si>
  <si>
    <t>HairMaleRedguard7</t>
  </si>
  <si>
    <t>Vanilla - Corn Row Mohawk</t>
  </si>
  <si>
    <t>Uvi_Wig_Spell_VHRU_CornRowMohawk</t>
  </si>
  <si>
    <t>Fuse_Tauriel</t>
  </si>
  <si>
    <t>Fuse Hair Collection - Tauriel</t>
  </si>
  <si>
    <t>https://www.patreon.com/posts/62190804?collection=209996</t>
  </si>
  <si>
    <t>Human_Female, Human_Male, Elf_Female, Elf_Male, Orc_Female, Orc_Male, Khajiit_Female, Khajiit_Male</t>
  </si>
  <si>
    <t>HairMaleRedguard6</t>
  </si>
  <si>
    <t>Vanilla - Corn Rows</t>
  </si>
  <si>
    <t>Uvi_Wig_Spell_VHRU_CornRows</t>
  </si>
  <si>
    <t>Fuse_Yen</t>
  </si>
  <si>
    <t>Fuse Hair Collection - Yen</t>
  </si>
  <si>
    <t>HairFemaleNord21,HairMaleRedguard8,HairFemaleOrc17,HairMaleOrc27</t>
  </si>
  <si>
    <t>https://www.patreon.com/posts/71131410?collection=209996</t>
  </si>
  <si>
    <t>Vanilla - Dreadlock Mohawk</t>
  </si>
  <si>
    <t>Uvi_Wig_Spell_VHRU_DreadlockMohawk</t>
  </si>
  <si>
    <t>HairMaleRedguard5,HairMaleOrc26</t>
  </si>
  <si>
    <t>Vanilla - Dreadlock Ponytail</t>
  </si>
  <si>
    <t>Uvi_Wig_Spell_VHRU_DreadlockPonytail</t>
  </si>
  <si>
    <t>Fuse_Collection_Khajiit</t>
  </si>
  <si>
    <t>Fuse Hair Collection - For Khajiit (Wigs installed in FOMOD)</t>
  </si>
  <si>
    <t>https://www.nexusmods.com/skyrimspecialedition/mods/183885</t>
  </si>
  <si>
    <t>HairMaleNord03,HairFemaleNord03,HairFemaleElf03</t>
  </si>
  <si>
    <t>Vanilla - French Braids</t>
  </si>
  <si>
    <t>Uvi_Wig_Spell_VHRU_FrenchBraids</t>
  </si>
  <si>
    <t>Human_Female, Human_Male, Elf_Female, Orc_Female, Orc_Male, Khajiit_Female</t>
  </si>
  <si>
    <t>HairFemaleNord19,HairFemaleElf09</t>
  </si>
  <si>
    <t>Vanilla - French Braids High</t>
  </si>
  <si>
    <t>Fuse_Valkyr1</t>
  </si>
  <si>
    <t>Valkyr SMP Hairstyles 1</t>
  </si>
  <si>
    <t>Uvi_Wig_Spell_VHRU_FrenchBraidsHigh</t>
  </si>
  <si>
    <t>https://www.nexusmods.com/skyrimspecialedition/mods/63181</t>
  </si>
  <si>
    <t>HairFemaleNord14</t>
  </si>
  <si>
    <t>Vanilla - French Braids Ponytail</t>
  </si>
  <si>
    <t>Uvi_Wig_Spell_VHRU_FrenchBraidsPonytail</t>
  </si>
  <si>
    <t>Human_Female, Human_Male, Orc_Female, Orc_Male, Khajiit_Female</t>
  </si>
  <si>
    <t>Fuse_Valkyr2</t>
  </si>
  <si>
    <t>Valkyr SMP Hairstyles 2</t>
  </si>
  <si>
    <t>https://www.nexusmods.com/skyrimspecialedition/mods/64259</t>
  </si>
  <si>
    <t>HairFemaleNord10,HairFemaleElf07</t>
  </si>
  <si>
    <t>Vanilla - French Braids Small</t>
  </si>
  <si>
    <t>Uvi_Wig_Spell_VHRU_FrenchBraidsSmall</t>
  </si>
  <si>
    <t>Human_Female, Human_Male, Elf_Female, Elf_Male, Orc_Female, Orc_Male, Khajiit_Female</t>
  </si>
  <si>
    <t>HairFemaleRedguard02</t>
  </si>
  <si>
    <t>Vanilla - Loose Bob Side Part</t>
  </si>
  <si>
    <t>Uvi_Wig_Spell_VHRU_LooseBobSidePart</t>
  </si>
  <si>
    <t>Fuse_Valkyr_Khajiit</t>
  </si>
  <si>
    <t>Human_Female, Elf_Female, Orc_Female</t>
  </si>
  <si>
    <t>Valkyr SMP Hairstyles - For Khajiit (Wigs installed in FOMOD)</t>
  </si>
  <si>
    <t>https://www.nexusmods.com/skyrimspecialedition/mods/174832</t>
  </si>
  <si>
    <t>HairFemaleRedguard01,HairFemaleElder01,HairFemaleElder02</t>
  </si>
  <si>
    <t>Vanilla - Loose Bun</t>
  </si>
  <si>
    <t>Uvi_Wig_Spell_VHRU_LooseBun</t>
  </si>
  <si>
    <t>KS_SMP</t>
  </si>
  <si>
    <t>KS Hairdos SMP (Wigs installed in FOMOD)</t>
  </si>
  <si>
    <t>HairKhajiitMale05</t>
  </si>
  <si>
    <t>https://www.nexusmods.com/skyrimspecialedition/mods/31300</t>
  </si>
  <si>
    <t>Vanilla - Mohawk Braid Ponytails</t>
  </si>
  <si>
    <t>Uvi_Wig_Spell_VHRU_MohawkBraidPonytails</t>
  </si>
  <si>
    <t>Human_Female, Elf_Female, Orc_Female, Khajiit_Female, Khajiit_Male</t>
  </si>
  <si>
    <t>HairMaleNord17,HairKhajiitMale07</t>
  </si>
  <si>
    <t>Vanilla - Mohawk Long</t>
  </si>
  <si>
    <t>Uvi_Wig_Spell_VHRU_MohawkLong</t>
  </si>
  <si>
    <t>KS_SMP_Khajiit</t>
  </si>
  <si>
    <t>KS Hairdos SMP - For Khajiit (Wigs installed in FOMOD)</t>
  </si>
  <si>
    <t>https://www.nexusmods.com/skyrimspecialedition/mods/170525</t>
  </si>
  <si>
    <t>HairKhajiitFemale04,HairKhajiitFemale08</t>
  </si>
  <si>
    <t>Vanilla - Mohawk Messy Long Braid</t>
  </si>
  <si>
    <t>Uvi_Wig_Spell_VHRU_MohawkMessyLongBraid</t>
  </si>
  <si>
    <t>Xing</t>
  </si>
  <si>
    <t>Xing HDT-SMP Hair and Wigs Unisex</t>
  </si>
  <si>
    <t>https://www.nexusmods.com/skyrimspecialedition/mods/56583</t>
  </si>
  <si>
    <t>HairKhajiitMale09,HairKhajiitFemale01,HairKhajiitFemale09</t>
  </si>
  <si>
    <t>Vanilla - Mohawk Messy Ringed Braids</t>
  </si>
  <si>
    <t>Uvi_Wig_Spell_VHRU_MohawkMessyRingedBraids</t>
  </si>
  <si>
    <t>HairKhajiitMale04,HairKhajiitFemale03,HairKhajiitFemale07</t>
  </si>
  <si>
    <t>Vanilla - Mohawk Messy Side Braids</t>
  </si>
  <si>
    <t>Uvi_Wig_Spell_VHRU_MohawkMessySideBraids</t>
  </si>
  <si>
    <t>Xing_Misc</t>
  </si>
  <si>
    <t>Misc Improvements</t>
  </si>
  <si>
    <t>00013385</t>
  </si>
  <si>
    <t>https://www.nexusmods.com/skyrimspecialedition/mods/184585</t>
  </si>
  <si>
    <t>Adara</t>
  </si>
  <si>
    <t>HairKhajiitMale03</t>
  </si>
  <si>
    <t>Vanilla - Mohawk Mullet</t>
  </si>
  <si>
    <t>Uvi_Wig_Spell_VHRU_MohawkMullet</t>
  </si>
  <si>
    <t>HairKhajiitMale01</t>
  </si>
  <si>
    <t>Vanilla - Mohawk Mullet Side Braids</t>
  </si>
  <si>
    <t>Uvi_Wig_Spell_VHRU_MohawkMulletSideBraids</t>
  </si>
  <si>
    <t>Human_Male, Elf_Male, Orc_Male, Khajiit_Female, Khajiit_Male</t>
  </si>
  <si>
    <t>HairKhajiitMale06</t>
  </si>
  <si>
    <t>Vanilla - Mohawk Ponytail</t>
  </si>
  <si>
    <t>Uvi_Wig_Spell_VHRU_MohawkPonytail</t>
  </si>
  <si>
    <t>HairKhajiitFemale05</t>
  </si>
  <si>
    <t>Vanilla - Mohawk Ponytails</t>
  </si>
  <si>
    <t>Uvi_Wig_Spell_VHRU_MohawkPonytails</t>
  </si>
  <si>
    <t>HairKhajiitFemale06</t>
  </si>
  <si>
    <t>Vanilla - Mohawk Segmented Ponytail</t>
  </si>
  <si>
    <t>Uvi_Wig_Spell_VHRU_MohawkSegmentedPonytail</t>
  </si>
  <si>
    <t>HairMaleDarkElf05,HairFemaleDarkElf06</t>
  </si>
  <si>
    <t>Vanilla - Mohawk Short</t>
  </si>
  <si>
    <t>Uvi_Wig_Spell_VHRU_MohawkShort</t>
  </si>
  <si>
    <t>HairMaleNord16,HairFemaleNord16</t>
  </si>
  <si>
    <t>Vanilla - Mohawk French Braids</t>
  </si>
  <si>
    <t>Uvi_Wig_Spell_VHRU_MohawkFrenchBraids</t>
  </si>
  <si>
    <t>HairFemaleNord11</t>
  </si>
  <si>
    <t>Vanilla - Ponytail Bangs Long</t>
  </si>
  <si>
    <t>Uvi_Wig_Spell_VHRU_PonytailBangsLong</t>
  </si>
  <si>
    <t>HairMaleNord11</t>
  </si>
  <si>
    <t>Vanilla - Ponytail Bangs Short</t>
  </si>
  <si>
    <t>Uvi_Wig_Spell_VHRU_PonytailBangsShort</t>
  </si>
  <si>
    <t>HairFemaleNord17,HairFemaleElder04</t>
  </si>
  <si>
    <t>Vanilla - Ponytail Braid Looped</t>
  </si>
  <si>
    <t>Uvi_Wig_Spell_VHRU_PonytailBraidLooped</t>
  </si>
  <si>
    <t>HairMaleNord05,HairFemaleNord05,HairMaleElf03,HairFemaleElf04,HairKhajiitMale02,HairKhajiitFemale02,HairKhajiitFemale10,HairFemaleElder03</t>
  </si>
  <si>
    <t>Vanilla - Ponytail Half-up</t>
  </si>
  <si>
    <t>Uvi_Wig_Spell_VHRU_PonytailHalf-up</t>
  </si>
  <si>
    <t>Human_Female, Human_Male, Elf_Female, Elf_Male, Orc_Male, Khajiit_Female, Khajiit_Male</t>
  </si>
  <si>
    <t>HairFemaleNord09</t>
  </si>
  <si>
    <t>Vanilla - Ponytail Half-up Bangs</t>
  </si>
  <si>
    <t>Uvi_Wig_Spell_VHRU_PonytailHalf-upBangs</t>
  </si>
  <si>
    <t>HairMaleNord12,HairFemaleNord12,HairMaleElf06</t>
  </si>
  <si>
    <t>Vanilla - Ponytail Low</t>
  </si>
  <si>
    <t>Uvi_Wig_Spell_VHRU_PonytailLow</t>
  </si>
  <si>
    <t>HairMaleNord13,HairFemaleNord13</t>
  </si>
  <si>
    <t>Vanilla - Pulled Back Long Braid</t>
  </si>
  <si>
    <t>Uvi_Wig_Spell_VHRU_PulledBackLongBraid</t>
  </si>
  <si>
    <t>HairFemaleOrc06</t>
  </si>
  <si>
    <t>02008D7A</t>
  </si>
  <si>
    <t>Vanilla - Ronin Pinned Bun</t>
  </si>
  <si>
    <t>DLC1dunRedwaterDenAddict4</t>
  </si>
  <si>
    <t>Addict</t>
  </si>
  <si>
    <t>Uvi_Wig_Spell_VHRU_RoninPinnedBun</t>
  </si>
  <si>
    <t>HairFemaleNord12</t>
  </si>
  <si>
    <t>HairFemaleOrc05</t>
  </si>
  <si>
    <t>Vanilla - Ronin Pinned Bun Half-up</t>
  </si>
  <si>
    <t>Uvi_Wig_Spell_VHRU_RoninPinnedBunHalf-up</t>
  </si>
  <si>
    <t>HairMaleOrc07</t>
  </si>
  <si>
    <t>Vanilla - Ronin Ponytail Banded</t>
  </si>
  <si>
    <t>Uvi_Wig_Spell_VHRU_RoninPonytailBanded</t>
  </si>
  <si>
    <t>HairMaleOrc06</t>
  </si>
  <si>
    <t>Vanilla - Ronin Ponytail Braid</t>
  </si>
  <si>
    <t>Uvi_Wig_Spell_VHRU_RoninPonytailBraid</t>
  </si>
  <si>
    <t>HairFemaleOrc01,HairMaleOrc01</t>
  </si>
  <si>
    <t>Vanilla - Ronin Ponytail Half-up</t>
  </si>
  <si>
    <t>Uvi_Wig_Spell_VHRU_RoninPonytailHalf-up</t>
  </si>
  <si>
    <t>HairFemaleOrc03,HairMaleOrc05</t>
  </si>
  <si>
    <t>Vanilla - Ronin Ponytail Long</t>
  </si>
  <si>
    <t>Uvi_Wig_Spell_VHRU_RoninPonytailLong</t>
  </si>
  <si>
    <t>HairMaleOrc04</t>
  </si>
  <si>
    <t>Vanilla - Ronin Ponytail Medium</t>
  </si>
  <si>
    <t>Uvi_Wig_Spell_VHRU_RoninPonytailMedium</t>
  </si>
  <si>
    <t>Human_Female, Orc_Male</t>
  </si>
  <si>
    <t>HairMaleOrc03</t>
  </si>
  <si>
    <t>Vanilla - Ronin Ponytail Short</t>
  </si>
  <si>
    <t>Uvi_Wig_Spell_VHRU_RoninPonytailShort</t>
  </si>
  <si>
    <t>Human_Female, Elf_Female, Orc_Male</t>
  </si>
  <si>
    <t>HairFemaleOrc08</t>
  </si>
  <si>
    <t>Vanilla - Ronin Stacked Buns</t>
  </si>
  <si>
    <t>Uvi_Wig_Spell_VHRU_RoninStackedBuns</t>
  </si>
  <si>
    <t>Human_Female, Elf_Female, Orc_Female, Orc_Male</t>
  </si>
  <si>
    <t>HairFemaleOrc07</t>
  </si>
  <si>
    <t>Vanilla - Ronin Stacked Buns Half-up</t>
  </si>
  <si>
    <t>Uvi_Wig_Spell_VHRU_RoninStackedBunsHalf-up</t>
  </si>
  <si>
    <t>HairMaleOrc02,HairFemaleOrc04</t>
  </si>
  <si>
    <t>Vanilla - Ronin Top-knot</t>
  </si>
  <si>
    <t>Uvi_Wig_Spell_VHRU_RoninTop-knot</t>
  </si>
  <si>
    <t>HairFemaleOrc02</t>
  </si>
  <si>
    <t>Vanilla - Ronin Top-knot Half-up</t>
  </si>
  <si>
    <t>Uvi_Wig_Spell_VHRU_RoninTop-knotHalf-up</t>
  </si>
  <si>
    <t>HairMaleOrc14</t>
  </si>
  <si>
    <t>Vanilla - Ronin Undercut Ponytail Banded</t>
  </si>
  <si>
    <t>Uvi_Wig_Spell_VHRU_RoninUndercutPonytailBanded</t>
  </si>
  <si>
    <t>HairMaleOrc13</t>
  </si>
  <si>
    <t>Vanilla - Ronin Undercut Ponytail Long</t>
  </si>
  <si>
    <t>Uvi_Wig_Spell_VHRU_RoninUndercutPonytailLong</t>
  </si>
  <si>
    <t>HairMaleOrc12</t>
  </si>
  <si>
    <t>Vanilla - Ronin Undercut Ponytail Short</t>
  </si>
  <si>
    <t>Uvi_Wig_Spell_VHRU_RoninUndercutPonytailShort</t>
  </si>
  <si>
    <t>HairMaleRedguard1,HairFemaleRedguard03,HairFemaleDarkElf07,HairMaleDarkElf07,HairFemaleOrc13,HairMaleOrc25</t>
  </si>
  <si>
    <t>Vanilla - Shaved 1</t>
  </si>
  <si>
    <t>Uvi_Wig_Spell_VHRU_Shaved1</t>
  </si>
  <si>
    <t>00013255</t>
  </si>
  <si>
    <t>Addvar</t>
  </si>
  <si>
    <t>HairMaleRedguard2,HairFemaleRedguard04</t>
  </si>
  <si>
    <t>Vanilla - Shaved 2</t>
  </si>
  <si>
    <t>HairMaleNord09</t>
  </si>
  <si>
    <t>Uvi_Wig_Spell_VHRU_Shaved2</t>
  </si>
  <si>
    <t>Human_Female, Human_Male</t>
  </si>
  <si>
    <t>HairFemaleOrc12</t>
  </si>
  <si>
    <t>Vanilla - Shaved Ponytail Banded Long</t>
  </si>
  <si>
    <t>Uvi_Wig_Spell_VHRU_ShavedPonytailBandedLong</t>
  </si>
  <si>
    <t>HairFemaleOrc11</t>
  </si>
  <si>
    <t>Vanilla - Shaved Ponytail Banded Short</t>
  </si>
  <si>
    <t>Uvi_Wig_Spell_VHRU_ShavedPonytailBandedShort</t>
  </si>
  <si>
    <t>Human_Female, Elf_Female, Orc_Female, Orc_Male, Khajiit_Female</t>
  </si>
  <si>
    <t>HairMaleOrc24</t>
  </si>
  <si>
    <t>Vanilla - Shaved Ponytail Braid</t>
  </si>
  <si>
    <t>Uvi_Wig_Spell_VHRU_ShavedPonytailBraid</t>
  </si>
  <si>
    <t>HairMaleOrc23</t>
  </si>
  <si>
    <t>Vanilla - Shaved Ponytail Long</t>
  </si>
  <si>
    <t>Uvi_Wig_Spell_VHRU_ShavedPonytailLong</t>
  </si>
  <si>
    <t>HairMaleOrc22</t>
  </si>
  <si>
    <t>Vanilla - Shaved Ponytail Medium</t>
  </si>
  <si>
    <t>Uvi_Wig_Spell_VHRU_ShavedPonytailMedium</t>
  </si>
  <si>
    <t>HairMaleOrc21</t>
  </si>
  <si>
    <t>Vanilla - Shaved Ponytail Short</t>
  </si>
  <si>
    <t>Uvi_Wig_Spell_VHRU_ShavedPonytailShort</t>
  </si>
  <si>
    <t>HairFemaleOrc10</t>
  </si>
  <si>
    <t>Vanilla - Shaved Top Ponytail Banded Long</t>
  </si>
  <si>
    <t>Uvi_Wig_Spell_VHRU_ShavedTopPonytailBandedLong</t>
  </si>
  <si>
    <t>HairFemaleOrc09</t>
  </si>
  <si>
    <t>Vanilla - Shaved Top Ponytail Banded Short</t>
  </si>
  <si>
    <t>Uvi_Wig_Spell_VHRU_ShavedTopPonytailBandedShort</t>
  </si>
  <si>
    <t>HairMaleOrc20</t>
  </si>
  <si>
    <t>Vanilla - Shaved Top Ponytail Long</t>
  </si>
  <si>
    <t>Uvi_Wig_Spell_VHRU_ShavedTopPonytailLong</t>
  </si>
  <si>
    <t>HairMaleOrc19</t>
  </si>
  <si>
    <t>Vanilla - Shaved Top Ponytail Medium</t>
  </si>
  <si>
    <t>Uvi_Wig_Spell_VHRU_ShavedTopPonytailMedium</t>
  </si>
  <si>
    <t>HairMaleOrc18</t>
  </si>
  <si>
    <t>Vanilla - Shaved Top Ponytail Short</t>
  </si>
  <si>
    <t>Uvi_Wig_Spell_VHRU_ShavedTopPonytailShort</t>
  </si>
  <si>
    <t>HairFemaleImperial1,HairMaleImperial1</t>
  </si>
  <si>
    <t>Vanilla - Short</t>
  </si>
  <si>
    <t>Uvi_Wig_Spell_VHRU_Short</t>
  </si>
  <si>
    <t>Human_Female, Human_Male, Orc_Female, Orc_Male</t>
  </si>
  <si>
    <t>Vanilla - Short Loose</t>
  </si>
  <si>
    <t>Uvi_Wig_Spell_VHRU_ShortLoose</t>
  </si>
  <si>
    <t>Vanilla - Short Loose Braids</t>
  </si>
  <si>
    <t>Uvi_Wig_Spell_VHRU_ShortLooseBraids</t>
  </si>
  <si>
    <t>00019DC7</t>
  </si>
  <si>
    <t>Addvild</t>
  </si>
  <si>
    <t>HairMaleDarkElf04,HairFemaleDarkElf08</t>
  </si>
  <si>
    <t>Vanilla - Sidecut Short</t>
  </si>
  <si>
    <t>Uvi_Wig_Spell_VHRU_SidecutShort</t>
  </si>
  <si>
    <t>Human_Female, Elf_Female, Elf_Male, Orc_Female, Orc_Male</t>
  </si>
  <si>
    <t>HairMaleNord20</t>
  </si>
  <si>
    <t>Vanilla - Sidecut Long</t>
  </si>
  <si>
    <t>Uvi_Wig_Spell_VHRU_SidecutLong</t>
  </si>
  <si>
    <t>Human_Female, Human_Male, Orc_Female, Orc_Male, Khajiit_Female, Khajiit_Male</t>
  </si>
  <si>
    <t>HairMaleNord06,HairFemaleNord06,HairFemaleElf05</t>
  </si>
  <si>
    <t>Vanilla - Slicked Back Long Side Braid</t>
  </si>
  <si>
    <t>Uvi_Wig_Spell_VHRU_SlickedBackLongSideBraid</t>
  </si>
  <si>
    <t>HairMaleNord14,HairMaleElf07</t>
  </si>
  <si>
    <t>Vanilla - Slicked Back Short</t>
  </si>
  <si>
    <t>Uvi_Wig_Spell_VHRU_SlickedBackShort</t>
  </si>
  <si>
    <t>Human_Female, Human_Male, Elf_Female, Orc_Female, Orc_Male</t>
  </si>
  <si>
    <t>HairMaleNord04,HairFemaleNord04</t>
  </si>
  <si>
    <t>Vanilla - Slicked Back Side Braids</t>
  </si>
  <si>
    <t>Uvi_Wig_Spell_VHRU_SlickedBackSideBraids</t>
  </si>
  <si>
    <t>Vanilla - Space Buns Loose</t>
  </si>
  <si>
    <t>Uvi_Wig_Spell_VHRU_SpaceBunsLoose</t>
  </si>
  <si>
    <t>HairFemaleDarkElf04</t>
  </si>
  <si>
    <t>Vanilla - Space Buns Tight</t>
  </si>
  <si>
    <t>Uvi_Wig_Spell_VHRU_SpaceBunsTight</t>
  </si>
  <si>
    <t>HairFemaleNord01,HairMaleNord01,HairFemaleElf01,HairMaleElf01</t>
  </si>
  <si>
    <t>Vanilla - Straight Long</t>
  </si>
  <si>
    <t>Uvi_Wig_Spell_VHRU_StraightLong</t>
  </si>
  <si>
    <t>HairFemaleNord02,HairMaleNord02,HairFemaleElf02,HairMaleElf02</t>
  </si>
  <si>
    <t>Vanilla - Straight Long Braid</t>
  </si>
  <si>
    <t>Uvi_Wig_Spell_VHRU_StraightLongBraid</t>
  </si>
  <si>
    <t>HairFemaleNord18,HairMaleNord18,HairFemaleElf08,HairMaleElf08,HairKhajiitMale08</t>
  </si>
  <si>
    <t>Vanilla - Straight Long Scraggly</t>
  </si>
  <si>
    <t>Uvi_Wig_Spell_VHRU_StraightLongScraggly</t>
  </si>
  <si>
    <t>HairFemaleNord07,HairMaleNord07,HairMaleElf04,HairFemaleElf06</t>
  </si>
  <si>
    <t>Vanilla - Straight Medium</t>
  </si>
  <si>
    <t>Uvi_Wig_Spell_VHRU_StraightMedium</t>
  </si>
  <si>
    <t>HairFemaleNord20,HairFemaleElf10</t>
  </si>
  <si>
    <t>Vanilla - Straight Behind Ears</t>
  </si>
  <si>
    <t>Uvi_Wig_Spell_VHRU_StraightBehindEars</t>
  </si>
  <si>
    <t>HairFemaleNord15,HairMaleNord15</t>
  </si>
  <si>
    <t>Vanilla - Straight Behind Left Ear</t>
  </si>
  <si>
    <t>Uvi_Wig_Spell_VHRU_StraightBehindLeftEar</t>
  </si>
  <si>
    <t>HairFemaleDarkElf05</t>
  </si>
  <si>
    <t>Vanilla - Straight Behind Right Ear</t>
  </si>
  <si>
    <t>Uvi_Wig_Spell_VHRU_StraightBehindRightEar</t>
  </si>
  <si>
    <t>Human_Female, Elf_Female, Elf_Male, Orc_Female</t>
  </si>
  <si>
    <t>HairFemaleNord08,HairMaleNord08,HairMaleElf05</t>
  </si>
  <si>
    <t>Vanilla - Top Tied Back Side Braids</t>
  </si>
  <si>
    <t>000661AD</t>
  </si>
  <si>
    <t>Adeber</t>
  </si>
  <si>
    <t>Uvi_Wig_Spell_VHRU_TopTiedBackSideBraids</t>
  </si>
  <si>
    <t>HairMaleNord07</t>
  </si>
  <si>
    <t>HairFemaleOrc14</t>
  </si>
  <si>
    <t>Vanilla - Undercut Ponytail Banded</t>
  </si>
  <si>
    <t>Uvi_Wig_Spell_VHRU_UndercutPonytailBanded</t>
  </si>
  <si>
    <t>HairMaleDarkElf03</t>
  </si>
  <si>
    <t>Vanilla - Undercut Ponytail High</t>
  </si>
  <si>
    <t>Uvi_Wig_Spell_VHRU_UndercutPonytailHigh</t>
  </si>
  <si>
    <t>HairMaleOrc17</t>
  </si>
  <si>
    <t>Vanilla - Undercut Ponytail Long</t>
  </si>
  <si>
    <t>Uvi_Wig_Spell_VHRU_UndercutPonytailLong</t>
  </si>
  <si>
    <t>HairMaleOrc16,HairFemaleOrc15</t>
  </si>
  <si>
    <t>Vanilla - Undercut Ponytail Medium</t>
  </si>
  <si>
    <t>Uvi_Wig_Spell_VHRU_UndercutPonytailMedium</t>
  </si>
  <si>
    <t>HairMaleDarkElf09</t>
  </si>
  <si>
    <t>Vanilla - Undercut Ponytail Receding</t>
  </si>
  <si>
    <t>Uvi_Wig_Spell_VHRU_UndercutPonytailReceding</t>
  </si>
  <si>
    <t>HairMaleOrc15</t>
  </si>
  <si>
    <t>Vanilla - Undercut Ponytail Short</t>
  </si>
  <si>
    <t>Uvi_Wig_Spell_VHRU_UndercutPonytailShort</t>
  </si>
  <si>
    <t>HairMaleDarkElf01,HairFemaleDarkElf01</t>
  </si>
  <si>
    <t>Vanilla - Widow's Peak Long</t>
  </si>
  <si>
    <t>Uvi_Wig_Spell_VHRU_WidowsPeakLong</t>
  </si>
  <si>
    <t>HairMaleDarkElf02</t>
  </si>
  <si>
    <t>Vanilla - Widow's Peak Medium</t>
  </si>
  <si>
    <t>Uvi_Wig_Spell_VHRU_WidowsPeakMedium</t>
  </si>
  <si>
    <t>Elf_Female, Elf_Male, Orc_Male</t>
  </si>
  <si>
    <t>HairMaleDarkElf08,HairFemaleDarkElf02</t>
  </si>
  <si>
    <t>Vanilla - Widow's Peak Short</t>
  </si>
  <si>
    <t>Uvi_Wig_Spell_VHRU_WidowsPeakShort</t>
  </si>
  <si>
    <t>Vanilla - Widow's Peak Windswept</t>
  </si>
  <si>
    <t>Uvi_Wig_Spell_VHRU_WidowsPeakWindswept</t>
  </si>
  <si>
    <t>Dint Hair Pack 02 - 1</t>
  </si>
  <si>
    <t>Uvi_Wig_Spell_Dint02_01</t>
  </si>
  <si>
    <t>Elf, Human, Orc</t>
  </si>
  <si>
    <t>0001411D</t>
  </si>
  <si>
    <t>Adelaisa</t>
  </si>
  <si>
    <t>Adelaisa Vendicci</t>
  </si>
  <si>
    <t>Dint Hair Pack 02 - 2</t>
  </si>
  <si>
    <t>Uvi_Wig_Spell_Dint02_02</t>
  </si>
  <si>
    <t>Dint Hair Pack 02 - 3</t>
  </si>
  <si>
    <t>Uvi_Wig_Spell_Dint02_03</t>
  </si>
  <si>
    <t>Male, Female</t>
  </si>
  <si>
    <t>Dint Hair Pack 02 - 3 Long</t>
  </si>
  <si>
    <t>Uvi_Wig_Spell_Dint02_03Long</t>
  </si>
  <si>
    <t>Dint Hair Pack 02 - 4</t>
  </si>
  <si>
    <t>Uvi_Wig_Spell_Dint02_04</t>
  </si>
  <si>
    <t>Dint Hair Pack 02 - 5</t>
  </si>
  <si>
    <t>Uvi_Wig_Spell_Dint02_05</t>
  </si>
  <si>
    <t>Dint Hair Pack 02 - 6</t>
  </si>
  <si>
    <t>Uvi_Wig_Spell_Dint02_06</t>
  </si>
  <si>
    <t>Dint Hair Pack 02 - 7</t>
  </si>
  <si>
    <t>Uvi_Wig_Spell_Dint02_07</t>
  </si>
  <si>
    <t>Dint Hair Pack 02 - 8</t>
  </si>
  <si>
    <t>Uvi_Wig_Spell_Dint02_08</t>
  </si>
  <si>
    <t>Dint Hair Pack 02 - 9</t>
  </si>
  <si>
    <t>Uvi_Wig_Spell_Dint02_09</t>
  </si>
  <si>
    <t>Dint Hair Pack 02 - 10</t>
  </si>
  <si>
    <t>Uvi_Wig_Spell_Dint02_10</t>
  </si>
  <si>
    <t>Dint Hair Pack 02 - 11</t>
  </si>
  <si>
    <t>Uvi_Wig_Spell_Dint02_11</t>
  </si>
  <si>
    <t>0001411E</t>
  </si>
  <si>
    <t>Adisla</t>
  </si>
  <si>
    <t>Dint Hair Pack 02 - 12</t>
  </si>
  <si>
    <t>Uvi_Wig_Spell_Dint02_12</t>
  </si>
  <si>
    <t>Dint Hair Pack 02 - 13</t>
  </si>
  <si>
    <t>Uvi_Wig_Spell_Dint02_13</t>
  </si>
  <si>
    <t>Dint Hair Pack 02 - 14</t>
  </si>
  <si>
    <t>Uvi_Wig_Spell_Dint02_14</t>
  </si>
  <si>
    <t>Dint Hair Pack 02 - 15</t>
  </si>
  <si>
    <t>Uvi_Wig_Spell_Dint02_15</t>
  </si>
  <si>
    <t>Dint Hair Pack 02 - 16</t>
  </si>
  <si>
    <t>Uvi_Wig_Spell_Dint02_16</t>
  </si>
  <si>
    <t>Dint Hair Pack 02 - 17</t>
  </si>
  <si>
    <t>Uvi_Wig_Spell_Dint02_17</t>
  </si>
  <si>
    <t>Dint Hair Pack 02 - 18A</t>
  </si>
  <si>
    <t>Uvi_Wig_Spell_Dint02_18A</t>
  </si>
  <si>
    <t>Dint Hair Pack 02 - 18B</t>
  </si>
  <si>
    <t>Uvi_Wig_Spell_Dint02_18B</t>
  </si>
  <si>
    <t>Dint Hair Pack 02 - 18C</t>
  </si>
  <si>
    <t>Uvi_Wig_Spell_Dint02_18C</t>
  </si>
  <si>
    <t>0001413C</t>
  </si>
  <si>
    <t>AdonatoLeotelli</t>
  </si>
  <si>
    <t>Dint Hair Pack 02 - 19</t>
  </si>
  <si>
    <t>Adonato Leotelli</t>
  </si>
  <si>
    <t>Uvi_Wig_Spell_Dint02_19</t>
  </si>
  <si>
    <t>Dint Hair Pack 02 - 20</t>
  </si>
  <si>
    <t>Uvi_Wig_Spell_Dint02_20</t>
  </si>
  <si>
    <t>Dint Hair Pack 02 - 21</t>
  </si>
  <si>
    <t>Uvi_Wig_Spell_Dint02_21</t>
  </si>
  <si>
    <t>Dint Hair Pack 02 - 22</t>
  </si>
  <si>
    <t>Uvi_Wig_Spell_Dint02_22</t>
  </si>
  <si>
    <t>Dint Hair Pack 02 - 23</t>
  </si>
  <si>
    <t>Uvi_Wig_Spell_Dint02_23</t>
  </si>
  <si>
    <t>Dint Hair Pack 02 - 24</t>
  </si>
  <si>
    <t>Uvi_Wig_Spell_Dint02_24</t>
  </si>
  <si>
    <t>Dint Hair Pack 02 - 25</t>
  </si>
  <si>
    <t>Uvi_Wig_Spell_Dint02_25</t>
  </si>
  <si>
    <t>Dint Hair Pack 02 - 26</t>
  </si>
  <si>
    <t>Uvi_Wig_Spell_Dint02_26</t>
  </si>
  <si>
    <t>Dint Hair Pack 02 - 27</t>
  </si>
  <si>
    <t>Uvi_Wig_Spell_Dint02_27</t>
  </si>
  <si>
    <t>Dint Hair Pack 02 - 28</t>
  </si>
  <si>
    <t>Uvi_Wig_Spell_Dint02_28</t>
  </si>
  <si>
    <t>00013BB9</t>
  </si>
  <si>
    <t>AdrianneAvenicci</t>
  </si>
  <si>
    <t>Adrianne Avenicci</t>
  </si>
  <si>
    <t>Dint Hair Pack 02 - 29</t>
  </si>
  <si>
    <t>Uvi_Wig_Spell_Dint02_29</t>
  </si>
  <si>
    <t>Dint Hair Pack 02 - 30</t>
  </si>
  <si>
    <t>Uvi_Wig_Spell_Dint02_30</t>
  </si>
  <si>
    <t>Dint Hair Pack 02 - 31</t>
  </si>
  <si>
    <t>Uvi_Wig_Spell_Dint02_31</t>
  </si>
  <si>
    <t>Dint Hair Pack 02 - 32</t>
  </si>
  <si>
    <t>Uvi_Wig_Spell_Dint02_32</t>
  </si>
  <si>
    <t>Dint Hair Pack 02 - 33</t>
  </si>
  <si>
    <t>Uvi_Wig_Spell_Dint02_33</t>
  </si>
  <si>
    <t>Dint Hair Pack 02 - 34</t>
  </si>
  <si>
    <t>Uvi_Wig_Spell_Dint02_34</t>
  </si>
  <si>
    <t>Dint Hair Pack 02 - 35</t>
  </si>
  <si>
    <t>Uvi_Wig_Spell_Dint02_35</t>
  </si>
  <si>
    <t>Fuse Hairstyles</t>
  </si>
  <si>
    <t>Fuse Hairstyles - Aldo</t>
  </si>
  <si>
    <t>Uvi_Wig_Spell_Fuse_Aldo</t>
  </si>
  <si>
    <t>Elf, Human, Orc, Khajiit</t>
  </si>
  <si>
    <t>Khajiit:Fuse_Collection_Khajiit</t>
  </si>
  <si>
    <t>Fuse Hairstyles - Alucard</t>
  </si>
  <si>
    <t>Uvi_Wig_Spell_Fuse_Alucard</t>
  </si>
  <si>
    <t>Fuse Hairstyles - Amber</t>
  </si>
  <si>
    <t>Uvi_Wig_Spell_Fuse_Amber</t>
  </si>
  <si>
    <t>02018280</t>
  </si>
  <si>
    <t>DLC2RRAdrilArano</t>
  </si>
  <si>
    <t>Adril Arano</t>
  </si>
  <si>
    <t>Fuse Hairstyles - Astri</t>
  </si>
  <si>
    <t>Uvi_Wig_Spell_Fuse_Astri</t>
  </si>
  <si>
    <t>Fuse Hairstyles - Dreads</t>
  </si>
  <si>
    <t>Uvi_Wig_Spell_Fuse_Dreads</t>
  </si>
  <si>
    <t>Fuse Hairstyles - Freyja</t>
  </si>
  <si>
    <t>Uvi_Wig_Spell_Fuse_Freyja</t>
  </si>
  <si>
    <t>Fuse Hairstyles - Hilda</t>
  </si>
  <si>
    <t>Uvi_Wig_Spell_Fuse_Hilda</t>
  </si>
  <si>
    <t>Fuse Hairstyles - King</t>
  </si>
  <si>
    <t>Uvi_Wig_Spell_Fuse_King</t>
  </si>
  <si>
    <t>Fuse Hairstyles - Lagertha</t>
  </si>
  <si>
    <t>Uvi_Wig_Spell_Fuse_Lagertha</t>
  </si>
  <si>
    <t>Fuse Hairstyles - Marco</t>
  </si>
  <si>
    <t>Uvi_Wig_Spell_Fuse_Marco</t>
  </si>
  <si>
    <t>Fuse Hairstyles - P</t>
  </si>
  <si>
    <t>Uvi_Wig_Spell_Fuse_P</t>
  </si>
  <si>
    <t>00019BFF</t>
  </si>
  <si>
    <t>AduriSarethi</t>
  </si>
  <si>
    <t>Aduri Sarethi</t>
  </si>
  <si>
    <t>Fuse Hairstyles - Siren</t>
  </si>
  <si>
    <t>Uvi_Wig_Spell_Fuse_Siren</t>
  </si>
  <si>
    <t>Fuse Hairstyles - Shar</t>
  </si>
  <si>
    <t>Uvi_Wig_Spell_Fuse_Shar</t>
  </si>
  <si>
    <t>Fuse Hairstyles - Tauriel</t>
  </si>
  <si>
    <t>Uvi_Wig_Spell_Fuse_Tauriel</t>
  </si>
  <si>
    <t>Fuse Hairstyles - Yen</t>
  </si>
  <si>
    <t>Uvi_Wig_Spell_Fuse_Yen</t>
  </si>
  <si>
    <t>Fuse Valkyr 1</t>
  </si>
  <si>
    <t>Fuse Valkyr 1 - Bellatrix</t>
  </si>
  <si>
    <t>Uvi_Wig_Spell_Valkyr_Bella</t>
  </si>
  <si>
    <t>Khajiit:Fuse_Valkyr_Khajiit</t>
  </si>
  <si>
    <t>Fuse Valkyr 1 - Eiraan</t>
  </si>
  <si>
    <t>Uvi_Wig_Spell_Valkyr_Eiraan</t>
  </si>
  <si>
    <t>Fuse Valkyr 1 - Ellie</t>
  </si>
  <si>
    <t>Uvi_Wig_Spell_Valkyr_Ellie</t>
  </si>
  <si>
    <t>Fuse Valkyr 1 - Neo Dante</t>
  </si>
  <si>
    <t>Uvi_Wig_Spell_Valkyr_NDante</t>
  </si>
  <si>
    <t>Fuse Valkyr 1 - Roxy</t>
  </si>
  <si>
    <t>Uvi_Wig_Spell_Valkyr_Roxy</t>
  </si>
  <si>
    <t>020146DC</t>
  </si>
  <si>
    <t>DLC1ArkngthamzAdventurer</t>
  </si>
  <si>
    <t>Adventurer</t>
  </si>
  <si>
    <t>HairMaleNord06</t>
  </si>
  <si>
    <t>Fuse Valkyr 1 - Yasha</t>
  </si>
  <si>
    <t>Uvi_Wig_Spell_Valkyr_Yasha</t>
  </si>
  <si>
    <t>Fuse Valkyr 2</t>
  </si>
  <si>
    <t>Fuse Valkyr 2 - Classic Dante</t>
  </si>
  <si>
    <t>Uvi_Wig_Spell_Valkyr_CDante</t>
  </si>
  <si>
    <t>Fuse Valkyr 2 - Danaerys</t>
  </si>
  <si>
    <t>Uvi_Wig_Spell_Valkyr_Dany</t>
  </si>
  <si>
    <t>Fuse Valkyr 2 - Ghost</t>
  </si>
  <si>
    <t>Uvi_Wig_Spell_Valkyr_Ghost</t>
  </si>
  <si>
    <t>Koralina's Collection 1</t>
  </si>
  <si>
    <t>Koralina - Bae</t>
  </si>
  <si>
    <t>Uvi_Wig_Spell_CK1_Bae</t>
  </si>
  <si>
    <t>Koralina - Wendy</t>
  </si>
  <si>
    <t>Uvi_Wig_Spell_CK1_Wendy</t>
  </si>
  <si>
    <t>Koralina - WolfCut</t>
  </si>
  <si>
    <t>Uvi_Wig_Spell_CK1_WolfCut</t>
  </si>
  <si>
    <t>Koralina's Collection 2</t>
  </si>
  <si>
    <t>Koralina - Aisha</t>
  </si>
  <si>
    <t>Uvi_Wig_Spell_CK2_Aisha</t>
  </si>
  <si>
    <t>Koralina - Siggy</t>
  </si>
  <si>
    <t>Uvi_Wig_Spell_CK2_Siggy</t>
  </si>
  <si>
    <t>020146D7</t>
  </si>
  <si>
    <t>DLC1LD_BookCorpse1</t>
  </si>
  <si>
    <t>Koralina - Wolf_01</t>
  </si>
  <si>
    <t>Uvi_Wig_Spell_CK2_Wolf_01</t>
  </si>
  <si>
    <t>Koralina - Wolf_02</t>
  </si>
  <si>
    <t>Uvi_Wig_Spell_CK2_Wolf_02</t>
  </si>
  <si>
    <t>KS Hairdos - HDT SMP</t>
  </si>
  <si>
    <t>KS SMP - Amor</t>
  </si>
  <si>
    <t>Uvi_Wig_Spell_KS_Amor</t>
  </si>
  <si>
    <t>Khajiit:KS_SMP_Khajiit</t>
  </si>
  <si>
    <t>KS SMP - Anchor</t>
  </si>
  <si>
    <t>Uvi_Wig_Spell_KS_Anchor</t>
  </si>
  <si>
    <t>KS SMP - Angelic</t>
  </si>
  <si>
    <t>Uvi_Wig_Spell_KS_Angelic</t>
  </si>
  <si>
    <t>KS SMP - Angels</t>
  </si>
  <si>
    <t>Uvi_Wig_Spell_KS_Angels</t>
  </si>
  <si>
    <t>KS SMP - Anna</t>
  </si>
  <si>
    <t>Uvi_Wig_Spell_KS_Anna</t>
  </si>
  <si>
    <t>KS SMP - Anto92</t>
  </si>
  <si>
    <t>Uvi_Wig_Spell_KS_Anto92</t>
  </si>
  <si>
    <t>KS SMP - Aroma</t>
  </si>
  <si>
    <t>Uvi_Wig_Spell_KS_Aroma</t>
  </si>
  <si>
    <t>0200CFBD</t>
  </si>
  <si>
    <t>DLC1LD_BookCorpse2</t>
  </si>
  <si>
    <t>KS SMP - Babydoll</t>
  </si>
  <si>
    <t>Uvi_Wig_Spell_KS_Babydoll</t>
  </si>
  <si>
    <t>KS SMP - Babydoll (Band)</t>
  </si>
  <si>
    <t>Uvi_Wig_Spell_KS_BabydollBand</t>
  </si>
  <si>
    <t>KS SMP - Bluebird</t>
  </si>
  <si>
    <t>Uvi_Wig_Spell_KS_Bluebird</t>
  </si>
  <si>
    <t>KS SMP - Cambrian</t>
  </si>
  <si>
    <t>Uvi_Wig_Spell_KS_Cambrian</t>
  </si>
  <si>
    <t>KS SMP - Caress</t>
  </si>
  <si>
    <t>Uvi_Wig_Spell_KS_Caress</t>
  </si>
  <si>
    <t>KS SMP - Cassy</t>
  </si>
  <si>
    <t>Uvi_Wig_Spell_KS_Cassy</t>
  </si>
  <si>
    <t>KS SMP - Cerigo</t>
  </si>
  <si>
    <t>Uvi_Wig_Spell_KS_Cerigo</t>
  </si>
  <si>
    <t>KS SMP - Cliche</t>
  </si>
  <si>
    <t>Uvi_Wig_Spell_KS_Cliche</t>
  </si>
  <si>
    <t>KS SMP - Cola</t>
  </si>
  <si>
    <t>Uvi_Wig_Spell_KS_Cola</t>
  </si>
  <si>
    <t>02018D93</t>
  </si>
  <si>
    <t>DLC2dunGyldenhulAdventurer</t>
  </si>
  <si>
    <t>KS SMP - Crazy Love</t>
  </si>
  <si>
    <t>HairMaleNord04</t>
  </si>
  <si>
    <t>Uvi_Wig_Spell_KS_CrazyLove</t>
  </si>
  <si>
    <t>KS SMP - Crescent</t>
  </si>
  <si>
    <t>Uvi_Wig_Spell_KS_Crescent</t>
  </si>
  <si>
    <t>KS SMP - Desirae</t>
  </si>
  <si>
    <t>Uvi_Wig_Spell_KS_Desirae</t>
  </si>
  <si>
    <t>KS SMP - Desperate</t>
  </si>
  <si>
    <t>Uvi_Wig_Spell_KS_Desperate</t>
  </si>
  <si>
    <t>KS SMP - Didar</t>
  </si>
  <si>
    <t>Uvi_Wig_Spell_KS_Didar</t>
  </si>
  <si>
    <t>KS SMP - Dollmaker</t>
  </si>
  <si>
    <t>Uvi_Wig_Spell_KS_Dollmaker</t>
  </si>
  <si>
    <t>KS SMP - Erena</t>
  </si>
  <si>
    <t>Uvi_Wig_Spell_KS_Erena</t>
  </si>
  <si>
    <t>KS SMP - Foam Summer</t>
  </si>
  <si>
    <t>Uvi_Wig_Spell_KS_FoamSummer</t>
  </si>
  <si>
    <t>00074BC0</t>
  </si>
  <si>
    <t>dunChillwindAdventurer01</t>
  </si>
  <si>
    <t>KS SMP - Fontana Di Trevi</t>
  </si>
  <si>
    <t>Uvi_Wig_Spell_KS_FontanaDiTrevi</t>
  </si>
  <si>
    <t>KS SMP - Freesia</t>
  </si>
  <si>
    <t>Uvi_Wig_Spell_KS_Freesia</t>
  </si>
  <si>
    <t>KS SMP - Galaxy</t>
  </si>
  <si>
    <t>Uvi_Wig_Spell_KS_Galaxy</t>
  </si>
  <si>
    <t>KS SMP - Gecko</t>
  </si>
  <si>
    <t>Uvi_Wig_Spell_KS_Gecko</t>
  </si>
  <si>
    <t>KS SMP - Harvest</t>
  </si>
  <si>
    <t>Uvi_Wig_Spell_KS_Harvest</t>
  </si>
  <si>
    <t>KS SMP - High Life</t>
  </si>
  <si>
    <t>Uvi_Wig_Spell_KS_HighLife</t>
  </si>
  <si>
    <t>KS SMP - Himiko</t>
  </si>
  <si>
    <t>Uvi_Wig_Spell_KS_Himiko</t>
  </si>
  <si>
    <t>KS SMP - Honey</t>
  </si>
  <si>
    <t>Uvi_Wig_Spell_KS_Honey</t>
  </si>
  <si>
    <t>KS SMP - Honeyed</t>
  </si>
  <si>
    <t>Uvi_Wig_Spell_KS_Honeyed</t>
  </si>
  <si>
    <t>KS SMP - Icarus</t>
  </si>
  <si>
    <t>Uvi_Wig_Spell_KS_Icarus</t>
  </si>
  <si>
    <t>00083279</t>
  </si>
  <si>
    <t>dunChillwindAdventurer02</t>
  </si>
  <si>
    <t>KS SMP - Jackdaw</t>
  </si>
  <si>
    <t>Uvi_Wig_Spell_KS_Jackdaw</t>
  </si>
  <si>
    <t>KS SMP - Kaysa</t>
  </si>
  <si>
    <t>Uvi_Wig_Spell_KS_Kaysa</t>
  </si>
  <si>
    <t>KS SMP - Kerli</t>
  </si>
  <si>
    <t>Uvi_Wig_Spell_KS_Kerli</t>
  </si>
  <si>
    <t>KS SMP - Kikyo</t>
  </si>
  <si>
    <t>Uvi_Wig_Spell_KS_Kikyo</t>
  </si>
  <si>
    <t>KS SMP - Koala</t>
  </si>
  <si>
    <t>Uvi_Wig_Spell_KS_Koala</t>
  </si>
  <si>
    <t>KS SMP - Lavender</t>
  </si>
  <si>
    <t>Uvi_Wig_Spell_KS_Lavender</t>
  </si>
  <si>
    <t>KS SMP - Lime</t>
  </si>
  <si>
    <t>Uvi_Wig_Spell_KS_Lime</t>
  </si>
  <si>
    <t>KS SMP - Lotus</t>
  </si>
  <si>
    <t>Uvi_Wig_Spell_KS_Lotus</t>
  </si>
  <si>
    <t>KS SMP - Mellow</t>
  </si>
  <si>
    <t>Uvi_Wig_Spell_KS_Mellow</t>
  </si>
  <si>
    <t>000A4CB5</t>
  </si>
  <si>
    <t>dunDeepwoodAdventurer1</t>
  </si>
  <si>
    <t>KS SMP - Metropolis</t>
  </si>
  <si>
    <t>Uvi_Wig_Spell_KS_Metropolis</t>
  </si>
  <si>
    <t>KS SMP - Metropolis 2</t>
  </si>
  <si>
    <t>Uvi_Wig_Spell_KS_Metropolis2</t>
  </si>
  <si>
    <t>KS SMP - Milliet</t>
  </si>
  <si>
    <t>Uvi_Wig_Spell_KS_Milliet</t>
  </si>
  <si>
    <t>KS SMP - Moonrise</t>
  </si>
  <si>
    <t>Uvi_Wig_Spell_KS_Moonrise</t>
  </si>
  <si>
    <t>KS SMP - Ominous</t>
  </si>
  <si>
    <t>Uvi_Wig_Spell_KS_Ominous</t>
  </si>
  <si>
    <t>KS SMP - Ominous (Lace)</t>
  </si>
  <si>
    <t>Uvi_Wig_Spell_KS_OminousLace</t>
  </si>
  <si>
    <t>KS SMP - Only You</t>
  </si>
  <si>
    <t>Uvi_Wig_Spell_KS_OnlyYou</t>
  </si>
  <si>
    <t>KS SMP - Only You (No Lace)</t>
  </si>
  <si>
    <t>Uvi_Wig_Spell_KS_OnlyYouNoLace</t>
  </si>
  <si>
    <t>KS SMP - Paraguay</t>
  </si>
  <si>
    <t>Uvi_Wig_Spell_KS_Paraguay</t>
  </si>
  <si>
    <t>KS SMP - Princess</t>
  </si>
  <si>
    <t>000860C3</t>
  </si>
  <si>
    <t>dunFolgunthurAdventurer1</t>
  </si>
  <si>
    <t>Uvi_Wig_Spell_KS_Princess</t>
  </si>
  <si>
    <t>KS SMP - Rosette</t>
  </si>
  <si>
    <t>Uvi_Wig_Spell_KS_Rosette</t>
  </si>
  <si>
    <t>KS SMP - Rosette (Roses)</t>
  </si>
  <si>
    <t>Uvi_Wig_Spell_KS_RosetteRoses</t>
  </si>
  <si>
    <t>KS SMP - Rosi Cloud</t>
  </si>
  <si>
    <t>Uvi_Wig_Spell_KS_RosiCloud</t>
  </si>
  <si>
    <t>KS SMP - Runaway</t>
  </si>
  <si>
    <t>Uvi_Wig_Spell_KS_Runaway</t>
  </si>
  <si>
    <t>KS SMP - Scarlet</t>
  </si>
  <si>
    <t>Uvi_Wig_Spell_KS_Scarlet</t>
  </si>
  <si>
    <t>KS SMP - Searching</t>
  </si>
  <si>
    <t>Uvi_Wig_Spell_KS_Searching</t>
  </si>
  <si>
    <t>KS SMP - Silent Lips</t>
  </si>
  <si>
    <t>Uvi_Wig_Spell_KS_SilentLips</t>
  </si>
  <si>
    <t>KS SMP - Sky 022</t>
  </si>
  <si>
    <t>Uvi_Wig_Spell_KS_Sky022</t>
  </si>
  <si>
    <t>000860C4</t>
  </si>
  <si>
    <t>dunFolgunthurAdventurer2</t>
  </si>
  <si>
    <t>HairFemaleNord08</t>
  </si>
  <si>
    <t>KS SMP - Sky 047</t>
  </si>
  <si>
    <t>Uvi_Wig_Spell_KS_Sky047</t>
  </si>
  <si>
    <t>KS SMP - Sky 097</t>
  </si>
  <si>
    <t>Uvi_Wig_Spell_KS_Sky097</t>
  </si>
  <si>
    <t>KS SMP - Sky 146</t>
  </si>
  <si>
    <t>Uvi_Wig_Spell_KS_Sky146</t>
  </si>
  <si>
    <t>KS SMP - Sky 176</t>
  </si>
  <si>
    <t>Uvi_Wig_Spell_KS_Sky176</t>
  </si>
  <si>
    <t>KS SMP - Sky 179</t>
  </si>
  <si>
    <t>Uvi_Wig_Spell_KS_Sky179</t>
  </si>
  <si>
    <t>KS SMP - Sky 188</t>
  </si>
  <si>
    <t>Uvi_Wig_Spell_KS_Sky188</t>
  </si>
  <si>
    <t>KS SMP - Sky 190</t>
  </si>
  <si>
    <t>Uvi_Wig_Spell_KS_Sky190</t>
  </si>
  <si>
    <t>KS SMP - Sky 201</t>
  </si>
  <si>
    <t>Uvi_Wig_Spell_KS_Sky201</t>
  </si>
  <si>
    <t>KS SMP - Sky 208</t>
  </si>
  <si>
    <t>Uvi_Wig_Spell_KS_Sky208</t>
  </si>
  <si>
    <t>KS SMP - Sky 218</t>
  </si>
  <si>
    <t>Uvi_Wig_Spell_KS_Sky218</t>
  </si>
  <si>
    <t>000860C5</t>
  </si>
  <si>
    <t>dunFolgunthurAdventurer3</t>
  </si>
  <si>
    <t>KS SMP - Sky 239</t>
  </si>
  <si>
    <t>Uvi_Wig_Spell_KS_Sky239</t>
  </si>
  <si>
    <t>KS SMP - Sky 250</t>
  </si>
  <si>
    <t>Uvi_Wig_Spell_KS_Sky250</t>
  </si>
  <si>
    <t>KS SMP - Sky6063</t>
  </si>
  <si>
    <t>Uvi_Wig_Spell_KS_Sky6063</t>
  </si>
  <si>
    <t>KS SMP - Slowly</t>
  </si>
  <si>
    <t>Uvi_Wig_Spell_KS_Slowly</t>
  </si>
  <si>
    <t>KS SMP - Snow</t>
  </si>
  <si>
    <t>Uvi_Wig_Spell_KS_Snow</t>
  </si>
  <si>
    <t>KS SMP - Sparklers</t>
  </si>
  <si>
    <t>Uvi_Wig_Spell_KS_Sparklers</t>
  </si>
  <si>
    <t>KS SMP - Spring</t>
  </si>
  <si>
    <t>Uvi_Wig_Spell_KS_Spring</t>
  </si>
  <si>
    <t>KS SMP - Starlet</t>
  </si>
  <si>
    <t>Uvi_Wig_Spell_KS_Starlet</t>
  </si>
  <si>
    <t>KS SMP - Stay Awake</t>
  </si>
  <si>
    <t>Uvi_Wig_Spell_KS_StayAwake</t>
  </si>
  <si>
    <t>000860C7</t>
  </si>
  <si>
    <t>dunFolgunthurAdventurer4</t>
  </si>
  <si>
    <t>HairFemaleNord06</t>
  </si>
  <si>
    <t>KS SMP - Steammist</t>
  </si>
  <si>
    <t>Uvi_Wig_Spell_KS_Steammist</t>
  </si>
  <si>
    <t>KS SMP - Studio</t>
  </si>
  <si>
    <t>Uvi_Wig_Spell_KS_Studio</t>
  </si>
  <si>
    <t>KS SMP - Summer Haze</t>
  </si>
  <si>
    <t>Uvi_Wig_Spell_KS_SummerHaze</t>
  </si>
  <si>
    <t>KS SMP - Sweet Escape</t>
  </si>
  <si>
    <t>Uvi_Wig_Spell_KS_SweetEscape</t>
  </si>
  <si>
    <t>KS SMP - Sweet Scar</t>
  </si>
  <si>
    <t>Uvi_Wig_Spell_KS_SweetScar</t>
  </si>
  <si>
    <t>KS SMP - Sweet Scar 2</t>
  </si>
  <si>
    <t>Uvi_Wig_Spell_KS_SweetScar2</t>
  </si>
  <si>
    <t>KS SMP - Sweet Villain</t>
  </si>
  <si>
    <t>Uvi_Wig_Spell_KS_SweetVillain</t>
  </si>
  <si>
    <t>KS SMP - Tell Me</t>
  </si>
  <si>
    <t>Uvi_Wig_Spell_KS_TellMe</t>
  </si>
  <si>
    <t>KS SMP - Tonight</t>
  </si>
  <si>
    <t>000860C6</t>
  </si>
  <si>
    <t>dunFolgunthurAdventurer5</t>
  </si>
  <si>
    <t>Uvi_Wig_Spell_KS_Tonight</t>
  </si>
  <si>
    <t>KS SMP - Top Gorgeous</t>
  </si>
  <si>
    <t>Uvi_Wig_Spell_KS_TopGorgeous</t>
  </si>
  <si>
    <t>KS SMP - Traveler</t>
  </si>
  <si>
    <t>Uvi_Wig_Spell_KS_Traveler</t>
  </si>
  <si>
    <t>KS SMP - Vapor</t>
  </si>
  <si>
    <t>Uvi_Wig_Spell_KS_Vapor</t>
  </si>
  <si>
    <t>KS SMP - Veneris</t>
  </si>
  <si>
    <t>Uvi_Wig_Spell_KS_Veneris</t>
  </si>
  <si>
    <t>KS SMP - Vice City</t>
  </si>
  <si>
    <t>Uvi_Wig_Spell_KS_ViceCity</t>
  </si>
  <si>
    <t>KS SMP - Vivacity</t>
  </si>
  <si>
    <t>Uvi_Wig_Spell_KS_Vivacity</t>
  </si>
  <si>
    <t>KS SMP - Wine</t>
  </si>
  <si>
    <t>Uvi_Wig_Spell_KS_Wine</t>
  </si>
  <si>
    <t>KS SMP - XOXO</t>
  </si>
  <si>
    <t>Uvi_Wig_Spell_KS_XOXO</t>
  </si>
  <si>
    <t>000ED575</t>
  </si>
  <si>
    <t>dunReachwaterRockAdventurer</t>
  </si>
  <si>
    <t>KS SMP - Youth</t>
  </si>
  <si>
    <t>Uvi_Wig_Spell_KS_Youth</t>
  </si>
  <si>
    <t>KS SMP - Zoella</t>
  </si>
  <si>
    <t>Uvi_Wig_Spell_KS_Zoella</t>
  </si>
  <si>
    <t>Modular SMP Hair</t>
  </si>
  <si>
    <t>Modular SMP Hair - Dove</t>
  </si>
  <si>
    <t>Uvi_Wig_Spell_Evg_Dove</t>
  </si>
  <si>
    <t>Mod_SMP_Hair,Mod_SMP_Wig</t>
  </si>
  <si>
    <t>Modular SMP Hair - Eventually</t>
  </si>
  <si>
    <t>Uvi_Wig_Spell_Evg_Eventually</t>
  </si>
  <si>
    <t>Modular SMP Hair - Intensity</t>
  </si>
  <si>
    <t>Uvi_Wig_Spell_Evg_Intensity</t>
  </si>
  <si>
    <t>Modular SMP Hair - Oracle</t>
  </si>
  <si>
    <t>Uvi_Wig_Spell_Evg_Oracle</t>
  </si>
  <si>
    <t>Modular SMP Hair - Rogueish</t>
  </si>
  <si>
    <t>Uvi_Wig_Spell_Evg_Rogueish</t>
  </si>
  <si>
    <t>Modular SMP Hair - Scryer</t>
  </si>
  <si>
    <t>Uvi_Wig_Spell_Evg_Scryer</t>
  </si>
  <si>
    <t>000C176B</t>
  </si>
  <si>
    <t>Modular SMP Hair - A</t>
  </si>
  <si>
    <t>dunRebelsCairnAdventurer</t>
  </si>
  <si>
    <t>Uvi_Wig_Spell_Evg_A</t>
  </si>
  <si>
    <t>Modular SMP Hair - AA</t>
  </si>
  <si>
    <t>Uvi_Wig_Spell_Evg_A-A</t>
  </si>
  <si>
    <t>Modular SMP Hair - AB</t>
  </si>
  <si>
    <t>Uvi_Wig_Spell_Evg_A-B</t>
  </si>
  <si>
    <t>Modular SMP Hair - AC</t>
  </si>
  <si>
    <t>Uvi_Wig_Spell_Evg_A-C</t>
  </si>
  <si>
    <t>Modular SMP Hair - AD</t>
  </si>
  <si>
    <t>Uvi_Wig_Spell_Evg_A-D</t>
  </si>
  <si>
    <t>Modular SMP Hair - AE</t>
  </si>
  <si>
    <t>Uvi_Wig_Spell_Evg_A-E</t>
  </si>
  <si>
    <t>Modular SMP Hair - AF</t>
  </si>
  <si>
    <t>Uvi_Wig_Spell_Evg_A-F</t>
  </si>
  <si>
    <t>Modular SMP Hair - AG</t>
  </si>
  <si>
    <t>Uvi_Wig_Spell_Evg_A-G</t>
  </si>
  <si>
    <t>Modular SMP Hair - AI</t>
  </si>
  <si>
    <t>Uvi_Wig_Spell_Evg_A-I</t>
  </si>
  <si>
    <t>Modular SMP Hair - AJ</t>
  </si>
  <si>
    <t>Uvi_Wig_Spell_Evg_A-J</t>
  </si>
  <si>
    <t>Modular SMP Hair - AK</t>
  </si>
  <si>
    <t>Uvi_Wig_Spell_Evg_A-K</t>
  </si>
  <si>
    <t>Modular SMP Hair - AL</t>
  </si>
  <si>
    <t>Uvi_Wig_Spell_Evg_A-L</t>
  </si>
  <si>
    <t>000E4D2D</t>
  </si>
  <si>
    <t>dunSkybornAltarAdventurer</t>
  </si>
  <si>
    <t>HairMaleNord12</t>
  </si>
  <si>
    <t>Modular SMP Hair - AM1</t>
  </si>
  <si>
    <t>Uvi_Wig_Spell_Evg_A-M1</t>
  </si>
  <si>
    <t>Modular SMP Hair - AM2</t>
  </si>
  <si>
    <t>Uvi_Wig_Spell_Evg_A-M2</t>
  </si>
  <si>
    <t>Modular SMP Hair - B</t>
  </si>
  <si>
    <t>Uvi_Wig_Spell_Evg_B</t>
  </si>
  <si>
    <t>Modular SMP Hair - BA</t>
  </si>
  <si>
    <t>Uvi_Wig_Spell_Evg_B-A</t>
  </si>
  <si>
    <t>Modular SMP Hair - BB</t>
  </si>
  <si>
    <t>Uvi_Wig_Spell_Evg_B-B</t>
  </si>
  <si>
    <t>Modular SMP Hair - BC</t>
  </si>
  <si>
    <t>Uvi_Wig_Spell_Evg_B-C</t>
  </si>
  <si>
    <t>Modular SMP Hair - BD</t>
  </si>
  <si>
    <t>Uvi_Wig_Spell_Evg_B-D</t>
  </si>
  <si>
    <t>Modular SMP Hair - BE</t>
  </si>
  <si>
    <t>Uvi_Wig_Spell_Evg_B-E</t>
  </si>
  <si>
    <t>Modular SMP Hair - BF</t>
  </si>
  <si>
    <t>Uvi_Wig_Spell_Evg_B-F</t>
  </si>
  <si>
    <t>Modular SMP Hair - BG</t>
  </si>
  <si>
    <t>Uvi_Wig_Spell_Evg_B-G</t>
  </si>
  <si>
    <t>Modular SMP Hair - BI</t>
  </si>
  <si>
    <t>Uvi_Wig_Spell_Evg_B-I</t>
  </si>
  <si>
    <t>0010553F</t>
  </si>
  <si>
    <t>WEAdventurerTemplate</t>
  </si>
  <si>
    <t>Modular SMP Hair - BJ</t>
  </si>
  <si>
    <t>Uvi_Wig_Spell_Evg_B-J</t>
  </si>
  <si>
    <t>Modular SMP Hair - BK</t>
  </si>
  <si>
    <t>Uvi_Wig_Spell_Evg_B-K</t>
  </si>
  <si>
    <t>Modular SMP Hair - BL</t>
  </si>
  <si>
    <t>Uvi_Wig_Spell_Evg_B-L</t>
  </si>
  <si>
    <t>Modular SMP Hair - BM1</t>
  </si>
  <si>
    <t>Uvi_Wig_Spell_Evg_B-M1</t>
  </si>
  <si>
    <t>Modular SMP Hair - BM2</t>
  </si>
  <si>
    <t>Uvi_Wig_Spell_Evg_B-M2</t>
  </si>
  <si>
    <t>Modular SMP Hair - C</t>
  </si>
  <si>
    <t>Uvi_Wig_Spell_Evg_C</t>
  </si>
  <si>
    <t>Modular SMP Hair - CA</t>
  </si>
  <si>
    <t>Uvi_Wig_Spell_Evg_C-A</t>
  </si>
  <si>
    <t>Modular SMP Hair - CB</t>
  </si>
  <si>
    <t>Uvi_Wig_Spell_Evg_C-B</t>
  </si>
  <si>
    <t>Modular SMP Hair - CC</t>
  </si>
  <si>
    <t>Uvi_Wig_Spell_Evg_C-C</t>
  </si>
  <si>
    <t>Modular SMP Hair - CD</t>
  </si>
  <si>
    <t>Uvi_Wig_Spell_Evg_C-D</t>
  </si>
  <si>
    <t>Modular SMP Hair - CE</t>
  </si>
  <si>
    <t>Uvi_Wig_Spell_Evg_C-E</t>
  </si>
  <si>
    <t>0001A696</t>
  </si>
  <si>
    <t>AelaTheHuntress</t>
  </si>
  <si>
    <t>Aela the Huntress</t>
  </si>
  <si>
    <t>Modular SMP Hair - CF</t>
  </si>
  <si>
    <t>HairFemaleNord18</t>
  </si>
  <si>
    <t>Uvi_Wig_Spell_Evg_C-F</t>
  </si>
  <si>
    <t>Modular SMP Hair - CG</t>
  </si>
  <si>
    <t>Uvi_Wig_Spell_Evg_C-G</t>
  </si>
  <si>
    <t>Modular SMP Hair - CI</t>
  </si>
  <si>
    <t>Uvi_Wig_Spell_Evg_C-I</t>
  </si>
  <si>
    <t>Modular SMP Hair - CJ</t>
  </si>
  <si>
    <t>Uvi_Wig_Spell_Evg_C-J</t>
  </si>
  <si>
    <t>Modular SMP Hair - CK</t>
  </si>
  <si>
    <t>Uvi_Wig_Spell_Evg_C-K</t>
  </si>
  <si>
    <t>Modular SMP Hair - CL</t>
  </si>
  <si>
    <t>Uvi_Wig_Spell_Evg_C-L</t>
  </si>
  <si>
    <t>Modular SMP Hair - CM1</t>
  </si>
  <si>
    <t>Uvi_Wig_Spell_Evg_C-M1</t>
  </si>
  <si>
    <t>Modular SMP Hair - CM2</t>
  </si>
  <si>
    <t>Uvi_Wig_Spell_Evg_C-M2</t>
  </si>
  <si>
    <t>Modular SMP Hair - D</t>
  </si>
  <si>
    <t>Uvi_Wig_Spell_Evg_D</t>
  </si>
  <si>
    <t>Modular SMP Hair - DB</t>
  </si>
  <si>
    <t>0001360B</t>
  </si>
  <si>
    <t>Aeri</t>
  </si>
  <si>
    <t>Uvi_Wig_Spell_Evg_D-B</t>
  </si>
  <si>
    <t>HairFemaleNord15</t>
  </si>
  <si>
    <t>Modular SMP Hair - DC</t>
  </si>
  <si>
    <t>Uvi_Wig_Spell_Evg_D-C</t>
  </si>
  <si>
    <t>Modular SMP Hair - DE</t>
  </si>
  <si>
    <t>Uvi_Wig_Spell_Evg_D-E</t>
  </si>
  <si>
    <t>Modular SMP Hair - DF</t>
  </si>
  <si>
    <t>Uvi_Wig_Spell_Evg_D-F</t>
  </si>
  <si>
    <t>Modular SMP Hair - DG</t>
  </si>
  <si>
    <t>Uvi_Wig_Spell_Evg_D-G</t>
  </si>
  <si>
    <t>Modular SMP Hair - DH</t>
  </si>
  <si>
    <t>Uvi_Wig_Spell_Evg_D-H</t>
  </si>
  <si>
    <t>Modular SMP Hair - DI</t>
  </si>
  <si>
    <t>Uvi_Wig_Spell_Evg_D-I</t>
  </si>
  <si>
    <t>Modular SMP Hair - DJ</t>
  </si>
  <si>
    <t>Uvi_Wig_Spell_Evg_D-J</t>
  </si>
  <si>
    <t>Modular SMP Hair - DK</t>
  </si>
  <si>
    <t>Uvi_Wig_Spell_Evg_D-K</t>
  </si>
  <si>
    <t>Modular SMP Hair - DL</t>
  </si>
  <si>
    <t>Uvi_Wig_Spell_Evg_D-L</t>
  </si>
  <si>
    <t>Modular SMP Hair - DM1</t>
  </si>
  <si>
    <t>Uvi_Wig_Spell_Evg_D-M1</t>
  </si>
  <si>
    <t>Modular SMP Hair - DM2</t>
  </si>
  <si>
    <t>00013346</t>
  </si>
  <si>
    <t>Aerin</t>
  </si>
  <si>
    <t>Uvi_Wig_Spell_Evg_D-M2</t>
  </si>
  <si>
    <t>HairMaleNord15</t>
  </si>
  <si>
    <t>Modular SMP Hair - E</t>
  </si>
  <si>
    <t>Uvi_Wig_Spell_Evg_E</t>
  </si>
  <si>
    <t>Modular SMP Hair - EB</t>
  </si>
  <si>
    <t>Uvi_Wig_Spell_Evg_E-B</t>
  </si>
  <si>
    <t>Modular SMP Hair - EC</t>
  </si>
  <si>
    <t>Uvi_Wig_Spell_Evg_E-C</t>
  </si>
  <si>
    <t>Modular SMP Hair - EE</t>
  </si>
  <si>
    <t>Uvi_Wig_Spell_Evg_E-E</t>
  </si>
  <si>
    <t>Modular SMP Hair - EF</t>
  </si>
  <si>
    <t>Uvi_Wig_Spell_Evg_E-F</t>
  </si>
  <si>
    <t>Modular SMP Hair - EG</t>
  </si>
  <si>
    <t>Uvi_Wig_Spell_Evg_E-G</t>
  </si>
  <si>
    <t>Modular SMP Hair - EH</t>
  </si>
  <si>
    <t>Uvi_Wig_Spell_Evg_E-H</t>
  </si>
  <si>
    <t>Modular SMP Hair - EI</t>
  </si>
  <si>
    <t>Uvi_Wig_Spell_Evg_E-I</t>
  </si>
  <si>
    <t>Modular SMP Hair - EJ</t>
  </si>
  <si>
    <t>Uvi_Wig_Spell_Evg_E-J</t>
  </si>
  <si>
    <t>Modular SMP Hair - EK</t>
  </si>
  <si>
    <t>Uvi_Wig_Spell_Evg_E-K</t>
  </si>
  <si>
    <t>Modular SMP Hair - EL</t>
  </si>
  <si>
    <t>Uvi_Wig_Spell_Evg_E-L</t>
  </si>
  <si>
    <t>Modular SMP Hair - EM1</t>
  </si>
  <si>
    <t>Uvi_Wig_Spell_Evg_E-M1</t>
  </si>
  <si>
    <t>Modular SMP Hair - EM2</t>
  </si>
  <si>
    <t>Uvi_Wig_Spell_Evg_E-M2</t>
  </si>
  <si>
    <t>02018FCA</t>
  </si>
  <si>
    <t>DLC2SVAeta</t>
  </si>
  <si>
    <t>Aeta</t>
  </si>
  <si>
    <t>Modular SMP Hair - F</t>
  </si>
  <si>
    <t>Uvi_Wig_Spell_Evg_F</t>
  </si>
  <si>
    <t>Modular SMP Hair - FB</t>
  </si>
  <si>
    <t>Uvi_Wig_Spell_Evg_F-B</t>
  </si>
  <si>
    <t>Modular SMP Hair - FC</t>
  </si>
  <si>
    <t>Uvi_Wig_Spell_Evg_F-C</t>
  </si>
  <si>
    <t>Modular SMP Hair - FE</t>
  </si>
  <si>
    <t>Uvi_Wig_Spell_Evg_F-E</t>
  </si>
  <si>
    <t>Modular SMP Hair - FF</t>
  </si>
  <si>
    <t>Uvi_Wig_Spell_Evg_F-F</t>
  </si>
  <si>
    <t>Modular SMP Hair - FG</t>
  </si>
  <si>
    <t>Uvi_Wig_Spell_Evg_F-G</t>
  </si>
  <si>
    <t>Modular SMP Hair - FH</t>
  </si>
  <si>
    <t>Uvi_Wig_Spell_Evg_F-H</t>
  </si>
  <si>
    <t>Modular SMP Hair - FI</t>
  </si>
  <si>
    <t>Uvi_Wig_Spell_Evg_F-I</t>
  </si>
  <si>
    <t>Modular SMP Hair - FJ</t>
  </si>
  <si>
    <t>Uvi_Wig_Spell_Evg_F-J</t>
  </si>
  <si>
    <t>Modular SMP Hair - FK</t>
  </si>
  <si>
    <t>Uvi_Wig_Spell_Evg_F-K</t>
  </si>
  <si>
    <t>Modular SMP Hair - FL</t>
  </si>
  <si>
    <t>Uvi_Wig_Spell_Evg_F-L</t>
  </si>
  <si>
    <t>Modular SMP Hair - FM1</t>
  </si>
  <si>
    <t>Uvi_Wig_Spell_Evg_F-M1</t>
  </si>
  <si>
    <t>Modular SMP Hair - FM2</t>
  </si>
  <si>
    <t>000FC198</t>
  </si>
  <si>
    <t>Uvi_Wig_Spell_Evg_F-M2</t>
  </si>
  <si>
    <t>WarehouseNPCWAllAmbush</t>
  </si>
  <si>
    <t>Affable Gent</t>
  </si>
  <si>
    <t>Modular SMP Hair - G</t>
  </si>
  <si>
    <t>Uvi_Wig_Spell_Evg_G</t>
  </si>
  <si>
    <t>Modular SMP Hair - GB</t>
  </si>
  <si>
    <t>Uvi_Wig_Spell_Evg_G-B</t>
  </si>
  <si>
    <t>Modular SMP Hair - GC</t>
  </si>
  <si>
    <t>Uvi_Wig_Spell_Evg_G-C</t>
  </si>
  <si>
    <t>Modular SMP Hair - GE</t>
  </si>
  <si>
    <t>Uvi_Wig_Spell_Evg_G-E</t>
  </si>
  <si>
    <t>Modular SMP Hair - GF</t>
  </si>
  <si>
    <t>Uvi_Wig_Spell_Evg_G-F</t>
  </si>
  <si>
    <t>Modular SMP Hair - GG</t>
  </si>
  <si>
    <t>Uvi_Wig_Spell_Evg_G-G</t>
  </si>
  <si>
    <t>Modular SMP Hair - GH</t>
  </si>
  <si>
    <t>Uvi_Wig_Spell_Evg_G-H</t>
  </si>
  <si>
    <t>Modular SMP Hair - GI</t>
  </si>
  <si>
    <t>Uvi_Wig_Spell_Evg_G-I</t>
  </si>
  <si>
    <t>Modular SMP Hair - GJ</t>
  </si>
  <si>
    <t>Uvi_Wig_Spell_Evg_G-J</t>
  </si>
  <si>
    <t>00064A42</t>
  </si>
  <si>
    <t>DA13EncAfflicted00Template</t>
  </si>
  <si>
    <t>Afflicted</t>
  </si>
  <si>
    <t>Modular SMP Hair - GK</t>
  </si>
  <si>
    <t>Uvi_Wig_Spell_Evg_G-K</t>
  </si>
  <si>
    <t>Modular SMP Hair - GL</t>
  </si>
  <si>
    <t>Uvi_Wig_Spell_Evg_G-L</t>
  </si>
  <si>
    <t>Modular SMP Hair - GM1</t>
  </si>
  <si>
    <t>Uvi_Wig_Spell_Evg_G-M1</t>
  </si>
  <si>
    <t>Modular SMP Hair - GM2</t>
  </si>
  <si>
    <t>Uvi_Wig_Spell_Evg_G-M2</t>
  </si>
  <si>
    <t>Modular SMP Hair - H</t>
  </si>
  <si>
    <t>Uvi_Wig_Spell_Evg_H</t>
  </si>
  <si>
    <t>Modular SMP Hair - HB</t>
  </si>
  <si>
    <t>Uvi_Wig_Spell_Evg_H-B</t>
  </si>
  <si>
    <t>Modular SMP Hair - HC</t>
  </si>
  <si>
    <t>Uvi_Wig_Spell_Evg_H-C</t>
  </si>
  <si>
    <t>Modular SMP Hair - HE</t>
  </si>
  <si>
    <t>Uvi_Wig_Spell_Evg_H-E</t>
  </si>
  <si>
    <t>Modular SMP Hair - HF</t>
  </si>
  <si>
    <t>Uvi_Wig_Spell_Evg_H-F</t>
  </si>
  <si>
    <t>00043AB8</t>
  </si>
  <si>
    <t>DA13encAfflicted</t>
  </si>
  <si>
    <t>Afflicted Devotee</t>
  </si>
  <si>
    <t>Modular SMP Hair - HG</t>
  </si>
  <si>
    <t>Uvi_Wig_Spell_Evg_H-G</t>
  </si>
  <si>
    <t>Modular SMP Hair - HH</t>
  </si>
  <si>
    <t>Uvi_Wig_Spell_Evg_H-H</t>
  </si>
  <si>
    <t>Modular SMP Hair - HI</t>
  </si>
  <si>
    <t>Uvi_Wig_Spell_Evg_H-I</t>
  </si>
  <si>
    <t>Modular SMP Hair - HJ</t>
  </si>
  <si>
    <t>Uvi_Wig_Spell_Evg_H-J</t>
  </si>
  <si>
    <t>Modular SMP Hair - HK</t>
  </si>
  <si>
    <t>Uvi_Wig_Spell_Evg_H-K</t>
  </si>
  <si>
    <t>Modular SMP Hair - HL</t>
  </si>
  <si>
    <t>Uvi_Wig_Spell_Evg_H-L</t>
  </si>
  <si>
    <t>Modular SMP Hair - HM1</t>
  </si>
  <si>
    <t>Uvi_Wig_Spell_Evg_H-M1</t>
  </si>
  <si>
    <t>Modular SMP Hair - HM2</t>
  </si>
  <si>
    <t>Uvi_Wig_Spell_Evg_H-M2</t>
  </si>
  <si>
    <t>Modular SMP Hair - I</t>
  </si>
  <si>
    <t>Uvi_Wig_Spell_Evg_I</t>
  </si>
  <si>
    <t>Modular SMP Hair - IB</t>
  </si>
  <si>
    <t>Uvi_Wig_Spell_Evg_I-B</t>
  </si>
  <si>
    <t>Modular SMP Hair - IC</t>
  </si>
  <si>
    <t>Uvi_Wig_Spell_Evg_I-C</t>
  </si>
  <si>
    <t>Modular SMP Hair - IE</t>
  </si>
  <si>
    <t>000BEDE5</t>
  </si>
  <si>
    <t>Uvi_Wig_Spell_Evg_I-E</t>
  </si>
  <si>
    <t>DA13LvlAfflictedMelee1HWERefugee</t>
  </si>
  <si>
    <t>Afflicted Refugee</t>
  </si>
  <si>
    <t>Modular SMP Hair - IF</t>
  </si>
  <si>
    <t>Uvi_Wig_Spell_Evg_I-F</t>
  </si>
  <si>
    <t>Modular SMP Hair - IG</t>
  </si>
  <si>
    <t>Uvi_Wig_Spell_Evg_I-G</t>
  </si>
  <si>
    <t>Modular SMP Hair - IH</t>
  </si>
  <si>
    <t>Uvi_Wig_Spell_Evg_I-H</t>
  </si>
  <si>
    <t>Modular SMP Hair - II</t>
  </si>
  <si>
    <t>Uvi_Wig_Spell_Evg_I-I</t>
  </si>
  <si>
    <t>Modular SMP Hair - IJ</t>
  </si>
  <si>
    <t>Uvi_Wig_Spell_Evg_I-J</t>
  </si>
  <si>
    <t>Modular SMP Hair - IK</t>
  </si>
  <si>
    <t>Uvi_Wig_Spell_Evg_I-K</t>
  </si>
  <si>
    <t>Modular SMP Hair - IL</t>
  </si>
  <si>
    <t>Uvi_Wig_Spell_Evg_I-L</t>
  </si>
  <si>
    <t>Modular SMP Hair - IM1</t>
  </si>
  <si>
    <t>Uvi_Wig_Spell_Evg_I-M1</t>
  </si>
  <si>
    <t>0200336E</t>
  </si>
  <si>
    <t>DLC1Agmaer</t>
  </si>
  <si>
    <t>Modular SMP Hair - IM2</t>
  </si>
  <si>
    <t>Agmaer</t>
  </si>
  <si>
    <t>Uvi_Wig_Spell_Evg_I-M2</t>
  </si>
  <si>
    <t>Modular SMP Hair - J</t>
  </si>
  <si>
    <t>Uvi_Wig_Spell_Evg_J</t>
  </si>
  <si>
    <t>Modular SMP Hair - JA</t>
  </si>
  <si>
    <t>Uvi_Wig_Spell_Evg_J-A</t>
  </si>
  <si>
    <t>Modular SMP Hair - JB</t>
  </si>
  <si>
    <t>Uvi_Wig_Spell_Evg_J-B</t>
  </si>
  <si>
    <t>Modular SMP Hair - JC</t>
  </si>
  <si>
    <t>Uvi_Wig_Spell_Evg_J-C</t>
  </si>
  <si>
    <t>Modular SMP Hair - JD</t>
  </si>
  <si>
    <t>Uvi_Wig_Spell_Evg_J-D</t>
  </si>
  <si>
    <t>Modular SMP Hair - JE</t>
  </si>
  <si>
    <t>Uvi_Wig_Spell_Evg_J-E</t>
  </si>
  <si>
    <t>Modular SMP Hair - JF</t>
  </si>
  <si>
    <t>Uvi_Wig_Spell_Evg_J-F</t>
  </si>
  <si>
    <t>Modular SMP Hair - JG</t>
  </si>
  <si>
    <t>Uvi_Wig_Spell_Evg_J-G</t>
  </si>
  <si>
    <t>Modular SMP Hair - JI</t>
  </si>
  <si>
    <t>Uvi_Wig_Spell_Evg_J-I</t>
  </si>
  <si>
    <t>000A9599</t>
  </si>
  <si>
    <t>Agna</t>
  </si>
  <si>
    <t>Modular SMP Hair - JJ</t>
  </si>
  <si>
    <t>Uvi_Wig_Spell_Evg_J-J</t>
  </si>
  <si>
    <t>Modular SMP Hair - JK</t>
  </si>
  <si>
    <t>Uvi_Wig_Spell_Evg_J-K</t>
  </si>
  <si>
    <t>Modular SMP Hair - JL</t>
  </si>
  <si>
    <t>Uvi_Wig_Spell_Evg_J-L</t>
  </si>
  <si>
    <t>Modular SMP Hair - JM1</t>
  </si>
  <si>
    <t>Uvi_Wig_Spell_Evg_J-M1</t>
  </si>
  <si>
    <t>Modular SMP Hair - JM2</t>
  </si>
  <si>
    <t>Uvi_Wig_Spell_Evg_J-M2</t>
  </si>
  <si>
    <t>Modular SMP Hair - L</t>
  </si>
  <si>
    <t>Uvi_Wig_Spell_Evg_L</t>
  </si>
  <si>
    <t>Modular SMP Hair - LA</t>
  </si>
  <si>
    <t>Uvi_Wig_Spell_Evg_L-A</t>
  </si>
  <si>
    <t>Modular SMP Hair - LB</t>
  </si>
  <si>
    <t>Uvi_Wig_Spell_Evg_L-B</t>
  </si>
  <si>
    <t>Modular SMP Hair - LC</t>
  </si>
  <si>
    <t>Uvi_Wig_Spell_Evg_L-C</t>
  </si>
  <si>
    <t>Modular SMP Hair - LD</t>
  </si>
  <si>
    <t>000135E5</t>
  </si>
  <si>
    <t>Uvi_Wig_Spell_Evg_L-D</t>
  </si>
  <si>
    <t>Agni</t>
  </si>
  <si>
    <t>Modular SMP Hair - LE</t>
  </si>
  <si>
    <t>Uvi_Wig_Spell_Evg_L-E</t>
  </si>
  <si>
    <t>Modular SMP Hair - LF</t>
  </si>
  <si>
    <t>Uvi_Wig_Spell_Evg_L-F</t>
  </si>
  <si>
    <t>Modular SMP Hair - LG</t>
  </si>
  <si>
    <t>Uvi_Wig_Spell_Evg_L-G</t>
  </si>
  <si>
    <t>Modular SMP Hair - LI</t>
  </si>
  <si>
    <t>Uvi_Wig_Spell_Evg_L-I</t>
  </si>
  <si>
    <t>Modular SMP Hair - LJ</t>
  </si>
  <si>
    <t>Uvi_Wig_Spell_Evg_L-J</t>
  </si>
  <si>
    <t>Modular SMP Hair - LK</t>
  </si>
  <si>
    <t>Uvi_Wig_Spell_Evg_L-K</t>
  </si>
  <si>
    <t>Modular SMP Hair - LL</t>
  </si>
  <si>
    <t>Uvi_Wig_Spell_Evg_L-L</t>
  </si>
  <si>
    <t>Modular SMP Hair - LM1</t>
  </si>
  <si>
    <t>Uvi_Wig_Spell_Evg_L-M1</t>
  </si>
  <si>
    <t>Modular SMP Hair - LM2</t>
  </si>
  <si>
    <t>00020044</t>
  </si>
  <si>
    <t>Agnis</t>
  </si>
  <si>
    <t>Uvi_Wig_Spell_Evg_L-M2</t>
  </si>
  <si>
    <t>Modular SMP Hair - M</t>
  </si>
  <si>
    <t>Uvi_Wig_Spell_Evg_M</t>
  </si>
  <si>
    <t>Modular SMP Hair - MB</t>
  </si>
  <si>
    <t>Uvi_Wig_Spell_Evg_M-B</t>
  </si>
  <si>
    <t>Modular SMP Hair - MC</t>
  </si>
  <si>
    <t>Uvi_Wig_Spell_Evg_M-C</t>
  </si>
  <si>
    <t>Modular SMP Hair - ME</t>
  </si>
  <si>
    <t>Uvi_Wig_Spell_Evg_M-E</t>
  </si>
  <si>
    <t>Modular SMP Hair - MF</t>
  </si>
  <si>
    <t>Uvi_Wig_Spell_Evg_M-F</t>
  </si>
  <si>
    <t>Modular SMP Hair - MG</t>
  </si>
  <si>
    <t>Uvi_Wig_Spell_Evg_M-G</t>
  </si>
  <si>
    <t>Modular SMP Hair - MH</t>
  </si>
  <si>
    <t>Uvi_Wig_Spell_Evg_M-H</t>
  </si>
  <si>
    <t>Modular SMP Hair - MI</t>
  </si>
  <si>
    <t>Uvi_Wig_Spell_Evg_M-I</t>
  </si>
  <si>
    <t>Modular SMP Hair - MJ</t>
  </si>
  <si>
    <t>Uvi_Wig_Spell_Evg_M-J</t>
  </si>
  <si>
    <t>00083B19</t>
  </si>
  <si>
    <t>dunHalldirsDeadBandit03</t>
  </si>
  <si>
    <t>Agrius</t>
  </si>
  <si>
    <t>Modular SMP Hair - MK</t>
  </si>
  <si>
    <t>Uvi_Wig_Spell_Evg_M-K</t>
  </si>
  <si>
    <t>Modular SMP Hair - ML</t>
  </si>
  <si>
    <t>Uvi_Wig_Spell_Evg_M-L</t>
  </si>
  <si>
    <t>Modular SMP Hair - MM1</t>
  </si>
  <si>
    <t>Uvi_Wig_Spell_Evg_M-M1</t>
  </si>
  <si>
    <t>Modular SMP Hair - MM2</t>
  </si>
  <si>
    <t>Uvi_Wig_Spell_Evg_M-M2</t>
  </si>
  <si>
    <t>Xing HDT-SMP Wigs</t>
  </si>
  <si>
    <t>Xing - Fuse Alesso Cookie</t>
  </si>
  <si>
    <t>Uvi_Wig_Spell_X_Fuse_AlessoCookie</t>
  </si>
  <si>
    <t>Xing,Xing_Misc</t>
  </si>
  <si>
    <t>Xing - Fuse Nightcrawler</t>
  </si>
  <si>
    <t>Uvi_Wig_Spell_X_Fuse_Nightcrawler</t>
  </si>
  <si>
    <t>Xing - Fuse Nightcrawler Puch</t>
  </si>
  <si>
    <t>Uvi_Wig_Spell_X_Fuse_NightcrawlerPuch</t>
  </si>
  <si>
    <t>Xing - Fuse Nightcrawler Straight</t>
  </si>
  <si>
    <t>Uvi_Wig_Spell_X_Fuse_NightcrawlerStraight</t>
  </si>
  <si>
    <t>Xing - Fuse SG35</t>
  </si>
  <si>
    <t>Uvi_Wig_Spell_X_Fuse_SG35</t>
  </si>
  <si>
    <t>Xing - Fuse Sintiklia MR</t>
  </si>
  <si>
    <t>Uvi_Wig_Spell_X_Fuse_SintikliaMR</t>
  </si>
  <si>
    <t>000CE086</t>
  </si>
  <si>
    <t>DA05Hunter11_04Melee_Ahjisi</t>
  </si>
  <si>
    <t>Ahjisi</t>
  </si>
  <si>
    <t>HairKhajiitFemale03</t>
  </si>
  <si>
    <t>Xing - HG ColdHeart</t>
  </si>
  <si>
    <t>Uvi_Wig_Spell_X_Dint_HG_ColdHeart</t>
  </si>
  <si>
    <t>Xing - HG ColdHeart2</t>
  </si>
  <si>
    <t>Uvi_Wig_Spell_X_Dint_HG_ColdHeart2</t>
  </si>
  <si>
    <t>Xing - HG Emori</t>
  </si>
  <si>
    <t>Uvi_Wig_Spell_X_Dint_HG_Emori</t>
  </si>
  <si>
    <t>Xing - HG Esmerald</t>
  </si>
  <si>
    <t>Uvi_Wig_Spell_X_Dint_HG_Esmerald</t>
  </si>
  <si>
    <t>Xing - HG FlyingMinaj</t>
  </si>
  <si>
    <t>Uvi_Wig_Spell_X_Dint_HG_FlyingMinaj</t>
  </si>
  <si>
    <t>Xing - HG Focus</t>
  </si>
  <si>
    <t>Uvi_Wig_Spell_X_Dint_HG_Focus</t>
  </si>
  <si>
    <t>Xing - HG Focus2</t>
  </si>
  <si>
    <t>Uvi_Wig_Spell_X_Dint_HG_Focus2</t>
  </si>
  <si>
    <t>Xing - HG Gorum</t>
  </si>
  <si>
    <t>Uvi_Wig_Spell_X_Dint_HG_Gorum</t>
  </si>
  <si>
    <t>0001B1D6</t>
  </si>
  <si>
    <t>Ahkari</t>
  </si>
  <si>
    <t>Xing - HG GuineaPig</t>
  </si>
  <si>
    <t>HairKhajiit00</t>
  </si>
  <si>
    <t>Uvi_Wig_Spell_X_Dint_HG_GuineaPig</t>
  </si>
  <si>
    <t>Xing - HG GuineaPigBow</t>
  </si>
  <si>
    <t>Uvi_Wig_Spell_X_Dint_HG_GuineaPigBow</t>
  </si>
  <si>
    <t>Xing - HG Krissi</t>
  </si>
  <si>
    <t>Uvi_Wig_Spell_X_Dint_HG_LetsFrompiNu</t>
  </si>
  <si>
    <t>Xing - HG Lena</t>
  </si>
  <si>
    <t>Uvi_Wig_Spell_X_Dint_HG_Lena</t>
  </si>
  <si>
    <t>Xing - HG Lisa</t>
  </si>
  <si>
    <t>Uvi_Wig_Spell_X_Dint_HG_Lisa</t>
  </si>
  <si>
    <t>Xing - HG NoFrauds</t>
  </si>
  <si>
    <t>Uvi_Wig_Spell_X_Dint_HG_NoFrauds</t>
  </si>
  <si>
    <t>Xing - HG Peach</t>
  </si>
  <si>
    <t>Uvi_Wig_Spell_X_Dint_HG_Peach</t>
  </si>
  <si>
    <t>Xing - HG Vipress</t>
  </si>
  <si>
    <t>Uvi_Wig_Spell_X_Dint_HG_Vipress</t>
  </si>
  <si>
    <t>Xing - HG Vipress (no limits)</t>
  </si>
  <si>
    <t>Uvi_Wig_Spell_X_Dint_HG_Vipress2</t>
  </si>
  <si>
    <t>00013BBE</t>
  </si>
  <si>
    <t>Ahlam</t>
  </si>
  <si>
    <t>Xing - HG Wen</t>
  </si>
  <si>
    <t>Uvi_Wig_Spell_X_Dint_HG_Wen</t>
  </si>
  <si>
    <t>Xing - HG Wing109</t>
  </si>
  <si>
    <t>Uvi_Wig_Spell_X_Dint_HG_Wing109</t>
  </si>
  <si>
    <t>Xing - HG Wing1111</t>
  </si>
  <si>
    <t>Uvi_Wig_Spell_X_Dint_HG_Wing1111</t>
  </si>
  <si>
    <t>Xing - HG Wing614</t>
  </si>
  <si>
    <t>Uvi_Wig_Spell_X_Dint_HG_Wing614</t>
  </si>
  <si>
    <t>Xing - HG Wing722</t>
  </si>
  <si>
    <t>Uvi_Wig_Spell_X_Dint_HG_Wing722</t>
  </si>
  <si>
    <t>Xing - HH Ponytail</t>
  </si>
  <si>
    <t>Uvi_Wig_Spell_X_HH_Ponytail</t>
  </si>
  <si>
    <t>Xing - HH Ponytail Side Swept</t>
  </si>
  <si>
    <t>Uvi_Wig_Spell_X_HH_PonytailSideSwept</t>
  </si>
  <si>
    <t>Xing - HH Short Bob</t>
  </si>
  <si>
    <t>Uvi_Wig_Spell_X_HH_ShortBob</t>
  </si>
  <si>
    <t>02005A9B</t>
  </si>
  <si>
    <t>DLC1TestAngry</t>
  </si>
  <si>
    <t>Xing - HH Short Bob Side Swept</t>
  </si>
  <si>
    <t>Uvi_Wig_Spell_X_HH_ShortBobSideSwept</t>
  </si>
  <si>
    <t>Xing - HH Short Bob Tucked</t>
  </si>
  <si>
    <t>Uvi_Wig_Spell_X_HH_ShortBobTucked</t>
  </si>
  <si>
    <t>Xing - KS Amber Lights</t>
  </si>
  <si>
    <t>Uvi_Wig_Spell_X_Dint_KS_AmberL</t>
  </si>
  <si>
    <t>Xing - KS Anchor</t>
  </si>
  <si>
    <t>Uvi_Wig_Spell_X_Dint_KS_Anchor</t>
  </si>
  <si>
    <t>Xing - KS Aquaria</t>
  </si>
  <si>
    <t>Uvi_Wig_Spell_X_Dint_KS_Aquaria</t>
  </si>
  <si>
    <t>Xing - KS BlackBullet</t>
  </si>
  <si>
    <t>Uvi_Wig_Spell_X_Dint_KS_BlackBullet</t>
  </si>
  <si>
    <t>Xing - KS Blossom Story</t>
  </si>
  <si>
    <t>Uvi_Wig_Spell_X_Dint_KS_BlossomStory</t>
  </si>
  <si>
    <t>Xing - KS Butterfly098</t>
  </si>
  <si>
    <t>Uvi_Wig_Spell_X_Dint_KS_Butterfly098</t>
  </si>
  <si>
    <t>0001325F</t>
  </si>
  <si>
    <t>Ahtar</t>
  </si>
  <si>
    <t>Xing - KS Cambrian</t>
  </si>
  <si>
    <t>Uvi_Wig_Spell_X_Dint_KS_Cambrian</t>
  </si>
  <si>
    <t>Xing - KS Caramella</t>
  </si>
  <si>
    <t>Uvi_Wig_Spell_X_Dint_KS_Caramella</t>
  </si>
  <si>
    <t>Xing - KS Chain Reaction</t>
  </si>
  <si>
    <t>Uvi_Wig_Spell_X_Dint_KS_ChainReaction</t>
  </si>
  <si>
    <t>Xing - KS Clover</t>
  </si>
  <si>
    <t>Uvi_Wig_Spell_X_Dint_KS_Clover</t>
  </si>
  <si>
    <t>Xing - KS CraxyLove</t>
  </si>
  <si>
    <t>Uvi_Wig_Spell_X_Dint_KS_CraxyLove</t>
  </si>
  <si>
    <t>Xing - KS Dawn</t>
  </si>
  <si>
    <t>Uvi_Wig_Spell_X_Dint_KS_Dawn</t>
  </si>
  <si>
    <t>Xing - KS Daydream</t>
  </si>
  <si>
    <t>Uvi_Wig_Spell_X_Dint_KS_Daydream</t>
  </si>
  <si>
    <t>Xing - KS Dracarys</t>
  </si>
  <si>
    <t>Uvi_Wig_Spell_X_Dint_KS_Dracarys</t>
  </si>
  <si>
    <t>Xing - KS DragonStone</t>
  </si>
  <si>
    <t>Uvi_Wig_Spell_X_Dint_KS_DragonStone</t>
  </si>
  <si>
    <t>0001325C</t>
  </si>
  <si>
    <t>AiaArria</t>
  </si>
  <si>
    <t>Aia Arria</t>
  </si>
  <si>
    <t>Xing - KS Dreamgirl</t>
  </si>
  <si>
    <t>Uvi_Wig_Spell_X_Dint_KS_Dreamgirl</t>
  </si>
  <si>
    <t>Xing - KS Eden</t>
  </si>
  <si>
    <t>Uvi_Wig_Spell_X_Dint_KS_Eden</t>
  </si>
  <si>
    <t>Xing - KS Equanimity</t>
  </si>
  <si>
    <t>Uvi_Wig_Spell_X_Dint_KS_Equanimity</t>
  </si>
  <si>
    <t>Xing - KS Firenze</t>
  </si>
  <si>
    <t>Uvi_Wig_Spell_X_Dint_KS_Firenze</t>
  </si>
  <si>
    <t>Xing - KS Fragile</t>
  </si>
  <si>
    <t>Uvi_Wig_Spell_X_Dint_KS_Fragile</t>
  </si>
  <si>
    <t>Xing - KS Galactic</t>
  </si>
  <si>
    <t>Uvi_Wig_Spell_X_Dint_KS_Galactic</t>
  </si>
  <si>
    <t>Xing - KS Gem</t>
  </si>
  <si>
    <t>Uvi_Wig_Spell_X_Dint_KS_Gem</t>
  </si>
  <si>
    <t>Xing - KS Glow</t>
  </si>
  <si>
    <t>Uvi_Wig_Spell_X_Dint_KS_Glow</t>
  </si>
  <si>
    <t>Xing - SG Haircoolsims89</t>
  </si>
  <si>
    <t>Uvi_Wig_Spell_X_Dint_SG_haircoolsims89</t>
  </si>
  <si>
    <t>0001402E</t>
  </si>
  <si>
    <t>Aicantar</t>
  </si>
  <si>
    <t>Xing - KS Heartquake</t>
  </si>
  <si>
    <t>Uvi_Wig_Spell_X_Dint_KS_Heartquake</t>
  </si>
  <si>
    <t>Xing - KS Hello</t>
  </si>
  <si>
    <t>Uvi_Wig_Spell_X_Dint_KS_Hello</t>
  </si>
  <si>
    <t>Xing - KS Hourglass</t>
  </si>
  <si>
    <t>Uvi_Wig_Spell_X_Dint_KS_Hourglass</t>
  </si>
  <si>
    <t>Xing - KS Kaysa</t>
  </si>
  <si>
    <t>Uvi_Wig_Spell_X_Dint_KS_Kaysa</t>
  </si>
  <si>
    <t>Xing - KS Mhysa</t>
  </si>
  <si>
    <t>Uvi_Wig_Spell_X_Dint_KS_Mhysa</t>
  </si>
  <si>
    <t>Xing - KS Peppermint</t>
  </si>
  <si>
    <t>Uvi_Wig_Spell_X_Dint_KS_Peppermint</t>
  </si>
  <si>
    <t>Xing - KS Renata</t>
  </si>
  <si>
    <t>Uvi_Wig_Spell_X_Dint_KS_Renata</t>
  </si>
  <si>
    <t>Xing - KS Runaway</t>
  </si>
  <si>
    <t>Uvi_Wig_Spell_X_Dint_KS_Runaway</t>
  </si>
  <si>
    <t>Xing - KS SailAway</t>
  </si>
  <si>
    <t>00013B69</t>
  </si>
  <si>
    <t>Ainethach</t>
  </si>
  <si>
    <t>Uvi_Wig_Spell_X_Dint_KS_SailAway</t>
  </si>
  <si>
    <t>Xing - KS Shepherd</t>
  </si>
  <si>
    <t>Uvi_Wig_Spell_X_Dint_KS_Shepherd</t>
  </si>
  <si>
    <t>Xing - KS Shieldmaiden</t>
  </si>
  <si>
    <t>Uvi_Wig_Spell_X_Dint_KS_Shieldmaiden</t>
  </si>
  <si>
    <t>Xing - KS Siren Forest</t>
  </si>
  <si>
    <t>Uvi_Wig_Spell_X_Dint_KS_SirenForest</t>
  </si>
  <si>
    <t>Xing - KS Sky084</t>
  </si>
  <si>
    <t>Uvi_Wig_Spell_X_Dint_KS_Sky084</t>
  </si>
  <si>
    <t>Xing - KS Sky161</t>
  </si>
  <si>
    <t>Uvi_Wig_Spell_X_Dint_KS_Sky161</t>
  </si>
  <si>
    <t>Xing - KS Sky207</t>
  </si>
  <si>
    <t>Uvi_Wig_Spell_X_Dint_KS_Sky207</t>
  </si>
  <si>
    <t>Xing - KS Sleeper</t>
  </si>
  <si>
    <t>Uvi_Wig_Spell_X_Dint_KS_Sleeper</t>
  </si>
  <si>
    <t>Xing - KS Somali</t>
  </si>
  <si>
    <t>Uvi_Wig_Spell_X_Dint_KS_Somali</t>
  </si>
  <si>
    <t>0201F9C3</t>
  </si>
  <si>
    <t>DLC2dunFrostmoonAkar</t>
  </si>
  <si>
    <t>Akar</t>
  </si>
  <si>
    <t>Xing - KS Soundwave</t>
  </si>
  <si>
    <t>Uvi_Wig_Spell_X_Dint_KS_Soundwave</t>
  </si>
  <si>
    <t>Xing - KS Sparks</t>
  </si>
  <si>
    <t>Uvi_Wig_Spell_X_Dint_KS_Sparks</t>
  </si>
  <si>
    <t>Xing - KS Spectrum</t>
  </si>
  <si>
    <t>Uvi_Wig_Spell_X_Dint_KS_Spectrum</t>
  </si>
  <si>
    <t>Xing - KS Steammist</t>
  </si>
  <si>
    <t>Uvi_Wig_Spell_X_Dint_KS_Steammist</t>
  </si>
  <si>
    <t>Xing - KS Sunshine</t>
  </si>
  <si>
    <t>Uvi_Wig_Spell_X_Dint_KS_Sunshine</t>
  </si>
  <si>
    <t>Xing - KS Temptress</t>
  </si>
  <si>
    <t>Uvi_Wig_Spell_X_Dint_KS_Temptress</t>
  </si>
  <si>
    <t>Xing - KS Titanium</t>
  </si>
  <si>
    <t>Uvi_Wig_Spell_X_Dint_KS_Titanium</t>
  </si>
  <si>
    <t>Xing - KS Tsugumi 1</t>
  </si>
  <si>
    <t>Uvi_Wig_Spell_X_Dint_KS_Tsugumi1</t>
  </si>
  <si>
    <t>0001B074</t>
  </si>
  <si>
    <t>Xing - KS Tsugumi 2</t>
  </si>
  <si>
    <t>AlainDufont</t>
  </si>
  <si>
    <t>Alain Dufont</t>
  </si>
  <si>
    <t>Uvi_Wig_Spell_X_Dint_KS_Tsugumi2</t>
  </si>
  <si>
    <t>Xing - KS Tsugumi 3</t>
  </si>
  <si>
    <t>Uvi_Wig_Spell_X_Dint_KS_Tsugumi3</t>
  </si>
  <si>
    <t>Xing - KS Veneris</t>
  </si>
  <si>
    <t>Uvi_Wig_Spell_X_Dint_KS_Veneris</t>
  </si>
  <si>
    <t>Xing - KS Venus</t>
  </si>
  <si>
    <t>Uvi_Wig_Spell_X_Dint_KS_Venus</t>
  </si>
  <si>
    <t>Xing - SG Ginko02</t>
  </si>
  <si>
    <t>Uvi_Wig_Spell_X_Dint_SG_hairginko02</t>
  </si>
  <si>
    <t>Xing - SG hair25</t>
  </si>
  <si>
    <t>Uvi_Wig_Spell_X_Dint_SG_hair25</t>
  </si>
  <si>
    <t>Xing - SG hairpg4385</t>
  </si>
  <si>
    <t>Uvi_Wig_Spell_X_Dint_SG_hairpg4385</t>
  </si>
  <si>
    <t>Xing - SG Lovelution</t>
  </si>
  <si>
    <t>Uvi_Wig_Spell_X_Dint_SG_hairlovelution</t>
  </si>
  <si>
    <t>Xing - SG Misa</t>
  </si>
  <si>
    <t>00099805</t>
  </si>
  <si>
    <t>TreasCorpseAlchemist</t>
  </si>
  <si>
    <t>Alchemist</t>
  </si>
  <si>
    <t>Uvi_Wig_Spell_X_Dint_SG_Misa</t>
  </si>
  <si>
    <t>HairMaleDarkElf07</t>
  </si>
  <si>
    <t>Xing - SG Misa2</t>
  </si>
  <si>
    <t>Uvi_Wig_Spell_X_Dint_SG_Misa2</t>
  </si>
  <si>
    <t>Xing - SG Sidebraids</t>
  </si>
  <si>
    <t>Uvi_Wig_Spell_X_Dint_SG_hairsidebraids</t>
  </si>
  <si>
    <t>Xing - SG Wildsoul</t>
  </si>
  <si>
    <t>Uvi_Wig_Spell_X_Dint_SG_hairWildsoul</t>
  </si>
  <si>
    <t>Xing - KS Shieldbrother</t>
  </si>
  <si>
    <t>Uvi_Wig_Spell_X_Dint_KS_Shieldbrother</t>
  </si>
  <si>
    <t>00052268</t>
  </si>
  <si>
    <t>MS10Pirate1</t>
  </si>
  <si>
    <t>Alding</t>
  </si>
  <si>
    <t>HairMaleNord17</t>
  </si>
  <si>
    <t>0002E3EF</t>
  </si>
  <si>
    <t>DB02Captive2</t>
  </si>
  <si>
    <t>Alea Quintus</t>
  </si>
  <si>
    <t>HairFemaleNord20</t>
  </si>
  <si>
    <t>0200403C</t>
  </si>
  <si>
    <t>BYOHUrchin_Alesan</t>
  </si>
  <si>
    <t>Alesan</t>
  </si>
  <si>
    <t>00013347</t>
  </si>
  <si>
    <t>Alessandra</t>
  </si>
  <si>
    <t>000C370C</t>
  </si>
  <si>
    <t>dunNchuandAlethiusCorpse</t>
  </si>
  <si>
    <t>Alethius</t>
  </si>
  <si>
    <t>HairMaleNord18</t>
  </si>
  <si>
    <t>00060B29</t>
  </si>
  <si>
    <t>AlexiaVici</t>
  </si>
  <si>
    <t>Alexia Vici</t>
  </si>
  <si>
    <t>0009B7AB</t>
  </si>
  <si>
    <t>CarriageDriverWindhelm</t>
  </si>
  <si>
    <t>Alfarinn</t>
  </si>
  <si>
    <t>00013BB0</t>
  </si>
  <si>
    <t>AlfhildBattleBorn</t>
  </si>
  <si>
    <t>Alfhild Battle-Born</t>
  </si>
  <si>
    <t>000215F5</t>
  </si>
  <si>
    <t>MS08AlikrPrisoner</t>
  </si>
  <si>
    <t>Alik'r Prisoner</t>
  </si>
  <si>
    <t>0006762E</t>
  </si>
  <si>
    <t>EncAlikr00Template</t>
  </si>
  <si>
    <t>Alik'r Warrior</t>
  </si>
  <si>
    <t>00058B3F</t>
  </si>
  <si>
    <t>MS08AlikrKematuGuard</t>
  </si>
  <si>
    <t>0010F5A1</t>
  </si>
  <si>
    <t>MS08AlikrKematuGuard02</t>
  </si>
  <si>
    <t>0010F5AA</t>
  </si>
  <si>
    <t>MS08AlikrKematuGuard03</t>
  </si>
  <si>
    <t>00020071</t>
  </si>
  <si>
    <t>MS08AlikrWarrior</t>
  </si>
  <si>
    <t>00055FB2</t>
  </si>
  <si>
    <t>MS08AlikrWarriorWhiterun</t>
  </si>
  <si>
    <t>00108CF5</t>
  </si>
  <si>
    <t>MS08AlikrWarriorWhiterun02</t>
  </si>
  <si>
    <t>000135E6</t>
  </si>
  <si>
    <t>Alva</t>
  </si>
  <si>
    <t>HairFemaleNord19</t>
  </si>
  <si>
    <t>020198B6</t>
  </si>
  <si>
    <t>DLC1RefugeeAlvide</t>
  </si>
  <si>
    <t>Alvide</t>
  </si>
  <si>
    <t>00013475</t>
  </si>
  <si>
    <t>Alvor</t>
  </si>
  <si>
    <t>0003B43A</t>
  </si>
  <si>
    <t>AmaundMotierre</t>
  </si>
  <si>
    <t>Amaund Motierre</t>
  </si>
  <si>
    <t>0004E64F</t>
  </si>
  <si>
    <t>AmaundMotierreEnd</t>
  </si>
  <si>
    <t>0001413E</t>
  </si>
  <si>
    <t>AmbarysRendar</t>
  </si>
  <si>
    <t>Ambarys Rendar</t>
  </si>
  <si>
    <t>00013BAA</t>
  </si>
  <si>
    <t>Amren</t>
  </si>
  <si>
    <t>0001E7D7</t>
  </si>
  <si>
    <t>Ancano</t>
  </si>
  <si>
    <t>0201CAF3</t>
  </si>
  <si>
    <t>DLC2SV02Ancarion</t>
  </si>
  <si>
    <t>Ancarion</t>
  </si>
  <si>
    <t>00033851</t>
  </si>
  <si>
    <t>EncVampire05Template</t>
  </si>
  <si>
    <t>Ancient Vampire</t>
  </si>
  <si>
    <t>00013BA8</t>
  </si>
  <si>
    <t>Andurs</t>
  </si>
  <si>
    <t>HairMaleRedguard1</t>
  </si>
  <si>
    <t>00013260</t>
  </si>
  <si>
    <t>AngelineMorrard</t>
  </si>
  <si>
    <t>Angeline Morrard</t>
  </si>
  <si>
    <t>0009F851</t>
  </si>
  <si>
    <t>dunBluePalaceBully</t>
  </si>
  <si>
    <t>Anger</t>
  </si>
  <si>
    <t>000CAB2F</t>
  </si>
  <si>
    <t>dunAngiREF</t>
  </si>
  <si>
    <t>Angi</t>
  </si>
  <si>
    <t>00014137</t>
  </si>
  <si>
    <t>Angrenor</t>
  </si>
  <si>
    <t>Angrenor Once-Honored</t>
  </si>
  <si>
    <t>000AE77D</t>
  </si>
  <si>
    <t>Angvid</t>
  </si>
  <si>
    <t>000DDF86</t>
  </si>
  <si>
    <t>dunPOIWitchAnise</t>
  </si>
  <si>
    <t>Anise</t>
  </si>
  <si>
    <t>HairFemaleElder04</t>
  </si>
  <si>
    <t>00013666</t>
  </si>
  <si>
    <t>Annekke</t>
  </si>
  <si>
    <t>Annekke Crag-Jumper</t>
  </si>
  <si>
    <t>00013B97</t>
  </si>
  <si>
    <t>Anoriath</t>
  </si>
  <si>
    <t>00013387</t>
  </si>
  <si>
    <t>Anton</t>
  </si>
  <si>
    <t>Anton Virane</t>
  </si>
  <si>
    <t>00013349</t>
  </si>
  <si>
    <t>Anuriel</t>
  </si>
  <si>
    <t>00013386</t>
  </si>
  <si>
    <t>Anwen</t>
  </si>
  <si>
    <t>0201827C</t>
  </si>
  <si>
    <t>DLC2RRAphiaVelothi</t>
  </si>
  <si>
    <t>Aphia Velothi</t>
  </si>
  <si>
    <t>HairFemaleElf03</t>
  </si>
  <si>
    <t>000E0FBE</t>
  </si>
  <si>
    <t>EncWarlock02TemplateBossConjurer</t>
  </si>
  <si>
    <t>Apprentice Conjurer</t>
  </si>
  <si>
    <t>0006D22F</t>
  </si>
  <si>
    <t>EncWarlock02TemplateConjurer</t>
  </si>
  <si>
    <t>000E0FBF</t>
  </si>
  <si>
    <t>EncWarlock02TemplateBossFire</t>
  </si>
  <si>
    <t>Apprentice Fire Mage</t>
  </si>
  <si>
    <t>00045C5F</t>
  </si>
  <si>
    <t>EncWarlock02TemplateFire</t>
  </si>
  <si>
    <t>HairMaleDarkElf05</t>
  </si>
  <si>
    <t>000E0FC0</t>
  </si>
  <si>
    <t>EncWarlock02TemplateBossIce</t>
  </si>
  <si>
    <t>Apprentice Ice Mage</t>
  </si>
  <si>
    <t>00045C60</t>
  </si>
  <si>
    <t>EncWarlock02TemplateIce</t>
  </si>
  <si>
    <t>000E0FC1</t>
  </si>
  <si>
    <t>EncWarlock02TemplateBossNecro</t>
  </si>
  <si>
    <t>Apprentice Necromancer</t>
  </si>
  <si>
    <t>000548FF</t>
  </si>
  <si>
    <t>EncWarlock02TemplateNecro</t>
  </si>
  <si>
    <t>HairMaleNord03</t>
  </si>
  <si>
    <t>000E0FC2</t>
  </si>
  <si>
    <t>EncWarlock02TemplateBossStorm</t>
  </si>
  <si>
    <t>Apprentice Storm Mage</t>
  </si>
  <si>
    <t>00045C61</t>
  </si>
  <si>
    <t>EncWarlock02TemplateStorm</t>
  </si>
  <si>
    <t>HairMaleElf03</t>
  </si>
  <si>
    <t>000D6AD8</t>
  </si>
  <si>
    <t>AquilliusAeresius</t>
  </si>
  <si>
    <t>Aquillius Aeresius</t>
  </si>
  <si>
    <t>00028AD0</t>
  </si>
  <si>
    <t>DA01Aranea</t>
  </si>
  <si>
    <t>Aranea Ienith</t>
  </si>
  <si>
    <t>HairFemaleElf07</t>
  </si>
  <si>
    <t>00013BA4</t>
  </si>
  <si>
    <t>Arcadia</t>
  </si>
  <si>
    <t>HairFemaleNord10</t>
  </si>
  <si>
    <t>001091AD</t>
  </si>
  <si>
    <t>EncWarlock07TemplateBossConjurer</t>
  </si>
  <si>
    <t>Arch Conjurer</t>
  </si>
  <si>
    <t>001091A8</t>
  </si>
  <si>
    <t>EncWarlock07TemplateConjurer</t>
  </si>
  <si>
    <t>HairMaleNord19</t>
  </si>
  <si>
    <t>001091AF</t>
  </si>
  <si>
    <t>EncWarlock07TemplateBossIce</t>
  </si>
  <si>
    <t>Arch Cryomancer</t>
  </si>
  <si>
    <t>001091AA</t>
  </si>
  <si>
    <t>EncWarlock07TemplateIce</t>
  </si>
  <si>
    <t>02030CD6</t>
  </si>
  <si>
    <t>DLC2EncCultist07Template</t>
  </si>
  <si>
    <t>Arch Cultist</t>
  </si>
  <si>
    <t>HairMaleElder6</t>
  </si>
  <si>
    <t>001091B1</t>
  </si>
  <si>
    <t>EncWarlock07TemplateBossStorm</t>
  </si>
  <si>
    <t>Arch Electromancer</t>
  </si>
  <si>
    <t>001091AC</t>
  </si>
  <si>
    <t>EncWarlock07TemplateStorm</t>
  </si>
  <si>
    <t>001091B0</t>
  </si>
  <si>
    <t>EncWarlock07TemplateBossNecro</t>
  </si>
  <si>
    <t>Arch Necromancer</t>
  </si>
  <si>
    <t>001091AB</t>
  </si>
  <si>
    <t>EncWarlock07TemplateNecro</t>
  </si>
  <si>
    <t>001091AE</t>
  </si>
  <si>
    <t>EncWarlock07TemplateBossFire</t>
  </si>
  <si>
    <t>Arch Pyromancer</t>
  </si>
  <si>
    <t>HairMaleElf09</t>
  </si>
  <si>
    <t>001091A9</t>
  </si>
  <si>
    <t>EncWarlock07TemplateFire</t>
  </si>
  <si>
    <t>02003788</t>
  </si>
  <si>
    <t>DLC1AlthadanVyrthur</t>
  </si>
  <si>
    <t>Arch-Curate Vyrthur</t>
  </si>
  <si>
    <t>000BED8A</t>
  </si>
  <si>
    <t>WEJS13Ardwen</t>
  </si>
  <si>
    <t>Ardwen</t>
  </si>
  <si>
    <t>HairFemaleDarkElf08</t>
  </si>
  <si>
    <t>00013602</t>
  </si>
  <si>
    <t>ArgiFarseer</t>
  </si>
  <si>
    <t>Argi Farseer</t>
  </si>
  <si>
    <t>000A2C8C</t>
  </si>
  <si>
    <t>HousecarlMarkarth</t>
  </si>
  <si>
    <t>Argis the Bulwark</t>
  </si>
  <si>
    <t>000457FB</t>
  </si>
  <si>
    <t>TreasCorpseCommonerArgonianFemale</t>
  </si>
  <si>
    <t>NoHair</t>
  </si>
  <si>
    <t>000457FE</t>
  </si>
  <si>
    <t>TreasCorpseCommonerArgonianMale</t>
  </si>
  <si>
    <t>00105561</t>
  </si>
  <si>
    <t>WEAdventurerBrawlerArgonianM</t>
  </si>
  <si>
    <t>HairArgonianMale05</t>
  </si>
  <si>
    <t>00105552</t>
  </si>
  <si>
    <t>WEAdventurerDualPoisonerArgonianM</t>
  </si>
  <si>
    <t>HairArgonianMale00</t>
  </si>
  <si>
    <t>00106118</t>
  </si>
  <si>
    <t>WEAdventurerMageShieldStaffArgonianM</t>
  </si>
  <si>
    <t>HairArgonianMale10</t>
  </si>
  <si>
    <t>00105554</t>
  </si>
  <si>
    <t>WEAdventurerWarriorDualArgonianM</t>
  </si>
  <si>
    <t>HairArgonianMale02</t>
  </si>
  <si>
    <t>000411CF</t>
  </si>
  <si>
    <t>dunMossMotherHunter01</t>
  </si>
  <si>
    <t>Ari</t>
  </si>
  <si>
    <t>HairFemaleNord16</t>
  </si>
  <si>
    <t>0001334A</t>
  </si>
  <si>
    <t>Aringoth</t>
  </si>
  <si>
    <t>00014127</t>
  </si>
  <si>
    <t>Arivanya</t>
  </si>
  <si>
    <t>0001BDB0</t>
  </si>
  <si>
    <t>Arnbjorn</t>
  </si>
  <si>
    <t>0002C6C7</t>
  </si>
  <si>
    <t>Arngeir</t>
  </si>
  <si>
    <t>0001C19D</t>
  </si>
  <si>
    <t>ArnielGane</t>
  </si>
  <si>
    <t>Arniel Gane</t>
  </si>
  <si>
    <t>0006A152</t>
  </si>
  <si>
    <t>MGArnielSummon</t>
  </si>
  <si>
    <t>Arniel's Shade</t>
  </si>
  <si>
    <t>00029DAD</t>
  </si>
  <si>
    <t>Arnskar</t>
  </si>
  <si>
    <t>Arnskar Ember-Master</t>
  </si>
  <si>
    <t>00013B7B</t>
  </si>
  <si>
    <t>Arob</t>
  </si>
  <si>
    <t>00084552</t>
  </si>
  <si>
    <t>CWFieldCOSonsHjaalmarch</t>
  </si>
  <si>
    <t>Arrald Frozen-Heart</t>
  </si>
  <si>
    <t>00099991</t>
  </si>
  <si>
    <t>e3DemoArvel</t>
  </si>
  <si>
    <t>Arvel the Swift</t>
  </si>
  <si>
    <t>00039646</t>
  </si>
  <si>
    <t>MS13Arvel</t>
  </si>
  <si>
    <t>HairMaleDarkElf08</t>
  </si>
  <si>
    <t>00019DF2</t>
  </si>
  <si>
    <t>Asbjorn</t>
  </si>
  <si>
    <t>Asbjorn Fire-Tamer</t>
  </si>
  <si>
    <t>000E0FCD</t>
  </si>
  <si>
    <t>EncWarlock05TemplateBossConjurer</t>
  </si>
  <si>
    <t>Ascendant Conjurer</t>
  </si>
  <si>
    <t>0006D232</t>
  </si>
  <si>
    <t>EncWarlock05TemplateConjurer</t>
  </si>
  <si>
    <t>02030CD4</t>
  </si>
  <si>
    <t>DLC2EncCultist05Template</t>
  </si>
  <si>
    <t>Ascendant Cultist</t>
  </si>
  <si>
    <t>000E0FD0</t>
  </si>
  <si>
    <t>EncWarlock05TemplateBossNecro</t>
  </si>
  <si>
    <t>Ascendant Necromancer</t>
  </si>
  <si>
    <t>000551AE</t>
  </si>
  <si>
    <t>EncWarlock05TemplateNecro</t>
  </si>
  <si>
    <t>0001334B</t>
  </si>
  <si>
    <t>Asgeir</t>
  </si>
  <si>
    <t>Asgeir Snow-Shod</t>
  </si>
  <si>
    <t>000135E7</t>
  </si>
  <si>
    <t>Aslfur</t>
  </si>
  <si>
    <t>000753CB</t>
  </si>
  <si>
    <t>WE31Mage</t>
  </si>
  <si>
    <t>Aspiring Mage</t>
  </si>
  <si>
    <t>001051FB</t>
  </si>
  <si>
    <t>WEAssassinTemplate</t>
  </si>
  <si>
    <t>Assassin</t>
  </si>
  <si>
    <t>0001C18A</t>
  </si>
  <si>
    <t>Assur</t>
  </si>
  <si>
    <t>00015D2B</t>
  </si>
  <si>
    <t>dunEldergleamPilgrimNordF</t>
  </si>
  <si>
    <t>Asta</t>
  </si>
  <si>
    <t>0001BDB4</t>
  </si>
  <si>
    <t>Astrid</t>
  </si>
  <si>
    <t>HairFemaleNord03</t>
  </si>
  <si>
    <t>0004D6D0</t>
  </si>
  <si>
    <t>AstridEnd</t>
  </si>
  <si>
    <t>00013295</t>
  </si>
  <si>
    <t>AtAfAlan</t>
  </si>
  <si>
    <t>Ataf</t>
  </si>
  <si>
    <t>0001B1DA</t>
  </si>
  <si>
    <t>Atahba</t>
  </si>
  <si>
    <t>Atahbah</t>
  </si>
  <si>
    <t>HairKhajiitFemale10</t>
  </si>
  <si>
    <t>000622E5</t>
  </si>
  <si>
    <t>Atar</t>
  </si>
  <si>
    <t>0001A6D5</t>
  </si>
  <si>
    <t>Athis</t>
  </si>
  <si>
    <t>000B8786</t>
  </si>
  <si>
    <t>MG07AtmahGhost</t>
  </si>
  <si>
    <t>Atmah</t>
  </si>
  <si>
    <t>00019E18</t>
  </si>
  <si>
    <t>Atub</t>
  </si>
  <si>
    <t>HairFemaleOrc03</t>
  </si>
  <si>
    <t>0002BCE8</t>
  </si>
  <si>
    <t>MG04Augur</t>
  </si>
  <si>
    <t>Augur of Dunlain</t>
  </si>
  <si>
    <t>00014140</t>
  </si>
  <si>
    <t>AvalAtheron</t>
  </si>
  <si>
    <t>Aval Atheron</t>
  </si>
  <si>
    <t>00014132</t>
  </si>
  <si>
    <t>AventusAretino</t>
  </si>
  <si>
    <t>Aventus Aretino</t>
  </si>
  <si>
    <t>00019BFE</t>
  </si>
  <si>
    <t>AvrusaSarethi</t>
  </si>
  <si>
    <t>Avrusa Sarethi</t>
  </si>
  <si>
    <t>HairFemaleDarkElf02</t>
  </si>
  <si>
    <t>00013B9A</t>
  </si>
  <si>
    <t>AvulsteinGrayMane</t>
  </si>
  <si>
    <t>Avulstein Gray-Mane</t>
  </si>
  <si>
    <t>00028AE9</t>
  </si>
  <si>
    <t>DA01AzuraVoice</t>
  </si>
  <si>
    <t>Azura</t>
  </si>
  <si>
    <t>00019A2A</t>
  </si>
  <si>
    <t>AzzadaLylvieve</t>
  </si>
  <si>
    <t>Azzada Lylvieve</t>
  </si>
  <si>
    <t>000B3C81</t>
  </si>
  <si>
    <t>dunBardsLeapSummitGhost</t>
  </si>
  <si>
    <t>Azzadal</t>
  </si>
  <si>
    <t>0001D4B7</t>
  </si>
  <si>
    <t>Babette</t>
  </si>
  <si>
    <t>000AE779</t>
  </si>
  <si>
    <t>Badnir</t>
  </si>
  <si>
    <t>00019955</t>
  </si>
  <si>
    <t>Bagrak</t>
  </si>
  <si>
    <t>00038C6E</t>
  </si>
  <si>
    <t>BalagogGroNolob</t>
  </si>
  <si>
    <t>Balagog gro-Nolob</t>
  </si>
  <si>
    <t>HairMaleOrc25</t>
  </si>
  <si>
    <t>000B5D42</t>
  </si>
  <si>
    <t>WEJS02Balbus</t>
  </si>
  <si>
    <t>Balbus</t>
  </si>
  <si>
    <t>02018FB5</t>
  </si>
  <si>
    <t>DLC2SVBaldorIronShaper</t>
  </si>
  <si>
    <t>Baldor Iron-Shaper</t>
  </si>
  <si>
    <t>00013BBD</t>
  </si>
  <si>
    <t>BalgruuftheGreater</t>
  </si>
  <si>
    <t>Balgruuf the Greater</t>
  </si>
  <si>
    <t>0001334C</t>
  </si>
  <si>
    <t>Balimund</t>
  </si>
  <si>
    <t>00039CF4</t>
  </si>
  <si>
    <t>EncBandit00Template</t>
  </si>
  <si>
    <t>Bandit</t>
  </si>
  <si>
    <t>00039D4A</t>
  </si>
  <si>
    <t>EncBandit04TemplateMagic</t>
  </si>
  <si>
    <t>Bandit Highwayman</t>
  </si>
  <si>
    <t>HairMaleNord13</t>
  </si>
  <si>
    <t>0001E60D</t>
  </si>
  <si>
    <t>EncBandit04TemplateMelee</t>
  </si>
  <si>
    <t>00037C35</t>
  </si>
  <si>
    <t>EncBandit04TemplateMissile</t>
  </si>
  <si>
    <t>00039D58</t>
  </si>
  <si>
    <t>EncBandit06TemplateMagic</t>
  </si>
  <si>
    <t>Bandit Marauder</t>
  </si>
  <si>
    <t>0001E611</t>
  </si>
  <si>
    <t>EncBandit06TemplateMelee</t>
  </si>
  <si>
    <t>00037C43</t>
  </si>
  <si>
    <t>EncBandit06TemplateMissile</t>
  </si>
  <si>
    <t>HairMaleNord14</t>
  </si>
  <si>
    <t>00039D38</t>
  </si>
  <si>
    <t>EncBandit02TemplateMagic</t>
  </si>
  <si>
    <t>Bandit Outlaw</t>
  </si>
  <si>
    <t>0001BCD9</t>
  </si>
  <si>
    <t>EncBandit02TemplateMelee</t>
  </si>
  <si>
    <t>00037C2D</t>
  </si>
  <si>
    <t>EncBandit02TemplateMissile</t>
  </si>
  <si>
    <t>00039D51</t>
  </si>
  <si>
    <t>EncBandit05TemplateMagic</t>
  </si>
  <si>
    <t>Bandit Plunderer</t>
  </si>
  <si>
    <t>0001E610</t>
  </si>
  <si>
    <t>EncBandit05TemplateMelee</t>
  </si>
  <si>
    <t>HairMaleNord16</t>
  </si>
  <si>
    <t>00037C3C</t>
  </si>
  <si>
    <t>EncBandit05TemplateMissile</t>
  </si>
  <si>
    <t>00039D43</t>
  </si>
  <si>
    <t>EncBandit03TemplateMagic</t>
  </si>
  <si>
    <t>Bandit Thug</t>
  </si>
  <si>
    <t>0001BCDA</t>
  </si>
  <si>
    <t>EncBandit03TemplateMelee</t>
  </si>
  <si>
    <t>00037C2E</t>
  </si>
  <si>
    <t>EncBandit03TemplateMissile</t>
  </si>
  <si>
    <t>0009A7A8</t>
  </si>
  <si>
    <t>Banning</t>
  </si>
  <si>
    <t>000E799D</t>
  </si>
  <si>
    <t>dunFortDunstadBarkeepCorpse</t>
  </si>
  <si>
    <t>Baral Sendu</t>
  </si>
  <si>
    <t>000D823D</t>
  </si>
  <si>
    <t>dunCragslaneBartender</t>
  </si>
  <si>
    <t>Barkeep</t>
  </si>
  <si>
    <t>HairMaleElf07</t>
  </si>
  <si>
    <t>020198B4</t>
  </si>
  <si>
    <t>DLC1RefugeeBarknar</t>
  </si>
  <si>
    <t>Barknar</t>
  </si>
  <si>
    <t>000BC079</t>
  </si>
  <si>
    <t>HHpilgrim01</t>
  </si>
  <si>
    <t>000136C1</t>
  </si>
  <si>
    <t>BassianusAxius</t>
  </si>
  <si>
    <t>Bassianus Axius</t>
  </si>
  <si>
    <t>000CE09C</t>
  </si>
  <si>
    <t>DA05Hunter16_01DeadMissile_Batum</t>
  </si>
  <si>
    <t>Batum gra-Bar</t>
  </si>
  <si>
    <t>00087B9E</t>
  </si>
  <si>
    <t>DBRecurringTarget10GraniteHill</t>
  </si>
  <si>
    <t>Beautiful Barbarian</t>
  </si>
  <si>
    <t>0006CD5B</t>
  </si>
  <si>
    <t>dunIronbindBeemJa</t>
  </si>
  <si>
    <t>Beem-Ja</t>
  </si>
  <si>
    <t>HairArgonianMale04</t>
  </si>
  <si>
    <t>00013261</t>
  </si>
  <si>
    <t>Beirand</t>
  </si>
  <si>
    <t>00013612</t>
  </si>
  <si>
    <t>Beitild</t>
  </si>
  <si>
    <t>00013B6B</t>
  </si>
  <si>
    <t>Belchimac</t>
  </si>
  <si>
    <t>00013BA1</t>
  </si>
  <si>
    <t>Belethor</t>
  </si>
  <si>
    <t>0201541C</t>
  </si>
  <si>
    <t>DLC1Beleval</t>
  </si>
  <si>
    <t>Beleval</t>
  </si>
  <si>
    <t>HairFemaleElf10</t>
  </si>
  <si>
    <t>000B9981</t>
  </si>
  <si>
    <t>HirelingBelrand</t>
  </si>
  <si>
    <t>Belrand</t>
  </si>
  <si>
    <t>00014138</t>
  </si>
  <si>
    <t>BelynHlaalu</t>
  </si>
  <si>
    <t>Belyn Hlaalu</t>
  </si>
  <si>
    <t>000E77CB</t>
  </si>
  <si>
    <t>Bendt</t>
  </si>
  <si>
    <t>0001E94C</t>
  </si>
  <si>
    <t>Benkum</t>
  </si>
  <si>
    <t>02027829</t>
  </si>
  <si>
    <t>DLC2WaterStoneSailor2</t>
  </si>
  <si>
    <t>000135E8</t>
  </si>
  <si>
    <t>Benor</t>
  </si>
  <si>
    <t>00013BB3</t>
  </si>
  <si>
    <t>BergritteBattleBorn</t>
  </si>
  <si>
    <t>Bergritte Battle-Born</t>
  </si>
  <si>
    <t>0001334D</t>
  </si>
  <si>
    <t>Bersi</t>
  </si>
  <si>
    <t>Bersi Honey-Hand</t>
  </si>
  <si>
    <t>00013388</t>
  </si>
  <si>
    <t>Betrid</t>
  </si>
  <si>
    <t>Betrid Silver-Blood</t>
  </si>
  <si>
    <t>00087B96</t>
  </si>
  <si>
    <t>DBRecurringTarget2KatlasFarm</t>
  </si>
  <si>
    <t>Big Laborer</t>
  </si>
  <si>
    <t>0001C187</t>
  </si>
  <si>
    <t>Birna</t>
  </si>
  <si>
    <t>HairFemaleNord13</t>
  </si>
  <si>
    <t>00013262</t>
  </si>
  <si>
    <t>Bjartur</t>
  </si>
  <si>
    <t>00013669</t>
  </si>
  <si>
    <t>CarriageDriverWhiterun</t>
  </si>
  <si>
    <t>Bjorlam</t>
  </si>
  <si>
    <t>0202B236</t>
  </si>
  <si>
    <t>DLC2BjornolfrCorpse</t>
  </si>
  <si>
    <t>Bjornolfr</t>
  </si>
  <si>
    <t>000DC8DA</t>
  </si>
  <si>
    <t>MS07LvlBlackbloodMeleeBerserkerCommonerM</t>
  </si>
  <si>
    <t>Blackblood Marauder</t>
  </si>
  <si>
    <t>000DC8DB</t>
  </si>
  <si>
    <t>MS07LvlBlackbloodMeleeTankEvenTonedM</t>
  </si>
  <si>
    <t>000DC8DC</t>
  </si>
  <si>
    <t>MS07LvlBlackbloodMissileNordM</t>
  </si>
  <si>
    <t>000DC8D9</t>
  </si>
  <si>
    <t>MS07LvlBlackbloodWizardCondescendingM</t>
  </si>
  <si>
    <t>000DC8D8</t>
  </si>
  <si>
    <t>MS07LvlBlackbloodWizardNordM</t>
  </si>
  <si>
    <t>02003F56</t>
  </si>
  <si>
    <t>BYOHUrchin_Blaise</t>
  </si>
  <si>
    <t>Blaise</t>
  </si>
  <si>
    <t>00087B91</t>
  </si>
  <si>
    <t>DBRecurringContact6Whiterun</t>
  </si>
  <si>
    <t>Blasphemous Priest</t>
  </si>
  <si>
    <t>0003384E</t>
  </si>
  <si>
    <t>EncVampire02Template</t>
  </si>
  <si>
    <t>Blooded Vampire</t>
  </si>
  <si>
    <t>000876DC</t>
  </si>
  <si>
    <t>Bodil</t>
  </si>
  <si>
    <t>0009F85E</t>
  </si>
  <si>
    <t>dunBluePalacePelagiusBodyguardDormant</t>
  </si>
  <si>
    <t>Bodyguard</t>
  </si>
  <si>
    <t>HairMaleNord02</t>
  </si>
  <si>
    <t>0004D8D1</t>
  </si>
  <si>
    <t>DA02CultistF1</t>
  </si>
  <si>
    <t>Boethiah Cultist</t>
  </si>
  <si>
    <t>HairFemaleDarkElf07</t>
  </si>
  <si>
    <t>0004D8D3</t>
  </si>
  <si>
    <t>DA02CultistF2</t>
  </si>
  <si>
    <t>0004D8D4</t>
  </si>
  <si>
    <t>DA02CultistM1</t>
  </si>
  <si>
    <t>0004D8D5</t>
  </si>
  <si>
    <t>DA02CultistM2</t>
  </si>
  <si>
    <t>0004D8D2</t>
  </si>
  <si>
    <t>DA02CultistM3</t>
  </si>
  <si>
    <t>000B0E87</t>
  </si>
  <si>
    <t>WEDA02Cultist</t>
  </si>
  <si>
    <t>0001B076</t>
  </si>
  <si>
    <t>Bolar</t>
  </si>
  <si>
    <t>00014126</t>
  </si>
  <si>
    <t>Bolfrida</t>
  </si>
  <si>
    <t>Bolfrida Brandy-Mug</t>
  </si>
  <si>
    <t>00013264</t>
  </si>
  <si>
    <t>BolgeirBearclaw</t>
  </si>
  <si>
    <t>Bolgeir Bearclaw</t>
  </si>
  <si>
    <t>0001334E</t>
  </si>
  <si>
    <t>Bolli</t>
  </si>
  <si>
    <t>00013651</t>
  </si>
  <si>
    <t>Bolund</t>
  </si>
  <si>
    <t>000C78E1</t>
  </si>
  <si>
    <t>Bor</t>
  </si>
  <si>
    <t>00019959</t>
  </si>
  <si>
    <t>Borgakh</t>
  </si>
  <si>
    <t>Borgakh the Steel Heart</t>
  </si>
  <si>
    <t>000877B2</t>
  </si>
  <si>
    <t>Borgny</t>
  </si>
  <si>
    <t>0001338A</t>
  </si>
  <si>
    <t>Borkul</t>
  </si>
  <si>
    <t>Borkul the Beast</t>
  </si>
  <si>
    <t>HairMaleOrc27</t>
  </si>
  <si>
    <t>0002C6CE</t>
  </si>
  <si>
    <t>Borri</t>
  </si>
  <si>
    <t>00013BC2</t>
  </si>
  <si>
    <t>POIMageBorvir</t>
  </si>
  <si>
    <t>Borvir</t>
  </si>
  <si>
    <t>0001338B</t>
  </si>
  <si>
    <t>Bothela</t>
  </si>
  <si>
    <t>000136BE</t>
  </si>
  <si>
    <t>Boti</t>
  </si>
  <si>
    <t>000B94A9</t>
  </si>
  <si>
    <t>WERJ04Kid02</t>
  </si>
  <si>
    <t>Bottar</t>
  </si>
  <si>
    <t>000D55D3</t>
  </si>
  <si>
    <t>dunCragslaneLvlBanditGuard</t>
  </si>
  <si>
    <t>Bouncer</t>
  </si>
  <si>
    <t>00090C87</t>
  </si>
  <si>
    <t>dunCragslaneOutdoorGuy</t>
  </si>
  <si>
    <t>020277EE</t>
  </si>
  <si>
    <t>DLC2dunKolbjornMiner_Bradyn</t>
  </si>
  <si>
    <t>Bradyn</t>
  </si>
  <si>
    <t>HairMaleElf04</t>
  </si>
  <si>
    <t>00013389</t>
  </si>
  <si>
    <t>Braig</t>
  </si>
  <si>
    <t>00013BA9</t>
  </si>
  <si>
    <t>Braith</t>
  </si>
  <si>
    <t>02018F15</t>
  </si>
  <si>
    <t>DLC2RRBralsaDrel</t>
  </si>
  <si>
    <t>Bralsa Drel</t>
  </si>
  <si>
    <t>HairFemaleElf08</t>
  </si>
  <si>
    <t>0001334F</t>
  </si>
  <si>
    <t>BrandShei</t>
  </si>
  <si>
    <t>Brand-Shei</t>
  </si>
  <si>
    <t>00069F38</t>
  </si>
  <si>
    <t>Brelas</t>
  </si>
  <si>
    <t>0001C196</t>
  </si>
  <si>
    <t>BrelynaMaryon</t>
  </si>
  <si>
    <t>Brelyna Maryon</t>
  </si>
  <si>
    <t>00013BA7</t>
  </si>
  <si>
    <t>Brenuin</t>
  </si>
  <si>
    <t>HairMaleRedguard5</t>
  </si>
  <si>
    <t>0200A95A</t>
  </si>
  <si>
    <t>DLC1dunDarkfallTreasCorpse01</t>
  </si>
  <si>
    <t>000457FF</t>
  </si>
  <si>
    <t>TreasCorpseCommonerBretonFemale</t>
  </si>
  <si>
    <t>000457F6</t>
  </si>
  <si>
    <t>TreasCorpseCommonerBretonMale</t>
  </si>
  <si>
    <t>001034F3</t>
  </si>
  <si>
    <t>WEAdventurerBattlemageBretonM</t>
  </si>
  <si>
    <t>001034FB</t>
  </si>
  <si>
    <t>WEAdventurerSpellswordBretonF</t>
  </si>
  <si>
    <t>HairFemaleNord17</t>
  </si>
  <si>
    <t>001034FC</t>
  </si>
  <si>
    <t>WEAdventurerSpellswordBretonM</t>
  </si>
  <si>
    <t>0004C724</t>
  </si>
  <si>
    <t>Breya</t>
  </si>
  <si>
    <t>0004C754</t>
  </si>
  <si>
    <t>BreyaCorpse</t>
  </si>
  <si>
    <t>000585FB</t>
  </si>
  <si>
    <t>Briehl</t>
  </si>
  <si>
    <t>0001A6A2</t>
  </si>
  <si>
    <t>Brill</t>
  </si>
  <si>
    <t>0001A6B7</t>
  </si>
  <si>
    <t>BrinaMerilis</t>
  </si>
  <si>
    <t>Brina Merilis</t>
  </si>
  <si>
    <t>000136B9</t>
  </si>
  <si>
    <t>Britte</t>
  </si>
  <si>
    <t>00014144</t>
  </si>
  <si>
    <t>Brond</t>
  </si>
  <si>
    <t>0001338C</t>
  </si>
  <si>
    <t>BrotherVerulus</t>
  </si>
  <si>
    <t>Brother Verulus</t>
  </si>
  <si>
    <t>00014149</t>
  </si>
  <si>
    <t>Brunwulf</t>
  </si>
  <si>
    <t>Brunwulf Free-Winter</t>
  </si>
  <si>
    <t>00013265</t>
  </si>
  <si>
    <t>Bryling</t>
  </si>
  <si>
    <t>0001B07D</t>
  </si>
  <si>
    <t>Brynjolf</t>
  </si>
  <si>
    <t>0201A511</t>
  </si>
  <si>
    <t>DLC2Bujold</t>
  </si>
  <si>
    <t>Bujold the Intrepid</t>
  </si>
  <si>
    <t>00013613</t>
  </si>
  <si>
    <t>Bulfrek</t>
  </si>
  <si>
    <t>000D823E</t>
  </si>
  <si>
    <t>dunCragslaneButcher</t>
  </si>
  <si>
    <t>Butcher</t>
  </si>
  <si>
    <t>000D66FE</t>
  </si>
  <si>
    <t>Cairine</t>
  </si>
  <si>
    <t>0001338E</t>
  </si>
  <si>
    <t>Calcelmo</t>
  </si>
  <si>
    <t>000A2C90</t>
  </si>
  <si>
    <t>HousecarlWindhelm</t>
  </si>
  <si>
    <t>Calder</t>
  </si>
  <si>
    <t>0001414A</t>
  </si>
  <si>
    <t>Calixto</t>
  </si>
  <si>
    <t>Calixto Corrium</t>
  </si>
  <si>
    <t>0001347B</t>
  </si>
  <si>
    <t>CamillaValerius</t>
  </si>
  <si>
    <t>Camilla Valerius</t>
  </si>
  <si>
    <t>00041FB8</t>
  </si>
  <si>
    <t>CaptainAldis</t>
  </si>
  <si>
    <t>Captain Aldis</t>
  </si>
  <si>
    <t>000C603D</t>
  </si>
  <si>
    <t>dunKatariahCaptain</t>
  </si>
  <si>
    <t>Captain Avidius</t>
  </si>
  <si>
    <t>0001E38B</t>
  </si>
  <si>
    <t>dunBrokenOarHargar</t>
  </si>
  <si>
    <t>Captain Hargar</t>
  </si>
  <si>
    <t>00014134</t>
  </si>
  <si>
    <t>CaptainLonelyGale</t>
  </si>
  <si>
    <t>Captain Lonely-Gale</t>
  </si>
  <si>
    <t>0001C9F7</t>
  </si>
  <si>
    <t>CaptainMetilius</t>
  </si>
  <si>
    <t>Captain Metilius</t>
  </si>
  <si>
    <t>0007E5B4</t>
  </si>
  <si>
    <t>ValmirBASE</t>
  </si>
  <si>
    <t>Captain Valmir</t>
  </si>
  <si>
    <t>020182AC</t>
  </si>
  <si>
    <t>DLC2RRModynVeleth</t>
  </si>
  <si>
    <t>Captain Veleth</t>
  </si>
  <si>
    <t>00013296</t>
  </si>
  <si>
    <t>LeifWayfinder</t>
  </si>
  <si>
    <t>Captain Wayfinder</t>
  </si>
  <si>
    <t>000649CA</t>
  </si>
  <si>
    <t>dunPOISwimmer</t>
  </si>
  <si>
    <t>Captive</t>
  </si>
  <si>
    <t>00013B99</t>
  </si>
  <si>
    <t>CarlottaValentia</t>
  </si>
  <si>
    <t>Carlotta Valentia</t>
  </si>
  <si>
    <t>000424AE</t>
  </si>
  <si>
    <t>MQ201PartyCarriageDriver1</t>
  </si>
  <si>
    <t>Carriage Driver</t>
  </si>
  <si>
    <t>0004252C</t>
  </si>
  <si>
    <t>MQ201PartyCarriageDriver2</t>
  </si>
  <si>
    <t>00021207</t>
  </si>
  <si>
    <t>MQ201PartyCarriageSolitudeDriver</t>
  </si>
  <si>
    <t>0009A079</t>
  </si>
  <si>
    <t>CarriageDriverTemplate</t>
  </si>
  <si>
    <t>Cart Driver</t>
  </si>
  <si>
    <t>000F6EF3</t>
  </si>
  <si>
    <t>CarriageDriverTemplateNew</t>
  </si>
  <si>
    <t>02027168</t>
  </si>
  <si>
    <t>DLC2NB01CorpseFall2</t>
  </si>
  <si>
    <t>Castor the Puzzlemaker's Corpse</t>
  </si>
  <si>
    <t>0001338F</t>
  </si>
  <si>
    <t>Cedran</t>
  </si>
  <si>
    <t>0201541E</t>
  </si>
  <si>
    <t>DLC1Celann</t>
  </si>
  <si>
    <t>Celann</t>
  </si>
  <si>
    <t>000834FE</t>
  </si>
  <si>
    <t>DA02Champion</t>
  </si>
  <si>
    <t>Champion of Boethiah</t>
  </si>
  <si>
    <t>00013B79</t>
  </si>
  <si>
    <t>Burguk</t>
  </si>
  <si>
    <t>Chief Burguk</t>
  </si>
  <si>
    <t>00019951</t>
  </si>
  <si>
    <t>Larak</t>
  </si>
  <si>
    <t>Chief Larak</t>
  </si>
  <si>
    <t>0001B075</t>
  </si>
  <si>
    <t>Mauhulakh</t>
  </si>
  <si>
    <t>Chief Mauhulakh</t>
  </si>
  <si>
    <t>HairMaleOrc11</t>
  </si>
  <si>
    <t>0003BC26</t>
  </si>
  <si>
    <t>Yamarz</t>
  </si>
  <si>
    <t>Chief Yamarz</t>
  </si>
  <si>
    <t>00090738</t>
  </si>
  <si>
    <t>dunMistwatchChrister</t>
  </si>
  <si>
    <t>Christer</t>
  </si>
  <si>
    <t>0001BDB1</t>
  </si>
  <si>
    <t>Cicero</t>
  </si>
  <si>
    <t>0009BCAF</t>
  </si>
  <si>
    <t>CiceroDawnstar</t>
  </si>
  <si>
    <t>000550F0</t>
  </si>
  <si>
    <t>CiceroRoad</t>
  </si>
  <si>
    <t>02018282</t>
  </si>
  <si>
    <t>DLC2RRCindiriArano</t>
  </si>
  <si>
    <t>Cindiri Arano</t>
  </si>
  <si>
    <t>HairFemaleElf05</t>
  </si>
  <si>
    <t>0001C4E4</t>
  </si>
  <si>
    <t>DA03ClavicusVile</t>
  </si>
  <si>
    <t>Clavicus Vile</t>
  </si>
  <si>
    <t>00019A2C</t>
  </si>
  <si>
    <t>ClintonLylvieve</t>
  </si>
  <si>
    <t>Clinton Lylvieve</t>
  </si>
  <si>
    <t>00087B9D</t>
  </si>
  <si>
    <t>DBRecurringTarget9Windhelm</t>
  </si>
  <si>
    <t>Coldhearted Gravedigger</t>
  </si>
  <si>
    <t>0001C19A</t>
  </si>
  <si>
    <t>ColetteMarence</t>
  </si>
  <si>
    <t>Colette Marence</t>
  </si>
  <si>
    <t>00038257</t>
  </si>
  <si>
    <t>CommanderCaius</t>
  </si>
  <si>
    <t>Commander Caius</t>
  </si>
  <si>
    <t>0001D4B5</t>
  </si>
  <si>
    <t>CommanderMaro</t>
  </si>
  <si>
    <t>Commander Maro</t>
  </si>
  <si>
    <t>0003DC4C</t>
  </si>
  <si>
    <t>dunDA14DrinkingTEMPLATE</t>
  </si>
  <si>
    <t>Commoner</t>
  </si>
  <si>
    <t>000DE517</t>
  </si>
  <si>
    <t>DunYsgramorsTomb_LvlGhostMelee1HFemale</t>
  </si>
  <si>
    <t>Companion Ghost</t>
  </si>
  <si>
    <t>000AB102</t>
  </si>
  <si>
    <t>DunYsgramorsTomb_LvlGhostMelee1HMale</t>
  </si>
  <si>
    <t>000DE516</t>
  </si>
  <si>
    <t>DunYsgramorsTomb_LvlGhostMelee2HFemale</t>
  </si>
  <si>
    <t>000DE519</t>
  </si>
  <si>
    <t>DunYsgramorsTomb_LvlGhostMelee2HMale</t>
  </si>
  <si>
    <t>000DE518</t>
  </si>
  <si>
    <t>DunYsgramorsTomb_LvlGhostMissileFemale</t>
  </si>
  <si>
    <t>000AB104</t>
  </si>
  <si>
    <t>DunYsgramorsTomb_LvlGhostMissileMale</t>
  </si>
  <si>
    <t>0009F844</t>
  </si>
  <si>
    <t>dunBluePalacePelagiusFearful</t>
  </si>
  <si>
    <t>Confidence</t>
  </si>
  <si>
    <t>000E0FC8</t>
  </si>
  <si>
    <t>EncWarlock04TemplateBossConjurer</t>
  </si>
  <si>
    <t>Conjurer</t>
  </si>
  <si>
    <t>0006D231</t>
  </si>
  <si>
    <t>EncWarlock04TemplateConjurer</t>
  </si>
  <si>
    <t>000E0FC3</t>
  </si>
  <si>
    <t>EncWarlock03TemplateBossConjurer</t>
  </si>
  <si>
    <t>Conjurer Adept</t>
  </si>
  <si>
    <t>0006D230</t>
  </si>
  <si>
    <t>EncWarlock03TemplateConjurer</t>
  </si>
  <si>
    <t>00013350</t>
  </si>
  <si>
    <t>ConstanceMichel</t>
  </si>
  <si>
    <t>Constance Michel</t>
  </si>
  <si>
    <t>0008A89D</t>
  </si>
  <si>
    <t>TreasCorpseCWImperialFemale</t>
  </si>
  <si>
    <t>Corpse</t>
  </si>
  <si>
    <t>0008A89C</t>
  </si>
  <si>
    <t>TreasCorpseCWImperialMale</t>
  </si>
  <si>
    <t>0008A89F</t>
  </si>
  <si>
    <t>TreasCorpseCWSonsFemale</t>
  </si>
  <si>
    <t>0008A89E</t>
  </si>
  <si>
    <t>TreasCorpseCWSonsMale</t>
  </si>
  <si>
    <t>00013266</t>
  </si>
  <si>
    <t>CorpulusVinius</t>
  </si>
  <si>
    <t>Corpulus Vinius</t>
  </si>
  <si>
    <t>00087B8C</t>
  </si>
  <si>
    <t>DBRecurringContact3DragonBridge</t>
  </si>
  <si>
    <t>Corrupt Agent</t>
  </si>
  <si>
    <t>00013390</t>
  </si>
  <si>
    <t>Cosnach</t>
  </si>
  <si>
    <t>0006A11A</t>
  </si>
  <si>
    <t>MGRA04Courier</t>
  </si>
  <si>
    <t>Courier</t>
  </si>
  <si>
    <t>001065F0</t>
  </si>
  <si>
    <t>WERoadCourierImperial</t>
  </si>
  <si>
    <t>001065EF</t>
  </si>
  <si>
    <t>WERoadCourierNord</t>
  </si>
  <si>
    <t>001065EE</t>
  </si>
  <si>
    <t>WERoadCourierWoodElf</t>
  </si>
  <si>
    <t>00039F83</t>
  </si>
  <si>
    <t>WICourierNPC</t>
  </si>
  <si>
    <t>000510C2</t>
  </si>
  <si>
    <t>CWMission08CowHand</t>
  </si>
  <si>
    <t>Cow Hand</t>
  </si>
  <si>
    <t>02018278</t>
  </si>
  <si>
    <t>DLC2RRCresciusCaerellius</t>
  </si>
  <si>
    <t>Crescius Caerellius</t>
  </si>
  <si>
    <t>000E0FD4</t>
  </si>
  <si>
    <t>EncWarlock06TemplateBossIce</t>
  </si>
  <si>
    <t>Cryomancer</t>
  </si>
  <si>
    <t>00045CBF</t>
  </si>
  <si>
    <t>EncWarlock06TemplateIce</t>
  </si>
  <si>
    <t>02030CD2</t>
  </si>
  <si>
    <t>DLC2EncCultist00Template</t>
  </si>
  <si>
    <t>Cultist</t>
  </si>
  <si>
    <t>02030CD1</t>
  </si>
  <si>
    <t>DLC2EncCultist03Template</t>
  </si>
  <si>
    <t>02030CD3</t>
  </si>
  <si>
    <t>DLC2EncCultist04Template</t>
  </si>
  <si>
    <t>Cultist Adept</t>
  </si>
  <si>
    <t>0001A6B3</t>
  </si>
  <si>
    <t>Curwe</t>
  </si>
  <si>
    <t>0007F42A</t>
  </si>
  <si>
    <t>CurweDead</t>
  </si>
  <si>
    <t>000D4FD8</t>
  </si>
  <si>
    <t>CynricEndell</t>
  </si>
  <si>
    <t>Cynric Endell</t>
  </si>
  <si>
    <t>0001434B</t>
  </si>
  <si>
    <t>Dagny</t>
  </si>
  <si>
    <t>0001C183</t>
  </si>
  <si>
    <t>Dagur</t>
  </si>
  <si>
    <t>00013391</t>
  </si>
  <si>
    <t>Daighre</t>
  </si>
  <si>
    <t>000132A4</t>
  </si>
  <si>
    <t>DalanMerchad</t>
  </si>
  <si>
    <t>Dalan Merchad</t>
  </si>
  <si>
    <t>00013BA5</t>
  </si>
  <si>
    <t>DanicaPureSpring</t>
  </si>
  <si>
    <t>Danica Pure-Spring</t>
  </si>
  <si>
    <t>0009D761</t>
  </si>
  <si>
    <t>dunHagsEnd_DBAssassin</t>
  </si>
  <si>
    <t>Dark Brotherhood Assassin</t>
  </si>
  <si>
    <t>00015CFA</t>
  </si>
  <si>
    <t>DBInitiate1</t>
  </si>
  <si>
    <t>Dark Brotherhood Initiate</t>
  </si>
  <si>
    <t>00015CFE</t>
  </si>
  <si>
    <t>DBInitiate2</t>
  </si>
  <si>
    <t>000457F7</t>
  </si>
  <si>
    <t>TreasCorpseCommonerDarkElfFemale</t>
  </si>
  <si>
    <t>Dark Elf</t>
  </si>
  <si>
    <t>HairFemaleElf04</t>
  </si>
  <si>
    <t>00045800</t>
  </si>
  <si>
    <t>TreasCorpseCommonerDarkElfM</t>
  </si>
  <si>
    <t>001034FE</t>
  </si>
  <si>
    <t>WEAdventurerDualPoisonerDarkElfM</t>
  </si>
  <si>
    <t>001034FF</t>
  </si>
  <si>
    <t>WEAdventurerSpellswordDarkElfF</t>
  </si>
  <si>
    <t>HairFemaleDarkElf06</t>
  </si>
  <si>
    <t>02014216</t>
  </si>
  <si>
    <t>EncDawnguard00Template</t>
  </si>
  <si>
    <t>Dawnguard</t>
  </si>
  <si>
    <t>02003512</t>
  </si>
  <si>
    <t>DLC1_WESC06_LvlDawnguardFleeing</t>
  </si>
  <si>
    <t>Dawnguard Novice Hakar</t>
  </si>
  <si>
    <t>0201993C</t>
  </si>
  <si>
    <t>DLC1_WESC05_DawnguardHunter</t>
  </si>
  <si>
    <t>Dawnguard Vampire Hunter</t>
  </si>
  <si>
    <t>0004CEDF</t>
  </si>
  <si>
    <t>dunFolgunthurDaynas</t>
  </si>
  <si>
    <t>Daynas Valen</t>
  </si>
  <si>
    <t>000B6425</t>
  </si>
  <si>
    <t>TreasCorpseScholarHighElfMale</t>
  </si>
  <si>
    <t>Dead Scholar</t>
  </si>
  <si>
    <t>0201A3C0</t>
  </si>
  <si>
    <t>DLC1dunRedwaterDenVampireThrallDealer</t>
  </si>
  <si>
    <t>Dealer</t>
  </si>
  <si>
    <t>00013268</t>
  </si>
  <si>
    <t>Deeja</t>
  </si>
  <si>
    <t>HairArgonianFemale04</t>
  </si>
  <si>
    <t>00020040</t>
  </si>
  <si>
    <t>Deekus</t>
  </si>
  <si>
    <t>000BBDA0</t>
  </si>
  <si>
    <t>WEDL08DeepInHisCups</t>
  </si>
  <si>
    <t>Deep-In-His-Cups</t>
  </si>
  <si>
    <t>00013392</t>
  </si>
  <si>
    <t>Degaine</t>
  </si>
  <si>
    <t>00072663</t>
  </si>
  <si>
    <t>Delacourt</t>
  </si>
  <si>
    <t>00013478</t>
  </si>
  <si>
    <t>Delphine</t>
  </si>
  <si>
    <t>0001CB78</t>
  </si>
  <si>
    <t>DelvinMallory</t>
  </si>
  <si>
    <t>Delvin Mallory</t>
  </si>
  <si>
    <t>0001365A</t>
  </si>
  <si>
    <t>Dengeir</t>
  </si>
  <si>
    <t>Dengeir of Stuhn</t>
  </si>
  <si>
    <t>02018FA5</t>
  </si>
  <si>
    <t>DLC2SVDeor</t>
  </si>
  <si>
    <t>Deor Woodcutter</t>
  </si>
  <si>
    <t>0001403E</t>
  </si>
  <si>
    <t>Derkeethus</t>
  </si>
  <si>
    <t>HairArgonianMale03</t>
  </si>
  <si>
    <t>0001327C</t>
  </si>
  <si>
    <t>Dervenin</t>
  </si>
  <si>
    <t>00087B8E</t>
  </si>
  <si>
    <t>DBRecurringContact5Windhelm</t>
  </si>
  <si>
    <t>Desperate Gambler</t>
  </si>
  <si>
    <t>020058B0</t>
  </si>
  <si>
    <t>DLC1Dexion</t>
  </si>
  <si>
    <t>Dexion Evicus</t>
  </si>
  <si>
    <t>00013352</t>
  </si>
  <si>
    <t>Dinya</t>
  </si>
  <si>
    <t>Dinya Balu</t>
  </si>
  <si>
    <t>0001336D</t>
  </si>
  <si>
    <t>Dirge</t>
  </si>
  <si>
    <t>00087B92</t>
  </si>
  <si>
    <t>DBRecurringContact7Solitude</t>
  </si>
  <si>
    <t>Dishonored Skald</t>
  </si>
  <si>
    <t>0203A47F</t>
  </si>
  <si>
    <t>DLC2DummyFreaVoiceTypeNPC</t>
  </si>
  <si>
    <t>Do Not Delete Me - needed for export to work</t>
  </si>
  <si>
    <t>00058FB7</t>
  </si>
  <si>
    <t>DomnaMagia</t>
  </si>
  <si>
    <t>000D673A</t>
  </si>
  <si>
    <t>Donnel</t>
  </si>
  <si>
    <t>000AF524</t>
  </si>
  <si>
    <t>SailorDorian</t>
  </si>
  <si>
    <t>Dorian</t>
  </si>
  <si>
    <t>00013477</t>
  </si>
  <si>
    <t>Dorthe</t>
  </si>
  <si>
    <t>000CD63E</t>
  </si>
  <si>
    <t>dunForelhostLvlGhostBase</t>
  </si>
  <si>
    <t>Dragon Cultist</t>
  </si>
  <si>
    <t>00095F7E</t>
  </si>
  <si>
    <t>Drahff</t>
  </si>
  <si>
    <t>00013353</t>
  </si>
  <si>
    <t>Dravin</t>
  </si>
  <si>
    <t>Dravin Llanith</t>
  </si>
  <si>
    <t>0001365F</t>
  </si>
  <si>
    <t>Dravynea</t>
  </si>
  <si>
    <t>Dravynea the Stoneweaver</t>
  </si>
  <si>
    <t>02018447</t>
  </si>
  <si>
    <t>DravyneaDUPLICATE001</t>
  </si>
  <si>
    <t>000E76C9</t>
  </si>
  <si>
    <t>dunDrelas_LvlWarlockElementalAggro1024</t>
  </si>
  <si>
    <t>Drelas</t>
  </si>
  <si>
    <t>HairMaleDarkElf04</t>
  </si>
  <si>
    <t>0004C734</t>
  </si>
  <si>
    <t>Drennen</t>
  </si>
  <si>
    <t>0004C751</t>
  </si>
  <si>
    <t>DrennenCorpse</t>
  </si>
  <si>
    <t>0001C198</t>
  </si>
  <si>
    <t>DrevisNeloren</t>
  </si>
  <si>
    <t>Drevis Neloren</t>
  </si>
  <si>
    <t>02018294</t>
  </si>
  <si>
    <t>DLC2RRDreylaAlor</t>
  </si>
  <si>
    <t>Dreyla Alor</t>
  </si>
  <si>
    <t>00013354</t>
  </si>
  <si>
    <t>Drifa</t>
  </si>
  <si>
    <t>0001B1CF</t>
  </si>
  <si>
    <t>Dromarash</t>
  </si>
  <si>
    <t>Dro'marash</t>
  </si>
  <si>
    <t>HairKhajiitMale10</t>
  </si>
  <si>
    <t>02017779</t>
  </si>
  <si>
    <t>DLC2Drovas</t>
  </si>
  <si>
    <t>Drovas Relvi</t>
  </si>
  <si>
    <t>HairMaleElf06</t>
  </si>
  <si>
    <t>0001CB2E</t>
  </si>
  <si>
    <t>DA14Cultist</t>
  </si>
  <si>
    <t>Drunk Cultist</t>
  </si>
  <si>
    <t>000D6711</t>
  </si>
  <si>
    <t>Dryston</t>
  </si>
  <si>
    <t>00013393</t>
  </si>
  <si>
    <t>Duach</t>
  </si>
  <si>
    <t>000C78C0</t>
  </si>
  <si>
    <t>Dulug</t>
  </si>
  <si>
    <t>00084D15</t>
  </si>
  <si>
    <t>TGCrownGhostBase</t>
  </si>
  <si>
    <t>Dunmer Ghost</t>
  </si>
  <si>
    <t>0201541D</t>
  </si>
  <si>
    <t>DLC1Durak</t>
  </si>
  <si>
    <t>Durak</t>
  </si>
  <si>
    <t>0001B079</t>
  </si>
  <si>
    <t>Dushnamub</t>
  </si>
  <si>
    <t>000132A0</t>
  </si>
  <si>
    <t>TG04EECDockmaster</t>
  </si>
  <si>
    <t>East Empire Dockmaster</t>
  </si>
  <si>
    <t>0007E5EB</t>
  </si>
  <si>
    <t>TG04EECDockworker01</t>
  </si>
  <si>
    <t>East Empire Dockworker</t>
  </si>
  <si>
    <t>0007E5EA</t>
  </si>
  <si>
    <t>TG04EECDockworker02</t>
  </si>
  <si>
    <t>020285C3</t>
  </si>
  <si>
    <t>DLC2EbonyWarrior</t>
  </si>
  <si>
    <t>Ebony Warrior</t>
  </si>
  <si>
    <t>00013356</t>
  </si>
  <si>
    <t>Edda</t>
  </si>
  <si>
    <t>000877AF</t>
  </si>
  <si>
    <t>Edith</t>
  </si>
  <si>
    <t>02018FBD</t>
  </si>
  <si>
    <t>DLC2SVEdla</t>
  </si>
  <si>
    <t>Edla</t>
  </si>
  <si>
    <t>0001E957</t>
  </si>
  <si>
    <t>Edorfin</t>
  </si>
  <si>
    <t>000B2977</t>
  </si>
  <si>
    <t>Eimar</t>
  </si>
  <si>
    <t>0002C6CC</t>
  </si>
  <si>
    <t>Einarth</t>
  </si>
  <si>
    <t>0001C185</t>
  </si>
  <si>
    <t>Eirid</t>
  </si>
  <si>
    <t>000D001A</t>
  </si>
  <si>
    <t>dunFrostmereCryptEisa</t>
  </si>
  <si>
    <t>Eisa Blackthorn</t>
  </si>
  <si>
    <t>0001412A</t>
  </si>
  <si>
    <t>Elda</t>
  </si>
  <si>
    <t>Elda Early-Dawn</t>
  </si>
  <si>
    <t>0201828A</t>
  </si>
  <si>
    <t>DLC2RRElderOthreloth</t>
  </si>
  <si>
    <t>Elder Othreloth</t>
  </si>
  <si>
    <t>000E0FD6</t>
  </si>
  <si>
    <t>EncWarlock06TemplateBossStorm</t>
  </si>
  <si>
    <t>Electromancer</t>
  </si>
  <si>
    <t>00045CC0</t>
  </si>
  <si>
    <t>EncWarlock06TemplateStorm</t>
  </si>
  <si>
    <t>00013269</t>
  </si>
  <si>
    <t>Elenwen</t>
  </si>
  <si>
    <t>00013357</t>
  </si>
  <si>
    <t>Elgrim</t>
  </si>
  <si>
    <t>0001326A</t>
  </si>
  <si>
    <t>ElisifTheFair</t>
  </si>
  <si>
    <t>Elisif the Fair</t>
  </si>
  <si>
    <t>0201A51A</t>
  </si>
  <si>
    <t>DLC2Elmus</t>
  </si>
  <si>
    <t>Elmus</t>
  </si>
  <si>
    <t>00013B9E</t>
  </si>
  <si>
    <t>Elrindir</t>
  </si>
  <si>
    <t>HairMaleElf02</t>
  </si>
  <si>
    <t>00013394</t>
  </si>
  <si>
    <t>Eltrys</t>
  </si>
  <si>
    <t>000B878B</t>
  </si>
  <si>
    <t>MG07ElvaliGhost</t>
  </si>
  <si>
    <t>Elvali Veren</t>
  </si>
  <si>
    <t>02017778</t>
  </si>
  <si>
    <t>DLC2Elynea</t>
  </si>
  <si>
    <t>Elynea Mothren</t>
  </si>
  <si>
    <t>0003550B</t>
  </si>
  <si>
    <t>Embry</t>
  </si>
  <si>
    <t>0001D4B9</t>
  </si>
  <si>
    <t>TitusMedeII</t>
  </si>
  <si>
    <t>Emperor Titus Mede II</t>
  </si>
  <si>
    <t>0001D4BA</t>
  </si>
  <si>
    <t>TitusMedeIIDecoy</t>
  </si>
  <si>
    <t>0001326F</t>
  </si>
  <si>
    <t>Endarie</t>
  </si>
  <si>
    <t>HairFemaleElf09</t>
  </si>
  <si>
    <t>00013395</t>
  </si>
  <si>
    <t>Endon</t>
  </si>
  <si>
    <t>0003B0E4</t>
  </si>
  <si>
    <t>dunAlftandEndrast</t>
  </si>
  <si>
    <t>Endrast</t>
  </si>
  <si>
    <t>HairMaleElf01</t>
  </si>
  <si>
    <t>0200BE12</t>
  </si>
  <si>
    <t>BYOHCarriageDriver2</t>
  </si>
  <si>
    <t>Engar</t>
  </si>
  <si>
    <t>00013B6C</t>
  </si>
  <si>
    <t>Enmon</t>
  </si>
  <si>
    <t>0001B3B5</t>
  </si>
  <si>
    <t>Ennis</t>
  </si>
  <si>
    <t>00013396</t>
  </si>
  <si>
    <t>Ennoc</t>
  </si>
  <si>
    <t>0001360C</t>
  </si>
  <si>
    <t>EnnodiusPapius</t>
  </si>
  <si>
    <t>Ennodius Papius</t>
  </si>
  <si>
    <t>0001C19C</t>
  </si>
  <si>
    <t>Enthir</t>
  </si>
  <si>
    <t>000F737C</t>
  </si>
  <si>
    <t>MG07LabyrinthianThrall01</t>
  </si>
  <si>
    <t>Enthralled Wizard</t>
  </si>
  <si>
    <t>000F7385</t>
  </si>
  <si>
    <t>MG07LabyrinthianThrall02</t>
  </si>
  <si>
    <t>000F4926</t>
  </si>
  <si>
    <t>MG07Thrall01</t>
  </si>
  <si>
    <t>0001990F</t>
  </si>
  <si>
    <t>Eola</t>
  </si>
  <si>
    <t>00013B9D</t>
  </si>
  <si>
    <t>EorlundGrayMane</t>
  </si>
  <si>
    <t>Eorlund Gray-Mane</t>
  </si>
  <si>
    <t>0002427D</t>
  </si>
  <si>
    <t>Erandur</t>
  </si>
  <si>
    <t>HairMaleElf08</t>
  </si>
  <si>
    <t>00013271</t>
  </si>
  <si>
    <t>Erdi</t>
  </si>
  <si>
    <t>0002ABC4</t>
  </si>
  <si>
    <t>DA05Hunter03_Eriana</t>
  </si>
  <si>
    <t>Eriana</t>
  </si>
  <si>
    <t>HairFemaleNord21</t>
  </si>
  <si>
    <t>000350A7</t>
  </si>
  <si>
    <t>Erik</t>
  </si>
  <si>
    <t>00065657</t>
  </si>
  <si>
    <t>HirelingErikTheSlayer</t>
  </si>
  <si>
    <t>Erik the Slayer</t>
  </si>
  <si>
    <t>00013272</t>
  </si>
  <si>
    <t>Erikur</t>
  </si>
  <si>
    <t>000AF522</t>
  </si>
  <si>
    <t>SailorEris</t>
  </si>
  <si>
    <t>Eris</t>
  </si>
  <si>
    <t>000133AB</t>
  </si>
  <si>
    <t>Erith</t>
  </si>
  <si>
    <t>00093858</t>
  </si>
  <si>
    <t>dunNchuandErj</t>
  </si>
  <si>
    <t>Erj</t>
  </si>
  <si>
    <t>000EA71F</t>
  </si>
  <si>
    <t>MQ305Erlendr</t>
  </si>
  <si>
    <t>Erlendr</t>
  </si>
  <si>
    <t>00013358</t>
  </si>
  <si>
    <t>Esbern</t>
  </si>
  <si>
    <t>000BFB44</t>
  </si>
  <si>
    <t>WEDLExecutionPrisoner</t>
  </si>
  <si>
    <t>Escaped Prisoner</t>
  </si>
  <si>
    <t>0202AD30</t>
  </si>
  <si>
    <t>DLC2RREsmondTyne</t>
  </si>
  <si>
    <t>Esmond Tyne</t>
  </si>
  <si>
    <t>00034D97</t>
  </si>
  <si>
    <t>Estormo</t>
  </si>
  <si>
    <t>0003A1D3</t>
  </si>
  <si>
    <t>EtienneRarnis</t>
  </si>
  <si>
    <t>Etienne Rarnis</t>
  </si>
  <si>
    <t>00013273</t>
  </si>
  <si>
    <t>EvetteSan</t>
  </si>
  <si>
    <t>Evette San</t>
  </si>
  <si>
    <t>02039D10</t>
  </si>
  <si>
    <t>DLC2RRMinerEvul</t>
  </si>
  <si>
    <t>Evul Seloth</t>
  </si>
  <si>
    <t>0203B540</t>
  </si>
  <si>
    <t>DLC2dunFahlbtharzExplorerCorpse02</t>
  </si>
  <si>
    <t>Eydis</t>
  </si>
  <si>
    <t>00013B77</t>
  </si>
  <si>
    <t>00013480</t>
  </si>
  <si>
    <t>Faendal</t>
  </si>
  <si>
    <t>00019A28</t>
  </si>
  <si>
    <t>Faida</t>
  </si>
  <si>
    <t>02031862</t>
  </si>
  <si>
    <t>DLC2MerchMerchant</t>
  </si>
  <si>
    <t>Falas Selvayn</t>
  </si>
  <si>
    <t>000B85B9</t>
  </si>
  <si>
    <t>WEJS10Faldrus</t>
  </si>
  <si>
    <t>Faldrus</t>
  </si>
  <si>
    <t>00013397</t>
  </si>
  <si>
    <t>Faleen</t>
  </si>
  <si>
    <t>000135E9</t>
  </si>
  <si>
    <t>Falion</t>
  </si>
  <si>
    <t>00013274</t>
  </si>
  <si>
    <t>FalkFirebeard</t>
  </si>
  <si>
    <t>Falk Firebeard</t>
  </si>
  <si>
    <t>02018FC5</t>
  </si>
  <si>
    <t>DLC2SVFanariStrongVoice</t>
  </si>
  <si>
    <t>Fanari Strong-Voice</t>
  </si>
  <si>
    <t>0001C197</t>
  </si>
  <si>
    <t>Faralda</t>
  </si>
  <si>
    <t>00013BBB</t>
  </si>
  <si>
    <t>FarengarSecretFire</t>
  </si>
  <si>
    <t>Farengar Secret-Fire</t>
  </si>
  <si>
    <t>0001A692</t>
  </si>
  <si>
    <t>Farkas</t>
  </si>
  <si>
    <t>02014210</t>
  </si>
  <si>
    <t>DLC1WEDB02Farmer</t>
  </si>
  <si>
    <t>Farmer</t>
  </si>
  <si>
    <t>000BD759</t>
  </si>
  <si>
    <t>WEDL13Farmer</t>
  </si>
  <si>
    <t>000BD75E</t>
  </si>
  <si>
    <t>WEDL14Farmer</t>
  </si>
  <si>
    <t>HairMaleNord08</t>
  </si>
  <si>
    <t>001034E6</t>
  </si>
  <si>
    <t>WEFarmerFemale</t>
  </si>
  <si>
    <t>001034E4</t>
  </si>
  <si>
    <t>WEFarmerMale</t>
  </si>
  <si>
    <t>00106A61</t>
  </si>
  <si>
    <t>WEFarmerMale02</t>
  </si>
  <si>
    <t>00014131</t>
  </si>
  <si>
    <t>FarylAtheron</t>
  </si>
  <si>
    <t>Faryl Atheron</t>
  </si>
  <si>
    <t>000136BF</t>
  </si>
  <si>
    <t>Fastred</t>
  </si>
  <si>
    <t>00044237</t>
  </si>
  <si>
    <t>FelldirTheOld</t>
  </si>
  <si>
    <t>Felldir the Old</t>
  </si>
  <si>
    <t>000CDA00</t>
  </si>
  <si>
    <t>MQ206Felldir</t>
  </si>
  <si>
    <t>000923F9</t>
  </si>
  <si>
    <t>SummonFelldir</t>
  </si>
  <si>
    <t>00038287</t>
  </si>
  <si>
    <t>T02Fenrig</t>
  </si>
  <si>
    <t>Fenrig</t>
  </si>
  <si>
    <t>0200CADF</t>
  </si>
  <si>
    <t>DLC1VCDungeonFeralVampire</t>
  </si>
  <si>
    <t>Feral Vampire</t>
  </si>
  <si>
    <t>02003366</t>
  </si>
  <si>
    <t>DLC1FeranSadri</t>
  </si>
  <si>
    <t>Feran Sadri</t>
  </si>
  <si>
    <t>0201684C</t>
  </si>
  <si>
    <t>DLC1FerrymanTemplateNew</t>
  </si>
  <si>
    <t>Ferryman</t>
  </si>
  <si>
    <t>0001BDB2</t>
  </si>
  <si>
    <t>FestusKrex</t>
  </si>
  <si>
    <t>Festus Krex</t>
  </si>
  <si>
    <t>000E0D6F</t>
  </si>
  <si>
    <t>FestusKrexDead</t>
  </si>
  <si>
    <t>02018292</t>
  </si>
  <si>
    <t>DLC2RRFethisAlor</t>
  </si>
  <si>
    <t>Fethis Alor</t>
  </si>
  <si>
    <t>000D16DD</t>
  </si>
  <si>
    <t>Fianna</t>
  </si>
  <si>
    <t>00013275</t>
  </si>
  <si>
    <t>Fihada</t>
  </si>
  <si>
    <t>000136C3</t>
  </si>
  <si>
    <t>Filnjar</t>
  </si>
  <si>
    <t>02018F9C</t>
  </si>
  <si>
    <t>DLC2SVFinna</t>
  </si>
  <si>
    <t>Finna</t>
  </si>
  <si>
    <t>000E0FC9</t>
  </si>
  <si>
    <t>EncWarlock04TemplateBossFire</t>
  </si>
  <si>
    <t>Fire Mage</t>
  </si>
  <si>
    <t>00045CA0</t>
  </si>
  <si>
    <t>EncWarlock04TemplateFire</t>
  </si>
  <si>
    <t>000E0FC4</t>
  </si>
  <si>
    <t>EncWarlock03TemplateBossFire</t>
  </si>
  <si>
    <t>Fire Mage Adept</t>
  </si>
  <si>
    <t>00045C7A</t>
  </si>
  <si>
    <t>EncWarlock03TemplateFire</t>
  </si>
  <si>
    <t>000F82BC</t>
  </si>
  <si>
    <t>dunLabyrinthianFireMagi</t>
  </si>
  <si>
    <t>Fire Spirit</t>
  </si>
  <si>
    <t>000E0FCE</t>
  </si>
  <si>
    <t>EncWarlock05TemplateBossFire</t>
  </si>
  <si>
    <t>Fire Wizard</t>
  </si>
  <si>
    <t>00045CBB</t>
  </si>
  <si>
    <t>EncWarlock05TemplateFire</t>
  </si>
  <si>
    <t>000976FB</t>
  </si>
  <si>
    <t>dunChillwindFalmerPrisonerFirir</t>
  </si>
  <si>
    <t>Firir</t>
  </si>
  <si>
    <t>0200090D</t>
  </si>
  <si>
    <t>BYOHFishHatcheryNPC</t>
  </si>
  <si>
    <t>Fish Hatchery</t>
  </si>
  <si>
    <t>0003D725</t>
  </si>
  <si>
    <t>dunAnsilvundFemaleGhost</t>
  </si>
  <si>
    <t>Fjori</t>
  </si>
  <si>
    <t>0001E82C</t>
  </si>
  <si>
    <t>Fjotra</t>
  </si>
  <si>
    <t>0200336D</t>
  </si>
  <si>
    <t>DLC1FlorentiusBaenius</t>
  </si>
  <si>
    <t>Florentius Baenius</t>
  </si>
  <si>
    <t>00043BDC</t>
  </si>
  <si>
    <t>EncForsworn00Template</t>
  </si>
  <si>
    <t>Forsworn</t>
  </si>
  <si>
    <t>0004430A</t>
  </si>
  <si>
    <t>EncForsworn02TemplateBossMagic</t>
  </si>
  <si>
    <t>Forsworn Briarheart</t>
  </si>
  <si>
    <t>0004430B</t>
  </si>
  <si>
    <t>EncForsworn02TemplateBossMelee</t>
  </si>
  <si>
    <t>0004430C</t>
  </si>
  <si>
    <t>EncForsworn03TemplateBossMagic</t>
  </si>
  <si>
    <t>0004430D</t>
  </si>
  <si>
    <t>EncForsworn03TemplateBossMelee</t>
  </si>
  <si>
    <t>0004430E</t>
  </si>
  <si>
    <t>EncForsworn04TemplateBossMagic</t>
  </si>
  <si>
    <t>0004430F</t>
  </si>
  <si>
    <t>EncForsworn04TemplateBossMelee</t>
  </si>
  <si>
    <t>00044310</t>
  </si>
  <si>
    <t>EncForsworn05TemplateBossMagic</t>
  </si>
  <si>
    <t>00044311</t>
  </si>
  <si>
    <t>EncForsworn05TemplateBossMelee</t>
  </si>
  <si>
    <t>00044312</t>
  </si>
  <si>
    <t>EncForsworn06TemplateBossMagic</t>
  </si>
  <si>
    <t>00044313</t>
  </si>
  <si>
    <t>EncForsworn06TemplateBossMelee</t>
  </si>
  <si>
    <t>00043BF0</t>
  </si>
  <si>
    <t>EncForsworn02TemplateMagic</t>
  </si>
  <si>
    <t>Forsworn Forager</t>
  </si>
  <si>
    <t>00043BEE</t>
  </si>
  <si>
    <t>EncForsworn02TemplateMelee</t>
  </si>
  <si>
    <t>00043BEF</t>
  </si>
  <si>
    <t>EncForsworn02TemplateMissile</t>
  </si>
  <si>
    <t>00044262</t>
  </si>
  <si>
    <t>EncForsworn03TemplateMagic</t>
  </si>
  <si>
    <t>Forsworn Looter</t>
  </si>
  <si>
    <t>00044263</t>
  </si>
  <si>
    <t>EncForsworn03TemplateMelee</t>
  </si>
  <si>
    <t>00044264</t>
  </si>
  <si>
    <t>EncForsworn03TemplateMissile</t>
  </si>
  <si>
    <t>00044274</t>
  </si>
  <si>
    <t>EncForsworn04TemplateMagic</t>
  </si>
  <si>
    <t>Forsworn Pillager</t>
  </si>
  <si>
    <t>00044275</t>
  </si>
  <si>
    <t>EncForsworn04TemplateMelee</t>
  </si>
  <si>
    <t>00044276</t>
  </si>
  <si>
    <t>EncForsworn04TemplateMissile</t>
  </si>
  <si>
    <t>00044286</t>
  </si>
  <si>
    <t>EncForsworn05TemplateMagic</t>
  </si>
  <si>
    <t>Forsworn Ravager</t>
  </si>
  <si>
    <t>00044287</t>
  </si>
  <si>
    <t>EncForsworn05TemplateMelee</t>
  </si>
  <si>
    <t>00044288</t>
  </si>
  <si>
    <t>EncForsworn05TemplateMissile</t>
  </si>
  <si>
    <t>00043BEA</t>
  </si>
  <si>
    <t>EncForsworn01TemplateMagic</t>
  </si>
  <si>
    <t>Forsworn Shaman</t>
  </si>
  <si>
    <t>00044298</t>
  </si>
  <si>
    <t>EncForsworn06TemplateMagic</t>
  </si>
  <si>
    <t>Forsworn Warlord</t>
  </si>
  <si>
    <t>00044299</t>
  </si>
  <si>
    <t>EncForsworn06TemplateMelee</t>
  </si>
  <si>
    <t>0004429A</t>
  </si>
  <si>
    <t>EncForsworn06TemplateMissile</t>
  </si>
  <si>
    <t>00013398</t>
  </si>
  <si>
    <t>Frabbi</t>
  </si>
  <si>
    <t>00013B9C</t>
  </si>
  <si>
    <t>FraliaGrayMane</t>
  </si>
  <si>
    <t>Fralia Gray-Mane</t>
  </si>
  <si>
    <t>00013359</t>
  </si>
  <si>
    <t>Francois</t>
  </si>
  <si>
    <t>Francois Beaufort</t>
  </si>
  <si>
    <t>02017934</t>
  </si>
  <si>
    <t>DLC2Frea</t>
  </si>
  <si>
    <t>Frea</t>
  </si>
  <si>
    <t>00013277</t>
  </si>
  <si>
    <t>Freir</t>
  </si>
  <si>
    <t>00013614</t>
  </si>
  <si>
    <t>Frida</t>
  </si>
  <si>
    <t>00013278</t>
  </si>
  <si>
    <t>Fridrika</t>
  </si>
  <si>
    <t>000B1CFF</t>
  </si>
  <si>
    <t>dunMistwatchPrisonerWERJ01</t>
  </si>
  <si>
    <t>Frightened Woman</t>
  </si>
  <si>
    <t>0001347E</t>
  </si>
  <si>
    <t>Frodnar</t>
  </si>
  <si>
    <t>0003E8AD</t>
  </si>
  <si>
    <t>dunPOIReachTrollslayer</t>
  </si>
  <si>
    <t>Frofnir Trollsbane</t>
  </si>
  <si>
    <t>000185F6</t>
  </si>
  <si>
    <t>dunHunterFroki</t>
  </si>
  <si>
    <t>Froki Whetted-Blade</t>
  </si>
  <si>
    <t>0001335A</t>
  </si>
  <si>
    <t>FromDeepestFathoms</t>
  </si>
  <si>
    <t>From-Deepest-Fathoms</t>
  </si>
  <si>
    <t>HairArgonianFemale05</t>
  </si>
  <si>
    <t>00084553</t>
  </si>
  <si>
    <t>CWFieldCOSonsPale</t>
  </si>
  <si>
    <t>Frorkmar Banner-Torn</t>
  </si>
  <si>
    <t>000F82BA</t>
  </si>
  <si>
    <t>dunLabyrinthianFrostMagi</t>
  </si>
  <si>
    <t>Frost Spirit</t>
  </si>
  <si>
    <t>0001434C</t>
  </si>
  <si>
    <t>Frothar</t>
  </si>
  <si>
    <t>00013615</t>
  </si>
  <si>
    <t>Fruki</t>
  </si>
  <si>
    <t>000DA68A</t>
  </si>
  <si>
    <t>Fultheim</t>
  </si>
  <si>
    <t>0002E3E8</t>
  </si>
  <si>
    <t>DB02Captive1</t>
  </si>
  <si>
    <t>Fultheim the Fearless</t>
  </si>
  <si>
    <t>02003363</t>
  </si>
  <si>
    <t>DLC1FuraBloodmouth</t>
  </si>
  <si>
    <t>Fura Bloodmouth</t>
  </si>
  <si>
    <t>0001BDB8</t>
  </si>
  <si>
    <t>Gabriella</t>
  </si>
  <si>
    <t>0002FB1A</t>
  </si>
  <si>
    <t>GabriellaDead</t>
  </si>
  <si>
    <t>0001B09A</t>
  </si>
  <si>
    <t>GadbaGroLargash</t>
  </si>
  <si>
    <t>Gadba gro-Largash</t>
  </si>
  <si>
    <t>0002EB58</t>
  </si>
  <si>
    <t>Gadnor</t>
  </si>
  <si>
    <t>00044050</t>
  </si>
  <si>
    <t>GaiusMaro</t>
  </si>
  <si>
    <t>Gaius Maro</t>
  </si>
  <si>
    <t>02006978</t>
  </si>
  <si>
    <t>DLC1Surgeon</t>
  </si>
  <si>
    <t>Galathil</t>
  </si>
  <si>
    <t>0201828C</t>
  </si>
  <si>
    <t>DLC2RRGaldrusHlervu</t>
  </si>
  <si>
    <t>Galdrus Hlervu</t>
  </si>
  <si>
    <t>000D0570</t>
  </si>
  <si>
    <t>CWBattleGalmar</t>
  </si>
  <si>
    <t>Galmar Stone-Fist</t>
  </si>
  <si>
    <t>00014128</t>
  </si>
  <si>
    <t>Galmar</t>
  </si>
  <si>
    <t>0001365D</t>
  </si>
  <si>
    <t>GannaUriel</t>
  </si>
  <si>
    <t>Ganna Uriel</t>
  </si>
  <si>
    <t>HairFemaleNord02</t>
  </si>
  <si>
    <t>00019E1C</t>
  </si>
  <si>
    <t>Garakh</t>
  </si>
  <si>
    <t>02003364</t>
  </si>
  <si>
    <t>DLC1GaranMarethi</t>
  </si>
  <si>
    <t>Garan Marethi</t>
  </si>
  <si>
    <t>000B03A3</t>
  </si>
  <si>
    <t>Garthar</t>
  </si>
  <si>
    <t>02037FE3</t>
  </si>
  <si>
    <t>DLC2dunHaknirGarukWindrime</t>
  </si>
  <si>
    <t>Garuk Windrime</t>
  </si>
  <si>
    <t>000D6703</t>
  </si>
  <si>
    <t>Garvey</t>
  </si>
  <si>
    <t>0201829F</t>
  </si>
  <si>
    <t>DLC2RRGarynIenth</t>
  </si>
  <si>
    <t>Garyn Ienth</t>
  </si>
  <si>
    <t>000199B7</t>
  </si>
  <si>
    <t>GatgroShargakh</t>
  </si>
  <si>
    <t>Gat gro-Shargakh</t>
  </si>
  <si>
    <t>000ECEDA</t>
  </si>
  <si>
    <t>dunReachwaterRockGauldur</t>
  </si>
  <si>
    <t>Gauldur</t>
  </si>
  <si>
    <t>00034CB8</t>
  </si>
  <si>
    <t>GavrosPlinius</t>
  </si>
  <si>
    <t>Gavros Plinius</t>
  </si>
  <si>
    <t>0001327D</t>
  </si>
  <si>
    <t>Geimund</t>
  </si>
  <si>
    <t>000C4409</t>
  </si>
  <si>
    <t>MS09Geirlund</t>
  </si>
  <si>
    <t>Geirlund</t>
  </si>
  <si>
    <t>02018290</t>
  </si>
  <si>
    <t>DLC2RRGeldisSadri</t>
  </si>
  <si>
    <t>Geldis Sadri</t>
  </si>
  <si>
    <t>0003983E</t>
  </si>
  <si>
    <t>Gelebros</t>
  </si>
  <si>
    <t>00014040</t>
  </si>
  <si>
    <t>GemmaUriel</t>
  </si>
  <si>
    <t>Gemma Uriel</t>
  </si>
  <si>
    <t>0201A564</t>
  </si>
  <si>
    <t>DLC2GeneralCarius</t>
  </si>
  <si>
    <t>General Falx Carius</t>
  </si>
  <si>
    <t>000D0577</t>
  </si>
  <si>
    <t>CWBattleTullius</t>
  </si>
  <si>
    <t>General Tullius</t>
  </si>
  <si>
    <t>0001327E</t>
  </si>
  <si>
    <t>GeneralTullius</t>
  </si>
  <si>
    <t>000C247E</t>
  </si>
  <si>
    <t>Gerda</t>
  </si>
  <si>
    <t>0001347C</t>
  </si>
  <si>
    <t>Gerdur</t>
  </si>
  <si>
    <t>00013603</t>
  </si>
  <si>
    <t>GesturRockbreaker</t>
  </si>
  <si>
    <t>Gestur Rockbreaker</t>
  </si>
  <si>
    <t>000C78C2</t>
  </si>
  <si>
    <t>Ghak</t>
  </si>
  <si>
    <t>000C78CC</t>
  </si>
  <si>
    <t>Ghamorz</t>
  </si>
  <si>
    <t>00013B7C</t>
  </si>
  <si>
    <t>Gharol</t>
  </si>
  <si>
    <t>00013B81</t>
  </si>
  <si>
    <t>Ghorbash</t>
  </si>
  <si>
    <t>Ghorbash the Iron Hand</t>
  </si>
  <si>
    <t>0001339A</t>
  </si>
  <si>
    <t>GhorzaGraBagol</t>
  </si>
  <si>
    <t>Ghorza gra-Bagol</t>
  </si>
  <si>
    <t>000725F6</t>
  </si>
  <si>
    <t>dunSnowyPOIGhost</t>
  </si>
  <si>
    <t>Ghost</t>
  </si>
  <si>
    <t>00104B61</t>
  </si>
  <si>
    <t>encGhost01Magic</t>
  </si>
  <si>
    <t>00104B60</t>
  </si>
  <si>
    <t>encGhost02Magic</t>
  </si>
  <si>
    <t>00104B5F</t>
  </si>
  <si>
    <t>encGhost03Magic</t>
  </si>
  <si>
    <t>00104B5E</t>
  </si>
  <si>
    <t>encGhost04Magic</t>
  </si>
  <si>
    <t>00104B5D</t>
  </si>
  <si>
    <t>encGhost05Magic</t>
  </si>
  <si>
    <t>00104B5C</t>
  </si>
  <si>
    <t>encGhost06Magic</t>
  </si>
  <si>
    <t>000D93A2</t>
  </si>
  <si>
    <t>LvlBanditGhostMelee1HFemale</t>
  </si>
  <si>
    <t>000B1F96</t>
  </si>
  <si>
    <t>LvlBanditGhostMelee1HMale</t>
  </si>
  <si>
    <t>000D93A3</t>
  </si>
  <si>
    <t>LvlBanditGhostMelee2HFemale</t>
  </si>
  <si>
    <t>000B1F97</t>
  </si>
  <si>
    <t>LvlBanditGhostMelee2HMale</t>
  </si>
  <si>
    <t>000D93A4</t>
  </si>
  <si>
    <t>LvlBanditGhostMeleeBerserkerFemale</t>
  </si>
  <si>
    <t>000B1F98</t>
  </si>
  <si>
    <t>LvlBanditGhostMeleeBerserkerMale</t>
  </si>
  <si>
    <t>000D93A5</t>
  </si>
  <si>
    <t>LvlBanditGhostMeleeTankFemale</t>
  </si>
  <si>
    <t>000B1F99</t>
  </si>
  <si>
    <t>LvlBanditGhostMeleeTankMale</t>
  </si>
  <si>
    <t>000D93A6</t>
  </si>
  <si>
    <t>LvlBanditGhostMissileFemale</t>
  </si>
  <si>
    <t>000B1F9A</t>
  </si>
  <si>
    <t>LvlBanditGhostMissileMale</t>
  </si>
  <si>
    <t>000D93A7</t>
  </si>
  <si>
    <t>LvlBanditGhostWizardFemale</t>
  </si>
  <si>
    <t>000B1F9B</t>
  </si>
  <si>
    <t>LvlBanditGhostWizardMale</t>
  </si>
  <si>
    <t>000B117E</t>
  </si>
  <si>
    <t>WEJS01AvengeGhost</t>
  </si>
  <si>
    <t>000C19F7</t>
  </si>
  <si>
    <t>WEJS01Ghost</t>
  </si>
  <si>
    <t>000681A2</t>
  </si>
  <si>
    <t>FreeformOldHroldanBGhost</t>
  </si>
  <si>
    <t>Ghost of Old Hroldan</t>
  </si>
  <si>
    <t>0010A062</t>
  </si>
  <si>
    <t>dunRatwayGian</t>
  </si>
  <si>
    <t>Gian the Fist</t>
  </si>
  <si>
    <t>0004BCC3</t>
  </si>
  <si>
    <t>Gianna</t>
  </si>
  <si>
    <t>0001367A</t>
  </si>
  <si>
    <t>Gilfre</t>
  </si>
  <si>
    <t>00013281</t>
  </si>
  <si>
    <t>GiraudGemane</t>
  </si>
  <si>
    <t>Giraud Gemane</t>
  </si>
  <si>
    <t>000B878A</t>
  </si>
  <si>
    <t>MG07GirduinGhost</t>
  </si>
  <si>
    <t>Girduin</t>
  </si>
  <si>
    <t>00013282</t>
  </si>
  <si>
    <t>Gisli</t>
  </si>
  <si>
    <t>00039F23</t>
  </si>
  <si>
    <t>Gissur</t>
  </si>
  <si>
    <t>000876DA</t>
  </si>
  <si>
    <t>Gjak</t>
  </si>
  <si>
    <t>020182AE</t>
  </si>
  <si>
    <t>DLC2RRGjalundSaltSageWindhelm</t>
  </si>
  <si>
    <t>Gjalund Salt-Sage</t>
  </si>
  <si>
    <t>00052269</t>
  </si>
  <si>
    <t>MS10Pirate3</t>
  </si>
  <si>
    <t>Gjuk</t>
  </si>
  <si>
    <t>00028DD6</t>
  </si>
  <si>
    <t>Gloth</t>
  </si>
  <si>
    <t>0201828E</t>
  </si>
  <si>
    <t>DLC2RRGloverMallory</t>
  </si>
  <si>
    <t>Glover Mallory</t>
  </si>
  <si>
    <t>00019FE8</t>
  </si>
  <si>
    <t>Golldir</t>
  </si>
  <si>
    <t>0008455B</t>
  </si>
  <si>
    <t>CWFieldCOSonsRift</t>
  </si>
  <si>
    <t>Gonnar Oath-Giver</t>
  </si>
  <si>
    <t>000135EA</t>
  </si>
  <si>
    <t>Gorm</t>
  </si>
  <si>
    <t>00044236</t>
  </si>
  <si>
    <t>GormlaithGoldenHilt</t>
  </si>
  <si>
    <t>Gormlaith Golden-Hilt</t>
  </si>
  <si>
    <t>000CD9F7</t>
  </si>
  <si>
    <t>MQ206Gormlaith</t>
  </si>
  <si>
    <t>000923FA</t>
  </si>
  <si>
    <t>SummonGormlaith</t>
  </si>
  <si>
    <t>0201684F</t>
  </si>
  <si>
    <t>DLC1FerrymanWindhelm</t>
  </si>
  <si>
    <t>Gort</t>
  </si>
  <si>
    <t>00019C01</t>
  </si>
  <si>
    <t>Gralnach</t>
  </si>
  <si>
    <t>0200521E</t>
  </si>
  <si>
    <t>BYOHHousecarlPale</t>
  </si>
  <si>
    <t>Gregor</t>
  </si>
  <si>
    <t>000136C5</t>
  </si>
  <si>
    <t>Grelka</t>
  </si>
  <si>
    <t>0001335E</t>
  </si>
  <si>
    <t>Grelod</t>
  </si>
  <si>
    <t>Grelod the Kind</t>
  </si>
  <si>
    <t>00013283</t>
  </si>
  <si>
    <t>Greta</t>
  </si>
  <si>
    <t>000C083B</t>
  </si>
  <si>
    <t>MQ201Bard</t>
  </si>
  <si>
    <t>Grete</t>
  </si>
  <si>
    <t>00087B90</t>
  </si>
  <si>
    <t>DBRecurringContact9Heljarchen</t>
  </si>
  <si>
    <t>Griefstricken Chef</t>
  </si>
  <si>
    <t>00087B9B</t>
  </si>
  <si>
    <t>DBRecurringTarget7Markarth</t>
  </si>
  <si>
    <t>Grim Shieldmaiden</t>
  </si>
  <si>
    <t>00014133</t>
  </si>
  <si>
    <t>Grimvar</t>
  </si>
  <si>
    <t>Grimvar Cruel-Sea</t>
  </si>
  <si>
    <t>0001339B</t>
  </si>
  <si>
    <t>Grisvar</t>
  </si>
  <si>
    <t>Grisvar the Unlucky</t>
  </si>
  <si>
    <t>000136C6</t>
  </si>
  <si>
    <t>GrogmarGroBurzag</t>
  </si>
  <si>
    <t>Grogmar gro-Burzag</t>
  </si>
  <si>
    <t>00019C00</t>
  </si>
  <si>
    <t>Grosta</t>
  </si>
  <si>
    <t>0001B1CD</t>
  </si>
  <si>
    <t>Grushnag</t>
  </si>
  <si>
    <t>000C78CA</t>
  </si>
  <si>
    <t>Gul</t>
  </si>
  <si>
    <t>HairFemaleOrc13</t>
  </si>
  <si>
    <t>00019E20</t>
  </si>
  <si>
    <t>Gularzob</t>
  </si>
  <si>
    <t>00013284</t>
  </si>
  <si>
    <t>GulumEi</t>
  </si>
  <si>
    <t>Gulum-Ei</t>
  </si>
  <si>
    <t>000AE77B</t>
  </si>
  <si>
    <t>Gunding</t>
  </si>
  <si>
    <t>020032B0</t>
  </si>
  <si>
    <t>BYOHCarriageDriver1</t>
  </si>
  <si>
    <t>Gunjar</t>
  </si>
  <si>
    <t>0009B0AD</t>
  </si>
  <si>
    <t>MQ101CorpseSons01</t>
  </si>
  <si>
    <t>0200336C</t>
  </si>
  <si>
    <t>DLC1Gunmar</t>
  </si>
  <si>
    <t>Gunmar</t>
  </si>
  <si>
    <t>00013643</t>
  </si>
  <si>
    <t>GunnarStoneEye</t>
  </si>
  <si>
    <t>Gunnar Stone-Eye</t>
  </si>
  <si>
    <t>00013285</t>
  </si>
  <si>
    <t>Guthrum</t>
  </si>
  <si>
    <t>0002C930</t>
  </si>
  <si>
    <t>Gwendolyn</t>
  </si>
  <si>
    <t>000658D4</t>
  </si>
  <si>
    <t>Gwilin</t>
  </si>
  <si>
    <t>00013627</t>
  </si>
  <si>
    <t>Hadring</t>
  </si>
  <si>
    <t>0002BF9F</t>
  </si>
  <si>
    <t>Hadvar</t>
  </si>
  <si>
    <t>0001335F</t>
  </si>
  <si>
    <t>Haelga</t>
  </si>
  <si>
    <t>00013360</t>
  </si>
  <si>
    <t>Hafjorg</t>
  </si>
  <si>
    <t>000B8785</t>
  </si>
  <si>
    <t>MG07HafnarGhost</t>
  </si>
  <si>
    <t>Hafnar Ice-Fist</t>
  </si>
  <si>
    <t>00074F83</t>
  </si>
  <si>
    <t>EncWitch02TemplateFire</t>
  </si>
  <si>
    <t>Hag</t>
  </si>
  <si>
    <t>00074F84</t>
  </si>
  <si>
    <t>EncWitch02TemplateIce</t>
  </si>
  <si>
    <t>00074F85</t>
  </si>
  <si>
    <t>EncWitch02TemplateStorm</t>
  </si>
  <si>
    <t>0201A373</t>
  </si>
  <si>
    <t>DLC2dunHaknir</t>
  </si>
  <si>
    <t>Haknir Death-Brand</t>
  </si>
  <si>
    <t>02037FF4</t>
  </si>
  <si>
    <t>DLC2dunHaknir_LvlBanditGhostMelee1HFemale</t>
  </si>
  <si>
    <t>Haknir's Crew</t>
  </si>
  <si>
    <t>02038001</t>
  </si>
  <si>
    <t>DLC2dunHaknir_LvlBanditGhostMelee1HFemale_Weak</t>
  </si>
  <si>
    <t>02037FF5</t>
  </si>
  <si>
    <t>DLC2dunHaknir_LvlBanditGhostMelee1HMale</t>
  </si>
  <si>
    <t>02038002</t>
  </si>
  <si>
    <t>DLC2dunHaknir_LvlBanditGhostMelee1HMale_Weak</t>
  </si>
  <si>
    <t>02037FF6</t>
  </si>
  <si>
    <t>DLC2dunHaknir_LvlBanditGhostMelee2HFemale</t>
  </si>
  <si>
    <t>02038003</t>
  </si>
  <si>
    <t>DLC2dunHaknir_LvlBanditGhostMelee2HFemale_Weak</t>
  </si>
  <si>
    <t>02037FF7</t>
  </si>
  <si>
    <t>DLC2dunHaknir_LvlBanditGhostMelee2HMale</t>
  </si>
  <si>
    <t>02038004</t>
  </si>
  <si>
    <t>DLC2dunHaknir_LvlBanditGhostMelee2HMale_Weak</t>
  </si>
  <si>
    <t>02037FF8</t>
  </si>
  <si>
    <t>DLC2dunHaknir_LvlBanditGhostMeleeBerserkerFemale</t>
  </si>
  <si>
    <t>02038005</t>
  </si>
  <si>
    <t>DLC2dunHaknir_LvlBanditGhostMeleeBerserkerFemale_Weak</t>
  </si>
  <si>
    <t>02037FF9</t>
  </si>
  <si>
    <t>DLC2dunHaknir_LvlBanditGhostMeleeBerserkerMale</t>
  </si>
  <si>
    <t>02038006</t>
  </si>
  <si>
    <t>DLC2dunHaknir_LvlBanditGhostMeleeBerserkerMale_Weak</t>
  </si>
  <si>
    <t>02037FFB</t>
  </si>
  <si>
    <t>DLC2dunHaknir_LvlBanditGhostMeleeMissileFemale</t>
  </si>
  <si>
    <t>02038007</t>
  </si>
  <si>
    <t>DLC2dunHaknir_LvlBanditGhostMeleeMissileFemale_Weak</t>
  </si>
  <si>
    <t>02037FFC</t>
  </si>
  <si>
    <t>DLC2dunHaknir_LvlBanditGhostMeleeMissileMale</t>
  </si>
  <si>
    <t>02038008</t>
  </si>
  <si>
    <t>DLC2dunHaknir_LvlBanditGhostMeleeMissileMale_Weak</t>
  </si>
  <si>
    <t>02037FFF</t>
  </si>
  <si>
    <t>DLC2dunHaknir_LvlBanditGhostMeleeTankFemale</t>
  </si>
  <si>
    <t>02038009</t>
  </si>
  <si>
    <t>DLC2dunHaknir_LvlBanditGhostMeleeTankFemale_Weak</t>
  </si>
  <si>
    <t>02037FFA</t>
  </si>
  <si>
    <t>DLC2dunHaknir_LvlBanditGhostMeleeTankMale</t>
  </si>
  <si>
    <t>0203800A</t>
  </si>
  <si>
    <t>DLC2dunHaknir_LvlBanditGhostMeleeTankMale_Weak</t>
  </si>
  <si>
    <t>02037FFD</t>
  </si>
  <si>
    <t>DLC2dunHaknir_LvlBanditGhostWizardFemale</t>
  </si>
  <si>
    <t>0203800B</t>
  </si>
  <si>
    <t>DLC2dunHaknir_LvlBanditGhostWizardFemale_Weak</t>
  </si>
  <si>
    <t>02037FFE</t>
  </si>
  <si>
    <t>DLC2dunHaknir_LvlBanditGhostWizardMale</t>
  </si>
  <si>
    <t>0203800C</t>
  </si>
  <si>
    <t>DLC2dunHaknir_LvlBanditGhostWizardMale_Weak</t>
  </si>
  <si>
    <t>00044238</t>
  </si>
  <si>
    <t>HakonOneEye</t>
  </si>
  <si>
    <t>Hakon One-Eye</t>
  </si>
  <si>
    <t>000CDA01</t>
  </si>
  <si>
    <t>MQ206Hakon</t>
  </si>
  <si>
    <t>000923FB</t>
  </si>
  <si>
    <t>SummonHakon</t>
  </si>
  <si>
    <t>0201A51C</t>
  </si>
  <si>
    <t>DLC2Halbarn</t>
  </si>
  <si>
    <t>Halbarn Iron-Fur</t>
  </si>
  <si>
    <t>0001DC04</t>
  </si>
  <si>
    <t>MS10Haldyn</t>
  </si>
  <si>
    <t>Haldyn</t>
  </si>
  <si>
    <t>0001E765</t>
  </si>
  <si>
    <t>Hamal</t>
  </si>
  <si>
    <t>000C029C</t>
  </si>
  <si>
    <t>dunHunterChild</t>
  </si>
  <si>
    <t>Haming</t>
  </si>
  <si>
    <t>00013642</t>
  </si>
  <si>
    <t>0001C184</t>
  </si>
  <si>
    <t>Haran</t>
  </si>
  <si>
    <t>0201684E</t>
  </si>
  <si>
    <t>DLC1FerrymanDawnstar</t>
  </si>
  <si>
    <t>Harlaug</t>
  </si>
  <si>
    <t>00013361</t>
  </si>
  <si>
    <t>Harrald</t>
  </si>
  <si>
    <t>0001339C</t>
  </si>
  <si>
    <t>Hathrasil</t>
  </si>
  <si>
    <t>0010B302</t>
  </si>
  <si>
    <t>WEHeadlessHorseman</t>
  </si>
  <si>
    <t>Headless Horseman</t>
  </si>
  <si>
    <t>000AA7D6</t>
  </si>
  <si>
    <t>MQ101Headsman</t>
  </si>
  <si>
    <t>Headsman</t>
  </si>
  <si>
    <t>000BFB60</t>
  </si>
  <si>
    <t>WEDL11bHeadsman</t>
  </si>
  <si>
    <t>000BFB43</t>
  </si>
  <si>
    <t>WEDL11Headsman</t>
  </si>
  <si>
    <t>0008AD96</t>
  </si>
  <si>
    <t>dunVolunruudGenealogist</t>
  </si>
  <si>
    <t>Heddic Volunnar</t>
  </si>
  <si>
    <t>0009400E</t>
  </si>
  <si>
    <t>Hefid</t>
  </si>
  <si>
    <t>Hefid the Deaf</t>
  </si>
  <si>
    <t>00013BAC</t>
  </si>
  <si>
    <t>Heimskr</t>
  </si>
  <si>
    <t>00013286</t>
  </si>
  <si>
    <t>Heimvar</t>
  </si>
  <si>
    <t>000274A5</t>
  </si>
  <si>
    <t>MS14Helgi</t>
  </si>
  <si>
    <t>Helgi's Ghost</t>
  </si>
  <si>
    <t>00014124</t>
  </si>
  <si>
    <t>Helgird</t>
  </si>
  <si>
    <t>HairFemaleElder01</t>
  </si>
  <si>
    <t>00013657</t>
  </si>
  <si>
    <t>Helvard</t>
  </si>
  <si>
    <t>00013362</t>
  </si>
  <si>
    <t>Hemming</t>
  </si>
  <si>
    <t>Hemming Black-Briar</t>
  </si>
  <si>
    <t>000284F9</t>
  </si>
  <si>
    <t>MS06Victim</t>
  </si>
  <si>
    <t>Henrik</t>
  </si>
  <si>
    <t>000CE089</t>
  </si>
  <si>
    <t>DA05Hunter13_04Melee_Heratar</t>
  </si>
  <si>
    <t>Heratar</t>
  </si>
  <si>
    <t>000F964A</t>
  </si>
  <si>
    <t>dunRRHerebaneSorenshield</t>
  </si>
  <si>
    <t>Herebane Sorenshield</t>
  </si>
  <si>
    <t>0203896D</t>
  </si>
  <si>
    <t>DLC2Herkja</t>
  </si>
  <si>
    <t>Herkja</t>
  </si>
  <si>
    <t>00029DAE</t>
  </si>
  <si>
    <t>HerluinLothaire</t>
  </si>
  <si>
    <t>Herluin Lothaire</t>
  </si>
  <si>
    <t>0201FF3A</t>
  </si>
  <si>
    <t>DLC2HermaeusMoraVoice</t>
  </si>
  <si>
    <t>Hermaeus Mora</t>
  </si>
  <si>
    <t>0001412D</t>
  </si>
  <si>
    <t>Hermir</t>
  </si>
  <si>
    <t>Hermir Strong-Heart</t>
  </si>
  <si>
    <t>0001367B</t>
  </si>
  <si>
    <t>Hern</t>
  </si>
  <si>
    <t>00108421</t>
  </si>
  <si>
    <t>MQ305SovngardeBard</t>
  </si>
  <si>
    <t>Hero of Sovngarde</t>
  </si>
  <si>
    <t>001092D1</t>
  </si>
  <si>
    <t>MQ305SovngardeBardDrummer</t>
  </si>
  <si>
    <t>000EA720</t>
  </si>
  <si>
    <t>MQ305SovngardeHeroFemale</t>
  </si>
  <si>
    <t>00108430</t>
  </si>
  <si>
    <t>MQ305SovngardeHeroFemale3</t>
  </si>
  <si>
    <t>00108431</t>
  </si>
  <si>
    <t>MQ305SovngardeHeroFemale4</t>
  </si>
  <si>
    <t>00096FFB</t>
  </si>
  <si>
    <t>MQ305SovngardeHeroMale</t>
  </si>
  <si>
    <t>00108432</t>
  </si>
  <si>
    <t>MQ305SovngardeHeroMale3</t>
  </si>
  <si>
    <t>0001367C</t>
  </si>
  <si>
    <t>Hert</t>
  </si>
  <si>
    <t>02003365</t>
  </si>
  <si>
    <t>DLC1Hestla</t>
  </si>
  <si>
    <t>Hestla</t>
  </si>
  <si>
    <t>00095FD5</t>
  </si>
  <si>
    <t>Hewnon</t>
  </si>
  <si>
    <t>Hewnon Black-Skeever</t>
  </si>
  <si>
    <t>000457F9</t>
  </si>
  <si>
    <t>TreasCorpseCommonerHighElfFemale</t>
  </si>
  <si>
    <t>High Elf</t>
  </si>
  <si>
    <t>00045801</t>
  </si>
  <si>
    <t>TreasCorpseCommonerHighElfMale</t>
  </si>
  <si>
    <t>001034F2</t>
  </si>
  <si>
    <t>WEAdventurerBattlemageHighElfM</t>
  </si>
  <si>
    <t>00106117</t>
  </si>
  <si>
    <t>WEAdventurerMageShieldStaffHighElfF</t>
  </si>
  <si>
    <t>00106116</t>
  </si>
  <si>
    <t>WEAdventurerMageShieldStaffHighElfM</t>
  </si>
  <si>
    <t>000EA578</t>
  </si>
  <si>
    <t>MQ304Torygg</t>
  </si>
  <si>
    <t>High King Torygg</t>
  </si>
  <si>
    <t>00035533</t>
  </si>
  <si>
    <t>Hilde</t>
  </si>
  <si>
    <t>0001411F</t>
  </si>
  <si>
    <t>Hillevi</t>
  </si>
  <si>
    <t>Hillevi Cruel-Sea</t>
  </si>
  <si>
    <t>0201A515</t>
  </si>
  <si>
    <t>DLC2Hilund</t>
  </si>
  <si>
    <t>Hilund</t>
  </si>
  <si>
    <t>0001BB96</t>
  </si>
  <si>
    <t>DA05Hircine</t>
  </si>
  <si>
    <t>Hircine</t>
  </si>
  <si>
    <t>0202710D</t>
  </si>
  <si>
    <t>DLC2WaterStoneSailor1</t>
  </si>
  <si>
    <t>Hjalfar</t>
  </si>
  <si>
    <t>0201F9C4</t>
  </si>
  <si>
    <t>DLC2dunFrostmoonHjordis</t>
  </si>
  <si>
    <t>Hjordis</t>
  </si>
  <si>
    <t>0008455D</t>
  </si>
  <si>
    <t>CWFieldCOSonsWhiterun</t>
  </si>
  <si>
    <t>Hjornskar Head-Smasher</t>
  </si>
  <si>
    <t>00013287</t>
  </si>
  <si>
    <t>Hjorunn</t>
  </si>
  <si>
    <t>0001347D</t>
  </si>
  <si>
    <t>Hod</t>
  </si>
  <si>
    <t>000CE09D</t>
  </si>
  <si>
    <t>DA05Hunter14_01DeadMage_Hoddreid</t>
  </si>
  <si>
    <t>Hoddreid</t>
  </si>
  <si>
    <t>00013351</t>
  </si>
  <si>
    <t>Hofgrir</t>
  </si>
  <si>
    <t>Hofgrir Horse-Crusher</t>
  </si>
  <si>
    <t>000284AC</t>
  </si>
  <si>
    <t>HogniRedArm</t>
  </si>
  <si>
    <t>Hogni Red-Arm</t>
  </si>
  <si>
    <t>0003D724</t>
  </si>
  <si>
    <t>dunAnsilvundMaleGhost</t>
  </si>
  <si>
    <t>Holgeir</t>
  </si>
  <si>
    <t>00019A1D</t>
  </si>
  <si>
    <t>Horgeir</t>
  </si>
  <si>
    <t>0001A6B9</t>
  </si>
  <si>
    <t>HorikHalfhand</t>
  </si>
  <si>
    <t>Horik Halfhand</t>
  </si>
  <si>
    <t>00013288</t>
  </si>
  <si>
    <t>Horm</t>
  </si>
  <si>
    <t>00013668</t>
  </si>
  <si>
    <t>Hrefna</t>
  </si>
  <si>
    <t>0001339D</t>
  </si>
  <si>
    <t>Hreinn</t>
  </si>
  <si>
    <t>00013363</t>
  </si>
  <si>
    <t>Hroar</t>
  </si>
  <si>
    <t>0203888B</t>
  </si>
  <si>
    <t>DLC2HrodulfCorpse</t>
  </si>
  <si>
    <t>Hrodulf</t>
  </si>
  <si>
    <t>000135F0</t>
  </si>
  <si>
    <t>Hroggar</t>
  </si>
  <si>
    <t>0001339E</t>
  </si>
  <si>
    <t>Hroki</t>
  </si>
  <si>
    <t>000F84A2</t>
  </si>
  <si>
    <t>TG07Hrolmir</t>
  </si>
  <si>
    <t>Hrolmir</t>
  </si>
  <si>
    <t>00013BBC</t>
  </si>
  <si>
    <t>Hrongar</t>
  </si>
  <si>
    <t>0201D985</t>
  </si>
  <si>
    <t>DLC2Hrothmund</t>
  </si>
  <si>
    <t>Hrothmund</t>
  </si>
  <si>
    <t>00014143</t>
  </si>
  <si>
    <t>Huki</t>
  </si>
  <si>
    <t>Huki Seven-Swords</t>
  </si>
  <si>
    <t>00013BA3</t>
  </si>
  <si>
    <t>Hulda</t>
  </si>
  <si>
    <t>000EA71D</t>
  </si>
  <si>
    <t>MQ305Hunroor</t>
  </si>
  <si>
    <t>Hunroor</t>
  </si>
  <si>
    <t>00073FBE</t>
  </si>
  <si>
    <t>EncHunter00Template</t>
  </si>
  <si>
    <t>Hunter</t>
  </si>
  <si>
    <t>0002FFEB</t>
  </si>
  <si>
    <t>Urwa</t>
  </si>
  <si>
    <t>0006218C</t>
  </si>
  <si>
    <t>WE25Hunter</t>
  </si>
  <si>
    <t>000E0FCA</t>
  </si>
  <si>
    <t>EncWarlock04TemplateBossIce</t>
  </si>
  <si>
    <t>Ice Mage</t>
  </si>
  <si>
    <t>00045CA1</t>
  </si>
  <si>
    <t>EncWarlock04TemplateIce</t>
  </si>
  <si>
    <t>000E0FC5</t>
  </si>
  <si>
    <t>EncWarlock03TemplateBossIce</t>
  </si>
  <si>
    <t>Ice Mage Adept</t>
  </si>
  <si>
    <t>00045C7B</t>
  </si>
  <si>
    <t>EncWarlock03TemplateIce</t>
  </si>
  <si>
    <t>000E0FCF</t>
  </si>
  <si>
    <t>EncWarlock05TemplateBossIce</t>
  </si>
  <si>
    <t>Ice Wizard</t>
  </si>
  <si>
    <t>00045CBC</t>
  </si>
  <si>
    <t>EncWarlock05TemplateIce</t>
  </si>
  <si>
    <t>00013662</t>
  </si>
  <si>
    <t>Iddra</t>
  </si>
  <si>
    <t>0001411B</t>
  </si>
  <si>
    <t>IdesaSadri</t>
  </si>
  <si>
    <t>Idesa Sadri</t>
  </si>
  <si>
    <t>000135EB</t>
  </si>
  <si>
    <t>IdgrodRavencrone</t>
  </si>
  <si>
    <t>Idgrod Ravencrone</t>
  </si>
  <si>
    <t>000135EC</t>
  </si>
  <si>
    <t>IdgrodTheYounger</t>
  </si>
  <si>
    <t>Idgrod the Younger</t>
  </si>
  <si>
    <t>00013BB2</t>
  </si>
  <si>
    <t>IdolafBattleBorn</t>
  </si>
  <si>
    <t>Idolaf Battle-Born</t>
  </si>
  <si>
    <t>0001339F</t>
  </si>
  <si>
    <t>Igmund</t>
  </si>
  <si>
    <t>000D5046</t>
  </si>
  <si>
    <t>POIMageIlasTei</t>
  </si>
  <si>
    <t>Ilas-Tei</t>
  </si>
  <si>
    <t>0201773B</t>
  </si>
  <si>
    <t>DLC2Ildari</t>
  </si>
  <si>
    <t>Ildari Sarothril</t>
  </si>
  <si>
    <t>00013289</t>
  </si>
  <si>
    <t>Illdi</t>
  </si>
  <si>
    <t>00048C2F</t>
  </si>
  <si>
    <t>dunDarklightIllia</t>
  </si>
  <si>
    <t>Illia</t>
  </si>
  <si>
    <t>000133A1</t>
  </si>
  <si>
    <t>Imedhnain</t>
  </si>
  <si>
    <t>00045802</t>
  </si>
  <si>
    <t>TreasCorpseCommonerImperialFemale</t>
  </si>
  <si>
    <t>000457F8</t>
  </si>
  <si>
    <t>TreasCorpseCommonerImperialMale</t>
  </si>
  <si>
    <t>00103501</t>
  </si>
  <si>
    <t>WEAdventurerDualPoisonerImperialF</t>
  </si>
  <si>
    <t>00103500</t>
  </si>
  <si>
    <t>WEAdventurerWarriorDualImperialM</t>
  </si>
  <si>
    <t>00045BE0</t>
  </si>
  <si>
    <t>EncSiegeImperialArcherTemplate</t>
  </si>
  <si>
    <t>Imperial Archer</t>
  </si>
  <si>
    <t>000AAFAC</t>
  </si>
  <si>
    <t>MQ101ImperialSoldierOfficer</t>
  </si>
  <si>
    <t>Imperial Captain</t>
  </si>
  <si>
    <t>02008D29</t>
  </si>
  <si>
    <t>DLC1dunRedwaterDenAddictCWMaleCommander</t>
  </si>
  <si>
    <t>Imperial Deserter</t>
  </si>
  <si>
    <t>000205C9</t>
  </si>
  <si>
    <t>CWFieldCOImperial</t>
  </si>
  <si>
    <t>Imperial Field Legate</t>
  </si>
  <si>
    <t>000F3E77</t>
  </si>
  <si>
    <t>dunCGImperialMageC01</t>
  </si>
  <si>
    <t>Imperial Mage</t>
  </si>
  <si>
    <t>000F3E76</t>
  </si>
  <si>
    <t>dunCGImperialMageD01</t>
  </si>
  <si>
    <t>0001AE44</t>
  </si>
  <si>
    <t>CWSiegeImperialSoldierOfficer</t>
  </si>
  <si>
    <t>Imperial Officer</t>
  </si>
  <si>
    <t>000D7D8E</t>
  </si>
  <si>
    <t>dunCGImperialArcherBaitBTower</t>
  </si>
  <si>
    <t>Imperial Soldier</t>
  </si>
  <si>
    <t>000E491B</t>
  </si>
  <si>
    <t>dunCGImperialSoldierArcherA01</t>
  </si>
  <si>
    <t>000E4920</t>
  </si>
  <si>
    <t>dunCGImperialSoldierArcherA02</t>
  </si>
  <si>
    <t>000F94AE</t>
  </si>
  <si>
    <t>dunCGImperialSoldierArcherA03</t>
  </si>
  <si>
    <t>00105EE2</t>
  </si>
  <si>
    <t>dunCGImperialSoldierArcherA04</t>
  </si>
  <si>
    <t>000E6D5C</t>
  </si>
  <si>
    <t>dunCGImperialSoldierArcherC01</t>
  </si>
  <si>
    <t>000F3E6F</t>
  </si>
  <si>
    <t>dunCGImperialSoldierArcherC02</t>
  </si>
  <si>
    <t>000E72BB</t>
  </si>
  <si>
    <t>dunCGImperialSoldierArcherD01</t>
  </si>
  <si>
    <t>000F3E6D</t>
  </si>
  <si>
    <t>dunCGImperialSoldierArcherD02</t>
  </si>
  <si>
    <t>000F3E6E</t>
  </si>
  <si>
    <t>dunCGImperialSoldierArcherD03</t>
  </si>
  <si>
    <t>000F94A9</t>
  </si>
  <si>
    <t>dunCGImperialSoldierArcherD04</t>
  </si>
  <si>
    <t>000D67B8</t>
  </si>
  <si>
    <t>dunCGImperialSoldierBaitATower</t>
  </si>
  <si>
    <t>000D7D7D</t>
  </si>
  <si>
    <t>dunCGImperialSoldierBaitBTower</t>
  </si>
  <si>
    <t>000E1E95</t>
  </si>
  <si>
    <t>dunCGImperialSoldierBaitDBridge</t>
  </si>
  <si>
    <t>000F94B5</t>
  </si>
  <si>
    <t>dunCGImperialSoldierDEAD</t>
  </si>
  <si>
    <t>000E77F9</t>
  </si>
  <si>
    <t>dunCGImperialSoldierFodderC01</t>
  </si>
  <si>
    <t>000E77FD</t>
  </si>
  <si>
    <t>dunCGImperialSoldierFodderD01</t>
  </si>
  <si>
    <t>000AA8D4</t>
  </si>
  <si>
    <t>EncGuardImperialM01MaleNordCommander</t>
  </si>
  <si>
    <t>000AA8D5</t>
  </si>
  <si>
    <t>EncGuardImperialM02MaleNordCommander</t>
  </si>
  <si>
    <t>000AA8D6</t>
  </si>
  <si>
    <t>EncGuardImperialM03MaleNordCommander</t>
  </si>
  <si>
    <t>000AA8D7</t>
  </si>
  <si>
    <t>EncGuardImperialM04MaleNordCommander</t>
  </si>
  <si>
    <t>000AA8FC</t>
  </si>
  <si>
    <t>EncGuardImperialM05MaleGuard</t>
  </si>
  <si>
    <t>000AA8FD</t>
  </si>
  <si>
    <t>EncGuardImperialM06MaleGuard</t>
  </si>
  <si>
    <t>000AA901</t>
  </si>
  <si>
    <t>EncGuardImperialM07MaleGuard</t>
  </si>
  <si>
    <t>000AA913</t>
  </si>
  <si>
    <t>EncGuardImperialM08MaleGuard</t>
  </si>
  <si>
    <t>000AA8D8</t>
  </si>
  <si>
    <t>EncGuardImperialM09MaleGuard</t>
  </si>
  <si>
    <t>0001FC5D</t>
  </si>
  <si>
    <t>EncSoldierImperialTemplate</t>
  </si>
  <si>
    <t>00046794</t>
  </si>
  <si>
    <t>MQ101ImperialSoldier01</t>
  </si>
  <si>
    <t>0010A19F</t>
  </si>
  <si>
    <t>MQ101ImperialSoldier02</t>
  </si>
  <si>
    <t>0010A1A0</t>
  </si>
  <si>
    <t>MQ101ImperialSoldier03</t>
  </si>
  <si>
    <t>0010A1A1</t>
  </si>
  <si>
    <t>MQ101ImperialSoldier04</t>
  </si>
  <si>
    <t>0006E21C</t>
  </si>
  <si>
    <t>MQ101ImperialSoldierMelee</t>
  </si>
  <si>
    <t>0010A1AB</t>
  </si>
  <si>
    <t>MQ101ImperialSoldierMelee02</t>
  </si>
  <si>
    <t>0008DE5D</t>
  </si>
  <si>
    <t>MQ101ImperialSoldierOfficerMale01</t>
  </si>
  <si>
    <t>0010A1A2</t>
  </si>
  <si>
    <t>MQ101ImperialSoldierOfficerMale02</t>
  </si>
  <si>
    <t>000FE510</t>
  </si>
  <si>
    <t>MQ101ImperialSoldierUnaggressive</t>
  </si>
  <si>
    <t>0010A1AA</t>
  </si>
  <si>
    <t>MQ101ImperialSoldierUnaggressive02</t>
  </si>
  <si>
    <t>0004622A</t>
  </si>
  <si>
    <t>CWSiegeImperialWizard</t>
  </si>
  <si>
    <t>Imperial Wizard</t>
  </si>
  <si>
    <t>0001364F</t>
  </si>
  <si>
    <t>IndaraCaerellia</t>
  </si>
  <si>
    <t>Indara Caerellia</t>
  </si>
  <si>
    <t>00013370</t>
  </si>
  <si>
    <t>Indaryn</t>
  </si>
  <si>
    <t>00087B93</t>
  </si>
  <si>
    <t>DBRecurringContact8Ivarstead</t>
  </si>
  <si>
    <t>Indolent Farmer</t>
  </si>
  <si>
    <t>0001328A</t>
  </si>
  <si>
    <t>IngeSixFingers</t>
  </si>
  <si>
    <t>Inge Six Fingers</t>
  </si>
  <si>
    <t>0201541B</t>
  </si>
  <si>
    <t>DLC1Ingjard</t>
  </si>
  <si>
    <t>Ingjard</t>
  </si>
  <si>
    <t>0001363F</t>
  </si>
  <si>
    <t>Ingrid</t>
  </si>
  <si>
    <t>00013364</t>
  </si>
  <si>
    <t>Ingun</t>
  </si>
  <si>
    <t>Ingun Black-Briar</t>
  </si>
  <si>
    <t>0005AE91</t>
  </si>
  <si>
    <t>MGRejoinWizard</t>
  </si>
  <si>
    <t>Insane College Wizard</t>
  </si>
  <si>
    <t>000A2C91</t>
  </si>
  <si>
    <t>HousecarlRiften</t>
  </si>
  <si>
    <t>Iona</t>
  </si>
  <si>
    <t>00013617</t>
  </si>
  <si>
    <t>Irgnir</t>
  </si>
  <si>
    <t>00013BB8</t>
  </si>
  <si>
    <t>Irileth</t>
  </si>
  <si>
    <t>00052267</t>
  </si>
  <si>
    <t>MS10Pirate2</t>
  </si>
  <si>
    <t>Irlof</t>
  </si>
  <si>
    <t>0001328B</t>
  </si>
  <si>
    <t>IrnskarIronhand</t>
  </si>
  <si>
    <t>Irnskar Ironhand</t>
  </si>
  <si>
    <t>00039840</t>
  </si>
  <si>
    <t>IsabelleRolaine</t>
  </si>
  <si>
    <t>Isabelle Rolaine</t>
  </si>
  <si>
    <t>0200336A</t>
  </si>
  <si>
    <t>DLC1Isran</t>
  </si>
  <si>
    <t>Isran</t>
  </si>
  <si>
    <t>00084550</t>
  </si>
  <si>
    <t>CWFieldCOSonsHaafingar</t>
  </si>
  <si>
    <t>Istar Cairn-Breaker</t>
  </si>
  <si>
    <t>00087B97</t>
  </si>
  <si>
    <t>DBRecurringTarget3Kynesgrove</t>
  </si>
  <si>
    <t>Itinerant Lumberjack</t>
  </si>
  <si>
    <t>0003B0E7</t>
  </si>
  <si>
    <t>dunAlftandJdarr</t>
  </si>
  <si>
    <t>J'darr</t>
  </si>
  <si>
    <t>HairKhajiitMale09</t>
  </si>
  <si>
    <t>0004D12B</t>
  </si>
  <si>
    <t>Jdatharr</t>
  </si>
  <si>
    <t>J'datharr</t>
  </si>
  <si>
    <t>0002ABC3</t>
  </si>
  <si>
    <t>DA05Hunter01_JKier</t>
  </si>
  <si>
    <t>J'Kier</t>
  </si>
  <si>
    <t>0001C195</t>
  </si>
  <si>
    <t>Jzargo</t>
  </si>
  <si>
    <t>J'zargo</t>
  </si>
  <si>
    <t>0003B0E6</t>
  </si>
  <si>
    <t>dunAlftandJzhar</t>
  </si>
  <si>
    <t>J'zhar</t>
  </si>
  <si>
    <t>HairKhajiitMale02</t>
  </si>
  <si>
    <t>0001328C</t>
  </si>
  <si>
    <t>Jala</t>
  </si>
  <si>
    <t>0001328D</t>
  </si>
  <si>
    <t>JareeRa</t>
  </si>
  <si>
    <t>Jaree-Ra</t>
  </si>
  <si>
    <t>HairArgonianMale09</t>
  </si>
  <si>
    <t>0001328E</t>
  </si>
  <si>
    <t>Jawanan</t>
  </si>
  <si>
    <t>020198B8</t>
  </si>
  <si>
    <t>DLC1RefugeeJayri</t>
  </si>
  <si>
    <t>Jayri</t>
  </si>
  <si>
    <t>000B9982</t>
  </si>
  <si>
    <t>HirelingJenassa</t>
  </si>
  <si>
    <t>Jenassa</t>
  </si>
  <si>
    <t>0001A69D</t>
  </si>
  <si>
    <t>Jervar</t>
  </si>
  <si>
    <t>00013604</t>
  </si>
  <si>
    <t>Jesper</t>
  </si>
  <si>
    <t>020093A1</t>
  </si>
  <si>
    <t>DLC01SoulCairnJiub</t>
  </si>
  <si>
    <t>Jiub</t>
  </si>
  <si>
    <t>00013618</t>
  </si>
  <si>
    <t>Jod</t>
  </si>
  <si>
    <t>000136BD</t>
  </si>
  <si>
    <t>Jofthor</t>
  </si>
  <si>
    <t>0201684D</t>
  </si>
  <si>
    <t>DLC1FerrymanSolitude</t>
  </si>
  <si>
    <t>Jolf</t>
  </si>
  <si>
    <t>000AF38A</t>
  </si>
  <si>
    <t>00013BB1</t>
  </si>
  <si>
    <t>JonBattleBorn</t>
  </si>
  <si>
    <t>Jon Battle-Born</t>
  </si>
  <si>
    <t>000135ED</t>
  </si>
  <si>
    <t>Jonna</t>
  </si>
  <si>
    <t>00014120</t>
  </si>
  <si>
    <t>Jora</t>
  </si>
  <si>
    <t>000A2C8F</t>
  </si>
  <si>
    <t>HousecarlSolitude</t>
  </si>
  <si>
    <t>Jordis the Sword-Maiden</t>
  </si>
  <si>
    <t>000138B6</t>
  </si>
  <si>
    <t>Jorgen</t>
  </si>
  <si>
    <t>000135EE</t>
  </si>
  <si>
    <t>Joric</t>
  </si>
  <si>
    <t>00014135</t>
  </si>
  <si>
    <t>Jorleif</t>
  </si>
  <si>
    <t>0001328F</t>
  </si>
  <si>
    <t>Jorn</t>
  </si>
  <si>
    <t>000136B3</t>
  </si>
  <si>
    <t>JouaneManette</t>
  </si>
  <si>
    <t>Jouane Manette</t>
  </si>
  <si>
    <t>00026F0F</t>
  </si>
  <si>
    <t>JulienneLylvieve</t>
  </si>
  <si>
    <t>Julienne Lylvieve</t>
  </si>
  <si>
    <t>000F1A49</t>
  </si>
  <si>
    <t>MQ305JurgenWindcaller</t>
  </si>
  <si>
    <t>Jurgen Windcaller</t>
  </si>
  <si>
    <t>00084568</t>
  </si>
  <si>
    <t>CWFieldCOSonsWinterhold</t>
  </si>
  <si>
    <t>Kai Wet-Pommel</t>
  </si>
  <si>
    <t>00054882</t>
  </si>
  <si>
    <t>MS02Kaie</t>
  </si>
  <si>
    <t>Kaie</t>
  </si>
  <si>
    <t>000BC07C</t>
  </si>
  <si>
    <t>HHPilgrim02</t>
  </si>
  <si>
    <t>Karita</t>
  </si>
  <si>
    <t>0001361A</t>
  </si>
  <si>
    <t>00013619</t>
  </si>
  <si>
    <t>Karl</t>
  </si>
  <si>
    <t>0001B07F</t>
  </si>
  <si>
    <t>Karliah</t>
  </si>
  <si>
    <t>00013290</t>
  </si>
  <si>
    <t>Katla</t>
  </si>
  <si>
    <t>02004D0C</t>
  </si>
  <si>
    <t>DLC1LD_Katria</t>
  </si>
  <si>
    <t>Katria</t>
  </si>
  <si>
    <t>02004D7D</t>
  </si>
  <si>
    <t>DLC1LD_KatriaCorpse</t>
  </si>
  <si>
    <t>00013292</t>
  </si>
  <si>
    <t>Kayd</t>
  </si>
  <si>
    <t>000BFB55</t>
  </si>
  <si>
    <t>VigilantCarcette</t>
  </si>
  <si>
    <t>Keeper Carcette</t>
  </si>
  <si>
    <t>00013365</t>
  </si>
  <si>
    <t>Keerava</t>
  </si>
  <si>
    <t>00021601</t>
  </si>
  <si>
    <t>MS08Kematu</t>
  </si>
  <si>
    <t>Kematu</t>
  </si>
  <si>
    <t>HairMaleRedguard8</t>
  </si>
  <si>
    <t>000133A2</t>
  </si>
  <si>
    <t>Kerah</t>
  </si>
  <si>
    <t>00089986</t>
  </si>
  <si>
    <t>DA13PeryiteMonk</t>
  </si>
  <si>
    <t>Kesh the Clean</t>
  </si>
  <si>
    <t>000457FA</t>
  </si>
  <si>
    <t>TreasCorpseCommonerKhajiitFemale</t>
  </si>
  <si>
    <t>00097DA9</t>
  </si>
  <si>
    <t>TreasCorpseCommonerKhajiitGuard</t>
  </si>
  <si>
    <t>00045803</t>
  </si>
  <si>
    <t>TreasCorpseCommonerKhajiitMale</t>
  </si>
  <si>
    <t>001034E9</t>
  </si>
  <si>
    <t>WEAdventurerBattlemageKhajiitM</t>
  </si>
  <si>
    <t>00105553</t>
  </si>
  <si>
    <t>WEAdventurerBerserkerKhajiitM</t>
  </si>
  <si>
    <t>00109A7F</t>
  </si>
  <si>
    <t>WEAdventurerBrawlerKhajiitM</t>
  </si>
  <si>
    <t>00105551</t>
  </si>
  <si>
    <t>WEAdventurerWarriorDualKhajiitM</t>
  </si>
  <si>
    <t>KhajiitMaleEarTufts</t>
  </si>
  <si>
    <t>00013291</t>
  </si>
  <si>
    <t>KharagGroShurkul</t>
  </si>
  <si>
    <t>Kharag gro-Shurkul</t>
  </si>
  <si>
    <t>0001B1D2</t>
  </si>
  <si>
    <t>Kharjo</t>
  </si>
  <si>
    <t>0001B1D9</t>
  </si>
  <si>
    <t>Khayla</t>
  </si>
  <si>
    <t>0003F21E</t>
  </si>
  <si>
    <t>CarriageDriverMarkarth</t>
  </si>
  <si>
    <t>Kibell</t>
  </si>
  <si>
    <t>00013293</t>
  </si>
  <si>
    <t>Kjar</t>
  </si>
  <si>
    <t>00013663</t>
  </si>
  <si>
    <t>Kjeld</t>
  </si>
  <si>
    <t>00013661</t>
  </si>
  <si>
    <t>KjeldtheYounger</t>
  </si>
  <si>
    <t>Kjeld the Younger</t>
  </si>
  <si>
    <t>000133A3</t>
  </si>
  <si>
    <t>Kleppr</t>
  </si>
  <si>
    <t>000136C2</t>
  </si>
  <si>
    <t>Klimmek</t>
  </si>
  <si>
    <t>0200A877</t>
  </si>
  <si>
    <t>DLC1Gelebor</t>
  </si>
  <si>
    <t>Knight-Paladin Gelebor</t>
  </si>
  <si>
    <t>00094000</t>
  </si>
  <si>
    <t>Knjakr</t>
  </si>
  <si>
    <t>00013294</t>
  </si>
  <si>
    <t>Knud</t>
  </si>
  <si>
    <t>0001A68E</t>
  </si>
  <si>
    <t>KodlakWhitemane</t>
  </si>
  <si>
    <t>Kodlak Whitemane</t>
  </si>
  <si>
    <t>0009700E</t>
  </si>
  <si>
    <t>MQ304Kodlak</t>
  </si>
  <si>
    <t>0001360D</t>
  </si>
  <si>
    <t>Kodrir</t>
  </si>
  <si>
    <t>020277FC</t>
  </si>
  <si>
    <t>DLC2dunKolbjornMiner_GuardM01</t>
  </si>
  <si>
    <t>Kolbjorn Guard</t>
  </si>
  <si>
    <t>02027803</t>
  </si>
  <si>
    <t>DLC2dunKolbjornMiner_GuardM02</t>
  </si>
  <si>
    <t>02027804</t>
  </si>
  <si>
    <t>DLC2dunKolbjornMiner_GuardM03</t>
  </si>
  <si>
    <t>02027805</t>
  </si>
  <si>
    <t>DLC2dunKolbjornMiner_GuardM04</t>
  </si>
  <si>
    <t>0001C188</t>
  </si>
  <si>
    <t>Korir</t>
  </si>
  <si>
    <t>00084556</t>
  </si>
  <si>
    <t>CWFieldCOSonsReach</t>
  </si>
  <si>
    <t>Kottir Red-Shoal</t>
  </si>
  <si>
    <t>000C084E</t>
  </si>
  <si>
    <t>dunNchuandKrag</t>
  </si>
  <si>
    <t>Krag</t>
  </si>
  <si>
    <t>0001C180</t>
  </si>
  <si>
    <t>Kraldar</t>
  </si>
  <si>
    <t>0001364C</t>
  </si>
  <si>
    <t>Kust</t>
  </si>
  <si>
    <t>0201A518</t>
  </si>
  <si>
    <t>DLC2Kuvar</t>
  </si>
  <si>
    <t>Kuvar</t>
  </si>
  <si>
    <t>000D37D1</t>
  </si>
  <si>
    <t>dunFrostmereCrypt_Kyr</t>
  </si>
  <si>
    <t>Kyr</t>
  </si>
  <si>
    <t>000274A0</t>
  </si>
  <si>
    <t>MS14LaeletteVampire</t>
  </si>
  <si>
    <t>Laelette the Vampire</t>
  </si>
  <si>
    <t>00013366</t>
  </si>
  <si>
    <t>Laila</t>
  </si>
  <si>
    <t>Laila Law-Giver</t>
  </si>
  <si>
    <t>000135EF</t>
  </si>
  <si>
    <t>Lami</t>
  </si>
  <si>
    <t>000DBD11</t>
  </si>
  <si>
    <t>dunHobsFall_TreasCorpseCommonerImperialFemale</t>
  </si>
  <si>
    <t>Larina</t>
  </si>
  <si>
    <t>00013BAF</t>
  </si>
  <si>
    <t>LarsBattleBorn</t>
  </si>
  <si>
    <t>Lars Battle-Born</t>
  </si>
  <si>
    <t>00013B6E</t>
  </si>
  <si>
    <t>LashGraDushnikh</t>
  </si>
  <si>
    <t>Lash gra-Dushnikh</t>
  </si>
  <si>
    <t>000844B1</t>
  </si>
  <si>
    <t>CWFieldCOImperialHaafingar</t>
  </si>
  <si>
    <t>Legate Adventus Caesennius</t>
  </si>
  <si>
    <t>00084539</t>
  </si>
  <si>
    <t>CWFieldCOImperialPale</t>
  </si>
  <si>
    <t>Legate Constantius Tituleius</t>
  </si>
  <si>
    <t>000844D0</t>
  </si>
  <si>
    <t>CWFieldCOImperialReach</t>
  </si>
  <si>
    <t>Legate Emmanuel Admand</t>
  </si>
  <si>
    <t>0008454F</t>
  </si>
  <si>
    <t>CWFieldCOImperialRift</t>
  </si>
  <si>
    <t>Legate Fasendil</t>
  </si>
  <si>
    <t>0008454E</t>
  </si>
  <si>
    <t>CWFieldCOImperialEastmarch</t>
  </si>
  <si>
    <t>Legate Hrollod</t>
  </si>
  <si>
    <t>000844D1</t>
  </si>
  <si>
    <t>CWFieldCOImperialWhiterun</t>
  </si>
  <si>
    <t>Legate Quentin Cipius</t>
  </si>
  <si>
    <t>000D0573</t>
  </si>
  <si>
    <t>CWBattleRikke</t>
  </si>
  <si>
    <t>Legate Rikke</t>
  </si>
  <si>
    <t>000132A1</t>
  </si>
  <si>
    <t>Rikke</t>
  </si>
  <si>
    <t>0008453A</t>
  </si>
  <si>
    <t>CWFieldCOImperialWinterhold</t>
  </si>
  <si>
    <t>Legate Sevan Telendas</t>
  </si>
  <si>
    <t>0008455E</t>
  </si>
  <si>
    <t>CWFieldCOImperialFalkreath</t>
  </si>
  <si>
    <t>Legate Skulnar</t>
  </si>
  <si>
    <t>000844B2</t>
  </si>
  <si>
    <t>CWFieldCOImperialHjaalmarch</t>
  </si>
  <si>
    <t>Legate Taurinus Duilis</t>
  </si>
  <si>
    <t>00013610</t>
  </si>
  <si>
    <t>Leifur</t>
  </si>
  <si>
    <t>0001361B</t>
  </si>
  <si>
    <t>Leigelf</t>
  </si>
  <si>
    <t>000136B8</t>
  </si>
  <si>
    <t>Lemkil</t>
  </si>
  <si>
    <t>00037E04</t>
  </si>
  <si>
    <t>LeonaraArius</t>
  </si>
  <si>
    <t>Leonara Arius</t>
  </si>
  <si>
    <t>00013B76</t>
  </si>
  <si>
    <t>LeontiusSalvius</t>
  </si>
  <si>
    <t>Leontius Salvius</t>
  </si>
  <si>
    <t>0202782B</t>
  </si>
  <si>
    <t>DLC2WaterStoneSailor3</t>
  </si>
  <si>
    <t>Liesl</t>
  </si>
  <si>
    <t>0001E956</t>
  </si>
  <si>
    <t>00013BC0</t>
  </si>
  <si>
    <t>LillithMaidenLoom</t>
  </si>
  <si>
    <t>Lillith Maiden-Loom</t>
  </si>
  <si>
    <t>0007D679</t>
  </si>
  <si>
    <t>Linwe</t>
  </si>
  <si>
    <t>000133A5</t>
  </si>
  <si>
    <t>Lisbet</t>
  </si>
  <si>
    <t>00013297</t>
  </si>
  <si>
    <t>Lisette</t>
  </si>
  <si>
    <t>0009F839</t>
  </si>
  <si>
    <t>dunBluePalaceWingLittlePelagius</t>
  </si>
  <si>
    <t>Little Pelagius</t>
  </si>
  <si>
    <t>0201827E</t>
  </si>
  <si>
    <t>DLC2RRLlerilMorvayn</t>
  </si>
  <si>
    <t>Lleril Morvayn</t>
  </si>
  <si>
    <t>02018DE0</t>
  </si>
  <si>
    <t>BYOHHouse1Bard</t>
  </si>
  <si>
    <t>Llewellyn the Nightingale</t>
  </si>
  <si>
    <t>00019E1E</t>
  </si>
  <si>
    <t>Lob</t>
  </si>
  <si>
    <t>00013650</t>
  </si>
  <si>
    <t>Lod</t>
  </si>
  <si>
    <t>000D5636</t>
  </si>
  <si>
    <t>DB05Lodi</t>
  </si>
  <si>
    <t>Lodi</t>
  </si>
  <si>
    <t>00019A22</t>
  </si>
  <si>
    <t>Lodvar</t>
  </si>
  <si>
    <t>000133A6</t>
  </si>
  <si>
    <t>Logrolf</t>
  </si>
  <si>
    <t>Logrolf the Willful</t>
  </si>
  <si>
    <t>0004679A</t>
  </si>
  <si>
    <t>MQ101Prisoner</t>
  </si>
  <si>
    <t>Lokir</t>
  </si>
  <si>
    <t>0001361C</t>
  </si>
  <si>
    <t>LondNorthstrider</t>
  </si>
  <si>
    <t>Lond</t>
  </si>
  <si>
    <t>02003BA7</t>
  </si>
  <si>
    <t>DLC1Harkon</t>
  </si>
  <si>
    <t>Lord Harkon</t>
  </si>
  <si>
    <t>00014145</t>
  </si>
  <si>
    <t>Lortheim</t>
  </si>
  <si>
    <t>00013368</t>
  </si>
  <si>
    <t>LouisLetrush</t>
  </si>
  <si>
    <t>Louis Letrush</t>
  </si>
  <si>
    <t>0002333A</t>
  </si>
  <si>
    <t>dunAnsilvundLuahAlSkaven</t>
  </si>
  <si>
    <t>Lu'ah Al-Skaven</t>
  </si>
  <si>
    <t>00047CAD</t>
  </si>
  <si>
    <t>Luaffyn</t>
  </si>
  <si>
    <t>0001347A</t>
  </si>
  <si>
    <t>LucanValerius</t>
  </si>
  <si>
    <t>Lucan Valerius</t>
  </si>
  <si>
    <t>02003F5F</t>
  </si>
  <si>
    <t>BYOHUrchin_Lucia</t>
  </si>
  <si>
    <t>Lucia</t>
  </si>
  <si>
    <t>000ECF85</t>
  </si>
  <si>
    <t>dunPOIVolcanicLuckyLorenze</t>
  </si>
  <si>
    <t>Lucky Lorenz</t>
  </si>
  <si>
    <t>000E76CA</t>
  </si>
  <si>
    <t>dunLundsHut_TreasCorpseCommonerNordMale</t>
  </si>
  <si>
    <t>Lund</t>
  </si>
  <si>
    <t>0001AA63</t>
  </si>
  <si>
    <t>Lurbuk</t>
  </si>
  <si>
    <t>HairMaleOrc26</t>
  </si>
  <si>
    <t>000A2C8E</t>
  </si>
  <si>
    <t>HousecarlWhiterun</t>
  </si>
  <si>
    <t>Lydia</t>
  </si>
  <si>
    <t>020376F5</t>
  </si>
  <si>
    <t>DLC2RRLygrleidSolstheim</t>
  </si>
  <si>
    <t>Lygrleid</t>
  </si>
  <si>
    <t>020376F2</t>
  </si>
  <si>
    <t>DLC2RRLygrleidWindhelm</t>
  </si>
  <si>
    <t>000136BC</t>
  </si>
  <si>
    <t>Lynly</t>
  </si>
  <si>
    <t>Lynly Star-Sung</t>
  </si>
  <si>
    <t>0201993E</t>
  </si>
  <si>
    <t>DLC1_WESC08_LvlDawnguardSlain</t>
  </si>
  <si>
    <t>Lynoit</t>
  </si>
  <si>
    <t>000954BF</t>
  </si>
  <si>
    <t>MaiqTheLiar</t>
  </si>
  <si>
    <t>M'aiq the Liar</t>
  </si>
  <si>
    <t>0001B1D1</t>
  </si>
  <si>
    <t>Madran</t>
  </si>
  <si>
    <t>Ma'dran</t>
  </si>
  <si>
    <t>0001B1D5</t>
  </si>
  <si>
    <t>Majhad</t>
  </si>
  <si>
    <t>Ma'jhad</t>
  </si>
  <si>
    <t>0001B1D7</t>
  </si>
  <si>
    <t>Marandrujo</t>
  </si>
  <si>
    <t>Ma'randru-jo</t>
  </si>
  <si>
    <t>000CE09B</t>
  </si>
  <si>
    <t>DA05Hunter15_01DeadMelee_Matasarr</t>
  </si>
  <si>
    <t>Ma'tasarr</t>
  </si>
  <si>
    <t>00013298</t>
  </si>
  <si>
    <t>Mazaka</t>
  </si>
  <si>
    <t>Ma'zaka</t>
  </si>
  <si>
    <t>000133A7</t>
  </si>
  <si>
    <t>Madanach</t>
  </si>
  <si>
    <t>0001361D</t>
  </si>
  <si>
    <t>Madena</t>
  </si>
  <si>
    <t>0001B072</t>
  </si>
  <si>
    <t>Madesi</t>
  </si>
  <si>
    <t>02027A15</t>
  </si>
  <si>
    <t>DLC2WE06Madman</t>
  </si>
  <si>
    <t>Madman</t>
  </si>
  <si>
    <t>000BA1E5</t>
  </si>
  <si>
    <t>WEDL07Madwoman</t>
  </si>
  <si>
    <t>Madwoman</t>
  </si>
  <si>
    <t>001095E1</t>
  </si>
  <si>
    <t>MQ101CorpseMagePrisoner01</t>
  </si>
  <si>
    <t>Mage</t>
  </si>
  <si>
    <t>000C78BE</t>
  </si>
  <si>
    <t>Mahk</t>
  </si>
  <si>
    <t>0201DC67</t>
  </si>
  <si>
    <t>DLC2dunFrostmoonMajni</t>
  </si>
  <si>
    <t>Majni</t>
  </si>
  <si>
    <t>0008F35A</t>
  </si>
  <si>
    <t>CWMission11Orc</t>
  </si>
  <si>
    <t>Makhel Abbas</t>
  </si>
  <si>
    <t>00036194</t>
  </si>
  <si>
    <t>Malborn</t>
  </si>
  <si>
    <t>00085300</t>
  </si>
  <si>
    <t>MQ201FakeMalborn</t>
  </si>
  <si>
    <t>02003D05</t>
  </si>
  <si>
    <t>DLC1Malkus</t>
  </si>
  <si>
    <t>Malkus</t>
  </si>
  <si>
    <t>02003D7B</t>
  </si>
  <si>
    <t>DLC1MalkusDead</t>
  </si>
  <si>
    <t>0002BA8E</t>
  </si>
  <si>
    <t>MallusMaccius</t>
  </si>
  <si>
    <t>Mallus Maccius</t>
  </si>
  <si>
    <t>0001414E</t>
  </si>
  <si>
    <t>MalthyrElenil</t>
  </si>
  <si>
    <t>Malthyr Elenil</t>
  </si>
  <si>
    <t>0001C182</t>
  </si>
  <si>
    <t>MalurSeloth</t>
  </si>
  <si>
    <t>Malur Seloth</t>
  </si>
  <si>
    <t>00020046</t>
  </si>
  <si>
    <t>DBContractMaluril</t>
  </si>
  <si>
    <t>Maluril</t>
  </si>
  <si>
    <t>00028AD3</t>
  </si>
  <si>
    <t>DA01MalynVaren</t>
  </si>
  <si>
    <t>Malyn Varen</t>
  </si>
  <si>
    <t>0004815C</t>
  </si>
  <si>
    <t>dunFrostflowAbyssMani</t>
  </si>
  <si>
    <t>Mani</t>
  </si>
  <si>
    <t>0001335B</t>
  </si>
  <si>
    <t>Maramal</t>
  </si>
  <si>
    <t>000E9628</t>
  </si>
  <si>
    <t>E3DemoTowerBanditMelee</t>
  </si>
  <si>
    <t>Marauder</t>
  </si>
  <si>
    <t>000E962B</t>
  </si>
  <si>
    <t>E3DemoTowerBanditMissile</t>
  </si>
  <si>
    <t>000B9980</t>
  </si>
  <si>
    <t>HirelingMarcurio</t>
  </si>
  <si>
    <t>Marcurio</t>
  </si>
  <si>
    <t>0009C8A8</t>
  </si>
  <si>
    <t>MS01Margret</t>
  </si>
  <si>
    <t>Margret</t>
  </si>
  <si>
    <t>00013369</t>
  </si>
  <si>
    <t>Marise</t>
  </si>
  <si>
    <t>Marise Aravel</t>
  </si>
  <si>
    <t>000537F2</t>
  </si>
  <si>
    <t>GuardMarkarthImperialMuseum</t>
  </si>
  <si>
    <t>Markarth City Guard</t>
  </si>
  <si>
    <t>0005CF3F</t>
  </si>
  <si>
    <t>TreasCorpseMarkarthGuard</t>
  </si>
  <si>
    <t>02010FBA</t>
  </si>
  <si>
    <t>BYOHCarriageDriver3</t>
  </si>
  <si>
    <t>Markus</t>
  </si>
  <si>
    <t>000E0FD3</t>
  </si>
  <si>
    <t>EncWarlock06TemplateBossConjurer</t>
  </si>
  <si>
    <t>Master Conjurer</t>
  </si>
  <si>
    <t>0006D233</t>
  </si>
  <si>
    <t>EncWarlock06TemplateConjurer</t>
  </si>
  <si>
    <t>02030CD5</t>
  </si>
  <si>
    <t>DLC2EncCultist06Template</t>
  </si>
  <si>
    <t>Master Cultist</t>
  </si>
  <si>
    <t>000E0FD5</t>
  </si>
  <si>
    <t>EncWarlock06TemplateBossNecro</t>
  </si>
  <si>
    <t>Master Necromancer</t>
  </si>
  <si>
    <t>000551AF</t>
  </si>
  <si>
    <t>EncWarlock06TemplateNecro</t>
  </si>
  <si>
    <t>0002E098</t>
  </si>
  <si>
    <t>EncVampire02TemplateBoss</t>
  </si>
  <si>
    <t>Master Vampire</t>
  </si>
  <si>
    <t>0002E12A</t>
  </si>
  <si>
    <t>EncVampire03TemplateBoss</t>
  </si>
  <si>
    <t>0002E1B1</t>
  </si>
  <si>
    <t>EncVampire04TemplateBoss</t>
  </si>
  <si>
    <t>0002E1B8</t>
  </si>
  <si>
    <t>EncVampire05TemplateBoss</t>
  </si>
  <si>
    <t>0001364E</t>
  </si>
  <si>
    <t>Mathies</t>
  </si>
  <si>
    <t>00013640</t>
  </si>
  <si>
    <t>Matlara</t>
  </si>
  <si>
    <t>000371D6</t>
  </si>
  <si>
    <t>Maul</t>
  </si>
  <si>
    <t>0001C605</t>
  </si>
  <si>
    <t>T03Maurice</t>
  </si>
  <si>
    <t>Maurice Jondrelle</t>
  </si>
  <si>
    <t>0001336A</t>
  </si>
  <si>
    <t>Maven</t>
  </si>
  <si>
    <t>Maven Black-Briar</t>
  </si>
  <si>
    <t>000CE082</t>
  </si>
  <si>
    <t>DA05Hunter06_02Melee_Mazgak</t>
  </si>
  <si>
    <t>Mazgak</t>
  </si>
  <si>
    <t>02039D16</t>
  </si>
  <si>
    <t>DLC2RRMinerMeden</t>
  </si>
  <si>
    <t>Meden Maren</t>
  </si>
  <si>
    <t>0003B5B2</t>
  </si>
  <si>
    <t>dunAngarvundeMedresiDran</t>
  </si>
  <si>
    <t>Medresi Dran</t>
  </si>
  <si>
    <t>00013299</t>
  </si>
  <si>
    <t>Melaran</t>
  </si>
  <si>
    <t>00013B6D</t>
  </si>
  <si>
    <t>Mena</t>
  </si>
  <si>
    <t>0005BF3D</t>
  </si>
  <si>
    <t>DA08Mephala</t>
  </si>
  <si>
    <t>Mephala</t>
  </si>
  <si>
    <t>HairKhajiitFemale04</t>
  </si>
  <si>
    <t>02014BFC</t>
  </si>
  <si>
    <t>DLC1_WESC09TaronGuard01</t>
  </si>
  <si>
    <t>Mercenary</t>
  </si>
  <si>
    <t>02014BFD</t>
  </si>
  <si>
    <t>DLC1_WESC09TaronGuard02</t>
  </si>
  <si>
    <t>02014BFE</t>
  </si>
  <si>
    <t>DLC1_WESC09TaronGuard03</t>
  </si>
  <si>
    <t>0007EB38</t>
  </si>
  <si>
    <t>TG02EncMercenaryTemplate</t>
  </si>
  <si>
    <t>0001B07C</t>
  </si>
  <si>
    <t>MercerFrey</t>
  </si>
  <si>
    <t>Mercer Frey</t>
  </si>
  <si>
    <t>0004E4DF</t>
  </si>
  <si>
    <t>DA09Meridia</t>
  </si>
  <si>
    <t>Meridia</t>
  </si>
  <si>
    <t>0201CAA8</t>
  </si>
  <si>
    <t>DLC2MerilarRendas</t>
  </si>
  <si>
    <t>Merilar Rendas</t>
  </si>
  <si>
    <t>00019A2E</t>
  </si>
  <si>
    <t>MichelLylvieve</t>
  </si>
  <si>
    <t>Michel Lylvieve</t>
  </si>
  <si>
    <t>0001A670</t>
  </si>
  <si>
    <t>Mikael</t>
  </si>
  <si>
    <t>00013BAD</t>
  </si>
  <si>
    <t>MilaValentia</t>
  </si>
  <si>
    <t>Mila Valentia</t>
  </si>
  <si>
    <t>020182A1</t>
  </si>
  <si>
    <t>DLC2RRMiloreIenth</t>
  </si>
  <si>
    <t>Milore Ienth</t>
  </si>
  <si>
    <t>020277F8</t>
  </si>
  <si>
    <t>DLC2dunKolbjornMiner_DarkElfF01</t>
  </si>
  <si>
    <t>Miner</t>
  </si>
  <si>
    <t>020277F9</t>
  </si>
  <si>
    <t>DLC2dunKolbjornMiner_DarkElfF02</t>
  </si>
  <si>
    <t>020277FD</t>
  </si>
  <si>
    <t>DLC2dunKolbjornMiner_DarkElfF03</t>
  </si>
  <si>
    <t>020277FE</t>
  </si>
  <si>
    <t>DLC2dunKolbjornMiner_DarkElfF04</t>
  </si>
  <si>
    <t>020277FA</t>
  </si>
  <si>
    <t>DLC2dunKolbjornMiner_DarkElfM01</t>
  </si>
  <si>
    <t>020277FB</t>
  </si>
  <si>
    <t>DLC2dunKolbjornMiner_DarkElfM02</t>
  </si>
  <si>
    <t>020277FF</t>
  </si>
  <si>
    <t>DLC2dunKolbjornMiner_DarkElfM03</t>
  </si>
  <si>
    <t>020277EC</t>
  </si>
  <si>
    <t>DLC2dunKolbjornMiner_DarkElfM04</t>
  </si>
  <si>
    <t>0001329B</t>
  </si>
  <si>
    <t>MinetteVinius</t>
  </si>
  <si>
    <t>Minette Vinius</t>
  </si>
  <si>
    <t>02013823</t>
  </si>
  <si>
    <t>DLC1RuunvaldWarlockBoss</t>
  </si>
  <si>
    <t>Minorne</t>
  </si>
  <si>
    <t>02017F7D</t>
  </si>
  <si>
    <t>Miraak</t>
  </si>
  <si>
    <t>02017936</t>
  </si>
  <si>
    <t>DLC2MiraakMQ01</t>
  </si>
  <si>
    <t>0201FB98</t>
  </si>
  <si>
    <t>DLC2MiraakMQ06</t>
  </si>
  <si>
    <t>0001C1A0</t>
  </si>
  <si>
    <t>MirabelleErvine</t>
  </si>
  <si>
    <t>Mirabelle Ervine</t>
  </si>
  <si>
    <t>020277EF</t>
  </si>
  <si>
    <t>DLC2dunKolbjornMiner_Mireli</t>
  </si>
  <si>
    <t>Mireli</t>
  </si>
  <si>
    <t>02018288</t>
  </si>
  <si>
    <t>DLC2RRMirriSeverin</t>
  </si>
  <si>
    <t>Mirri Severin</t>
  </si>
  <si>
    <t>0001A6AF</t>
  </si>
  <si>
    <t>MithorpaNasyal</t>
  </si>
  <si>
    <t>Mithorpa Nasyal</t>
  </si>
  <si>
    <t>0001336B</t>
  </si>
  <si>
    <t>Mjoll</t>
  </si>
  <si>
    <t>Mjoll the Lioness</t>
  </si>
  <si>
    <t>02011E5E</t>
  </si>
  <si>
    <t>DLC1Modhna</t>
  </si>
  <si>
    <t>Modhna</t>
  </si>
  <si>
    <t>000C78DF</t>
  </si>
  <si>
    <t>Mogdurz</t>
  </si>
  <si>
    <t>02010DED</t>
  </si>
  <si>
    <t>DLC1DawnguardExterior04</t>
  </si>
  <si>
    <t>Mogrul</t>
  </si>
  <si>
    <t>0201959A</t>
  </si>
  <si>
    <t>DLC2Mogrul</t>
  </si>
  <si>
    <t>00022F16</t>
  </si>
  <si>
    <t>DA10MolagBalVoice</t>
  </si>
  <si>
    <t>Molag Bal</t>
  </si>
  <si>
    <t>0001336C</t>
  </si>
  <si>
    <t>Molgrom</t>
  </si>
  <si>
    <t>Molgrom Twice-Killed</t>
  </si>
  <si>
    <t>02019582</t>
  </si>
  <si>
    <t>DLC1DunRuunvaldMoric</t>
  </si>
  <si>
    <t>Moric Sidrey</t>
  </si>
  <si>
    <t>000D6719</t>
  </si>
  <si>
    <t>Morven</t>
  </si>
  <si>
    <t>020071F1</t>
  </si>
  <si>
    <t>DLC01SoulCairnSoulMorven</t>
  </si>
  <si>
    <t>Morven Stroud</t>
  </si>
  <si>
    <t>02018FA9</t>
  </si>
  <si>
    <t>DLC2SVMorwen</t>
  </si>
  <si>
    <t>Morwen</t>
  </si>
  <si>
    <t>00055A5E</t>
  </si>
  <si>
    <t>MothgroBagol</t>
  </si>
  <si>
    <t>Moth gro-Bagol</t>
  </si>
  <si>
    <t>000136B6</t>
  </si>
  <si>
    <t>Mralki</t>
  </si>
  <si>
    <t>0001406B</t>
  </si>
  <si>
    <t>Muiri</t>
  </si>
  <si>
    <t>0001B07A</t>
  </si>
  <si>
    <t>MulGroLargash</t>
  </si>
  <si>
    <t>Mul gro-Largash</t>
  </si>
  <si>
    <t>000133A9</t>
  </si>
  <si>
    <t>MulushGroShugurz</t>
  </si>
  <si>
    <t>Mulush gro-Shugurz</t>
  </si>
  <si>
    <t>00013B7A</t>
  </si>
  <si>
    <t>Murbul</t>
  </si>
  <si>
    <t>00034D99</t>
  </si>
  <si>
    <t>Muril</t>
  </si>
  <si>
    <t>HairMaleElf05</t>
  </si>
  <si>
    <t>00013B7F</t>
  </si>
  <si>
    <t>Nagrub</t>
  </si>
  <si>
    <t>02011E5D</t>
  </si>
  <si>
    <t>DLC1Namasur</t>
  </si>
  <si>
    <t>Namasur</t>
  </si>
  <si>
    <t>000133A0</t>
  </si>
  <si>
    <t>Ildene</t>
  </si>
  <si>
    <t>Nana Ildene</t>
  </si>
  <si>
    <t>000136C0</t>
  </si>
  <si>
    <t>Narfi</t>
  </si>
  <si>
    <t>02039D14</t>
  </si>
  <si>
    <t>DLC2RRMinerNaris</t>
  </si>
  <si>
    <t>Naris Mavani</t>
  </si>
  <si>
    <t>00013654</t>
  </si>
  <si>
    <t>Narri</t>
  </si>
  <si>
    <t>00013BBF</t>
  </si>
  <si>
    <t>Nazeem</t>
  </si>
  <si>
    <t>0001C3AB</t>
  </si>
  <si>
    <t>Nazir</t>
  </si>
  <si>
    <t>0004DDA0</t>
  </si>
  <si>
    <t>NazirSancAttack</t>
  </si>
  <si>
    <t>000E0FCB</t>
  </si>
  <si>
    <t>EncWarlock04TemplateBossNecro</t>
  </si>
  <si>
    <t>Necromage</t>
  </si>
  <si>
    <t>000551AD</t>
  </si>
  <si>
    <t>EncWarlock04TemplateNecro</t>
  </si>
  <si>
    <t>00028502</t>
  </si>
  <si>
    <t>MS06NecromancerCultist1</t>
  </si>
  <si>
    <t>Necromancer</t>
  </si>
  <si>
    <t>000E0FC6</t>
  </si>
  <si>
    <t>EncWarlock03TemplateBossNecro</t>
  </si>
  <si>
    <t>Necromancer Adept</t>
  </si>
  <si>
    <t>000551AC</t>
  </si>
  <si>
    <t>EncWarlock03TemplateNecro</t>
  </si>
  <si>
    <t>0001412F</t>
  </si>
  <si>
    <t>Neetrenaza</t>
  </si>
  <si>
    <t>0001E7D5</t>
  </si>
  <si>
    <t>Nelacar</t>
  </si>
  <si>
    <t>0001434D</t>
  </si>
  <si>
    <t>Nelkir</t>
  </si>
  <si>
    <t>0201773A</t>
  </si>
  <si>
    <t>DLC2Neloth</t>
  </si>
  <si>
    <t>Neloth</t>
  </si>
  <si>
    <t>00013659</t>
  </si>
  <si>
    <t>Nenya</t>
  </si>
  <si>
    <t>000133AA</t>
  </si>
  <si>
    <t>Nepos</t>
  </si>
  <si>
    <t>Nepos the Nose</t>
  </si>
  <si>
    <t>000A4E85</t>
  </si>
  <si>
    <t>MG02Nerien</t>
  </si>
  <si>
    <t>Nerien</t>
  </si>
  <si>
    <t>000233D2</t>
  </si>
  <si>
    <t>00087B8B</t>
  </si>
  <si>
    <t>DBRecurringContact1Dawnstar</t>
  </si>
  <si>
    <t>Nervous Patron</t>
  </si>
  <si>
    <t>000411D0</t>
  </si>
  <si>
    <t>dunMossMotherHunter02</t>
  </si>
  <si>
    <t>Niels</t>
  </si>
  <si>
    <t>000DEEDF</t>
  </si>
  <si>
    <t>EncNightingaleTemplateFemale</t>
  </si>
  <si>
    <t>Nightingale Sentinel</t>
  </si>
  <si>
    <t>000E0CDD</t>
  </si>
  <si>
    <t>EncNightingaleTemplateMale</t>
  </si>
  <si>
    <t>0001BB5D</t>
  </si>
  <si>
    <t>Gallus</t>
  </si>
  <si>
    <t>0200282A</t>
  </si>
  <si>
    <t>DLC1EncVampire07Template</t>
  </si>
  <si>
    <t>Nightlord Vampire</t>
  </si>
  <si>
    <t>0200282B</t>
  </si>
  <si>
    <t>DLC1EncVampire07TemplateBoss</t>
  </si>
  <si>
    <t>Nightmaster Vampire</t>
  </si>
  <si>
    <t>02018FC1</t>
  </si>
  <si>
    <t>DLC2SVNikulas</t>
  </si>
  <si>
    <t>Nikulas</t>
  </si>
  <si>
    <t>000EA71E</t>
  </si>
  <si>
    <t>MQ305Nikulas</t>
  </si>
  <si>
    <t>0001414B</t>
  </si>
  <si>
    <t>Nils</t>
  </si>
  <si>
    <t>0001412C</t>
  </si>
  <si>
    <t>Nilsine</t>
  </si>
  <si>
    <t>Nilsine Shatter-Shield</t>
  </si>
  <si>
    <t>0001336E</t>
  </si>
  <si>
    <t>Niluva</t>
  </si>
  <si>
    <t>Niluva Hlaalu</t>
  </si>
  <si>
    <t>0009BB45</t>
  </si>
  <si>
    <t>DA11Nimphaneth</t>
  </si>
  <si>
    <t>Nimphaneth</t>
  </si>
  <si>
    <t>HairFemaleElf01</t>
  </si>
  <si>
    <t>0002C926</t>
  </si>
  <si>
    <t>Nimriel</t>
  </si>
  <si>
    <t>00014123</t>
  </si>
  <si>
    <t>Niranye</t>
  </si>
  <si>
    <t>HairFemaleElf06</t>
  </si>
  <si>
    <t>0001CD91</t>
  </si>
  <si>
    <t>Niruin</t>
  </si>
  <si>
    <t>0001C19B</t>
  </si>
  <si>
    <t>Nirya</t>
  </si>
  <si>
    <t>0001336F</t>
  </si>
  <si>
    <t>Nivenor</t>
  </si>
  <si>
    <t>02027E42</t>
  </si>
  <si>
    <t>DLC2Niyya</t>
  </si>
  <si>
    <t>Niyya</t>
  </si>
  <si>
    <t>0001A6D9</t>
  </si>
  <si>
    <t>NjadaStonearm</t>
  </si>
  <si>
    <t>Njada Stonearm</t>
  </si>
  <si>
    <t>00102D63</t>
  </si>
  <si>
    <t>WERoad02NobleF</t>
  </si>
  <si>
    <t>Noble</t>
  </si>
  <si>
    <t>00102D62</t>
  </si>
  <si>
    <t>WERoad02NobleM</t>
  </si>
  <si>
    <t>0005A92D</t>
  </si>
  <si>
    <t>DB09Noble1</t>
  </si>
  <si>
    <t>Nobleman</t>
  </si>
  <si>
    <t>0005A92F</t>
  </si>
  <si>
    <t>DB09Noble2</t>
  </si>
  <si>
    <t>02008E1B</t>
  </si>
  <si>
    <t>DLC1dunRedwaterDenAddict3</t>
  </si>
  <si>
    <t>0005A930</t>
  </si>
  <si>
    <t>DB09Noble3</t>
  </si>
  <si>
    <t>Noblewoman</t>
  </si>
  <si>
    <t>0001A2CF</t>
  </si>
  <si>
    <t>Nocturnal</t>
  </si>
  <si>
    <t>000E3EAD</t>
  </si>
  <si>
    <t>FFHM01LeifnarrTreasCorpse</t>
  </si>
  <si>
    <t>000457F5</t>
  </si>
  <si>
    <t>TreasCorpseCommonerNordFemale</t>
  </si>
  <si>
    <t>00045804</t>
  </si>
  <si>
    <t>TreasCorpseCommonerNordMale</t>
  </si>
  <si>
    <t>00103502</t>
  </si>
  <si>
    <t>WEAdventurerBerserkerNordM</t>
  </si>
  <si>
    <t>00103503</t>
  </si>
  <si>
    <t>WEAdventurerWarriorNordF</t>
  </si>
  <si>
    <t>000C07C2</t>
  </si>
  <si>
    <t>MS09LvlGuard</t>
  </si>
  <si>
    <t>Northwatch Guard</t>
  </si>
  <si>
    <t>000C1A9E</t>
  </si>
  <si>
    <t>dunNorthwatchPrisoner01</t>
  </si>
  <si>
    <t>Northwatch Prisoner</t>
  </si>
  <si>
    <t>000C1A9F</t>
  </si>
  <si>
    <t>dunNorthwatchPrisoner02</t>
  </si>
  <si>
    <t>000C1AA3</t>
  </si>
  <si>
    <t>dunNorthwatchPrisoner03</t>
  </si>
  <si>
    <t>0001329C</t>
  </si>
  <si>
    <t>NosterOneEye</t>
  </si>
  <si>
    <t>Noster Eagle-Eye</t>
  </si>
  <si>
    <t>0006D22E</t>
  </si>
  <si>
    <t>EncWarlock01TemplateConjurer</t>
  </si>
  <si>
    <t>Novice Conjurer</t>
  </si>
  <si>
    <t>00044CD7</t>
  </si>
  <si>
    <t>EncWarlock01TemplateFire</t>
  </si>
  <si>
    <t>Novice Fire Mage</t>
  </si>
  <si>
    <t>00044CD8</t>
  </si>
  <si>
    <t>EncWarlock01TemplateIce</t>
  </si>
  <si>
    <t>Novice Ice Mage</t>
  </si>
  <si>
    <t>001092F5</t>
  </si>
  <si>
    <t>dunPOIChickenNecromander</t>
  </si>
  <si>
    <t>Novice Necromancer</t>
  </si>
  <si>
    <t>000548FE</t>
  </si>
  <si>
    <t>EncWarlock01TemplateNecro</t>
  </si>
  <si>
    <t>00044CD9</t>
  </si>
  <si>
    <t>EncWarlock01TemplateStorm</t>
  </si>
  <si>
    <t>Novice Storm Mage</t>
  </si>
  <si>
    <t>00013372</t>
  </si>
  <si>
    <t>Nura</t>
  </si>
  <si>
    <t>Nura Snow-Shod</t>
  </si>
  <si>
    <t>00014148</t>
  </si>
  <si>
    <t>Nurelion</t>
  </si>
  <si>
    <t>0001329D</t>
  </si>
  <si>
    <t>OctieveSan</t>
  </si>
  <si>
    <t>Octieve San</t>
  </si>
  <si>
    <t>0001329E</t>
  </si>
  <si>
    <t>Odar</t>
  </si>
  <si>
    <t>000136C4</t>
  </si>
  <si>
    <t>Odfel</t>
  </si>
  <si>
    <t>000133AC</t>
  </si>
  <si>
    <t>Odvan</t>
  </si>
  <si>
    <t>00014142</t>
  </si>
  <si>
    <t>Oengul</t>
  </si>
  <si>
    <t>Oengul War-Anvil</t>
  </si>
  <si>
    <t>00013B80</t>
  </si>
  <si>
    <t>Oglub</t>
  </si>
  <si>
    <t>000133AD</t>
  </si>
  <si>
    <t>Ogmund</t>
  </si>
  <si>
    <t>00019E22</t>
  </si>
  <si>
    <t>Ogol</t>
  </si>
  <si>
    <t>000F1A4A</t>
  </si>
  <si>
    <t>MQ305Olaf</t>
  </si>
  <si>
    <t>Olaf One-Eye</t>
  </si>
  <si>
    <t>00013BAE</t>
  </si>
  <si>
    <t>OlavatheFeeble</t>
  </si>
  <si>
    <t>Olava the Feeble</t>
  </si>
  <si>
    <t>00062128</t>
  </si>
  <si>
    <t>WE24Orc</t>
  </si>
  <si>
    <t>Old Orc</t>
  </si>
  <si>
    <t>00019A20</t>
  </si>
  <si>
    <t>Olda</t>
  </si>
  <si>
    <t>00013B9B</t>
  </si>
  <si>
    <t>OlfinaGrayMane</t>
  </si>
  <si>
    <t>Olfina Gray-Mane</t>
  </si>
  <si>
    <t>00013BB4</t>
  </si>
  <si>
    <t>OlfridBattleBorn</t>
  </si>
  <si>
    <t>Olfrid Battle-Born</t>
  </si>
  <si>
    <t>02010DE7</t>
  </si>
  <si>
    <t>DLC1DawnguardExterior03</t>
  </si>
  <si>
    <t>Ollrod</t>
  </si>
  <si>
    <t>0001995B</t>
  </si>
  <si>
    <t>Olur</t>
  </si>
  <si>
    <t>000133AE</t>
  </si>
  <si>
    <t>Omluag</t>
  </si>
  <si>
    <t>000133AF</t>
  </si>
  <si>
    <t>Ondolemar</t>
  </si>
  <si>
    <t>0001C194</t>
  </si>
  <si>
    <t>Onmund</t>
  </si>
  <si>
    <t>0008CDA2</t>
  </si>
  <si>
    <t>DA06LvlOrcMelee</t>
  </si>
  <si>
    <t>00045806</t>
  </si>
  <si>
    <t>TreasCorpseCommonerOrcFemale</t>
  </si>
  <si>
    <t>000457FD</t>
  </si>
  <si>
    <t>TreasCorpseCommonerOrcMale</t>
  </si>
  <si>
    <t>00105556</t>
  </si>
  <si>
    <t>WEAdventurerBerserkerOrcF</t>
  </si>
  <si>
    <t>00105562</t>
  </si>
  <si>
    <t>WEAdventurerBrawlerOrcF</t>
  </si>
  <si>
    <t>00109A7E</t>
  </si>
  <si>
    <t>WEAdventurerBrawlerOrcM</t>
  </si>
  <si>
    <t>00105555</t>
  </si>
  <si>
    <t>WEAdventurerWarriorOrcF</t>
  </si>
  <si>
    <t>00109A80</t>
  </si>
  <si>
    <t>WEAdventurerWarriorOrcM</t>
  </si>
  <si>
    <t>000D9447</t>
  </si>
  <si>
    <t>EncOrcHunterTemplate</t>
  </si>
  <si>
    <t>Orc Hunter</t>
  </si>
  <si>
    <t>00045F78</t>
  </si>
  <si>
    <t>DA13Orchendor</t>
  </si>
  <si>
    <t>Orchendor</t>
  </si>
  <si>
    <t>00013479</t>
  </si>
  <si>
    <t>Orgnar</t>
  </si>
  <si>
    <t>02019631</t>
  </si>
  <si>
    <t>BYOHHouse3Bard</t>
  </si>
  <si>
    <t>Oriella</t>
  </si>
  <si>
    <t>00085D44</t>
  </si>
  <si>
    <t>OriniDral</t>
  </si>
  <si>
    <t>Orini Dral</t>
  </si>
  <si>
    <t>000133B0</t>
  </si>
  <si>
    <t>Orla</t>
  </si>
  <si>
    <t>02003361</t>
  </si>
  <si>
    <t>DLC1Orthjolf</t>
  </si>
  <si>
    <t>Orthjolf</t>
  </si>
  <si>
    <t>0002A388</t>
  </si>
  <si>
    <t>Orthorn</t>
  </si>
  <si>
    <t>0001413B</t>
  </si>
  <si>
    <t>OrthusEndario</t>
  </si>
  <si>
    <t>Orthus Endario</t>
  </si>
  <si>
    <t>02018F99</t>
  </si>
  <si>
    <t>DLC2SVOslaf</t>
  </si>
  <si>
    <t>Oslaf</t>
  </si>
  <si>
    <t>00013605</t>
  </si>
  <si>
    <t>Pactur</t>
  </si>
  <si>
    <t>0202782D</t>
  </si>
  <si>
    <t>DLC2WaterStoneSailor4</t>
  </si>
  <si>
    <t>Palevius Lex</t>
  </si>
  <si>
    <t>0001329F</t>
  </si>
  <si>
    <t>PanteaAteia</t>
  </si>
  <si>
    <t>Pantea Ateia</t>
  </si>
  <si>
    <t>00034CBA</t>
  </si>
  <si>
    <t>ParatusDecimius</t>
  </si>
  <si>
    <t>Paratus Decimius</t>
  </si>
  <si>
    <t>000133B1</t>
  </si>
  <si>
    <t>PavoAttius</t>
  </si>
  <si>
    <t>Pavo Attius</t>
  </si>
  <si>
    <t>000B5D5A</t>
  </si>
  <si>
    <t>WEMerchantMiscFemaleCommoner</t>
  </si>
  <si>
    <t>Peddler</t>
  </si>
  <si>
    <t>000BBCD2</t>
  </si>
  <si>
    <t>WEMerchantMiscMaleCommoner</t>
  </si>
  <si>
    <t>0002AC6A</t>
  </si>
  <si>
    <t>DA15Pelagius</t>
  </si>
  <si>
    <t>Pelagius the Mad</t>
  </si>
  <si>
    <t>0009B287</t>
  </si>
  <si>
    <t>dunBluePalacePelagiusSuspicious</t>
  </si>
  <si>
    <t>Pelagius the Suspicious</t>
  </si>
  <si>
    <t>0009F82D</t>
  </si>
  <si>
    <t>dunBluePalacePelagiusNightmare</t>
  </si>
  <si>
    <t>Pelagius the Tormented</t>
  </si>
  <si>
    <t>0007D98C</t>
  </si>
  <si>
    <t>EncPenitus00Template</t>
  </si>
  <si>
    <t>Penitus Oculatus Agent</t>
  </si>
  <si>
    <t>0001996C</t>
  </si>
  <si>
    <t>Perth</t>
  </si>
  <si>
    <t>00072310</t>
  </si>
  <si>
    <t>SummonPhantom</t>
  </si>
  <si>
    <t>Phantom</t>
  </si>
  <si>
    <t>0001C199</t>
  </si>
  <si>
    <t>PhinisGestor</t>
  </si>
  <si>
    <t>Phinis Gestor</t>
  </si>
  <si>
    <t>0202400B</t>
  </si>
  <si>
    <t>DLC2dunHaknirShoal_LvlBanditMissileFemaleDarkElfCommoner</t>
  </si>
  <si>
    <t>Pirate</t>
  </si>
  <si>
    <t>02039722</t>
  </si>
  <si>
    <t>DLC2WE13dunHaknirShoal_LvlBanditMissileFemaleDarkElfCommoner</t>
  </si>
  <si>
    <t>0202400A</t>
  </si>
  <si>
    <t>DLC2dunHaknirShoal_LvlBanditBossMaleNord</t>
  </si>
  <si>
    <t>Pirate Captain</t>
  </si>
  <si>
    <t>000558ED</t>
  </si>
  <si>
    <t>WindhelmPitFan1</t>
  </si>
  <si>
    <t>Pit Fan</t>
  </si>
  <si>
    <t>00055CEA</t>
  </si>
  <si>
    <t>WindhelmPitFan10</t>
  </si>
  <si>
    <t>00055D1A</t>
  </si>
  <si>
    <t>WindhelmPitFan11</t>
  </si>
  <si>
    <t>00055D42</t>
  </si>
  <si>
    <t>WindhelmPitFan12</t>
  </si>
  <si>
    <t>000558EF</t>
  </si>
  <si>
    <t>WindhelmPitFan2</t>
  </si>
  <si>
    <t>000558F1</t>
  </si>
  <si>
    <t>WindhelmPitFan3</t>
  </si>
  <si>
    <t>000558F3</t>
  </si>
  <si>
    <t>WindhelmPitFan4</t>
  </si>
  <si>
    <t>000558F5</t>
  </si>
  <si>
    <t>WindhelmPitFan5</t>
  </si>
  <si>
    <t>000558F7</t>
  </si>
  <si>
    <t>WindhelmPitFan6</t>
  </si>
  <si>
    <t>00055900</t>
  </si>
  <si>
    <t>WindhelmPitFan7</t>
  </si>
  <si>
    <t>00055A1C</t>
  </si>
  <si>
    <t>WindhelmPitFan8</t>
  </si>
  <si>
    <t>00055B40</t>
  </si>
  <si>
    <t>WindhelmPitFan9</t>
  </si>
  <si>
    <t>02008248</t>
  </si>
  <si>
    <t>BYOHPlanterNPC</t>
  </si>
  <si>
    <t>Planter</t>
  </si>
  <si>
    <t>000B8148</t>
  </si>
  <si>
    <t>WEDL03PlautisCarvain</t>
  </si>
  <si>
    <t>Plautis Carvain</t>
  </si>
  <si>
    <t>000C03FE</t>
  </si>
  <si>
    <t>WEDL04PlautisCarvain</t>
  </si>
  <si>
    <t>0002001F</t>
  </si>
  <si>
    <t>DB02PlayerFriend</t>
  </si>
  <si>
    <t>Player Friend</t>
  </si>
  <si>
    <t>00087B9A</t>
  </si>
  <si>
    <t>DBRecurringTarget6Riften</t>
  </si>
  <si>
    <t>Poor Fishwife</t>
  </si>
  <si>
    <t>0200A8AC</t>
  </si>
  <si>
    <t>DLC1Prelate01</t>
  </si>
  <si>
    <t>Prelate Athring</t>
  </si>
  <si>
    <t>0200A8AD</t>
  </si>
  <si>
    <t>DLC1Prelate02</t>
  </si>
  <si>
    <t>Prelate Celegriath</t>
  </si>
  <si>
    <t>0200A8B0</t>
  </si>
  <si>
    <t>DLC1Prelate04</t>
  </si>
  <si>
    <t>Prelate Edhelbor</t>
  </si>
  <si>
    <t>0200A8AE</t>
  </si>
  <si>
    <t>DLC1Prelate03</t>
  </si>
  <si>
    <t>Prelate Nirilor</t>
  </si>
  <si>
    <t>02002B44</t>
  </si>
  <si>
    <t>DLC1Prelate00</t>
  </si>
  <si>
    <t>Prelate Sidanyis</t>
  </si>
  <si>
    <t>00107572</t>
  </si>
  <si>
    <t>MQ101ImperialPriest</t>
  </si>
  <si>
    <t>Priestess of Arkay</t>
  </si>
  <si>
    <t>00074B15</t>
  </si>
  <si>
    <t>dunChillwindFalmerPrisoner01</t>
  </si>
  <si>
    <t>Prisoner</t>
  </si>
  <si>
    <t>00074B18</t>
  </si>
  <si>
    <t>dunChillwindFalmerPrisoner02</t>
  </si>
  <si>
    <t>00074BD8</t>
  </si>
  <si>
    <t>dunChillwindFalmerPrisoner03</t>
  </si>
  <si>
    <t>00074BD9</t>
  </si>
  <si>
    <t>dunChillwindFalmerPrisoner04</t>
  </si>
  <si>
    <t>00074BDA</t>
  </si>
  <si>
    <t>dunChillwindFalmerPrisoner05</t>
  </si>
  <si>
    <t>0007514E</t>
  </si>
  <si>
    <t>dunChillwindFalmerPrisoner06</t>
  </si>
  <si>
    <t>00075152</t>
  </si>
  <si>
    <t>dunChillwindFalmerPrisoner07</t>
  </si>
  <si>
    <t>0007515E</t>
  </si>
  <si>
    <t>dunChillwindFalmerPrisoner08</t>
  </si>
  <si>
    <t>000EF4E7</t>
  </si>
  <si>
    <t>dunSolitudeJailDeadPrisoner</t>
  </si>
  <si>
    <t>000361F3</t>
  </si>
  <si>
    <t>PlayerInventory</t>
  </si>
  <si>
    <t>00013BBA</t>
  </si>
  <si>
    <t>ProventusAvenicci</t>
  </si>
  <si>
    <t>Proventus Avenicci</t>
  </si>
  <si>
    <t>000E0FD2</t>
  </si>
  <si>
    <t>EncWarlock06TemplateBossFire</t>
  </si>
  <si>
    <t>Pyromancer</t>
  </si>
  <si>
    <t>00045CBE</t>
  </si>
  <si>
    <t>EncWarlock06TemplateFire</t>
  </si>
  <si>
    <t>0002BA3C</t>
  </si>
  <si>
    <t>Quaranir</t>
  </si>
  <si>
    <t>0001414C</t>
  </si>
  <si>
    <t>QuintusNavale</t>
  </si>
  <si>
    <t>Quintus Navale</t>
  </si>
  <si>
    <t>000D37CF</t>
  </si>
  <si>
    <t>dunFrostmereCrypt_Rajirr</t>
  </si>
  <si>
    <t>Ra'jirr</t>
  </si>
  <si>
    <t>0002ABC2</t>
  </si>
  <si>
    <t>DA05Hunter04_Rakheran</t>
  </si>
  <si>
    <t>Ra'kheran</t>
  </si>
  <si>
    <t>HairKhajiitMale07</t>
  </si>
  <si>
    <t>0001B1D3</t>
  </si>
  <si>
    <t>Razhinda</t>
  </si>
  <si>
    <t>Ra'zhinda</t>
  </si>
  <si>
    <t>00083B17</t>
  </si>
  <si>
    <t>dunHalldirsDeadBandit02</t>
  </si>
  <si>
    <t>Raen</t>
  </si>
  <si>
    <t>000133B2</t>
  </si>
  <si>
    <t>Raerek</t>
  </si>
  <si>
    <t>00013B6A</t>
  </si>
  <si>
    <t>Ragnar</t>
  </si>
  <si>
    <t>000AC278</t>
  </si>
  <si>
    <t>Rahd</t>
  </si>
  <si>
    <t>0201F9C5</t>
  </si>
  <si>
    <t>DLC2dunFrostmoonRakel</t>
  </si>
  <si>
    <t>Rakel</t>
  </si>
  <si>
    <t>0203571F</t>
  </si>
  <si>
    <t>DLC2KagrumezCorpse</t>
  </si>
  <si>
    <t>Raleth Eldri</t>
  </si>
  <si>
    <t>020179C7</t>
  </si>
  <si>
    <t>DLC2dunKolbjornRalis</t>
  </si>
  <si>
    <t>Ralis Sedarys</t>
  </si>
  <si>
    <t>0002BF9D</t>
  </si>
  <si>
    <t>Ralof</t>
  </si>
  <si>
    <t>0004815E</t>
  </si>
  <si>
    <t>dunFrostflowAbyssRamati</t>
  </si>
  <si>
    <t>Ramati</t>
  </si>
  <si>
    <t>0001C186</t>
  </si>
  <si>
    <t>Ranmir</t>
  </si>
  <si>
    <t>02003362</t>
  </si>
  <si>
    <t>DLC1RargalThrallmaster</t>
  </si>
  <si>
    <t>Rargal Thrallmaster</t>
  </si>
  <si>
    <t>0001413D</t>
  </si>
  <si>
    <t>RavamVerethi</t>
  </si>
  <si>
    <t>Ravam Verethi</t>
  </si>
  <si>
    <t>000B03A4</t>
  </si>
  <si>
    <t>RavynImyan</t>
  </si>
  <si>
    <t>Ravyn Imyan</t>
  </si>
  <si>
    <t>02005215</t>
  </si>
  <si>
    <t>BYOHHousecarlFalkreath</t>
  </si>
  <si>
    <t>Rayya</t>
  </si>
  <si>
    <t>HairFemaleRedguard04</t>
  </si>
  <si>
    <t>000368C8</t>
  </si>
  <si>
    <t>Razelan</t>
  </si>
  <si>
    <t>02032600</t>
  </si>
  <si>
    <t>DLC2dunHaknirShoal_LvlBanditMissileWoodElfF</t>
  </si>
  <si>
    <t>Reaver</t>
  </si>
  <si>
    <t>0201E804</t>
  </si>
  <si>
    <t>DLC2EncBandit00Template</t>
  </si>
  <si>
    <t>0201E835</t>
  </si>
  <si>
    <t>DLC2EncBandit04TemplateMagic</t>
  </si>
  <si>
    <t>Reaver Highwayman</t>
  </si>
  <si>
    <t>0201E836</t>
  </si>
  <si>
    <t>DLC2EncBandit04TemplateMelee</t>
  </si>
  <si>
    <t>0201E837</t>
  </si>
  <si>
    <t>DLC2EncBandit04TemplateMissile</t>
  </si>
  <si>
    <t>0203816C</t>
  </si>
  <si>
    <t>DLC2DamphallMine01Boss</t>
  </si>
  <si>
    <t>Reaver Lord</t>
  </si>
  <si>
    <t>020325FE</t>
  </si>
  <si>
    <t>DLC2dunHaknirShoal_LvlBanditBossMaleDarkElf</t>
  </si>
  <si>
    <t>0201E83B</t>
  </si>
  <si>
    <t>DLC2EncBandit06TemplateMagic</t>
  </si>
  <si>
    <t>Reaver Marauder</t>
  </si>
  <si>
    <t>0201E83C</t>
  </si>
  <si>
    <t>DLC2EncBandit06TemplateMelee</t>
  </si>
  <si>
    <t>0201E83D</t>
  </si>
  <si>
    <t>DLC2EncBandit06TemplateMissile</t>
  </si>
  <si>
    <t>0201E81D</t>
  </si>
  <si>
    <t>DLC2EncBandit02TemplateMagic</t>
  </si>
  <si>
    <t>Reaver Outlaw</t>
  </si>
  <si>
    <t>0201E81E</t>
  </si>
  <si>
    <t>DLC2EncBandit02TemplateMelee</t>
  </si>
  <si>
    <t>0201E81F</t>
  </si>
  <si>
    <t>DLC2EncBandit02TemplateMissile</t>
  </si>
  <si>
    <t>0201E838</t>
  </si>
  <si>
    <t>DLC2EncBandit05TemplateMagic</t>
  </si>
  <si>
    <t>Reaver Plunderer</t>
  </si>
  <si>
    <t>0201E839</t>
  </si>
  <si>
    <t>DLC2EncBandit05TemplateMelee</t>
  </si>
  <si>
    <t>0201E83A</t>
  </si>
  <si>
    <t>DLC2EncBandit05TemplateMissile</t>
  </si>
  <si>
    <t>0201E832</t>
  </si>
  <si>
    <t>DLC2EncBandit03TemplateMagic</t>
  </si>
  <si>
    <t>Reaver Thug</t>
  </si>
  <si>
    <t>0201E833</t>
  </si>
  <si>
    <t>DLC2EncBandit03TemplateMelee</t>
  </si>
  <si>
    <t>0201E834</t>
  </si>
  <si>
    <t>DLC2EncBandit03TemplateMissile</t>
  </si>
  <si>
    <t>000133B3</t>
  </si>
  <si>
    <t>Reburrus</t>
  </si>
  <si>
    <t>Reburrus Quintilius</t>
  </si>
  <si>
    <t>00087B98</t>
  </si>
  <si>
    <t>DBRecurringTarget4Winterhold</t>
  </si>
  <si>
    <t>Reckless Mage</t>
  </si>
  <si>
    <t>00048117</t>
  </si>
  <si>
    <t>TreasCorpseCommonerRedguardFemale</t>
  </si>
  <si>
    <t>00048118</t>
  </si>
  <si>
    <t>TreasCorpseCommonerRedguardMale</t>
  </si>
  <si>
    <t>00103505</t>
  </si>
  <si>
    <t>WEAdventurerBerserkerRedguardF</t>
  </si>
  <si>
    <t>001034F5</t>
  </si>
  <si>
    <t>WEAdventurerSpellswordRedguardF</t>
  </si>
  <si>
    <t>00103504</t>
  </si>
  <si>
    <t>WEAdventurerWarriorRedguardM</t>
  </si>
  <si>
    <t>000B85AB</t>
  </si>
  <si>
    <t>WERJ03RedguardFemale</t>
  </si>
  <si>
    <t>Redguard Woman</t>
  </si>
  <si>
    <t>020195AF</t>
  </si>
  <si>
    <t>DLC2RRGuardTemplate</t>
  </si>
  <si>
    <t>Redoran Guard</t>
  </si>
  <si>
    <t>000745C7</t>
  </si>
  <si>
    <t>dunPOIRefugeeCorpse01</t>
  </si>
  <si>
    <t>Refugee</t>
  </si>
  <si>
    <t>000745CB</t>
  </si>
  <si>
    <t>dunPOIRefugeeCorpse02</t>
  </si>
  <si>
    <t>000745CD</t>
  </si>
  <si>
    <t>dunPOIRefugeeCorpse03</t>
  </si>
  <si>
    <t>000136B4</t>
  </si>
  <si>
    <t>Reldith</t>
  </si>
  <si>
    <t>000BD15A</t>
  </si>
  <si>
    <t>WERJ06Drunk01</t>
  </si>
  <si>
    <t>Reveler</t>
  </si>
  <si>
    <t>000BD15B</t>
  </si>
  <si>
    <t>WERJ06Drunk02</t>
  </si>
  <si>
    <t>000E842F</t>
  </si>
  <si>
    <t>WERJ06Drunk03</t>
  </si>
  <si>
    <t>000F84A4</t>
  </si>
  <si>
    <t>TG07Reves</t>
  </si>
  <si>
    <t>Reves</t>
  </si>
  <si>
    <t>0202C1EB</t>
  </si>
  <si>
    <t>DLC2SiltStriderMerchant</t>
  </si>
  <si>
    <t>Revus Sarvani</t>
  </si>
  <si>
    <t>0001413A</t>
  </si>
  <si>
    <t>RevynSadri</t>
  </si>
  <si>
    <t>Revyn Sadri</t>
  </si>
  <si>
    <t>0005BF2B</t>
  </si>
  <si>
    <t>Rexus</t>
  </si>
  <si>
    <t>000133B4</t>
  </si>
  <si>
    <t>Rhiada</t>
  </si>
  <si>
    <t>000799E4</t>
  </si>
  <si>
    <t>Rhorlak</t>
  </si>
  <si>
    <t>0001B1DB</t>
  </si>
  <si>
    <t>Risaad</t>
  </si>
  <si>
    <t>Ri'saad</t>
  </si>
  <si>
    <t>HairKhajiitMale08</t>
  </si>
  <si>
    <t>0001A6D7</t>
  </si>
  <si>
    <t>Ria</t>
  </si>
  <si>
    <t>000F62EF</t>
  </si>
  <si>
    <t>TreasCorpseGuardRiften01</t>
  </si>
  <si>
    <t>Riften Guard</t>
  </si>
  <si>
    <t>000F62F0</t>
  </si>
  <si>
    <t>TreasCorpseGuardRiften02</t>
  </si>
  <si>
    <t>02018F14</t>
  </si>
  <si>
    <t>DLC2RRRirnsLlervu</t>
  </si>
  <si>
    <t>Rirns Llervu</t>
  </si>
  <si>
    <t>0002ABC0</t>
  </si>
  <si>
    <t>DA05Hunter02_Rissing</t>
  </si>
  <si>
    <t>Rissing</t>
  </si>
  <si>
    <t>000284F2</t>
  </si>
  <si>
    <t>MS06NecromancerLeader</t>
  </si>
  <si>
    <t>Ritual Master</t>
  </si>
  <si>
    <t>000133B5</t>
  </si>
  <si>
    <t>Rogatus</t>
  </si>
  <si>
    <t>Rogatus Salvius</t>
  </si>
  <si>
    <t>0200887B</t>
  </si>
  <si>
    <t>DLC1VQ03VampireDriver</t>
  </si>
  <si>
    <t>Rogen</t>
  </si>
  <si>
    <t>0001403F</t>
  </si>
  <si>
    <t>Roggi</t>
  </si>
  <si>
    <t>Roggi Knot-Beard</t>
  </si>
  <si>
    <t>000A3BDB</t>
  </si>
  <si>
    <t>Roggvir</t>
  </si>
  <si>
    <t>0003EFE9</t>
  </si>
  <si>
    <t>Rolff</t>
  </si>
  <si>
    <t>Rolff Stone-Fist</t>
  </si>
  <si>
    <t>00013377</t>
  </si>
  <si>
    <t>Romlyn</t>
  </si>
  <si>
    <t>Romlyn Dreth</t>
  </si>
  <si>
    <t>000133B6</t>
  </si>
  <si>
    <t>Rondach</t>
  </si>
  <si>
    <t>02003367</t>
  </si>
  <si>
    <t>DLC1Ronthil</t>
  </si>
  <si>
    <t>Ronthil</t>
  </si>
  <si>
    <t>000136B2</t>
  </si>
  <si>
    <t>Rorik</t>
  </si>
  <si>
    <t>000132A2</t>
  </si>
  <si>
    <t>Rorlund</t>
  </si>
  <si>
    <t>00038289</t>
  </si>
  <si>
    <t>T02Ruki</t>
  </si>
  <si>
    <t>Ruki</t>
  </si>
  <si>
    <t>00039F1F</t>
  </si>
  <si>
    <t>Rulindil</t>
  </si>
  <si>
    <t>00013378</t>
  </si>
  <si>
    <t>Runa</t>
  </si>
  <si>
    <t>Runa Fair-Shield</t>
  </si>
  <si>
    <t>00013BC1</t>
  </si>
  <si>
    <t>POIMageRundi</t>
  </si>
  <si>
    <t>Rundi</t>
  </si>
  <si>
    <t>000D4FDE</t>
  </si>
  <si>
    <t>Rune</t>
  </si>
  <si>
    <t>0001364D</t>
  </si>
  <si>
    <t>Runil</t>
  </si>
  <si>
    <t>0001361E</t>
  </si>
  <si>
    <t>Rustleif</t>
  </si>
  <si>
    <t>00013BA2</t>
  </si>
  <si>
    <t>Saadia</t>
  </si>
  <si>
    <t>00103532</t>
  </si>
  <si>
    <t>MG02Miner01</t>
  </si>
  <si>
    <t>Saarthal Miner</t>
  </si>
  <si>
    <t>00103533</t>
  </si>
  <si>
    <t>MG02Miner02</t>
  </si>
  <si>
    <t>00103534</t>
  </si>
  <si>
    <t>MG02Miner03</t>
  </si>
  <si>
    <t>00103535</t>
  </si>
  <si>
    <t>MG02Miner04</t>
  </si>
  <si>
    <t>00103536</t>
  </si>
  <si>
    <t>MG02Miner05</t>
  </si>
  <si>
    <t>00103537</t>
  </si>
  <si>
    <t>MG02Miner06</t>
  </si>
  <si>
    <t>000132A3</t>
  </si>
  <si>
    <t>SabineNytte</t>
  </si>
  <si>
    <t>Sabine Nytte</t>
  </si>
  <si>
    <t>0002BA8C</t>
  </si>
  <si>
    <t>Sabjorn</t>
  </si>
  <si>
    <t>020367B1</t>
  </si>
  <si>
    <t>DLC2dunAltarOfThrondTreasCorpse</t>
  </si>
  <si>
    <t>Sacrifice</t>
  </si>
  <si>
    <t>020264B9</t>
  </si>
  <si>
    <t>DLC2dunHorkerIslandTreasCorpseBanditDarkElfMale</t>
  </si>
  <si>
    <t>Saden</t>
  </si>
  <si>
    <t>00013379</t>
  </si>
  <si>
    <t>Saerlund</t>
  </si>
  <si>
    <t>00013B98</t>
  </si>
  <si>
    <t>Saffir</t>
  </si>
  <si>
    <t>00013267</t>
  </si>
  <si>
    <t>Safia</t>
  </si>
  <si>
    <t>000C6011</t>
  </si>
  <si>
    <t>EncSailor00Template</t>
  </si>
  <si>
    <t>Sailor</t>
  </si>
  <si>
    <t>0201993D</t>
  </si>
  <si>
    <t>DLC1_WESC07_Outrider</t>
  </si>
  <si>
    <t>Saliah</t>
  </si>
  <si>
    <t>0006CD5A</t>
  </si>
  <si>
    <t>dunIronbindSalma</t>
  </si>
  <si>
    <t>Salma</t>
  </si>
  <si>
    <t>02003369</t>
  </si>
  <si>
    <t>DLC1SaloniaCaelia</t>
  </si>
  <si>
    <t>Salonia Caelia</t>
  </si>
  <si>
    <t>000B8149</t>
  </si>
  <si>
    <t>WEDL03SaloniaCarvain</t>
  </si>
  <si>
    <t>Salonia Carvain</t>
  </si>
  <si>
    <t>000C0401</t>
  </si>
  <si>
    <t>WEDL04SaloniaCarvain</t>
  </si>
  <si>
    <t>00094012</t>
  </si>
  <si>
    <t>Salvianus</t>
  </si>
  <si>
    <t>0001BB9C</t>
  </si>
  <si>
    <t>DA14Samwell</t>
  </si>
  <si>
    <t>Sam Guevenne</t>
  </si>
  <si>
    <t>0001337A</t>
  </si>
  <si>
    <t>Samuel</t>
  </si>
  <si>
    <t>000942CC</t>
  </si>
  <si>
    <t>dunDawnstarSanctuary_LvlBrotherhoodSentry</t>
  </si>
  <si>
    <t>Sanctuary Guardian</t>
  </si>
  <si>
    <t>000D5451</t>
  </si>
  <si>
    <t>dunDawnstarSanctuary_LvlBrotherhoodSentryMissile</t>
  </si>
  <si>
    <t>0009BB47</t>
  </si>
  <si>
    <t>DA11Sanyon</t>
  </si>
  <si>
    <t>Sanyon</t>
  </si>
  <si>
    <t>000C19A3</t>
  </si>
  <si>
    <t>Sapphire</t>
  </si>
  <si>
    <t>00085D41</t>
  </si>
  <si>
    <t>SarthisIdren</t>
  </si>
  <si>
    <t>Sarthis Idren</t>
  </si>
  <si>
    <t>0001C19F</t>
  </si>
  <si>
    <t>SavosAren</t>
  </si>
  <si>
    <t>Savos Aren</t>
  </si>
  <si>
    <t>000D07DB</t>
  </si>
  <si>
    <t>SavosArenGhost</t>
  </si>
  <si>
    <t>0001329A</t>
  </si>
  <si>
    <t>Sayma</t>
  </si>
  <si>
    <t>00062105</t>
  </si>
  <si>
    <t>WE23Scavenger</t>
  </si>
  <si>
    <t>Scavenger</t>
  </si>
  <si>
    <t>00087B8F</t>
  </si>
  <si>
    <t>DBRecurringContact4Markarth</t>
  </si>
  <si>
    <t>Scheming Servant</t>
  </si>
  <si>
    <t>0001412E</t>
  </si>
  <si>
    <t>ScoutsManyMarshes</t>
  </si>
  <si>
    <t>Scouts-Many-Marshes</t>
  </si>
  <si>
    <t>HairArgonianMale07</t>
  </si>
  <si>
    <t>00087B99</t>
  </si>
  <si>
    <t>DBRecurringTarget5Falkreath</t>
  </si>
  <si>
    <t>Seasoned Hunter</t>
  </si>
  <si>
    <t>0009F847</t>
  </si>
  <si>
    <t>dunBluePalaceInvisbleAttacker</t>
  </si>
  <si>
    <t>Self Doubt</t>
  </si>
  <si>
    <t>0003A745</t>
  </si>
  <si>
    <t>dunSouthfringeSelveniNethri</t>
  </si>
  <si>
    <t>Selveni Nethri</t>
  </si>
  <si>
    <t>000133B7</t>
  </si>
  <si>
    <t>Senna</t>
  </si>
  <si>
    <t>0002D514</t>
  </si>
  <si>
    <t>DA04Septimus</t>
  </si>
  <si>
    <t>Septimus Signus</t>
  </si>
  <si>
    <t>02002B6C</t>
  </si>
  <si>
    <t>DLC1Serana</t>
  </si>
  <si>
    <t>Serana</t>
  </si>
  <si>
    <t>DLC1HairFemaleSerana</t>
  </si>
  <si>
    <t>0001361F</t>
  </si>
  <si>
    <t>Seren</t>
  </si>
  <si>
    <t>0001C23E</t>
  </si>
  <si>
    <t>SergiusTurrianus</t>
  </si>
  <si>
    <t>Sergius Turrianus</t>
  </si>
  <si>
    <t>020198F7</t>
  </si>
  <si>
    <t>DLC1RefugeeSern</t>
  </si>
  <si>
    <t>Sern</t>
  </si>
  <si>
    <t>0201CAA6</t>
  </si>
  <si>
    <t>DLC2ServosRendas</t>
  </si>
  <si>
    <t>Servos Rendas</t>
  </si>
  <si>
    <t>0002C925</t>
  </si>
  <si>
    <t>SeverioPelagia</t>
  </si>
  <si>
    <t>Severio Pelagia</t>
  </si>
  <si>
    <t>00013371</t>
  </si>
  <si>
    <t>Shadr</t>
  </si>
  <si>
    <t>0001411A</t>
  </si>
  <si>
    <t>Shahvee</t>
  </si>
  <si>
    <t>HairArgonianFemale01</t>
  </si>
  <si>
    <t>00019953</t>
  </si>
  <si>
    <t>Sharamph</t>
  </si>
  <si>
    <t>HairFemaleOrc01</t>
  </si>
  <si>
    <t>0006C868</t>
  </si>
  <si>
    <t>Shavari</t>
  </si>
  <si>
    <t>00013B7D</t>
  </si>
  <si>
    <t>Shel</t>
  </si>
  <si>
    <t>0002AC69</t>
  </si>
  <si>
    <t>DA15Sheogorath</t>
  </si>
  <si>
    <t>Sheogorath</t>
  </si>
  <si>
    <t>00019957</t>
  </si>
  <si>
    <t>Shuftharz</t>
  </si>
  <si>
    <t>0001337B</t>
  </si>
  <si>
    <t>Sibbi</t>
  </si>
  <si>
    <t>Sibbi Black-Briar</t>
  </si>
  <si>
    <t>000D74F8</t>
  </si>
  <si>
    <t>WhiterunTempleSicklyFarmer</t>
  </si>
  <si>
    <t>Sickly Farmer</t>
  </si>
  <si>
    <t>00013653</t>
  </si>
  <si>
    <t>Siddgeir</t>
  </si>
  <si>
    <t>00029D96</t>
  </si>
  <si>
    <t>Sifnar</t>
  </si>
  <si>
    <t>Sifnar Ironkettle</t>
  </si>
  <si>
    <t>0009B7AA</t>
  </si>
  <si>
    <t>CarriageDriverRiften</t>
  </si>
  <si>
    <t>Sigaar</t>
  </si>
  <si>
    <t>000B85BE</t>
  </si>
  <si>
    <t>WEJS11Sigar</t>
  </si>
  <si>
    <t>Sigar</t>
  </si>
  <si>
    <t>00013476</t>
  </si>
  <si>
    <t>Sigrid</t>
  </si>
  <si>
    <t>000CDD72</t>
  </si>
  <si>
    <t>Sigurd</t>
  </si>
  <si>
    <t>000132A5</t>
  </si>
  <si>
    <t>SilanaPetreia</t>
  </si>
  <si>
    <t>Silana Petreia</t>
  </si>
  <si>
    <t>0005197F</t>
  </si>
  <si>
    <t>dunRannLvlWarlockBoss</t>
  </si>
  <si>
    <t>Sild the Warlock</t>
  </si>
  <si>
    <t>0005198C</t>
  </si>
  <si>
    <t>dunRannLvlWarlockAssistant</t>
  </si>
  <si>
    <t>Sild's Assistant</t>
  </si>
  <si>
    <t>00014121</t>
  </si>
  <si>
    <t>Silda</t>
  </si>
  <si>
    <t>Silda the Unseen</t>
  </si>
  <si>
    <t>000240CC</t>
  </si>
  <si>
    <t>SilusVesuius</t>
  </si>
  <si>
    <t>Silus Vesuius</t>
  </si>
  <si>
    <t>000B866A</t>
  </si>
  <si>
    <t>TreasCorpseSilverHandNordFemale</t>
  </si>
  <si>
    <t>Silver Hand Warrior</t>
  </si>
  <si>
    <t>000B8669</t>
  </si>
  <si>
    <t>TreasCorpseSilverHandNordMale</t>
  </si>
  <si>
    <t>0004B0AE</t>
  </si>
  <si>
    <t>dunDarklightSilvia</t>
  </si>
  <si>
    <t>Silvia</t>
  </si>
  <si>
    <t>0006C1B7</t>
  </si>
  <si>
    <t>DA05SindingHuman</t>
  </si>
  <si>
    <t>Sinding</t>
  </si>
  <si>
    <t>000813B5</t>
  </si>
  <si>
    <t>Sinmir</t>
  </si>
  <si>
    <t>00013607</t>
  </si>
  <si>
    <t>Sirgar</t>
  </si>
  <si>
    <t>02038968</t>
  </si>
  <si>
    <t>DLC2Sirkjorg</t>
  </si>
  <si>
    <t>Sirkjorg</t>
  </si>
  <si>
    <t>000136BA</t>
  </si>
  <si>
    <t>Sissel</t>
  </si>
  <si>
    <t>000133B8</t>
  </si>
  <si>
    <t>Skaggi</t>
  </si>
  <si>
    <t>Skaggi Scar-Face</t>
  </si>
  <si>
    <t>00013620</t>
  </si>
  <si>
    <t>SkaldtheElder</t>
  </si>
  <si>
    <t>Skald</t>
  </si>
  <si>
    <t>000F84A3</t>
  </si>
  <si>
    <t>TG07Skeggr</t>
  </si>
  <si>
    <t>Skeggr</t>
  </si>
  <si>
    <t>0001A690</t>
  </si>
  <si>
    <t>Skjor</t>
  </si>
  <si>
    <t>00013B78</t>
  </si>
  <si>
    <t>Skuli</t>
  </si>
  <si>
    <t>00013BB7</t>
  </si>
  <si>
    <t>SkulvarSableHilt</t>
  </si>
  <si>
    <t>Skulvar Sable-Hilt</t>
  </si>
  <si>
    <t>02019596</t>
  </si>
  <si>
    <t>DLC2MogrulThugTT1b</t>
  </si>
  <si>
    <t>Slitter</t>
  </si>
  <si>
    <t>000DC4E6</t>
  </si>
  <si>
    <t>DunPOIVolcanicTreasSmugglerCorpse</t>
  </si>
  <si>
    <t>Smuggler</t>
  </si>
  <si>
    <t>0001B071</t>
  </si>
  <si>
    <t>Snilf</t>
  </si>
  <si>
    <t>000132A6</t>
  </si>
  <si>
    <t>Snilling</t>
  </si>
  <si>
    <t>0007E5EC</t>
  </si>
  <si>
    <t>Snorreid</t>
  </si>
  <si>
    <t>0200403B</t>
  </si>
  <si>
    <t>BYOHUrchin_Sofie</t>
  </si>
  <si>
    <t>Sofie</t>
  </si>
  <si>
    <t>020376F6</t>
  </si>
  <si>
    <t>DLC2RRSogrlafSolstheim</t>
  </si>
  <si>
    <t>Sogrlaf</t>
  </si>
  <si>
    <t>020376F4</t>
  </si>
  <si>
    <t>DLC2RRSogrlafWindhelm</t>
  </si>
  <si>
    <t>00013652</t>
  </si>
  <si>
    <t>Solaf</t>
  </si>
  <si>
    <t>0009F7EA</t>
  </si>
  <si>
    <t>WE17Bandit1</t>
  </si>
  <si>
    <t>Soldier</t>
  </si>
  <si>
    <t>0009F7F1</t>
  </si>
  <si>
    <t>WE17Bandit2</t>
  </si>
  <si>
    <t>0009F7F2</t>
  </si>
  <si>
    <t>WE17Bandit3</t>
  </si>
  <si>
    <t>00015CC4</t>
  </si>
  <si>
    <t>dunEldergleamPilgrimNordM</t>
  </si>
  <si>
    <t>Sond</t>
  </si>
  <si>
    <t>000B94A3</t>
  </si>
  <si>
    <t>WERJ04Kid01</t>
  </si>
  <si>
    <t>0001366B</t>
  </si>
  <si>
    <t>SondasDrenim</t>
  </si>
  <si>
    <t>Sondas Drenim</t>
  </si>
  <si>
    <t>02019630</t>
  </si>
  <si>
    <t>BYOHHouse2Bard</t>
  </si>
  <si>
    <t>Sonir</t>
  </si>
  <si>
    <t>000132A7</t>
  </si>
  <si>
    <t>SorexVinius</t>
  </si>
  <si>
    <t>Sorex Vinius</t>
  </si>
  <si>
    <t>0200336B</t>
  </si>
  <si>
    <t>DLC1SorineJurard</t>
  </si>
  <si>
    <t>Sorine Jurard</t>
  </si>
  <si>
    <t>00013606</t>
  </si>
  <si>
    <t>Sorli</t>
  </si>
  <si>
    <t>Sorli the Builder</t>
  </si>
  <si>
    <t>000133B9</t>
  </si>
  <si>
    <t>Sosia</t>
  </si>
  <si>
    <t>Sosia Tremellia</t>
  </si>
  <si>
    <t>0200A906</t>
  </si>
  <si>
    <t>DLC01SoulCairnSoulDefault</t>
  </si>
  <si>
    <t>Soul</t>
  </si>
  <si>
    <t>02015DF4</t>
  </si>
  <si>
    <t>DLC01SoulCairnSoulFarmFemale</t>
  </si>
  <si>
    <t>02015DF3</t>
  </si>
  <si>
    <t>DLC01SoulCairnSoulFarmMale</t>
  </si>
  <si>
    <t>02002B0D</t>
  </si>
  <si>
    <t>DLC01SoulCairnSoulHorseRider</t>
  </si>
  <si>
    <t>0201A4FC</t>
  </si>
  <si>
    <t>DLC01SoulCairnSoulHunterF</t>
  </si>
  <si>
    <t>0201A4FD</t>
  </si>
  <si>
    <t>DLC01SoulCairnSoulHunterM</t>
  </si>
  <si>
    <t>0201A4F8</t>
  </si>
  <si>
    <t>DLC01SoulCairnSoulMageFemale</t>
  </si>
  <si>
    <t>0201A504</t>
  </si>
  <si>
    <t>DLC01SoulCairnSoulMageFemale02</t>
  </si>
  <si>
    <t>0201A505</t>
  </si>
  <si>
    <t>DLC01SoulCairnSoulMageFemale03</t>
  </si>
  <si>
    <t>0201A4F7</t>
  </si>
  <si>
    <t>DLC01SoulCairnSoulMageMale</t>
  </si>
  <si>
    <t>0201A4F9</t>
  </si>
  <si>
    <t>DLC01SoulCairnSoulMageMale02</t>
  </si>
  <si>
    <t>0201A503</t>
  </si>
  <si>
    <t>DLC01SoulCairnSoulMageMale03</t>
  </si>
  <si>
    <t>020150B1</t>
  </si>
  <si>
    <t>DLC01SoulCairnSoulMeleeFemale</t>
  </si>
  <si>
    <t>0201A4FA</t>
  </si>
  <si>
    <t>DLC01SoulCairnSoulMeleeFemale02</t>
  </si>
  <si>
    <t>02004759</t>
  </si>
  <si>
    <t>DLC01SoulCairnSoulMeleeMale</t>
  </si>
  <si>
    <t>0201A4FE</t>
  </si>
  <si>
    <t>DLC01SoulCairnSoulMeleeMale02</t>
  </si>
  <si>
    <t>020150B5</t>
  </si>
  <si>
    <t>DLC01SoulCairnSoulMissileFemale</t>
  </si>
  <si>
    <t>020150B4</t>
  </si>
  <si>
    <t>DLC01SoulCairnSoulMissileMale</t>
  </si>
  <si>
    <t>020150B3</t>
  </si>
  <si>
    <t>DLC01SoulCairnSoulNecromancerFemale</t>
  </si>
  <si>
    <t>020150B2</t>
  </si>
  <si>
    <t>DLC01SoulCairnSoulNecromancerMale</t>
  </si>
  <si>
    <t>020150B6</t>
  </si>
  <si>
    <t>DLC01SoulCairnSoulOrcMale</t>
  </si>
  <si>
    <t>0201A4FF</t>
  </si>
  <si>
    <t>DLC01SoulCairnSoulPrisonerFemale</t>
  </si>
  <si>
    <t>0201A502</t>
  </si>
  <si>
    <t>DLC01SoulCairnSoulPrisonerMale</t>
  </si>
  <si>
    <t>000A0E49</t>
  </si>
  <si>
    <t>DBSpectralAssassin</t>
  </si>
  <si>
    <t>Spectral Assassin</t>
  </si>
  <si>
    <t>000F6768</t>
  </si>
  <si>
    <t>dunWaywardPassGhost</t>
  </si>
  <si>
    <t>Spirit of the Ancient Traveler</t>
  </si>
  <si>
    <t>02003368</t>
  </si>
  <si>
    <t>DLC1Stalf</t>
  </si>
  <si>
    <t>Stalf</t>
  </si>
  <si>
    <t>00014130</t>
  </si>
  <si>
    <t>StandsInShallows</t>
  </si>
  <si>
    <t>Stands-In-Shallows</t>
  </si>
  <si>
    <t>HairArgonianMale01</t>
  </si>
  <si>
    <t>00093821</t>
  </si>
  <si>
    <t>dunNchuandStaubs</t>
  </si>
  <si>
    <t>Staubin</t>
  </si>
  <si>
    <t>00019A19</t>
  </si>
  <si>
    <t>Steirod</t>
  </si>
  <si>
    <t>000B9983</t>
  </si>
  <si>
    <t>HirelingStenvar</t>
  </si>
  <si>
    <t>Stenvar</t>
  </si>
  <si>
    <t>0001DC00</t>
  </si>
  <si>
    <t>MS10Stig</t>
  </si>
  <si>
    <t>Stig Salt-Plank</t>
  </si>
  <si>
    <t>000E0FCC</t>
  </si>
  <si>
    <t>EncWarlock04TemplateBossStorm</t>
  </si>
  <si>
    <t>Storm Mage</t>
  </si>
  <si>
    <t>00045CA2</t>
  </si>
  <si>
    <t>EncWarlock04TemplateStorm</t>
  </si>
  <si>
    <t>000E0FC7</t>
  </si>
  <si>
    <t>EncWarlock03TemplateBossStorm</t>
  </si>
  <si>
    <t>Storm Mage Adept</t>
  </si>
  <si>
    <t>00045C7C</t>
  </si>
  <si>
    <t>EncWarlock03TemplateStorm</t>
  </si>
  <si>
    <t>000E0FD1</t>
  </si>
  <si>
    <t>EncWarlock05TemplateBossStorm</t>
  </si>
  <si>
    <t>Storm Wizard</t>
  </si>
  <si>
    <t>00045CBD</t>
  </si>
  <si>
    <t>EncWarlock05TemplateStorm</t>
  </si>
  <si>
    <t>00045BE4</t>
  </si>
  <si>
    <t>EncSiegeSonsArcherTemplate</t>
  </si>
  <si>
    <t>Stormcloak Archer</t>
  </si>
  <si>
    <t>000205C8</t>
  </si>
  <si>
    <t>CWFieldCOSons</t>
  </si>
  <si>
    <t>Stormcloak Field Commander</t>
  </si>
  <si>
    <t>0004622B</t>
  </si>
  <si>
    <t>CWSiegeSonsWizard</t>
  </si>
  <si>
    <t>Stormcloak Mage</t>
  </si>
  <si>
    <t>000F94B2</t>
  </si>
  <si>
    <t>dunCGStormcloakPrisonerFemaleDEAD</t>
  </si>
  <si>
    <t>Stormcloak Soldier</t>
  </si>
  <si>
    <t>000F94B1</t>
  </si>
  <si>
    <t>dunCGStormcloakPrisonerMaleDEAD</t>
  </si>
  <si>
    <t>000E962C</t>
  </si>
  <si>
    <t>E3DemoSoldierCaptain</t>
  </si>
  <si>
    <t>000AA922</t>
  </si>
  <si>
    <t>EncGuardSonsF01FemaleNord</t>
  </si>
  <si>
    <t>000AA924</t>
  </si>
  <si>
    <t>EncGuardSonsF02FemaleNord</t>
  </si>
  <si>
    <t>000AA931</t>
  </si>
  <si>
    <t>EncGuardSonsF03FemaleNord</t>
  </si>
  <si>
    <t>000AA932</t>
  </si>
  <si>
    <t>EncGuardSonsM01MaleNordCommander</t>
  </si>
  <si>
    <t>000AA933</t>
  </si>
  <si>
    <t>EncGuardSonsM02MaleNordCommander</t>
  </si>
  <si>
    <t>000AA935</t>
  </si>
  <si>
    <t>EncGuardSonsM03MaleNordCommander</t>
  </si>
  <si>
    <t>000AA936</t>
  </si>
  <si>
    <t>EncGuardSonsM04MaleGuard</t>
  </si>
  <si>
    <t>000AA942</t>
  </si>
  <si>
    <t>EncGuardSonsM05MaleGuard</t>
  </si>
  <si>
    <t>000AA943</t>
  </si>
  <si>
    <t>EncGuardSonsM06MaleGuard</t>
  </si>
  <si>
    <t>00027498</t>
  </si>
  <si>
    <t>EncSoldierSonsTemplate</t>
  </si>
  <si>
    <t>000B1693</t>
  </si>
  <si>
    <t>MQ101CorpseSonsPrisoner01</t>
  </si>
  <si>
    <t>000B79BC</t>
  </si>
  <si>
    <t>MQ101CorpseSonsPrisoner02</t>
  </si>
  <si>
    <t>0004D366</t>
  </si>
  <si>
    <t>MQ101StormcloakArcher</t>
  </si>
  <si>
    <t>0010A1A6</t>
  </si>
  <si>
    <t>MQ101StormcloakArcher02</t>
  </si>
  <si>
    <t>000CD6BD</t>
  </si>
  <si>
    <t>MQ101StormcloakCartFemale</t>
  </si>
  <si>
    <t>000CD6BC</t>
  </si>
  <si>
    <t>MQ101StormcloakCartMale</t>
  </si>
  <si>
    <t>001098A1</t>
  </si>
  <si>
    <t>MQ101StormcloakCartMale02</t>
  </si>
  <si>
    <t>000F778F</t>
  </si>
  <si>
    <t>MQ101StormcloakCartMaleBroder</t>
  </si>
  <si>
    <t>0005B205</t>
  </si>
  <si>
    <t>MQ101StormcloakPrisonerFemale</t>
  </si>
  <si>
    <t>0010A1A8</t>
  </si>
  <si>
    <t>MQ101StormcloakPrisonerFemale02</t>
  </si>
  <si>
    <t>000467BB</t>
  </si>
  <si>
    <t>MQ101StormcloakPrisonerMale</t>
  </si>
  <si>
    <t>0010A1A4</t>
  </si>
  <si>
    <t>MQ101StormcloakPrisonerMale02</t>
  </si>
  <si>
    <t>0010A1A5</t>
  </si>
  <si>
    <t>MQ101StormcloakPrisonerMale03</t>
  </si>
  <si>
    <t>000F830A</t>
  </si>
  <si>
    <t>MQ101StormcloakPrisonerMaleNord</t>
  </si>
  <si>
    <t>0010A1A7</t>
  </si>
  <si>
    <t>MQ101StormcloakPrisonerMaleNord02</t>
  </si>
  <si>
    <t>02017935</t>
  </si>
  <si>
    <t>DLC2Storn</t>
  </si>
  <si>
    <t>Storn Crag-Strider</t>
  </si>
  <si>
    <t>00093851</t>
  </si>
  <si>
    <t>dunNchuandStromm</t>
  </si>
  <si>
    <t>Stromm</t>
  </si>
  <si>
    <t>0006F214</t>
  </si>
  <si>
    <t>WIChangeLocation04Student</t>
  </si>
  <si>
    <t>Student</t>
  </si>
  <si>
    <t>000132A8</t>
  </si>
  <si>
    <t>Styrr</t>
  </si>
  <si>
    <t>0004815F</t>
  </si>
  <si>
    <t>dunFrostflowAbyssSudi</t>
  </si>
  <si>
    <t>Sudi</t>
  </si>
  <si>
    <t>0003B0E2</t>
  </si>
  <si>
    <t>dunAlftandSullaTrebatius</t>
  </si>
  <si>
    <t>Sulla Trebatius</t>
  </si>
  <si>
    <t>0009F83A</t>
  </si>
  <si>
    <t>dunBluePalaceMareMaiden</t>
  </si>
  <si>
    <t>Sultry Maiden</t>
  </si>
  <si>
    <t>00014147</t>
  </si>
  <si>
    <t>Sulvar</t>
  </si>
  <si>
    <t>Sulvar the Steady</t>
  </si>
  <si>
    <t>000C5676</t>
  </si>
  <si>
    <t>EncTGSummersetTemplate</t>
  </si>
  <si>
    <t>Summerset Shadow</t>
  </si>
  <si>
    <t>0001412B</t>
  </si>
  <si>
    <t>Susanna</t>
  </si>
  <si>
    <t>Susanna the Wicked</t>
  </si>
  <si>
    <t>00014122</t>
  </si>
  <si>
    <t>SuvarisAtheron</t>
  </si>
  <si>
    <t>Suvaris Atheron</t>
  </si>
  <si>
    <t>00016C87</t>
  </si>
  <si>
    <t>MS05_dunDeadMensRespite_Svaknir</t>
  </si>
  <si>
    <t>Svaknir</t>
  </si>
  <si>
    <t>0001337C</t>
  </si>
  <si>
    <t>Svana</t>
  </si>
  <si>
    <t>Svana Far-Shield</t>
  </si>
  <si>
    <t>000132A9</t>
  </si>
  <si>
    <t>Svari</t>
  </si>
  <si>
    <t>0001347F</t>
  </si>
  <si>
    <t>Sven</t>
  </si>
  <si>
    <t>00013608</t>
  </si>
  <si>
    <t>Swanhvir</t>
  </si>
  <si>
    <t>000132AA</t>
  </si>
  <si>
    <t>SybilleStentor</t>
  </si>
  <si>
    <t>Sybille Stentor</t>
  </si>
  <si>
    <t>000C3A3F</t>
  </si>
  <si>
    <t>Sylgja</t>
  </si>
  <si>
    <t>000BB2C0</t>
  </si>
  <si>
    <t>SyndaLlanith</t>
  </si>
  <si>
    <t>Synda Llanith</t>
  </si>
  <si>
    <t>00029DAA</t>
  </si>
  <si>
    <t>Syndus</t>
  </si>
  <si>
    <t>000B114F</t>
  </si>
  <si>
    <t>dunMzulftTreasCorpseSynodResearcherF</t>
  </si>
  <si>
    <t>Synod Researcher</t>
  </si>
  <si>
    <t>0008C3CA</t>
  </si>
  <si>
    <t>dunMzulftTreasCorpseSynodResearcherM</t>
  </si>
  <si>
    <t>000132AB</t>
  </si>
  <si>
    <t>Taarie</t>
  </si>
  <si>
    <t>0001402D</t>
  </si>
  <si>
    <t>TacitusSallustius</t>
  </si>
  <si>
    <t>Tacitus Sallustius</t>
  </si>
  <si>
    <t>000B878C</t>
  </si>
  <si>
    <t>MG07TakesGhost</t>
  </si>
  <si>
    <t>Takes-In-Light</t>
  </si>
  <si>
    <t>HairArgonianFemale06</t>
  </si>
  <si>
    <t>00013373</t>
  </si>
  <si>
    <t>TalenJei</t>
  </si>
  <si>
    <t>Talen-Jei</t>
  </si>
  <si>
    <t>00013609</t>
  </si>
  <si>
    <t>Talib</t>
  </si>
  <si>
    <t>00083D99</t>
  </si>
  <si>
    <t>TalsgarTheWanderer</t>
  </si>
  <si>
    <t>Talsgar the Wanderer</t>
  </si>
  <si>
    <t>02017777</t>
  </si>
  <si>
    <t>DLC2Talvas</t>
  </si>
  <si>
    <t>Talvas Fathryon</t>
  </si>
  <si>
    <t>0003A190</t>
  </si>
  <si>
    <t>dunPOIReachLoversCorpse02</t>
  </si>
  <si>
    <t>Talvur</t>
  </si>
  <si>
    <t>00039250</t>
  </si>
  <si>
    <t>Tandil</t>
  </si>
  <si>
    <t>02014BFB</t>
  </si>
  <si>
    <t>DLC1_WESC09TaronDreth</t>
  </si>
  <si>
    <t>Taron Dreth</t>
  </si>
  <si>
    <t>00019A24</t>
  </si>
  <si>
    <t>TasiusTragus</t>
  </si>
  <si>
    <t>Tasius Tragus</t>
  </si>
  <si>
    <t>0001360A</t>
  </si>
  <si>
    <t>TeebaEi</t>
  </si>
  <si>
    <t>Teeba-Ei</t>
  </si>
  <si>
    <t>HairArgonianMale06</t>
  </si>
  <si>
    <t>00013656</t>
  </si>
  <si>
    <t>Tekla</t>
  </si>
  <si>
    <t>02038560</t>
  </si>
  <si>
    <t>DLC2RRTeldrynSero</t>
  </si>
  <si>
    <t>Teldryn Sero</t>
  </si>
  <si>
    <t>000658D2</t>
  </si>
  <si>
    <t>TembaWideArm</t>
  </si>
  <si>
    <t>Temba Wide-Arm</t>
  </si>
  <si>
    <t>0001A673</t>
  </si>
  <si>
    <t>Terek</t>
  </si>
  <si>
    <t>000196B8</t>
  </si>
  <si>
    <t>TestCarryBasket</t>
  </si>
  <si>
    <t>000BECD2</t>
  </si>
  <si>
    <t>TestCarryFirewood</t>
  </si>
  <si>
    <t>000CCE01</t>
  </si>
  <si>
    <t>WarehouseNPCCarryFirewood</t>
  </si>
  <si>
    <t>0002E11F</t>
  </si>
  <si>
    <t>TestFurnitureUseIdleLinkedRefNPC</t>
  </si>
  <si>
    <t>000CCDFC</t>
  </si>
  <si>
    <t>WarehouseNPCCarryWaterBucket</t>
  </si>
  <si>
    <t>TestJeffBCarryWaterBucket</t>
  </si>
  <si>
    <t>02003FF7</t>
  </si>
  <si>
    <t>TestMasterPackageKid</t>
  </si>
  <si>
    <t>TestKid</t>
  </si>
  <si>
    <t>000591A1</t>
  </si>
  <si>
    <t>TestReadingDude</t>
  </si>
  <si>
    <t>00105593</t>
  </si>
  <si>
    <t>TestWritingDude</t>
  </si>
  <si>
    <t>0004E5E9</t>
  </si>
  <si>
    <t>Thadgeir</t>
  </si>
  <si>
    <t>0001C189</t>
  </si>
  <si>
    <t>Thaena</t>
  </si>
  <si>
    <t>0009B7A6</t>
  </si>
  <si>
    <t>CarriageDriverSolitude</t>
  </si>
  <si>
    <t>Thaer</t>
  </si>
  <si>
    <t>020069C0</t>
  </si>
  <si>
    <t>DLC1VQ03CarriageDriver</t>
  </si>
  <si>
    <t>02037FE5</t>
  </si>
  <si>
    <t>DLC2dunHaknirThalinEbonhand</t>
  </si>
  <si>
    <t>Thalin Ebonhand</t>
  </si>
  <si>
    <t>000B80FF</t>
  </si>
  <si>
    <t>WEThalmorPrisoner</t>
  </si>
  <si>
    <t>Thalmor Prisoner</t>
  </si>
  <si>
    <t>0002B124</t>
  </si>
  <si>
    <t>EncThalmor00MeleeTemplate</t>
  </si>
  <si>
    <t>Thalmor Soldier</t>
  </si>
  <si>
    <t>000728AC</t>
  </si>
  <si>
    <t>EncThalmor00MissileTemplate</t>
  </si>
  <si>
    <t>000728AD</t>
  </si>
  <si>
    <t>EncThalmor00WizardTemplate</t>
  </si>
  <si>
    <t>Thalmor Wizard</t>
  </si>
  <si>
    <t>02018FC8</t>
  </si>
  <si>
    <t>DLC2SVTharstan</t>
  </si>
  <si>
    <t>Tharstan</t>
  </si>
  <si>
    <t>000E93D3</t>
  </si>
  <si>
    <t>E3demoThief</t>
  </si>
  <si>
    <t>Thief</t>
  </si>
  <si>
    <t>001093A5</t>
  </si>
  <si>
    <t>TG08BTreasCorpseThiefNordMaleOld</t>
  </si>
  <si>
    <t>000EF9C3</t>
  </si>
  <si>
    <t>WERJ03Thief</t>
  </si>
  <si>
    <t>000B816E</t>
  </si>
  <si>
    <t>WERJThief</t>
  </si>
  <si>
    <t>00103510</t>
  </si>
  <si>
    <t>WEThiefTemplate</t>
  </si>
  <si>
    <t>00023EE8</t>
  </si>
  <si>
    <t>WIThief</t>
  </si>
  <si>
    <t>000CE088</t>
  </si>
  <si>
    <t>DA05Hunter12_04Archer_Thjollod</t>
  </si>
  <si>
    <t>Thjollod</t>
  </si>
  <si>
    <t>000C3B25</t>
  </si>
  <si>
    <t>dunBleakFallsCorpseBretonThomas</t>
  </si>
  <si>
    <t>Thomas</t>
  </si>
  <si>
    <t>000133BA</t>
  </si>
  <si>
    <t>Thonar</t>
  </si>
  <si>
    <t>Thonar Silver-Blood</t>
  </si>
  <si>
    <t>000133BB</t>
  </si>
  <si>
    <t>Thongvor</t>
  </si>
  <si>
    <t>Thongvor Silver-Blood</t>
  </si>
  <si>
    <t>0001C181</t>
  </si>
  <si>
    <t>Thonjolf</t>
  </si>
  <si>
    <t>000135F2</t>
  </si>
  <si>
    <t>Thonnir</t>
  </si>
  <si>
    <t>0001C241</t>
  </si>
  <si>
    <t>ThoraldGrayMane</t>
  </si>
  <si>
    <t>Thorald Gray-Mane</t>
  </si>
  <si>
    <t>00024278</t>
  </si>
  <si>
    <t>Thorek</t>
  </si>
  <si>
    <t>000341FF</t>
  </si>
  <si>
    <t>Thorek_Ambush</t>
  </si>
  <si>
    <t>000AE777</t>
  </si>
  <si>
    <t>Thorgar</t>
  </si>
  <si>
    <t>00013621</t>
  </si>
  <si>
    <t>Thoring</t>
  </si>
  <si>
    <t>0008455F</t>
  </si>
  <si>
    <t>CWFieldCOSonsFalkreath</t>
  </si>
  <si>
    <t>Thorygg Sun-Killer</t>
  </si>
  <si>
    <t>00013367</t>
  </si>
  <si>
    <t>Threki</t>
  </si>
  <si>
    <t>Threki the Innocent</t>
  </si>
  <si>
    <t>000D4FDB</t>
  </si>
  <si>
    <t>Thrynn</t>
  </si>
  <si>
    <t>02010DE5</t>
  </si>
  <si>
    <t>DLC1DawnguardExterior01</t>
  </si>
  <si>
    <t>Tilde</t>
  </si>
  <si>
    <t>02018286</t>
  </si>
  <si>
    <t>DLC2RRTilisuSeverin</t>
  </si>
  <si>
    <t>Tilisu Severin</t>
  </si>
  <si>
    <t>00013BB6</t>
  </si>
  <si>
    <t>Tilma</t>
  </si>
  <si>
    <t>Tilma the Haggard</t>
  </si>
  <si>
    <t>02039D18</t>
  </si>
  <si>
    <t>DLC2RRMinerTolenos</t>
  </si>
  <si>
    <t>Tolenos Omoren</t>
  </si>
  <si>
    <t>0001C19E</t>
  </si>
  <si>
    <t>Tolfdir</t>
  </si>
  <si>
    <t>000B8827</t>
  </si>
  <si>
    <t>Tonilia</t>
  </si>
  <si>
    <t>0001413F</t>
  </si>
  <si>
    <t>Torbjorn</t>
  </si>
  <si>
    <t>Torbjorn Shatter-Shield</t>
  </si>
  <si>
    <t>02034024</t>
  </si>
  <si>
    <t>DLC2WB01Torkild</t>
  </si>
  <si>
    <t>Torkild</t>
  </si>
  <si>
    <t>000CE084</t>
  </si>
  <si>
    <t>DA05Hunter08_03Melee_Torkild</t>
  </si>
  <si>
    <t>Torkild the Fearsome</t>
  </si>
  <si>
    <t>0001403D</t>
  </si>
  <si>
    <t>Tormir</t>
  </si>
  <si>
    <t>00013641</t>
  </si>
  <si>
    <t>Torolf</t>
  </si>
  <si>
    <t>00014136</t>
  </si>
  <si>
    <t>Torsten</t>
  </si>
  <si>
    <t>Torsten Cruel-Sea</t>
  </si>
  <si>
    <t>00015D02</t>
  </si>
  <si>
    <t>DBTortureVictim1</t>
  </si>
  <si>
    <t>Torture Victim</t>
  </si>
  <si>
    <t>00015D0E</t>
  </si>
  <si>
    <t>DBTortureVictim2</t>
  </si>
  <si>
    <t>00037A28</t>
  </si>
  <si>
    <t>DBTortureVictim3</t>
  </si>
  <si>
    <t>00037A2C</t>
  </si>
  <si>
    <t>DBTortureVictim4</t>
  </si>
  <si>
    <t>000B9652</t>
  </si>
  <si>
    <t>MQ101Torturer</t>
  </si>
  <si>
    <t>Torturer</t>
  </si>
  <si>
    <t>000B9655</t>
  </si>
  <si>
    <t>MQ101TorturerAssistant</t>
  </si>
  <si>
    <t>Torturer's Assistant</t>
  </si>
  <si>
    <t>0001A6DB</t>
  </si>
  <si>
    <t>Torvar</t>
  </si>
  <si>
    <t>00014125</t>
  </si>
  <si>
    <t>Tova</t>
  </si>
  <si>
    <t>Tova Shatter-Shield</t>
  </si>
  <si>
    <t>000D2B16</t>
  </si>
  <si>
    <t>TovaDead</t>
  </si>
  <si>
    <t>02004208</t>
  </si>
  <si>
    <t>DLC1RadiantDisguisedVampireLord</t>
  </si>
  <si>
    <t>Traveler</t>
  </si>
  <si>
    <t>02005E4C</t>
  </si>
  <si>
    <t>DLC1RadiantDisguisedVampireBard</t>
  </si>
  <si>
    <t>Traveling Bard</t>
  </si>
  <si>
    <t>00087B9C</t>
  </si>
  <si>
    <t>DBRecurringTarget8Solitude</t>
  </si>
  <si>
    <t>Traveling Dignitary</t>
  </si>
  <si>
    <t>02005E4D</t>
  </si>
  <si>
    <t>DLC1RadiantDisguisedVampireMerchant</t>
  </si>
  <si>
    <t>Traveling Merchant</t>
  </si>
  <si>
    <t>02005E4E</t>
  </si>
  <si>
    <t>DLC1RadiantDisguisedVampirePilgrim</t>
  </si>
  <si>
    <t>Traveling Pilgrim</t>
  </si>
  <si>
    <t>020377DB</t>
  </si>
  <si>
    <t>DLC2dunHakinrsShoal_TreasureHunter01</t>
  </si>
  <si>
    <t>Treasure Hunter</t>
  </si>
  <si>
    <t>020377DC</t>
  </si>
  <si>
    <t>DLC2dunHakinrsShoal_TreasureHunter02</t>
  </si>
  <si>
    <t>00019A1B</t>
  </si>
  <si>
    <t>Trilf</t>
  </si>
  <si>
    <t>000353C7</t>
  </si>
  <si>
    <t>Tsavani</t>
  </si>
  <si>
    <t>000CE081</t>
  </si>
  <si>
    <t>DA05Hunter05_02Missile_Tsrasuna</t>
  </si>
  <si>
    <t>Tsrasuna</t>
  </si>
  <si>
    <t>HairKhajiitFemale08</t>
  </si>
  <si>
    <t>0004F828</t>
  </si>
  <si>
    <t>Tsun</t>
  </si>
  <si>
    <t>00014139</t>
  </si>
  <si>
    <t>Tulvur</t>
  </si>
  <si>
    <t>0001996D</t>
  </si>
  <si>
    <t>Tuthul</t>
  </si>
  <si>
    <t>000D6718</t>
  </si>
  <si>
    <t>Tynan</t>
  </si>
  <si>
    <t>0001337D</t>
  </si>
  <si>
    <t>Tythis</t>
  </si>
  <si>
    <t>Tythis Ulen</t>
  </si>
  <si>
    <t>000133BC</t>
  </si>
  <si>
    <t>Uaile</t>
  </si>
  <si>
    <t>000E316F</t>
  </si>
  <si>
    <t>Uglarz</t>
  </si>
  <si>
    <t>00019E1A</t>
  </si>
  <si>
    <t>Ugor</t>
  </si>
  <si>
    <t>000E2BBF</t>
  </si>
  <si>
    <t>dunSleepingTreeCampBanditCorpse</t>
  </si>
  <si>
    <t>Ulag</t>
  </si>
  <si>
    <t>00013B9F</t>
  </si>
  <si>
    <t>Ulfberth</t>
  </si>
  <si>
    <t>Ulfberth War-Bear</t>
  </si>
  <si>
    <t>000EA71C</t>
  </si>
  <si>
    <t>MQ305Ulfgar</t>
  </si>
  <si>
    <t>Ulfgar the Unending</t>
  </si>
  <si>
    <t>000812FC</t>
  </si>
  <si>
    <t>dunWhiteRiverWatch_BanditWatchman</t>
  </si>
  <si>
    <t>Ulfr the Blind</t>
  </si>
  <si>
    <t>000D0575</t>
  </si>
  <si>
    <t>CWBattleUlfric</t>
  </si>
  <si>
    <t>Ulfric Stormcloak</t>
  </si>
  <si>
    <t>0001414D</t>
  </si>
  <si>
    <t>Ulfric</t>
  </si>
  <si>
    <t>00014141</t>
  </si>
  <si>
    <t>Ulundil</t>
  </si>
  <si>
    <t>0201777D</t>
  </si>
  <si>
    <t>DLC2Ulves</t>
  </si>
  <si>
    <t>Ulves Romoran</t>
  </si>
  <si>
    <t>02032CEF</t>
  </si>
  <si>
    <t>DLC2dunFahlbtharzExplorerCorpse01</t>
  </si>
  <si>
    <t>Ulyn</t>
  </si>
  <si>
    <t>0003B0E3</t>
  </si>
  <si>
    <t>dunAlftandUmana</t>
  </si>
  <si>
    <t>Umana</t>
  </si>
  <si>
    <t>00013B7E</t>
  </si>
  <si>
    <t>Umurn</t>
  </si>
  <si>
    <t>000132AC</t>
  </si>
  <si>
    <t>Una</t>
  </si>
  <si>
    <t>00087B94</t>
  </si>
  <si>
    <t>DBRecurringContact10Rorikstead</t>
  </si>
  <si>
    <t>Unemployed Laborer</t>
  </si>
  <si>
    <t>0001337E</t>
  </si>
  <si>
    <t>Ungrien</t>
  </si>
  <si>
    <t>000371D7</t>
  </si>
  <si>
    <t>Unmid</t>
  </si>
  <si>
    <t>Unmid Snow-Shod</t>
  </si>
  <si>
    <t>000133BD</t>
  </si>
  <si>
    <t>Uraccen</t>
  </si>
  <si>
    <t>0001C193</t>
  </si>
  <si>
    <t>UraggroShub</t>
  </si>
  <si>
    <t>Urag gro-Shub</t>
  </si>
  <si>
    <t>0005224B</t>
  </si>
  <si>
    <t>DBCourierUrchin</t>
  </si>
  <si>
    <t>Urchin</t>
  </si>
  <si>
    <t>0001B078</t>
  </si>
  <si>
    <t>Urog</t>
  </si>
  <si>
    <t>000133BE</t>
  </si>
  <si>
    <t>UrzogaGraShugurz</t>
  </si>
  <si>
    <t>Urzoga gra-Shugurz</t>
  </si>
  <si>
    <t>0203537E</t>
  </si>
  <si>
    <t>DLC2dunUshaTreasCorpse</t>
  </si>
  <si>
    <t>Usha</t>
  </si>
  <si>
    <t>000918E2</t>
  </si>
  <si>
    <t>Uthgerd</t>
  </si>
  <si>
    <t>Uthgerd the Unbroken</t>
  </si>
  <si>
    <t>000E16CD</t>
  </si>
  <si>
    <t>Vaermina</t>
  </si>
  <si>
    <t>000B91A3</t>
  </si>
  <si>
    <t>DA16LvlVaerminaDevoteeBarrier</t>
  </si>
  <si>
    <t>Vaermina Devotee</t>
  </si>
  <si>
    <t>00072B04</t>
  </si>
  <si>
    <t>Vald</t>
  </si>
  <si>
    <t>0002C18D</t>
  </si>
  <si>
    <t>DunValthumeGhostValdar</t>
  </si>
  <si>
    <t>Valdar</t>
  </si>
  <si>
    <t>0200521B</t>
  </si>
  <si>
    <t>BYOHHousecarlHjaalmarch</t>
  </si>
  <si>
    <t>Valdimar</t>
  </si>
  <si>
    <t>000411BA</t>
  </si>
  <si>
    <t>Valdr</t>
  </si>
  <si>
    <t>02003B8B</t>
  </si>
  <si>
    <t>DLC1Valerica</t>
  </si>
  <si>
    <t>Valerica</t>
  </si>
  <si>
    <t>DLC1HairFemaleValerica</t>
  </si>
  <si>
    <t>00013655</t>
  </si>
  <si>
    <t>ValgaVinicia</t>
  </si>
  <si>
    <t>Valga Vinicia</t>
  </si>
  <si>
    <t>0003B0E1</t>
  </si>
  <si>
    <t>dunAlftandValie</t>
  </si>
  <si>
    <t>Valie</t>
  </si>
  <si>
    <t>0001337F</t>
  </si>
  <si>
    <t>Valindor</t>
  </si>
  <si>
    <t>00019FE6</t>
  </si>
  <si>
    <t>ValsVeran</t>
  </si>
  <si>
    <t>Vals Veran</t>
  </si>
  <si>
    <t>0201223F</t>
  </si>
  <si>
    <t>DLC1EncVampire00TemplateBoss</t>
  </si>
  <si>
    <t>Vampire</t>
  </si>
  <si>
    <t>0201223E</t>
  </si>
  <si>
    <t>DLC1EncVampire01TemplateBoss</t>
  </si>
  <si>
    <t>00032FE8</t>
  </si>
  <si>
    <t>EncVampire01Template</t>
  </si>
  <si>
    <t>020162F9</t>
  </si>
  <si>
    <t>DLC1CastleThrallTemplate1</t>
  </si>
  <si>
    <t>Vampire Cattle</t>
  </si>
  <si>
    <t>0200E889</t>
  </si>
  <si>
    <t>DLC1CastleThrallTemplateDead</t>
  </si>
  <si>
    <t>02003373</t>
  </si>
  <si>
    <t>DLC1EncVampireTemplate</t>
  </si>
  <si>
    <t>Vampire Court Member</t>
  </si>
  <si>
    <t>00032FE7</t>
  </si>
  <si>
    <t>EncVampire00Template</t>
  </si>
  <si>
    <t>Vampire Fledgling</t>
  </si>
  <si>
    <t>0200336F</t>
  </si>
  <si>
    <t>DLC1EncHunterTemplate</t>
  </si>
  <si>
    <t>Vampire Hunter</t>
  </si>
  <si>
    <t>0003384F</t>
  </si>
  <si>
    <t>EncVampire03Template</t>
  </si>
  <si>
    <t>Vampire Mistwalker</t>
  </si>
  <si>
    <t>00033850</t>
  </si>
  <si>
    <t>EncVampire04Template</t>
  </si>
  <si>
    <t>Vampire Nightstalker</t>
  </si>
  <si>
    <t>02008D27</t>
  </si>
  <si>
    <t>DLC1dunRedwaterDenVampireThrallMissileEvenTonedF</t>
  </si>
  <si>
    <t>Vampire's Thrall</t>
  </si>
  <si>
    <t>02014070</t>
  </si>
  <si>
    <t>DLC1LvlRedwaterThrallMeleeCommonerAcMAggro1024</t>
  </si>
  <si>
    <t>020183A4</t>
  </si>
  <si>
    <t>DLC1LvlVampireThrallMeleeCommonerAcM</t>
  </si>
  <si>
    <t>02003D03</t>
  </si>
  <si>
    <t>DLC1Vanik</t>
  </si>
  <si>
    <t>Vanik</t>
  </si>
  <si>
    <t>00029DAF</t>
  </si>
  <si>
    <t>VanrythGatharian</t>
  </si>
  <si>
    <t>Vanryth Gatharian</t>
  </si>
  <si>
    <t>0001A6B1</t>
  </si>
  <si>
    <t>VantusLoreius</t>
  </si>
  <si>
    <t>Vantus Loreius</t>
  </si>
  <si>
    <t>0007F429</t>
  </si>
  <si>
    <t>VantusLoreiusDead</t>
  </si>
  <si>
    <t>00019A26</t>
  </si>
  <si>
    <t>VarniusJunius</t>
  </si>
  <si>
    <t>Varnius Junius</t>
  </si>
  <si>
    <t>0201777C</t>
  </si>
  <si>
    <t>DLC2Varona</t>
  </si>
  <si>
    <t>Varona Nelas</t>
  </si>
  <si>
    <t>0002E3F0</t>
  </si>
  <si>
    <t>DB02Captive3</t>
  </si>
  <si>
    <t>Vasha</t>
  </si>
  <si>
    <t>0001C3AA</t>
  </si>
  <si>
    <t>Veezara</t>
  </si>
  <si>
    <t>0002E447</t>
  </si>
  <si>
    <t>VeezaraDead</t>
  </si>
  <si>
    <t>00013380</t>
  </si>
  <si>
    <t>Vekel</t>
  </si>
  <si>
    <t>Vekel the Man</t>
  </si>
  <si>
    <t>02018284</t>
  </si>
  <si>
    <t>DLC2RRVendilSeverin</t>
  </si>
  <si>
    <t>Vendil Severin</t>
  </si>
  <si>
    <t>0002427C</t>
  </si>
  <si>
    <t>VerenDuleri</t>
  </si>
  <si>
    <t>Veren Duleri</t>
  </si>
  <si>
    <t>000341FE</t>
  </si>
  <si>
    <t>VerenDuleri_Ambush</t>
  </si>
  <si>
    <t>00013665</t>
  </si>
  <si>
    <t>Verner</t>
  </si>
  <si>
    <t>Verner Rock-Chucker</t>
  </si>
  <si>
    <t>0001CD90</t>
  </si>
  <si>
    <t>Vex</t>
  </si>
  <si>
    <t>000132AD</t>
  </si>
  <si>
    <t>Viarmo</t>
  </si>
  <si>
    <t>00083B16</t>
  </si>
  <si>
    <t>dunHalldirsDeadBandit01</t>
  </si>
  <si>
    <t>Vidgrod</t>
  </si>
  <si>
    <t>000CE085</t>
  </si>
  <si>
    <t>DA05Hunter09_03Missile_Viding</t>
  </si>
  <si>
    <t>Viding</t>
  </si>
  <si>
    <t>000C440A</t>
  </si>
  <si>
    <t>MS09Vidrald</t>
  </si>
  <si>
    <t>Vidrald</t>
  </si>
  <si>
    <t>000133BF</t>
  </si>
  <si>
    <t>Vigdis</t>
  </si>
  <si>
    <t>Vigdis Salvius</t>
  </si>
  <si>
    <t>0200FB33</t>
  </si>
  <si>
    <t>DLC1VigilantAdalvald</t>
  </si>
  <si>
    <t>Vigilant Adalvald</t>
  </si>
  <si>
    <t>000BFB54</t>
  </si>
  <si>
    <t>EncVigilantOfStendarr00Template</t>
  </si>
  <si>
    <t>Vigilant of Stendarr</t>
  </si>
  <si>
    <t>0200352D</t>
  </si>
  <si>
    <t>DLC1VigilantTolan</t>
  </si>
  <si>
    <t>Vigilant Tolan</t>
  </si>
  <si>
    <t>000A733B</t>
  </si>
  <si>
    <t>Tyranus</t>
  </si>
  <si>
    <t>Vigilant Tyranus</t>
  </si>
  <si>
    <t>00013BB5</t>
  </si>
  <si>
    <t>VignarGrayMane</t>
  </si>
  <si>
    <t>Vignar Gray-Mane</t>
  </si>
  <si>
    <t>0001A694</t>
  </si>
  <si>
    <t>Vilkas</t>
  </si>
  <si>
    <t>0001363E</t>
  </si>
  <si>
    <t>Vilod</t>
  </si>
  <si>
    <t>02003360</t>
  </si>
  <si>
    <t>DLC1Vingalmo</t>
  </si>
  <si>
    <t>Vingalmo</t>
  </si>
  <si>
    <t>00014129</t>
  </si>
  <si>
    <t>ViolaGiordano</t>
  </si>
  <si>
    <t>Viola Giordano</t>
  </si>
  <si>
    <t>0001CD8F</t>
  </si>
  <si>
    <t>VipirtheFleet</t>
  </si>
  <si>
    <t>Vipir the Fleet</t>
  </si>
  <si>
    <t>000135F1</t>
  </si>
  <si>
    <t>Virkmund</t>
  </si>
  <si>
    <t>02007EC8</t>
  </si>
  <si>
    <t>DLC1RadiantDisguisedVampireAdvisor</t>
  </si>
  <si>
    <t>Visiting Advisor</t>
  </si>
  <si>
    <t>00087B95</t>
  </si>
  <si>
    <t>DBRecurringTarget1Whiterun</t>
  </si>
  <si>
    <t>Visiting Noble</t>
  </si>
  <si>
    <t>0001327A</t>
  </si>
  <si>
    <t>VittoriaVici</t>
  </si>
  <si>
    <t>Vittoria Vici</t>
  </si>
  <si>
    <t>000132AE</t>
  </si>
  <si>
    <t>VivienneOnis</t>
  </si>
  <si>
    <t>Vivienne Onis</t>
  </si>
  <si>
    <t>000133C0</t>
  </si>
  <si>
    <t>Voada</t>
  </si>
  <si>
    <t>0004D91B</t>
  </si>
  <si>
    <t>DA02Boethiah</t>
  </si>
  <si>
    <t>Voice of Boethiah</t>
  </si>
  <si>
    <t>0008797F</t>
  </si>
  <si>
    <t>DA11VoiceofNamira</t>
  </si>
  <si>
    <t>Voice of Namira</t>
  </si>
  <si>
    <t>0001411C</t>
  </si>
  <si>
    <t>VoldseaGiryon</t>
  </si>
  <si>
    <t>Voldsea Giryon</t>
  </si>
  <si>
    <t>02019580</t>
  </si>
  <si>
    <t>DLC1DunRuunvaldVolk</t>
  </si>
  <si>
    <t>Volk</t>
  </si>
  <si>
    <t>0002E1BF</t>
  </si>
  <si>
    <t>EncVampire06TemplateBoss</t>
  </si>
  <si>
    <t>Volkihar Master Vampire</t>
  </si>
  <si>
    <t>00033852</t>
  </si>
  <si>
    <t>EncVampire06Template</t>
  </si>
  <si>
    <t>Volkihar Vampire</t>
  </si>
  <si>
    <t>02010DE6</t>
  </si>
  <si>
    <t>DLC1DawnguardExterior02</t>
  </si>
  <si>
    <t>Vori</t>
  </si>
  <si>
    <t>000B997F</t>
  </si>
  <si>
    <t>HirelingVorstag</t>
  </si>
  <si>
    <t>Vorstag</t>
  </si>
  <si>
    <t>00013381</t>
  </si>
  <si>
    <t>Vulwulf</t>
  </si>
  <si>
    <t>Vulwulf Snow-Shod</t>
  </si>
  <si>
    <t>000E9DAB</t>
  </si>
  <si>
    <t>TestWarehouseTrapsReset</t>
  </si>
  <si>
    <t>Warehouse Traps Reset Test Guy</t>
  </si>
  <si>
    <t>00087B8D</t>
  </si>
  <si>
    <t>DBRecurringContact2Riften</t>
  </si>
  <si>
    <t>Wary Outlaw</t>
  </si>
  <si>
    <t>0004C735</t>
  </si>
  <si>
    <t>WatchesTheRoots</t>
  </si>
  <si>
    <t>Watches-The-Roots</t>
  </si>
  <si>
    <t>0004C757</t>
  </si>
  <si>
    <t>WatchesTheRootsCorpse</t>
  </si>
  <si>
    <t>0201A416</t>
  </si>
  <si>
    <t>DLC1VampireCastleGuard</t>
  </si>
  <si>
    <t>Watchman</t>
  </si>
  <si>
    <t>0201E17C</t>
  </si>
  <si>
    <t>DLC2EncTribalWerebearA</t>
  </si>
  <si>
    <t>Werebear</t>
  </si>
  <si>
    <t>0203D2D9</t>
  </si>
  <si>
    <t>DLC2EncTribalWerebearB</t>
  </si>
  <si>
    <t>0203D2DA</t>
  </si>
  <si>
    <t>DLC2EncTribalWerebearC</t>
  </si>
  <si>
    <t>0203D21F</t>
  </si>
  <si>
    <t>DLC2WE07EncTribalWerebearA</t>
  </si>
  <si>
    <t>0203D220</t>
  </si>
  <si>
    <t>DLC2WE07EncTribalWerebearB</t>
  </si>
  <si>
    <t>0203D221</t>
  </si>
  <si>
    <t>DLC2WE07EncTribalWerebearC</t>
  </si>
  <si>
    <t>0009C8AA</t>
  </si>
  <si>
    <t>MS01Weylin</t>
  </si>
  <si>
    <t>Weylin</t>
  </si>
  <si>
    <t>000D7779</t>
  </si>
  <si>
    <t>E3DemoSoldier01</t>
  </si>
  <si>
    <t>Whiterun Guard</t>
  </si>
  <si>
    <t>000A27CC</t>
  </si>
  <si>
    <t>MQ104Soldier01</t>
  </si>
  <si>
    <t>000A4A3B</t>
  </si>
  <si>
    <t>MQ104Soldier02</t>
  </si>
  <si>
    <t>00101996</t>
  </si>
  <si>
    <t>MQ104Soldier03</t>
  </si>
  <si>
    <t>00101997</t>
  </si>
  <si>
    <t>MQ104Soldier04</t>
  </si>
  <si>
    <t>000215D5</t>
  </si>
  <si>
    <t>MS08WhiterunGuard</t>
  </si>
  <si>
    <t>000136BB</t>
  </si>
  <si>
    <t>Wilhelm</t>
  </si>
  <si>
    <t>000661AF</t>
  </si>
  <si>
    <t>Willem</t>
  </si>
  <si>
    <t>0009CCD9</t>
  </si>
  <si>
    <t>Wilmuth</t>
  </si>
  <si>
    <t>00074F74</t>
  </si>
  <si>
    <t>EncWitch01TemplateFire</t>
  </si>
  <si>
    <t>Witch</t>
  </si>
  <si>
    <t>00074F75</t>
  </si>
  <si>
    <t>EncWitch01TemplateIce</t>
  </si>
  <si>
    <t>00074F76</t>
  </si>
  <si>
    <t>EncWitch01TemplateStorm</t>
  </si>
  <si>
    <t>02020FC1</t>
  </si>
  <si>
    <t>DLC2WE05Wizard</t>
  </si>
  <si>
    <t>Wizard</t>
  </si>
  <si>
    <t>00044CCC</t>
  </si>
  <si>
    <t>EncWarlock00Template</t>
  </si>
  <si>
    <t>000CE5D0</t>
  </si>
  <si>
    <t>dunPOITreasCorpseLumberjack</t>
  </si>
  <si>
    <t>Wood Cutter</t>
  </si>
  <si>
    <t>0002236C</t>
  </si>
  <si>
    <t>pinewoodGroveLumberjack</t>
  </si>
  <si>
    <t>00045805</t>
  </si>
  <si>
    <t>TreasCorpseCommonerWoodElfFemale</t>
  </si>
  <si>
    <t>Wood Elf</t>
  </si>
  <si>
    <t>000457FC</t>
  </si>
  <si>
    <t>TreasCorpseCommonerWoodElfMale</t>
  </si>
  <si>
    <t>00105560</t>
  </si>
  <si>
    <t>WEAdventurerBrawlerWoodElfM</t>
  </si>
  <si>
    <t>0010554F</t>
  </si>
  <si>
    <t>WEAdventurerRangedConjurerWoodElfF</t>
  </si>
  <si>
    <t>00105550</t>
  </si>
  <si>
    <t>WEAdventurerRangedConjurerWoodElfM</t>
  </si>
  <si>
    <t>0005B90D</t>
  </si>
  <si>
    <t>dunPOITalosWorshipperCorpse01</t>
  </si>
  <si>
    <t>Worshipper</t>
  </si>
  <si>
    <t>0005B937</t>
  </si>
  <si>
    <t>dunPOITalosWorshipperCorpse02</t>
  </si>
  <si>
    <t>0005B907</t>
  </si>
  <si>
    <t>dunPOITalosWorshipperCorpse03</t>
  </si>
  <si>
    <t>000D74F5</t>
  </si>
  <si>
    <t>WhiterunTempleWoundedSoldier</t>
  </si>
  <si>
    <t>Wounded Soldier</t>
  </si>
  <si>
    <t>00013382</t>
  </si>
  <si>
    <t>Wujeeta</t>
  </si>
  <si>
    <t>HairArgonianFemale00</t>
  </si>
  <si>
    <t>02018FAE</t>
  </si>
  <si>
    <t>DLC2SVWulfWildblood</t>
  </si>
  <si>
    <t>Wulf Wild-Blood</t>
  </si>
  <si>
    <t>0002C6CA</t>
  </si>
  <si>
    <t>Wulfgar</t>
  </si>
  <si>
    <t>00014146</t>
  </si>
  <si>
    <t>Wuunferth</t>
  </si>
  <si>
    <t>Wuunferth the Unliving</t>
  </si>
  <si>
    <t>00019DEF</t>
  </si>
  <si>
    <t>Wylandriah</t>
  </si>
  <si>
    <t>0005FFDF</t>
  </si>
  <si>
    <t>WyndeliusGatharian</t>
  </si>
  <si>
    <t>Wyndelius Gatharian</t>
  </si>
  <si>
    <t>000AF523</t>
  </si>
  <si>
    <t>SailorXander</t>
  </si>
  <si>
    <t>Xander</t>
  </si>
  <si>
    <t>0003B0E5</t>
  </si>
  <si>
    <t>dunAlftandYagGraGortwog</t>
  </si>
  <si>
    <t>Yag gra-Gortwog</t>
  </si>
  <si>
    <t>HairFemaleOrc15</t>
  </si>
  <si>
    <t>000CE087</t>
  </si>
  <si>
    <t>DA05Hunter10_03Missile_Yar</t>
  </si>
  <si>
    <t>Yar gro-Gatuk</t>
  </si>
  <si>
    <t>0001B077</t>
  </si>
  <si>
    <t>Yatul</t>
  </si>
  <si>
    <t>000D4FF9</t>
  </si>
  <si>
    <t>POIMageYisra</t>
  </si>
  <si>
    <t>Yisra</t>
  </si>
  <si>
    <t>000133C1</t>
  </si>
  <si>
    <t>Yngvar</t>
  </si>
  <si>
    <t>Yngvar the Singer</t>
  </si>
  <si>
    <t>02018FB9</t>
  </si>
  <si>
    <t>DLC2SVYrsa</t>
  </si>
  <si>
    <t>Yrsa</t>
  </si>
  <si>
    <t>00084551</t>
  </si>
  <si>
    <t>CWFieldCOSonsEastmarch</t>
  </si>
  <si>
    <t>Yrsarald Thrice-Pierced</t>
  </si>
  <si>
    <t>00098BD1</t>
  </si>
  <si>
    <t>MQ305Ysgramor</t>
  </si>
  <si>
    <t>Ysgramor</t>
  </si>
  <si>
    <t>00013BAB</t>
  </si>
  <si>
    <t>Ysolda</t>
  </si>
  <si>
    <t>0003A19A</t>
  </si>
  <si>
    <t>Zaria</t>
  </si>
  <si>
    <t>0001B1D0</t>
  </si>
  <si>
    <t>Zaynabi</t>
  </si>
  <si>
    <t>000AD3A5</t>
  </si>
  <si>
    <t>C04DeadKodlak</t>
  </si>
  <si>
    <t>000DCCC0</t>
  </si>
  <si>
    <t>C06DeadKodlak</t>
  </si>
  <si>
    <t>0001720B</t>
  </si>
  <si>
    <t>C06KodlaksGhost</t>
  </si>
  <si>
    <t>000A5794</t>
  </si>
  <si>
    <t>CorpsePrisonerNordMale</t>
  </si>
  <si>
    <t>000DC25D</t>
  </si>
  <si>
    <t>CW03ImperialScout</t>
  </si>
  <si>
    <t>000770B2</t>
  </si>
  <si>
    <t>CWMission06DissaffectSoldierImperial1</t>
  </si>
  <si>
    <t>000770B6</t>
  </si>
  <si>
    <t>CWMission06DissaffectSoldierSons1</t>
  </si>
  <si>
    <t>000770BA</t>
  </si>
  <si>
    <t>CWMission06LoyalistLeaderImperial</t>
  </si>
  <si>
    <t>000770BB</t>
  </si>
  <si>
    <t>CWMission06LoyalistLeaderSons</t>
  </si>
  <si>
    <t>0001675D</t>
  </si>
  <si>
    <t>CWPrisonerImperial</t>
  </si>
  <si>
    <t>0010D4B2</t>
  </si>
  <si>
    <t>CWPrisonerImperialA</t>
  </si>
  <si>
    <t>0010D4B3</t>
  </si>
  <si>
    <t>CWPrisonerImperialB</t>
  </si>
  <si>
    <t>0010D4B4</t>
  </si>
  <si>
    <t>CWPrisonerImperialC</t>
  </si>
  <si>
    <t>0010D4B5</t>
  </si>
  <si>
    <t>CWPrisonerImperialD</t>
  </si>
  <si>
    <t>0001675C</t>
  </si>
  <si>
    <t>CWPrisonerSons</t>
  </si>
  <si>
    <t>0010D4B6</t>
  </si>
  <si>
    <t>CWPrisonerSonsA</t>
  </si>
  <si>
    <t>0010D4B7</t>
  </si>
  <si>
    <t>CWPrisonerSonsB</t>
  </si>
  <si>
    <t>0010D4B8</t>
  </si>
  <si>
    <t>CWPrisonerSonsC</t>
  </si>
  <si>
    <t>0010D4B9</t>
  </si>
  <si>
    <t>CWPrisonerSonsD</t>
  </si>
  <si>
    <t>00045BDF</t>
  </si>
  <si>
    <t>CWSiegeImperialArcher</t>
  </si>
  <si>
    <t>00073FD4</t>
  </si>
  <si>
    <t>CWSiegeImperialArcherHold</t>
  </si>
  <si>
    <t>00073FD8</t>
  </si>
  <si>
    <t>CWSiegeImperialSoldierHold</t>
  </si>
  <si>
    <t>00045BE3</t>
  </si>
  <si>
    <t>CWSiegeSonsArcher</t>
  </si>
  <si>
    <t>0007C4D3</t>
  </si>
  <si>
    <t>CWSiegeSonsArcherHold</t>
  </si>
  <si>
    <t>0002FFA7</t>
  </si>
  <si>
    <t>CWSiegeSonsArcherInvul</t>
  </si>
  <si>
    <t>0007C4D2</t>
  </si>
  <si>
    <t>CWSiegeSonsSoldierHold</t>
  </si>
  <si>
    <t>0002FFA6</t>
  </si>
  <si>
    <t>CWSiegeSonsWizardInvul</t>
  </si>
  <si>
    <t>0001C4E5</t>
  </si>
  <si>
    <t>DA03Wizard</t>
  </si>
  <si>
    <t>000CED00</t>
  </si>
  <si>
    <t>DA05_LvlHuntersOfHircine_KhajiitF</t>
  </si>
  <si>
    <t>000955B5</t>
  </si>
  <si>
    <t>DA05_LvlHuntersOfHircine_KhajiitM</t>
  </si>
  <si>
    <t>000955B6</t>
  </si>
  <si>
    <t>DA05_LvlHuntersOfHircine_NordF</t>
  </si>
  <si>
    <t>000955BA</t>
  </si>
  <si>
    <t>DA05_LvlHuntersOfHircine_NordM</t>
  </si>
  <si>
    <t>000CED01</t>
  </si>
  <si>
    <t>DA05_LvlHuntersOfHircine_OrcF</t>
  </si>
  <si>
    <t>000CE08A</t>
  </si>
  <si>
    <t>DA05_LvlHuntersOfHircine_OrcM</t>
  </si>
  <si>
    <t>00090CF2</t>
  </si>
  <si>
    <t>DA05SindingGhost</t>
  </si>
  <si>
    <t>00064A77</t>
  </si>
  <si>
    <t>DA13EncAfflicted01MagicCondF</t>
  </si>
  <si>
    <t>00064A78</t>
  </si>
  <si>
    <t>DA13EncAfflicted01MagicCondM</t>
  </si>
  <si>
    <t>00064A75</t>
  </si>
  <si>
    <t>DA13EncAfflicted01MagicEvenTonedF</t>
  </si>
  <si>
    <t>00064A76</t>
  </si>
  <si>
    <t>DA13EncAfflicted01MagicEvenTonedM</t>
  </si>
  <si>
    <t>00064A3F</t>
  </si>
  <si>
    <t>DA13EncAfflicted01Melee1HCondF</t>
  </si>
  <si>
    <t>00064A40</t>
  </si>
  <si>
    <t>DA13EncAfflicted01Melee1HCondM</t>
  </si>
  <si>
    <t>00064A3D</t>
  </si>
  <si>
    <t>DA13EncAfflicted01Melee1HEvenTonedF</t>
  </si>
  <si>
    <t>00064A3E</t>
  </si>
  <si>
    <t>DA13EncAfflicted01Melee1HEvenTonedM</t>
  </si>
  <si>
    <t>00064A8C</t>
  </si>
  <si>
    <t>DA13EncAfflicted01Melee1HTankCondF</t>
  </si>
  <si>
    <t>00064A8D</t>
  </si>
  <si>
    <t>DA13EncAfflicted01Melee1HTankCondM</t>
  </si>
  <si>
    <t>00064A8A</t>
  </si>
  <si>
    <t>DA13EncAfflicted01Melee1HTankEvenTonedF</t>
  </si>
  <si>
    <t>00064A8B</t>
  </si>
  <si>
    <t>DA13EncAfflicted01Melee1HTankEvenTonedM</t>
  </si>
  <si>
    <t>00064AC3</t>
  </si>
  <si>
    <t>DA13EncAfflicted01MissileCondF</t>
  </si>
  <si>
    <t>00064AC4</t>
  </si>
  <si>
    <t>DA13EncAfflicted01MissileCondM</t>
  </si>
  <si>
    <t>00064AB2</t>
  </si>
  <si>
    <t>DA13EncAfflicted01MissileEvenTonedF</t>
  </si>
  <si>
    <t>HairFemaleRedguard03</t>
  </si>
  <si>
    <t>00064AB3</t>
  </si>
  <si>
    <t>DA13EncAfflicted01MissileEvenTonedM</t>
  </si>
  <si>
    <t>00064A7B</t>
  </si>
  <si>
    <t>DA13EncAfflicted02MagicCondF</t>
  </si>
  <si>
    <t>00064A7C</t>
  </si>
  <si>
    <t>DA13EncAfflicted02MagicCondM</t>
  </si>
  <si>
    <t>00064A79</t>
  </si>
  <si>
    <t>DA13EncAfflicted02MagicEvenTonedF</t>
  </si>
  <si>
    <t>00064A7A</t>
  </si>
  <si>
    <t>DA13EncAfflicted02MagicEvenTonedM</t>
  </si>
  <si>
    <t>00064A46</t>
  </si>
  <si>
    <t>DA13EncAfflicted02Melee1HCondF</t>
  </si>
  <si>
    <t>00064A47</t>
  </si>
  <si>
    <t>DA13EncAfflicted02Melee1HCondM</t>
  </si>
  <si>
    <t>00064A44</t>
  </si>
  <si>
    <t>DA13EncAfflicted02Melee1HEvenTonedF</t>
  </si>
  <si>
    <t>00064A45</t>
  </si>
  <si>
    <t>DA13EncAfflicted02Melee1HEvenTonedM</t>
  </si>
  <si>
    <t>00064AA0</t>
  </si>
  <si>
    <t>DA13EncAfflicted02Melee1HTankCondF</t>
  </si>
  <si>
    <t>00064AA1</t>
  </si>
  <si>
    <t>DA13EncAfflicted02Melee1HTankCondM</t>
  </si>
  <si>
    <t>00064A96</t>
  </si>
  <si>
    <t>DA13EncAfflicted02Melee1HTankEvenTonedF</t>
  </si>
  <si>
    <t>00064A97</t>
  </si>
  <si>
    <t>DA13EncAfflicted02Melee1HTankEvenTonedM</t>
  </si>
  <si>
    <t>00064AC6</t>
  </si>
  <si>
    <t>DA13EncAfflicted02MissileCondF</t>
  </si>
  <si>
    <t>00064AC5</t>
  </si>
  <si>
    <t>DA13EncAfflicted02MissileCondM</t>
  </si>
  <si>
    <t>00064AB4</t>
  </si>
  <si>
    <t>DA13EncAfflicted02MissileEvenTonedF</t>
  </si>
  <si>
    <t>00064AB5</t>
  </si>
  <si>
    <t>DA13EncAfflicted02MissileEvenTonedM</t>
  </si>
  <si>
    <t>00064A7F</t>
  </si>
  <si>
    <t>DA13EncAfflicted03MagicCondF</t>
  </si>
  <si>
    <t>00064A80</t>
  </si>
  <si>
    <t>DA13EncAfflicted03MagicCondM</t>
  </si>
  <si>
    <t>00064A7D</t>
  </si>
  <si>
    <t>DA13EncAfflicted03MagicEvenTonedF</t>
  </si>
  <si>
    <t>00064A7E</t>
  </si>
  <si>
    <t>DA13EncAfflicted03MagicEvenTonedM</t>
  </si>
  <si>
    <t>00064A4B</t>
  </si>
  <si>
    <t>DA13EncAfflicted03Melee1HCondF</t>
  </si>
  <si>
    <t>00064A4C</t>
  </si>
  <si>
    <t>DA13EncAfflicted03Melee1HCondM</t>
  </si>
  <si>
    <t>00064A49</t>
  </si>
  <si>
    <t>DA13EncAfflicted03Melee1HEvenTonedF</t>
  </si>
  <si>
    <t>00064A4A</t>
  </si>
  <si>
    <t>DA13EncAfflicted03Melee1HEvenTonedM</t>
  </si>
  <si>
    <t>00064AA2</t>
  </si>
  <si>
    <t>DA13EncAfflicted03Melee1HTankCondF</t>
  </si>
  <si>
    <t>00064AA3</t>
  </si>
  <si>
    <t>DA13EncAfflicted03Melee1HTankCondM</t>
  </si>
  <si>
    <t>00064A98</t>
  </si>
  <si>
    <t>DA13EncAfflicted03Melee1HTankEvenTonedF</t>
  </si>
  <si>
    <t>00064A99</t>
  </si>
  <si>
    <t>DA13EncAfflicted03Melee1HTankEvenTonedM</t>
  </si>
  <si>
    <t>00064AC7</t>
  </si>
  <si>
    <t>DA13EncAfflicted03MissileCondF</t>
  </si>
  <si>
    <t>00064ACE</t>
  </si>
  <si>
    <t>DA13EncAfflicted03MissileCondM</t>
  </si>
  <si>
    <t>00064ABB</t>
  </si>
  <si>
    <t>DA13EncAfflicted03MissileEvenTonedF</t>
  </si>
  <si>
    <t>00064ABC</t>
  </si>
  <si>
    <t>DA13EncAfflicted03MissileEvenTonedM</t>
  </si>
  <si>
    <t>00064A83</t>
  </si>
  <si>
    <t>DA13EncAfflicted04MagicCondF</t>
  </si>
  <si>
    <t>00064A84</t>
  </si>
  <si>
    <t>DA13EncAfflicted04MagicCondM</t>
  </si>
  <si>
    <t>00064A81</t>
  </si>
  <si>
    <t>DA13EncAfflicted04MagicEvenTonedF</t>
  </si>
  <si>
    <t>00064A82</t>
  </si>
  <si>
    <t>DA13EncAfflicted04MagicEvenTonedM</t>
  </si>
  <si>
    <t>00064A50</t>
  </si>
  <si>
    <t>Da13EncAfflicted04Melee1HCondF</t>
  </si>
  <si>
    <t>00064A51</t>
  </si>
  <si>
    <t>DA13EncAfflicted04Melee1HCondM</t>
  </si>
  <si>
    <t>00064A4E</t>
  </si>
  <si>
    <t>DA13EncAfflicted04Melee1HEvenTonedF</t>
  </si>
  <si>
    <t>00064A4F</t>
  </si>
  <si>
    <t>Da13EncAfflicted04Melee1HEvenTonedM</t>
  </si>
  <si>
    <t>00064AA4</t>
  </si>
  <si>
    <t>DA13EncAfflicted04Melee1HTankCondF</t>
  </si>
  <si>
    <t>00064AA5</t>
  </si>
  <si>
    <t>DA13EncAfflicted04Melee1HTankCondM</t>
  </si>
  <si>
    <t>00064A9A</t>
  </si>
  <si>
    <t>DA13EncAfflicted04Melee1HTankEvenTonedF</t>
  </si>
  <si>
    <t>00064A9B</t>
  </si>
  <si>
    <t>DA13EncAfflicted04Melee1HTankEvenTonedM</t>
  </si>
  <si>
    <t>00064ACD</t>
  </si>
  <si>
    <t>DA13EncAfflicted04MissileCondF</t>
  </si>
  <si>
    <t>00064AC8</t>
  </si>
  <si>
    <t>DA13EncAfflicted04MissileCondM</t>
  </si>
  <si>
    <t>00064ABD</t>
  </si>
  <si>
    <t>DA13EncAfflicted04MissileEvenTonedF</t>
  </si>
  <si>
    <t>00064ABE</t>
  </si>
  <si>
    <t>DA13EncAfflicted04MissileEvenTonedM</t>
  </si>
  <si>
    <t>00064A87</t>
  </si>
  <si>
    <t>DA13EncAfflicted05MagicCondF</t>
  </si>
  <si>
    <t>00064A85</t>
  </si>
  <si>
    <t>DA13EncAfflicted05MagicEvenTonedF</t>
  </si>
  <si>
    <t>00064A86</t>
  </si>
  <si>
    <t>DA13EncAfflicted05MagicEvenTonedM</t>
  </si>
  <si>
    <t>00064A55</t>
  </si>
  <si>
    <t>DA13EncAfflicted05Melee1HCondF</t>
  </si>
  <si>
    <t>00064A56</t>
  </si>
  <si>
    <t>DA13EncAfflicted05Melee1HCondM</t>
  </si>
  <si>
    <t>00064A53</t>
  </si>
  <si>
    <t>DA13EncAfflicted05Melee1HEvenTonedF</t>
  </si>
  <si>
    <t>00064A54</t>
  </si>
  <si>
    <t>DA13EncAfflicted05Melee1HEvenTonedM</t>
  </si>
  <si>
    <t>00064AA6</t>
  </si>
  <si>
    <t>DA13EncAfflicted05Melee1HTankCondF</t>
  </si>
  <si>
    <t>00064AA7</t>
  </si>
  <si>
    <t>DA13EncAfflicted05Melee1HTankCondM</t>
  </si>
  <si>
    <t>00064A9C</t>
  </si>
  <si>
    <t>DA13EncAfflicted05Melee1HTankEvenTonedF</t>
  </si>
  <si>
    <t>00064A9D</t>
  </si>
  <si>
    <t>DA13EncAfflicted05Melee1HTankEvenTonedM</t>
  </si>
  <si>
    <t>00064AC9</t>
  </si>
  <si>
    <t>DA13EncAfflicted05MissileCondF</t>
  </si>
  <si>
    <t>00064ACA</t>
  </si>
  <si>
    <t>DA13EncAfflicted05MissileCondM</t>
  </si>
  <si>
    <t>00064ABF</t>
  </si>
  <si>
    <t>DA13EncAfflicted05MissileEvenTonedF</t>
  </si>
  <si>
    <t>00064AC0</t>
  </si>
  <si>
    <t>DA13EncAfflicted05MissileEvenTonedM</t>
  </si>
  <si>
    <t>00064A5A</t>
  </si>
  <si>
    <t>DA13EncAfflicted06Melee1HCondF</t>
  </si>
  <si>
    <t>00064A5B</t>
  </si>
  <si>
    <t>DA13EncAfflicted06Melee1HCondM</t>
  </si>
  <si>
    <t>00064A58</t>
  </si>
  <si>
    <t>DA13EncAfflicted06Melee1HEvenTonedF</t>
  </si>
  <si>
    <t>00064A59</t>
  </si>
  <si>
    <t>DA13EncAfflicted06Melee1HEvenTonedM</t>
  </si>
  <si>
    <t>00064AA8</t>
  </si>
  <si>
    <t>DA13EncAfflicted06Melee1HTankCondF</t>
  </si>
  <si>
    <t>00064AA9</t>
  </si>
  <si>
    <t>DA13EncAfflicted06Melee1HTankCondM</t>
  </si>
  <si>
    <t>00064A9E</t>
  </si>
  <si>
    <t>DA13EncAfflicted06Melee1HTankEvenTonedF</t>
  </si>
  <si>
    <t>00064A9F</t>
  </si>
  <si>
    <t>DA13EncAfflicted06Melee1HTankEvenTonedM</t>
  </si>
  <si>
    <t>00064ACB</t>
  </si>
  <si>
    <t>DA13EncAfflicted06MissileCondF</t>
  </si>
  <si>
    <t>00064ACC</t>
  </si>
  <si>
    <t>DA13EncAfflicted06MissileCondM</t>
  </si>
  <si>
    <t>00064AC1</t>
  </si>
  <si>
    <t>DA13EncAfflicted06MissileEvenTonedF</t>
  </si>
  <si>
    <t>00064AC2</t>
  </si>
  <si>
    <t>DA13EncAfflicted06MissileEvenTonedM</t>
  </si>
  <si>
    <t>00084447</t>
  </si>
  <si>
    <t>DA13LvlAfflictedMelee1HEvenTonedM</t>
  </si>
  <si>
    <t>0008443D</t>
  </si>
  <si>
    <t>DA13LvlAfflictedMissileEvenTonedM</t>
  </si>
  <si>
    <t>00084446</t>
  </si>
  <si>
    <t>DA13LvlAfflictedWizardCondM</t>
  </si>
  <si>
    <t>00084448</t>
  </si>
  <si>
    <t>DA13LvlAfflictedWizardEvenTonedF</t>
  </si>
  <si>
    <t>00064ADC</t>
  </si>
  <si>
    <t>DA13LvlAfflictedWizardEvenTonedFPlayIdle</t>
  </si>
  <si>
    <t>00064ADD</t>
  </si>
  <si>
    <t>DA13LvlAfflictedWizardEvenToneMPlayIdle</t>
  </si>
  <si>
    <t>000E36DA</t>
  </si>
  <si>
    <t>DA16LvlVaerminaDevoteeAmbushFemaleCon</t>
  </si>
  <si>
    <t>000E36D9</t>
  </si>
  <si>
    <t>DA16LvlVaerminaDevoteeAmbushMaleSly</t>
  </si>
  <si>
    <t>000E36D8</t>
  </si>
  <si>
    <t>DA16LvlVaerminaDevoteeAmbushMaleWarlock</t>
  </si>
  <si>
    <t>000E16D4</t>
  </si>
  <si>
    <t>DA16LvlVaerminaDevoteeDreamMaleCon</t>
  </si>
  <si>
    <t>000E16D2</t>
  </si>
  <si>
    <t>DA16LvlVaerminaDevoteeDreamMaleSly</t>
  </si>
  <si>
    <t>000E16D3</t>
  </si>
  <si>
    <t>DA16LvlVaerminaDevoteeDreamMaleWarlock</t>
  </si>
  <si>
    <t>000B08A1</t>
  </si>
  <si>
    <t>DB10TreasCorpsePenitusOculatus</t>
  </si>
  <si>
    <t>0009F357</t>
  </si>
  <si>
    <t>DEMO_Bandit1HNordM</t>
  </si>
  <si>
    <t>0009F358</t>
  </si>
  <si>
    <t>DEMO_BanditTankImperialM</t>
  </si>
  <si>
    <t>0200EA8B</t>
  </si>
  <si>
    <t>DLC01SoulCairnKeeperSoul</t>
  </si>
  <si>
    <t>020034EE</t>
  </si>
  <si>
    <t>DLC1_WESC02_VigilantVampireLeader</t>
  </si>
  <si>
    <t>02009A3A</t>
  </si>
  <si>
    <t>DLC1dunRedwaterDenBeggarMaleOldGrumpy</t>
  </si>
  <si>
    <t>020176FB</t>
  </si>
  <si>
    <t>DLC1EncVampire00BretonF</t>
  </si>
  <si>
    <t>020176FA</t>
  </si>
  <si>
    <t>DLC1EncVampire00DarkElfF</t>
  </si>
  <si>
    <t>020176F9</t>
  </si>
  <si>
    <t>DLC1EncVampire00NordF</t>
  </si>
  <si>
    <t>020176FC</t>
  </si>
  <si>
    <t>DLC1EncVampire01BretonF</t>
  </si>
  <si>
    <t>020176FD</t>
  </si>
  <si>
    <t>DLC1EncVampire01DarkElfF</t>
  </si>
  <si>
    <t>020176FE</t>
  </si>
  <si>
    <t>DLC1EncVampire01NordF</t>
  </si>
  <si>
    <t>020176FF</t>
  </si>
  <si>
    <t>DLC1EncVampire02BretonF</t>
  </si>
  <si>
    <t>02017700</t>
  </si>
  <si>
    <t>DLC1EncVampire02DarkElfF</t>
  </si>
  <si>
    <t>02017701</t>
  </si>
  <si>
    <t>DLC1EncVampire02NordF</t>
  </si>
  <si>
    <t>02017F84</t>
  </si>
  <si>
    <t>DLC1EncVampire03BretonF</t>
  </si>
  <si>
    <t>02017F85</t>
  </si>
  <si>
    <t>DLC1EncVampire03DarkElfF</t>
  </si>
  <si>
    <t>02017F86</t>
  </si>
  <si>
    <t>DLC1EncVampire03NordF</t>
  </si>
  <si>
    <t>02017F87</t>
  </si>
  <si>
    <t>DLC1EncVampire04BretonF</t>
  </si>
  <si>
    <t>02017F88</t>
  </si>
  <si>
    <t>DLC1EncVampire04DarkElfF</t>
  </si>
  <si>
    <t>02017F89</t>
  </si>
  <si>
    <t>DLC1EncVampire04NordF</t>
  </si>
  <si>
    <t>02017F8A</t>
  </si>
  <si>
    <t>DLC1EncVampire05BretonF</t>
  </si>
  <si>
    <t>02017F8B</t>
  </si>
  <si>
    <t>DLC1EncVampire05DarkElfF</t>
  </si>
  <si>
    <t>02017F8C</t>
  </si>
  <si>
    <t>DLC1EncVampire05NordF</t>
  </si>
  <si>
    <t>02017F8D</t>
  </si>
  <si>
    <t>DLC1EncVampire06BretonF</t>
  </si>
  <si>
    <t>02017F8E</t>
  </si>
  <si>
    <t>DLC1EncVampire06DarkElfF</t>
  </si>
  <si>
    <t>02017F8F</t>
  </si>
  <si>
    <t>DLC1EncVampire06NordF</t>
  </si>
  <si>
    <t>02002831</t>
  </si>
  <si>
    <t>DLC1EncVampire07BossBretonM</t>
  </si>
  <si>
    <t>02002832</t>
  </si>
  <si>
    <t>DLC1EncVampire07BossDarkElfM</t>
  </si>
  <si>
    <t>02002833</t>
  </si>
  <si>
    <t>DLC1EncVampire07BossHighElfM</t>
  </si>
  <si>
    <t>02002834</t>
  </si>
  <si>
    <t>DLC1EncVampire07BossImperialM</t>
  </si>
  <si>
    <t>02002835</t>
  </si>
  <si>
    <t>DLC1EncVampire07BossNordM</t>
  </si>
  <si>
    <t>0200282C</t>
  </si>
  <si>
    <t>DLC1EncVampire07BretonF</t>
  </si>
  <si>
    <t>02017F90</t>
  </si>
  <si>
    <t>DLC1EncVampire07BretonFAlt</t>
  </si>
  <si>
    <t>0200282D</t>
  </si>
  <si>
    <t>DLC1EncVampire07DarkElfF</t>
  </si>
  <si>
    <t>02017F91</t>
  </si>
  <si>
    <t>DLC1EncVampire07DarkElfFAlt</t>
  </si>
  <si>
    <t>0200282E</t>
  </si>
  <si>
    <t>DLC1EncVampire07HighElfF</t>
  </si>
  <si>
    <t>0200282F</t>
  </si>
  <si>
    <t>DLC1EncVampire07ImperialF</t>
  </si>
  <si>
    <t>02002830</t>
  </si>
  <si>
    <t>DLC1EncVampire07NordF</t>
  </si>
  <si>
    <t>02017F92</t>
  </si>
  <si>
    <t>DLC1EncVampire07NordFAlt</t>
  </si>
  <si>
    <t>0201A3CD</t>
  </si>
  <si>
    <t>DLC1HunterBaseIntroVigilant1</t>
  </si>
  <si>
    <t>0201A3CE</t>
  </si>
  <si>
    <t>DLC1HunterBaseIntroVigilant2</t>
  </si>
  <si>
    <t>02002B6B</t>
  </si>
  <si>
    <t>DLC1ResponsiveNPC_Base</t>
  </si>
  <si>
    <t>02015B49</t>
  </si>
  <si>
    <t>DLC1VCThrallMaleOldGrumpy</t>
  </si>
  <si>
    <t>0200F4B0</t>
  </si>
  <si>
    <t>DLC1VQ01VigilantTolanCorpse</t>
  </si>
  <si>
    <t>02011BB6</t>
  </si>
  <si>
    <t>DLC1VQ02FeastThrall1</t>
  </si>
  <si>
    <t>02011BB8</t>
  </si>
  <si>
    <t>DLC1VQ02FeastThrall2</t>
  </si>
  <si>
    <t>02006E5C</t>
  </si>
  <si>
    <t>DLC1VQ03VampireDriverDead</t>
  </si>
  <si>
    <t>0201428E</t>
  </si>
  <si>
    <t>DLC1WEDB03DLVLDawnGuardEvenTonedF</t>
  </si>
  <si>
    <t>0201428F</t>
  </si>
  <si>
    <t>DLC1WEDB03DLVLDawnGuardEvenTonedM</t>
  </si>
  <si>
    <t>02014286</t>
  </si>
  <si>
    <t>DLC1WEDB03DLVLDawnGuardNordM</t>
  </si>
  <si>
    <t>02039721</t>
  </si>
  <si>
    <t>DLC2dunHaknirShoal_LvlBanditWizardMaleDarkElfCynical</t>
  </si>
  <si>
    <t>02028973</t>
  </si>
  <si>
    <t>DLC2dunTempleofMiraakCultist01</t>
  </si>
  <si>
    <t>02028974</t>
  </si>
  <si>
    <t>DLC2dunTempleofMiraakCultist02</t>
  </si>
  <si>
    <t>0201E806</t>
  </si>
  <si>
    <t>DLC2EncBandit01MagicDarkElf01F</t>
  </si>
  <si>
    <t>0201E805</t>
  </si>
  <si>
    <t>DLC2EncBandit01MagicDarkElf01M</t>
  </si>
  <si>
    <t>0201E80C</t>
  </si>
  <si>
    <t>DLC2EncBandit01MagicDarkElf02F</t>
  </si>
  <si>
    <t>0201E80D</t>
  </si>
  <si>
    <t>DLC2EncBandit01MagicDarkElf02M</t>
  </si>
  <si>
    <t>0201E809</t>
  </si>
  <si>
    <t>DLC2EncBandit01MagicDarkElf03F</t>
  </si>
  <si>
    <t>0201E80A</t>
  </si>
  <si>
    <t>DLC2EncBandit01MagicDarkElf03M</t>
  </si>
  <si>
    <t>0201E80B</t>
  </si>
  <si>
    <t>DLC2EncBandit01MagicDarkElf04M</t>
  </si>
  <si>
    <t>0201E813</t>
  </si>
  <si>
    <t>DLC2EncBandit01Melee1HDarkElf01F</t>
  </si>
  <si>
    <t>0201E80F</t>
  </si>
  <si>
    <t>DLC2EncBandit01Melee1HDarkElf01M</t>
  </si>
  <si>
    <t>0201E80E</t>
  </si>
  <si>
    <t>DLC2EncBandit01Melee1HDarkElf02F</t>
  </si>
  <si>
    <t>0201E814</t>
  </si>
  <si>
    <t>DLC2EncBandit01Melee1HDarkElf02M</t>
  </si>
  <si>
    <t>0201E811</t>
  </si>
  <si>
    <t>DLC2EncBandit01Melee1HDarkElf03F</t>
  </si>
  <si>
    <t>0201E812</t>
  </si>
  <si>
    <t>DLC2EncBandit01Melee1HDarkElf03M</t>
  </si>
  <si>
    <t>0201E810</t>
  </si>
  <si>
    <t>DLC2EncBandit01Melee1HDarkElf04M</t>
  </si>
  <si>
    <t>0201E819</t>
  </si>
  <si>
    <t>DLC2EncBandit01MissileDarkElf01F</t>
  </si>
  <si>
    <t>0201E81A</t>
  </si>
  <si>
    <t>DLC2EncBandit01MissileDarkElf01M</t>
  </si>
  <si>
    <t>0201E81B</t>
  </si>
  <si>
    <t>DLC2EncBandit01MissileDarkElf02F</t>
  </si>
  <si>
    <t>0201E81C</t>
  </si>
  <si>
    <t>DLC2EncBandit01MissileDarkElf02M</t>
  </si>
  <si>
    <t>0201E816</t>
  </si>
  <si>
    <t>DLC2EncBandit01MissileDarkElf03F</t>
  </si>
  <si>
    <t>0201E817</t>
  </si>
  <si>
    <t>DLC2EncBandit01MissileDarkElf03M</t>
  </si>
  <si>
    <t>0201E818</t>
  </si>
  <si>
    <t>DLC2EncBandit01MissileDarkElf04M</t>
  </si>
  <si>
    <t>0201E8AB</t>
  </si>
  <si>
    <t>DLC2EncBandit02Boss</t>
  </si>
  <si>
    <t>0201E823</t>
  </si>
  <si>
    <t>DLC2EncBandit02MagicDarkElf01F</t>
  </si>
  <si>
    <t>0201E824</t>
  </si>
  <si>
    <t>DLC2EncBandit02MagicDarkElf01M</t>
  </si>
  <si>
    <t>0201E825</t>
  </si>
  <si>
    <t>DLC2EncBandit02MagicDarkElf02F</t>
  </si>
  <si>
    <t>0201E826</t>
  </si>
  <si>
    <t>DLC2EncBandit02MagicDarkElf02M</t>
  </si>
  <si>
    <t>0201E821</t>
  </si>
  <si>
    <t>DLC2EncBandit02MagicDarkElf03F</t>
  </si>
  <si>
    <t>0201E822</t>
  </si>
  <si>
    <t>DLC2EncBandit02MagicDarkElf03M</t>
  </si>
  <si>
    <t>0201E820</t>
  </si>
  <si>
    <t>DLC2EncBandit02MagicDarkELf04M</t>
  </si>
  <si>
    <t>0201E827</t>
  </si>
  <si>
    <t>DLC2EncBandit02Melee1HDarkElf01F</t>
  </si>
  <si>
    <t>0201E828</t>
  </si>
  <si>
    <t>DLC2EncBandit02Melee1HDarkElf01M</t>
  </si>
  <si>
    <t>0201E829</t>
  </si>
  <si>
    <t>DLC2EncBandit02Melee1HDarkElf02F</t>
  </si>
  <si>
    <t>0201E82A</t>
  </si>
  <si>
    <t>DLC2EncBandit02Melee1HDarkElf02M</t>
  </si>
  <si>
    <t>0201E82C</t>
  </si>
  <si>
    <t>DLC2EncBandit02Melee1HDarkElf03F</t>
  </si>
  <si>
    <t>0201E82D</t>
  </si>
  <si>
    <t>DLC2EncBandit02Melee1HDarkElf03M</t>
  </si>
  <si>
    <t>0201E82B</t>
  </si>
  <si>
    <t>DLC2EncBandit02Melee1HDarkElf04M</t>
  </si>
  <si>
    <t>0201E82E</t>
  </si>
  <si>
    <t>DLC2EncBandit02MissileDarkElf01F</t>
  </si>
  <si>
    <t>0201E830</t>
  </si>
  <si>
    <t>DLC2EncBandit02MissileDarkElf01M</t>
  </si>
  <si>
    <t>0201E82F</t>
  </si>
  <si>
    <t>DLC2EncBandit02MissileDarkElf02F</t>
  </si>
  <si>
    <t>0201E831</t>
  </si>
  <si>
    <t>DLC2EncBandit02MissileDarkElf02M</t>
  </si>
  <si>
    <t>0201E878</t>
  </si>
  <si>
    <t>DLC2EncBandit02MissileDarkElf03F</t>
  </si>
  <si>
    <t>0201E879</t>
  </si>
  <si>
    <t>DLC2EncBandit02MissileDarkElf03M</t>
  </si>
  <si>
    <t>0201E877</t>
  </si>
  <si>
    <t>DLC2EncBandit02MissileDarkElf04M</t>
  </si>
  <si>
    <t>0201E8AE</t>
  </si>
  <si>
    <t>DLC2EncBandit03Boss</t>
  </si>
  <si>
    <t>0201E841</t>
  </si>
  <si>
    <t>DLC2EncBandit03MagicDarkElf01F</t>
  </si>
  <si>
    <t>0201E842</t>
  </si>
  <si>
    <t>DLC2EncBandit03MagicDarkElf01M</t>
  </si>
  <si>
    <t>0201E843</t>
  </si>
  <si>
    <t>DLC2EncBandit03MagicDarkElf02F</t>
  </si>
  <si>
    <t>0201E844</t>
  </si>
  <si>
    <t>DLC2EncBandit03MagicDarkElf02M</t>
  </si>
  <si>
    <t>0201E83F</t>
  </si>
  <si>
    <t>DLC2EncBandit03MagicDarkElf03F</t>
  </si>
  <si>
    <t>0201E840</t>
  </si>
  <si>
    <t>DLC2EncBandit03MagicDarkElf03M</t>
  </si>
  <si>
    <t>0201E83E</t>
  </si>
  <si>
    <t>DLC2EncBandit03MagicDarkELl04M</t>
  </si>
  <si>
    <t>0201E845</t>
  </si>
  <si>
    <t>DLC2EncBandit03Melee1HDarkElf01F</t>
  </si>
  <si>
    <t>0201E846</t>
  </si>
  <si>
    <t>DLC2EncBandit03Melee1HDarkElf01M</t>
  </si>
  <si>
    <t>0201E847</t>
  </si>
  <si>
    <t>DLC2EncBandit03Melee1HDarkElf02F</t>
  </si>
  <si>
    <t>0201E848</t>
  </si>
  <si>
    <t>DLC2EncBandit03Melee1HDarkElf02M</t>
  </si>
  <si>
    <t>0201E84A</t>
  </si>
  <si>
    <t>DLC2EncBandit03Melee1HDarkElf03F</t>
  </si>
  <si>
    <t>0201E84B</t>
  </si>
  <si>
    <t>DLC2EncBandit03Melee1HDarkElf03M</t>
  </si>
  <si>
    <t>0201E849</t>
  </si>
  <si>
    <t>DLC2EncBandit03Melee1HDarkElf04M</t>
  </si>
  <si>
    <t>0201E84C</t>
  </si>
  <si>
    <t>DLC2EncBandit03MissileDarkElf01F</t>
  </si>
  <si>
    <t>0201E84D</t>
  </si>
  <si>
    <t>DLC2EncBandit03MissileDarkElf01M</t>
  </si>
  <si>
    <t>0201E84E</t>
  </si>
  <si>
    <t>DLC2EncBandit03MissileDarkElf02F</t>
  </si>
  <si>
    <t>0201E84F</t>
  </si>
  <si>
    <t>DLC2EncBandit03MissileDarkElf02M</t>
  </si>
  <si>
    <t>0201E852</t>
  </si>
  <si>
    <t>DLC2EncBandit03MissileDarkELf03F</t>
  </si>
  <si>
    <t>0201E851</t>
  </si>
  <si>
    <t>DLC2EncBandit03MissileDarkElf03M</t>
  </si>
  <si>
    <t>0201E850</t>
  </si>
  <si>
    <t>DLC2EncBandit03MissileDarkElf04M</t>
  </si>
  <si>
    <t>0201E8B1</t>
  </si>
  <si>
    <t>DLC2EncBandit04Boss</t>
  </si>
  <si>
    <t>0201E856</t>
  </si>
  <si>
    <t>DLC2EncBandit04MagicDarkElf01F</t>
  </si>
  <si>
    <t>0201E857</t>
  </si>
  <si>
    <t>DLC2EncBandit04MagicDarkElf01M</t>
  </si>
  <si>
    <t>0201E858</t>
  </si>
  <si>
    <t>DLC2EncBandit04MagicDarkElf02F</t>
  </si>
  <si>
    <t>0201E859</t>
  </si>
  <si>
    <t>DLC2EncBandit04MagicDarkElf02M</t>
  </si>
  <si>
    <t>0201E854</t>
  </si>
  <si>
    <t>DLC2EncBandit04MagicDarkElf03F</t>
  </si>
  <si>
    <t>0201E855</t>
  </si>
  <si>
    <t>DLC2EncBandit04MagicDarkElf03M</t>
  </si>
  <si>
    <t>0201E853</t>
  </si>
  <si>
    <t>DLC2EncBandit04MagicDarkElf04M</t>
  </si>
  <si>
    <t>0201E85A</t>
  </si>
  <si>
    <t>DLC2EncBandit04Melee1HDarkElf01F</t>
  </si>
  <si>
    <t>0201E85B</t>
  </si>
  <si>
    <t>DLC2EncBandit04Melee1HDarkElf01M</t>
  </si>
  <si>
    <t>0201E85C</t>
  </si>
  <si>
    <t>DLC2EncBandit04Melee1HDarkElf02F</t>
  </si>
  <si>
    <t>0201E85D</t>
  </si>
  <si>
    <t>DLC2EncBandit04Melee1HDarkElf02M</t>
  </si>
  <si>
    <t>0201E85F</t>
  </si>
  <si>
    <t>DLC2EncBandit04Melee1HDarkElf03F</t>
  </si>
  <si>
    <t>0201E860</t>
  </si>
  <si>
    <t>DLC2EncBandit04Melee1HDarkElf03M</t>
  </si>
  <si>
    <t>0201E85E</t>
  </si>
  <si>
    <t>DLC2EncBandit04Melee1HDarkElf04M</t>
  </si>
  <si>
    <t>0201E861</t>
  </si>
  <si>
    <t>DLC2EncBandit04MissileDarkElf01F</t>
  </si>
  <si>
    <t>0201E862</t>
  </si>
  <si>
    <t>DLC2EncBandit04MissileDarkElf01M</t>
  </si>
  <si>
    <t>0201E863</t>
  </si>
  <si>
    <t>DLC2EncBandit04MissileDarkElf02F</t>
  </si>
  <si>
    <t>0201E864</t>
  </si>
  <si>
    <t>DLC2EncBandit04MissileDarkElf02M</t>
  </si>
  <si>
    <t>0201E874</t>
  </si>
  <si>
    <t>DLC2EncBandit04MissileDarkElf03F</t>
  </si>
  <si>
    <t>0201E875</t>
  </si>
  <si>
    <t>DLC2EncBandit04MissileDarkElf03M</t>
  </si>
  <si>
    <t>0201E865</t>
  </si>
  <si>
    <t>DLC2EncBandit04MissileDarkElf04M</t>
  </si>
  <si>
    <t>0201E8B2</t>
  </si>
  <si>
    <t>DLC2EncBandit05Boss</t>
  </si>
  <si>
    <t>0201E869</t>
  </si>
  <si>
    <t>DLC2EncBandit05MagicDarkElf01F</t>
  </si>
  <si>
    <t>0201E86A</t>
  </si>
  <si>
    <t>DLC2EncBandit05MagicDarkElf01M</t>
  </si>
  <si>
    <t>0201E86B</t>
  </si>
  <si>
    <t>DLC2EncBandit05MagicDarkElf02F</t>
  </si>
  <si>
    <t>0201E86C</t>
  </si>
  <si>
    <t>DLC2EncBandit05MagicDarkElf02M</t>
  </si>
  <si>
    <t>0201E867</t>
  </si>
  <si>
    <t>DLC2EncBandit05MagicDarkElf03F</t>
  </si>
  <si>
    <t>0201E868</t>
  </si>
  <si>
    <t>DLC2EncBandit05MagicDarkElf03M</t>
  </si>
  <si>
    <t>0201E866</t>
  </si>
  <si>
    <t>DLC2EncBandit05MagicDarkElf04M</t>
  </si>
  <si>
    <t>0201E86D</t>
  </si>
  <si>
    <t>DLC2EncBandit05Melee1HDarkElf01F</t>
  </si>
  <si>
    <t>0201E86E</t>
  </si>
  <si>
    <t>DLC2EncBandit05Melee1HDarkElf01M</t>
  </si>
  <si>
    <t>0201E86F</t>
  </si>
  <si>
    <t>DLC2EncBandit05Melee1HDarkElf02F</t>
  </si>
  <si>
    <t>0201E870</t>
  </si>
  <si>
    <t>DLC2EncBandit05Melee1HDarkElf02M</t>
  </si>
  <si>
    <t>0201E872</t>
  </si>
  <si>
    <t>DLC2EncBandit05Melee1HDarkElf03F</t>
  </si>
  <si>
    <t>0201E873</t>
  </si>
  <si>
    <t>DLC2EncBandit05Melee1HDarkElf03M</t>
  </si>
  <si>
    <t>0201E871</t>
  </si>
  <si>
    <t>DLC2EncBandit05Melee1HDarkElf04M</t>
  </si>
  <si>
    <t>0201E876</t>
  </si>
  <si>
    <t>DLC2EncBandit05MissileDarkElf01F</t>
  </si>
  <si>
    <t>0201E87A</t>
  </si>
  <si>
    <t>DLC2EncBandit05MissileDarkElf01M</t>
  </si>
  <si>
    <t>0201E87B</t>
  </si>
  <si>
    <t>DLC2EncBandit05MissileDarkElf02F</t>
  </si>
  <si>
    <t>0201E87C</t>
  </si>
  <si>
    <t>DLC2EncBandit05MissileDarkElf02M</t>
  </si>
  <si>
    <t>0201E87F</t>
  </si>
  <si>
    <t>DLC2EncBandit05MissileDarkElf03F</t>
  </si>
  <si>
    <t>0201E880</t>
  </si>
  <si>
    <t>DLC2EncBandit05MissileDarkElf03M</t>
  </si>
  <si>
    <t>0201E87D</t>
  </si>
  <si>
    <t>DLC2EncBandit05MissileDarkElf04M</t>
  </si>
  <si>
    <t>0201E8B3</t>
  </si>
  <si>
    <t>DLC2EncBandit06Boss</t>
  </si>
  <si>
    <t>0201E884</t>
  </si>
  <si>
    <t>DLC2EncBandit06MagicDarkElf01F</t>
  </si>
  <si>
    <t>0201E885</t>
  </si>
  <si>
    <t>DLC2EncBandit06MagicDarkElf01M</t>
  </si>
  <si>
    <t>0201E886</t>
  </si>
  <si>
    <t>DLC2EncBandit06MagicDarkElf02F</t>
  </si>
  <si>
    <t>0201E887</t>
  </si>
  <si>
    <t>DLC2EncBandit06MagicDarkElf02M</t>
  </si>
  <si>
    <t>0201E882</t>
  </si>
  <si>
    <t>DLC2EncBandit06MagicDarkElf03F</t>
  </si>
  <si>
    <t>0201E883</t>
  </si>
  <si>
    <t>DLC2EncBandit06MagicDarkElf03M</t>
  </si>
  <si>
    <t>0201E881</t>
  </si>
  <si>
    <t>DLC2EncBandit06MagicDarkElf04M</t>
  </si>
  <si>
    <t>0201E888</t>
  </si>
  <si>
    <t>DLC2EncBandit06Melee1HDarkElf01F</t>
  </si>
  <si>
    <t>0201E889</t>
  </si>
  <si>
    <t>DLC2EncBandit06Melee1HDarkElf01M</t>
  </si>
  <si>
    <t>0201E88A</t>
  </si>
  <si>
    <t>DLC2EncBandit06Melee1HDarkElf02F</t>
  </si>
  <si>
    <t>0201E88B</t>
  </si>
  <si>
    <t>DLC2EncBandit06Melee1HDarkElf02M</t>
  </si>
  <si>
    <t>0201E88D</t>
  </si>
  <si>
    <t>DLC2EncBandit06Melee1HDarkElf03F</t>
  </si>
  <si>
    <t>0201E88E</t>
  </si>
  <si>
    <t>DLC2EncBandit06Melee1HDarkElf03M</t>
  </si>
  <si>
    <t>0201E88C</t>
  </si>
  <si>
    <t>DLC2EncBandit06Melee1HDarkElf04M</t>
  </si>
  <si>
    <t>0201E88F</t>
  </si>
  <si>
    <t>DLC2EncBandit06MissileDarkElf01F</t>
  </si>
  <si>
    <t>0201E890</t>
  </si>
  <si>
    <t>DLC2EncBandit06MissileDarkElf01M</t>
  </si>
  <si>
    <t>0201E891</t>
  </si>
  <si>
    <t>DLC2EncBandit06MissileDarkElf02F</t>
  </si>
  <si>
    <t>0201E892</t>
  </si>
  <si>
    <t>DLC2EncBandit06MissileDarkElf02M</t>
  </si>
  <si>
    <t>0201E894</t>
  </si>
  <si>
    <t>DLC2EncBandit06MissileDarkElf03F</t>
  </si>
  <si>
    <t>0201E895</t>
  </si>
  <si>
    <t>DLC2EncBandit06MissileDarkELf03M</t>
  </si>
  <si>
    <t>0201E893</t>
  </si>
  <si>
    <t>DLC2EncBandit06MissileDarkElf04M</t>
  </si>
  <si>
    <t>02034FBA</t>
  </si>
  <si>
    <t>DLC2EncCultist03DarkElfF</t>
  </si>
  <si>
    <t>020365F4</t>
  </si>
  <si>
    <t>DLC2EncCultist03DarkElfFSummoner</t>
  </si>
  <si>
    <t>02034FBB</t>
  </si>
  <si>
    <t>DLC2EncCultist03DarkElfM</t>
  </si>
  <si>
    <t>020365F3</t>
  </si>
  <si>
    <t>DLC2EncCultist03DarkElfMSummoner</t>
  </si>
  <si>
    <t>02034FB9</t>
  </si>
  <si>
    <t>DLC2EncCultist03NordM</t>
  </si>
  <si>
    <t>02034FBD</t>
  </si>
  <si>
    <t>DLC2EncCultist04DarkElfF</t>
  </si>
  <si>
    <t>02034FC9</t>
  </si>
  <si>
    <t>DLC2EncCultist04DarkElfFSummoner</t>
  </si>
  <si>
    <t>02034FBE</t>
  </si>
  <si>
    <t>DLC2EncCultist04DarkElfM</t>
  </si>
  <si>
    <t>02034FCE</t>
  </si>
  <si>
    <t>DLC2EncCultist04DarkElfMSummoner</t>
  </si>
  <si>
    <t>02034FBF</t>
  </si>
  <si>
    <t>DLC2EncCultist04NordM</t>
  </si>
  <si>
    <t>02034FCF</t>
  </si>
  <si>
    <t>DLC2EncCultist04NordMSummoner</t>
  </si>
  <si>
    <t>02034FC0</t>
  </si>
  <si>
    <t>DLC2EncCultist05DarkElfF</t>
  </si>
  <si>
    <t>02034FD0</t>
  </si>
  <si>
    <t>DLC2EncCultist05DarkElfFSummoner</t>
  </si>
  <si>
    <t>02034FC1</t>
  </si>
  <si>
    <t>DLC2EncCultist05DarkElfM</t>
  </si>
  <si>
    <t>02034FD1</t>
  </si>
  <si>
    <t>DLC2EncCultist05DarkElfMSummoner</t>
  </si>
  <si>
    <t>02034FC2</t>
  </si>
  <si>
    <t>DLC2EncCultist05NordM</t>
  </si>
  <si>
    <t>02035650</t>
  </si>
  <si>
    <t>DLC2EncCultist05NordMSummoner</t>
  </si>
  <si>
    <t>02034FC3</t>
  </si>
  <si>
    <t>DLC2EncCultist06DarkElfF</t>
  </si>
  <si>
    <t>02035651</t>
  </si>
  <si>
    <t>DLC2EncCultist06DarkElfFSummoner</t>
  </si>
  <si>
    <t>02034FC4</t>
  </si>
  <si>
    <t>DLC2EncCultist06DarkElfM</t>
  </si>
  <si>
    <t>02035652</t>
  </si>
  <si>
    <t>DLC2EncCultist06DarkElfMSummoner</t>
  </si>
  <si>
    <t>02034FC5</t>
  </si>
  <si>
    <t>DLC2EncCultist06NordM</t>
  </si>
  <si>
    <t>02035653</t>
  </si>
  <si>
    <t>DLC2EncCultist06NordMSummoner</t>
  </si>
  <si>
    <t>02034FC6</t>
  </si>
  <si>
    <t>DLC2EncCultist07DarkElfF</t>
  </si>
  <si>
    <t>02035654</t>
  </si>
  <si>
    <t>DLC2EncCultist07DarkElfFSummoner</t>
  </si>
  <si>
    <t>02034FC7</t>
  </si>
  <si>
    <t>DLC2EncCultist07DarkElfM</t>
  </si>
  <si>
    <t>02035655</t>
  </si>
  <si>
    <t>DLC2EncCultist07DarkElfMSummoner</t>
  </si>
  <si>
    <t>02034FC8</t>
  </si>
  <si>
    <t>DLC2EncCultist07NordM</t>
  </si>
  <si>
    <t>02035656</t>
  </si>
  <si>
    <t>DLC2EncCultist07NordMSummoner</t>
  </si>
  <si>
    <t>0201F978</t>
  </si>
  <si>
    <t>DLC2EncHunterNordF1</t>
  </si>
  <si>
    <t>0201F97A</t>
  </si>
  <si>
    <t>DLC2EncHunterNordF2</t>
  </si>
  <si>
    <t>0201F979</t>
  </si>
  <si>
    <t>DLC2EncHunterNordM1</t>
  </si>
  <si>
    <t>0201F97B</t>
  </si>
  <si>
    <t>DLC2EncHunterNordM2</t>
  </si>
  <si>
    <t>0201F97C</t>
  </si>
  <si>
    <t>DLC2EncHunterNordM3</t>
  </si>
  <si>
    <t>0201F97F</t>
  </si>
  <si>
    <t>DLC2EncHunterNordM4</t>
  </si>
  <si>
    <t>0202662F</t>
  </si>
  <si>
    <t>DLC2KagrumezBanditBoss</t>
  </si>
  <si>
    <t>020374D2</t>
  </si>
  <si>
    <t>DLC2KagrumezLvlBanditWizard_FemaleDarkElf</t>
  </si>
  <si>
    <t>02017938</t>
  </si>
  <si>
    <t>DLC2MiraakMQ02</t>
  </si>
  <si>
    <t>02017F81</t>
  </si>
  <si>
    <t>DLC2MiraakMQ04</t>
  </si>
  <si>
    <t>020200D9</t>
  </si>
  <si>
    <t>DLC2MiraakSoulSteal</t>
  </si>
  <si>
    <t>0201F998</t>
  </si>
  <si>
    <t>DLC2MiraakTest</t>
  </si>
  <si>
    <t>0202547D</t>
  </si>
  <si>
    <t>DLC2NB01CorpseFall</t>
  </si>
  <si>
    <t>0203CA51</t>
  </si>
  <si>
    <t>DLC2PillarRRGuardA</t>
  </si>
  <si>
    <t>0203CA52</t>
  </si>
  <si>
    <t>DLC2PillarRRGuardB</t>
  </si>
  <si>
    <t>0203CA53</t>
  </si>
  <si>
    <t>DLC2PillarRRGuardC</t>
  </si>
  <si>
    <t>0203CA26</t>
  </si>
  <si>
    <t>DLC2PillarWorkerBandit01</t>
  </si>
  <si>
    <t>0203CA27</t>
  </si>
  <si>
    <t>DLC2PillarWorkerBandit02</t>
  </si>
  <si>
    <t>0203CA28</t>
  </si>
  <si>
    <t>DLC2PillarWorkerBandit03</t>
  </si>
  <si>
    <t>0203A1F0</t>
  </si>
  <si>
    <t>DLC2RieklingCampBanditCorpse</t>
  </si>
  <si>
    <t>0202C406</t>
  </si>
  <si>
    <t>DLC2RR01DeadGuard</t>
  </si>
  <si>
    <t>020292A3</t>
  </si>
  <si>
    <t>DLC2RR02DeadGuard</t>
  </si>
  <si>
    <t>0202582B</t>
  </si>
  <si>
    <t>DLC2RRGjalundSaltSageSolstheim</t>
  </si>
  <si>
    <t>020195B7</t>
  </si>
  <si>
    <t>DLC2RRGuardBarracks</t>
  </si>
  <si>
    <t>020195B3</t>
  </si>
  <si>
    <t>DLC2RRGuardGateExterior</t>
  </si>
  <si>
    <t>020195B6</t>
  </si>
  <si>
    <t>DLC2RRGuardJail</t>
  </si>
  <si>
    <t>020195B4</t>
  </si>
  <si>
    <t>DLC2RRGuardMarketExterior</t>
  </si>
  <si>
    <t>020195B1</t>
  </si>
  <si>
    <t>DLC2RRGuardMorvaynManorExterior</t>
  </si>
  <si>
    <t>020195B0</t>
  </si>
  <si>
    <t>DLC2RRGuardMorvaynManorInterior</t>
  </si>
  <si>
    <t>020195B5</t>
  </si>
  <si>
    <t>DLC2RRGuardPatrol</t>
  </si>
  <si>
    <t>02033D09</t>
  </si>
  <si>
    <t>DLC2RRGuardPatrolBulwark</t>
  </si>
  <si>
    <t>02033D0D</t>
  </si>
  <si>
    <t>DLC2RRGuardPatrolBulwark02</t>
  </si>
  <si>
    <t>020195B2</t>
  </si>
  <si>
    <t>DLC2RRGuardTempleExterior</t>
  </si>
  <si>
    <t>02033D11</t>
  </si>
  <si>
    <t>DLC2RRGuardTunnel</t>
  </si>
  <si>
    <t>02025885</t>
  </si>
  <si>
    <t>DLC2SV02LvlThalmorMissile</t>
  </si>
  <si>
    <t>02025887</t>
  </si>
  <si>
    <t>DLC2SV02LvlThalmorMissileAggro1024</t>
  </si>
  <si>
    <t>02031647</t>
  </si>
  <si>
    <t>DLC2TempleWorkerBandit01</t>
  </si>
  <si>
    <t>02031648</t>
  </si>
  <si>
    <t>DLC2TempleWorkerBandit02</t>
  </si>
  <si>
    <t>02031660</t>
  </si>
  <si>
    <t>DLC2TempleWorkerBandit03</t>
  </si>
  <si>
    <t>02031661</t>
  </si>
  <si>
    <t>DLC2TempleWorkerBandit04</t>
  </si>
  <si>
    <t>02039D32</t>
  </si>
  <si>
    <t>DLC2TreasCorpseBanditMagicDarkElfFemale01</t>
  </si>
  <si>
    <t>02039D38</t>
  </si>
  <si>
    <t>DLC2TreasCorpseBanditMagicDarkElfFemale02</t>
  </si>
  <si>
    <t>02039D39</t>
  </si>
  <si>
    <t>DLC2TreasCorpseBanditMagicDarkElfFemale03</t>
  </si>
  <si>
    <t>02039D33</t>
  </si>
  <si>
    <t>DLC2TreasCorpseBanditMagicDarkElfMale01</t>
  </si>
  <si>
    <t>02039D3A</t>
  </si>
  <si>
    <t>DLC2TreasCorpseBanditMagicDarkElfMale02</t>
  </si>
  <si>
    <t>02039D3B</t>
  </si>
  <si>
    <t>DLC2TreasCorpseBanditMagicDarkElfMale03</t>
  </si>
  <si>
    <t>02039D3C</t>
  </si>
  <si>
    <t>DLC2TreasCorpseBanditMagicDarkElfMale04</t>
  </si>
  <si>
    <t>02039D35</t>
  </si>
  <si>
    <t>DLC2TreasCorpseBanditMelee1HDarkElfFemale01</t>
  </si>
  <si>
    <t>02039D3D</t>
  </si>
  <si>
    <t>DLC2TreasCorpseBanditMelee1HDarkElfFemale02</t>
  </si>
  <si>
    <t>02039D3E</t>
  </si>
  <si>
    <t>DLC2TreasCorpseBanditMelee1HDarkElfFemale03</t>
  </si>
  <si>
    <t>02039D34</t>
  </si>
  <si>
    <t>DLC2TreasCorpseBanditMelee1HDarkElfMale01</t>
  </si>
  <si>
    <t>02039D3F</t>
  </si>
  <si>
    <t>DLC2TreasCorpseBanditMelee1HDarkElfMale02</t>
  </si>
  <si>
    <t>02039D40</t>
  </si>
  <si>
    <t>DLC2TreasCorpseBanditMelee1HDarkElfMale03</t>
  </si>
  <si>
    <t>02039D41</t>
  </si>
  <si>
    <t>DLC2TreasCorpseBanditMelee1HDarkElfMale04</t>
  </si>
  <si>
    <t>02039D37</t>
  </si>
  <si>
    <t>DLC2TreasCorpseBanditMissileDarkElfFemale01</t>
  </si>
  <si>
    <t>02039D42</t>
  </si>
  <si>
    <t>DLC2TreasCorpseBanditMissileDarkElfFemale02</t>
  </si>
  <si>
    <t>02039D43</t>
  </si>
  <si>
    <t>DLC2TreasCorpseBanditMissileDarkElfFemale03</t>
  </si>
  <si>
    <t>02039D36</t>
  </si>
  <si>
    <t>DLC2TreasCorpseBanditMissileDarkElfMale01</t>
  </si>
  <si>
    <t>02039D44</t>
  </si>
  <si>
    <t>DLC2TreasCorpseBanditMissileDarkElfMale02</t>
  </si>
  <si>
    <t>02039D45</t>
  </si>
  <si>
    <t>DLC2TreasCorpseBanditMissileDarkElfMale03</t>
  </si>
  <si>
    <t>02039D46</t>
  </si>
  <si>
    <t>DLC2TreasCorpseBanditMissileDarkElfMale04</t>
  </si>
  <si>
    <t>02039723</t>
  </si>
  <si>
    <t>DLC2WE13dunHaknirShoal_LvlBanditWizardMaleDarkElfCynical</t>
  </si>
  <si>
    <t>0007B77E</t>
  </si>
  <si>
    <t>dunBloodletThroneSceneVampire</t>
  </si>
  <si>
    <t>0005B830</t>
  </si>
  <si>
    <t>dunBloodletThroneVampireBoss</t>
  </si>
  <si>
    <t>000F6934</t>
  </si>
  <si>
    <t>DunBrokenOarLvlBanditMissileHoldPos256LinkRef</t>
  </si>
  <si>
    <t>000F820F</t>
  </si>
  <si>
    <t>dunCGStormcloakTowerA</t>
  </si>
  <si>
    <t>000EA528</t>
  </si>
  <si>
    <t>dunClearpinePondAlchemist</t>
  </si>
  <si>
    <t>0003DC4A</t>
  </si>
  <si>
    <t>dunDA14DrinkingNPC01</t>
  </si>
  <si>
    <t>0003DC4E</t>
  </si>
  <si>
    <t>dunDA14DrinkingNPC02</t>
  </si>
  <si>
    <t>0003DC50</t>
  </si>
  <si>
    <t>dunDA14DrinkingNPC03</t>
  </si>
  <si>
    <t>0003DC52</t>
  </si>
  <si>
    <t>dunDA14DrinkingNPC04</t>
  </si>
  <si>
    <t>000B82FC</t>
  </si>
  <si>
    <t>dunDarklight_LvlWitchCondescending</t>
  </si>
  <si>
    <t>0004F4DA</t>
  </si>
  <si>
    <t>dunDarklightDeadWitch</t>
  </si>
  <si>
    <t>0005B0E7</t>
  </si>
  <si>
    <t>dunDuskglowBandit02</t>
  </si>
  <si>
    <t>000CA44F</t>
  </si>
  <si>
    <t>dunFellglow_LvlWarlockElementalAmbushCondescendingFHoldPosition</t>
  </si>
  <si>
    <t>0010C687</t>
  </si>
  <si>
    <t>dunFellglow_TreasCorpseCommonerKhajiitMalePrisoner</t>
  </si>
  <si>
    <t>0008555A</t>
  </si>
  <si>
    <t>dunFellglow_TreasCorpseVampire01</t>
  </si>
  <si>
    <t>00085558</t>
  </si>
  <si>
    <t>dunFellglow_TreasCorpseVampire02</t>
  </si>
  <si>
    <t>0008555C</t>
  </si>
  <si>
    <t>dunFellglow_TreasCorpseVampire03</t>
  </si>
  <si>
    <t>0008555B</t>
  </si>
  <si>
    <t>dunFellglow_TreasCorpseVampire04</t>
  </si>
  <si>
    <t>HairFemaleElf02</t>
  </si>
  <si>
    <t>000CABB4</t>
  </si>
  <si>
    <t>dunFellglowJailor</t>
  </si>
  <si>
    <t>000CA346</t>
  </si>
  <si>
    <t>dunFellglowPetSceneWarlock</t>
  </si>
  <si>
    <t>000CD63F</t>
  </si>
  <si>
    <t>dunForelhostLvlGhostMelee1HFemale</t>
  </si>
  <si>
    <t>0007A2B1</t>
  </si>
  <si>
    <t>dunForelhostLvlGhostMelee1HMale</t>
  </si>
  <si>
    <t>000CD644</t>
  </si>
  <si>
    <t>dunForelhostLvlGhostTankFemale</t>
  </si>
  <si>
    <t>000CD643</t>
  </si>
  <si>
    <t>dunForelhostLvlGhostTankMale</t>
  </si>
  <si>
    <t>000CD642</t>
  </si>
  <si>
    <t>dunForelhostLvlGhostWizardFemale</t>
  </si>
  <si>
    <t>000CD640</t>
  </si>
  <si>
    <t>dunForelhostLvlGhostWizardMale</t>
  </si>
  <si>
    <t>00104750</t>
  </si>
  <si>
    <t>dunGeirmundsHallAdventurer</t>
  </si>
  <si>
    <t>00046283</t>
  </si>
  <si>
    <t>dunHaemarsShame_LvlVampireBoss</t>
  </si>
  <si>
    <t>000A9154</t>
  </si>
  <si>
    <t>dunHagsEndSacrifice</t>
  </si>
  <si>
    <t>000B289A</t>
  </si>
  <si>
    <t>dunHalldirs_LvlBanditGhostMelee1H</t>
  </si>
  <si>
    <t>000B28A0</t>
  </si>
  <si>
    <t>dunHalldirs_LvlBanditGhostMelee1HAmbush</t>
  </si>
  <si>
    <t>000B289F</t>
  </si>
  <si>
    <t>dunHalldirs_LvlBanditGhostMeleeBerserker</t>
  </si>
  <si>
    <t>000B28A2</t>
  </si>
  <si>
    <t>dunHalldirs_LvlBanditGhostMeleeBerserkerAmbush</t>
  </si>
  <si>
    <t>000B289C</t>
  </si>
  <si>
    <t>dunHalldirs_LvlBanditGhostMeleeTank</t>
  </si>
  <si>
    <t>000B28A3</t>
  </si>
  <si>
    <t>dunHalldirs_LvlBanditGhostMeleeTankAmbush</t>
  </si>
  <si>
    <t>000B289D</t>
  </si>
  <si>
    <t>dunHalldirs_LvlBanditGhostMissile</t>
  </si>
  <si>
    <t>000B28A4</t>
  </si>
  <si>
    <t>dunHalldirs_LvlBanditGhostMissileAmbush</t>
  </si>
  <si>
    <t>00065C07</t>
  </si>
  <si>
    <t>dunHalldirs_LvlBanditGhostMissileAmbushHoldPos256</t>
  </si>
  <si>
    <t>000E77E2</t>
  </si>
  <si>
    <t>dunKilkreathTreasCorpseImperial</t>
  </si>
  <si>
    <t>000E77E7</t>
  </si>
  <si>
    <t>dunKilkreathTreasCorpseImperialF</t>
  </si>
  <si>
    <t>000E77E1</t>
  </si>
  <si>
    <t>dunKilkreathTreasCorpseSons</t>
  </si>
  <si>
    <t>000E77E6</t>
  </si>
  <si>
    <t>dunKilkreathTreasCorpseSonsF</t>
  </si>
  <si>
    <t>0005AF2A</t>
  </si>
  <si>
    <t>dunKorvanjundImpSoldierDead</t>
  </si>
  <si>
    <t>0005AF46</t>
  </si>
  <si>
    <t>dunKorvanjundSonsSoldierDead</t>
  </si>
  <si>
    <t>000D80B4</t>
  </si>
  <si>
    <t>dunLiarsRetreatWenchCorpse</t>
  </si>
  <si>
    <t>0001C902</t>
  </si>
  <si>
    <t>DunLostKnifeBanditBoss</t>
  </si>
  <si>
    <t>00034C8C</t>
  </si>
  <si>
    <t>DunLostKnifeBanditTalk01a</t>
  </si>
  <si>
    <t>00034C8D</t>
  </si>
  <si>
    <t>DunLostKnifeBanditTalk01b</t>
  </si>
  <si>
    <t>0004003B</t>
  </si>
  <si>
    <t>DunLostKnifeBanditTalk02a</t>
  </si>
  <si>
    <t>000B3B95</t>
  </si>
  <si>
    <t>dunLostValleyRedoubForswornBerserker</t>
  </si>
  <si>
    <t>0008BB91</t>
  </si>
  <si>
    <t>dunMovarthVampireBoss</t>
  </si>
  <si>
    <t>001068FE</t>
  </si>
  <si>
    <t>dunPOIBanditCorpse2</t>
  </si>
  <si>
    <t>001068F8</t>
  </si>
  <si>
    <t>dunPOIDeadHunter</t>
  </si>
  <si>
    <t>0003A187</t>
  </si>
  <si>
    <t>dunPOIReachLoversCorpse01</t>
  </si>
  <si>
    <t>000A88C5</t>
  </si>
  <si>
    <t>DunRannveigsFastTreasCorpseBanditOrcMale</t>
  </si>
  <si>
    <t>000A33EA</t>
  </si>
  <si>
    <t>dunSouthfringeBoss</t>
  </si>
  <si>
    <t>HairMaleOrc16</t>
  </si>
  <si>
    <t>000F4FB8</t>
  </si>
  <si>
    <t>dunSteepfallBurrowHunter</t>
  </si>
  <si>
    <t>000F6779</t>
  </si>
  <si>
    <t>dunTolvaldsCaveGhost01</t>
  </si>
  <si>
    <t>000F677B</t>
  </si>
  <si>
    <t>dunTolvaldsCaveGhost02</t>
  </si>
  <si>
    <t>000F677D</t>
  </si>
  <si>
    <t>dunTolvaldsCaveGhost03</t>
  </si>
  <si>
    <t>00041928</t>
  </si>
  <si>
    <t>dunVolskyggeBanditGate01</t>
  </si>
  <si>
    <t>00041929</t>
  </si>
  <si>
    <t>dunVolskyggeBanditGate02</t>
  </si>
  <si>
    <t>0004192A</t>
  </si>
  <si>
    <t>dunVolskyggeBanditScene01a</t>
  </si>
  <si>
    <t>0004192B</t>
  </si>
  <si>
    <t>dunVolskyggeBanditScene01b</t>
  </si>
  <si>
    <t>001019C6</t>
  </si>
  <si>
    <t>DunVolunruudBoss</t>
  </si>
  <si>
    <t>000E166B</t>
  </si>
  <si>
    <t>dunWhiteRiverWatchCagedBandit</t>
  </si>
  <si>
    <t>000998BA</t>
  </si>
  <si>
    <t>E3DemoBanditCampfire01</t>
  </si>
  <si>
    <t>000998BB</t>
  </si>
  <si>
    <t>E3DemoBanditCampfire02</t>
  </si>
  <si>
    <t>000E962E</t>
  </si>
  <si>
    <t>E3DemoDecapitateMeBandit</t>
  </si>
  <si>
    <t>00101000</t>
  </si>
  <si>
    <t>EltrysDead</t>
  </si>
  <si>
    <t>00067642</t>
  </si>
  <si>
    <t>EncAlikr01MagicRedguardM</t>
  </si>
  <si>
    <t>00067641</t>
  </si>
  <si>
    <t>EncAlikr01Melee1HRedguardM01</t>
  </si>
  <si>
    <t>00067645</t>
  </si>
  <si>
    <t>EncAlikr01Melee1HRedguardM02</t>
  </si>
  <si>
    <t>00067643</t>
  </si>
  <si>
    <t>EncAlikr01Melee2HBerserkRedguardM01</t>
  </si>
  <si>
    <t>00067646</t>
  </si>
  <si>
    <t>EncAlikr01Melee2HBerserkRedguardM02</t>
  </si>
  <si>
    <t>00067644</t>
  </si>
  <si>
    <t>EncAlikr01MissileRedguardM01</t>
  </si>
  <si>
    <t>00067647</t>
  </si>
  <si>
    <t>EncAlikr01MissileRedguardM02</t>
  </si>
  <si>
    <t>0006764B</t>
  </si>
  <si>
    <t>EncAlikr02MagicRedguardM</t>
  </si>
  <si>
    <t>00067648</t>
  </si>
  <si>
    <t>EncAlikr02Melee1HRedguardM01</t>
  </si>
  <si>
    <t>0006764C</t>
  </si>
  <si>
    <t>EncAlikr02Melee1HRedguardM02</t>
  </si>
  <si>
    <t>00067649</t>
  </si>
  <si>
    <t>EncAlikr02Melee2HBerserkRedguardM01</t>
  </si>
  <si>
    <t>0006764D</t>
  </si>
  <si>
    <t>EncAlikr02Melee2HBerserkRedguardM02</t>
  </si>
  <si>
    <t>0006764A</t>
  </si>
  <si>
    <t>EncAlikr02MissileRedguardM01</t>
  </si>
  <si>
    <t>0006764E</t>
  </si>
  <si>
    <t>EncAlikr02MissileRedguardM02</t>
  </si>
  <si>
    <t>0006764F</t>
  </si>
  <si>
    <t>EncAlikr03MagicRedguardM</t>
  </si>
  <si>
    <t>00067650</t>
  </si>
  <si>
    <t>EncAlikr03Melee1HRedguardM01</t>
  </si>
  <si>
    <t>00067653</t>
  </si>
  <si>
    <t>EncAlikr03Melee1HRedguardM02</t>
  </si>
  <si>
    <t>00067651</t>
  </si>
  <si>
    <t>EncAlikr03Melee2HBerserkRedguardM01</t>
  </si>
  <si>
    <t>00067654</t>
  </si>
  <si>
    <t>EncAlikr03Melee2HBerserkRedguardM02</t>
  </si>
  <si>
    <t>00067652</t>
  </si>
  <si>
    <t>EncAlikr03MissileRedguardM01</t>
  </si>
  <si>
    <t>00067655</t>
  </si>
  <si>
    <t>EncAlikr03MissileRedguardM02</t>
  </si>
  <si>
    <t>00067656</t>
  </si>
  <si>
    <t>EncAlikr04MagicRedguardM</t>
  </si>
  <si>
    <t>00067657</t>
  </si>
  <si>
    <t>EncAlikr04Melee1HRedguardM01</t>
  </si>
  <si>
    <t>0006765A</t>
  </si>
  <si>
    <t>EncAlikr04Melee1HRedguardM02</t>
  </si>
  <si>
    <t>00067658</t>
  </si>
  <si>
    <t>EncAlikr04Melee2HBerserkRedguardM01</t>
  </si>
  <si>
    <t>0006765B</t>
  </si>
  <si>
    <t>EncAlikr04Melee2HBerserkRedguardM02</t>
  </si>
  <si>
    <t>00067659</t>
  </si>
  <si>
    <t>EncAlikr04MissileRedguardM01</t>
  </si>
  <si>
    <t>0006765C</t>
  </si>
  <si>
    <t>EncAlikr04MissileRedguardM02</t>
  </si>
  <si>
    <t>0006765D</t>
  </si>
  <si>
    <t>EncAlikr05MagicRedguardM</t>
  </si>
  <si>
    <t>0006765E</t>
  </si>
  <si>
    <t>EncAlikr05Melee1HRedguardM01</t>
  </si>
  <si>
    <t>00067665</t>
  </si>
  <si>
    <t>EncAlikr05Melee1HRedguardM02</t>
  </si>
  <si>
    <t>0006765F</t>
  </si>
  <si>
    <t>EncAlikr05Melee2HBerserkRedguardM01</t>
  </si>
  <si>
    <t>00067666</t>
  </si>
  <si>
    <t>EncAlikr05Melee2HBerserkRedguardM02</t>
  </si>
  <si>
    <t>00067660</t>
  </si>
  <si>
    <t>EncAlikr05MissileRedguardM01</t>
  </si>
  <si>
    <t>00067667</t>
  </si>
  <si>
    <t>EncAlikr05MissileRedguardM02</t>
  </si>
  <si>
    <t>00067661</t>
  </si>
  <si>
    <t>EncAlikr06MagicRedguardM</t>
  </si>
  <si>
    <t>00067662</t>
  </si>
  <si>
    <t>EncAlikr06Melee1HRedguardM01</t>
  </si>
  <si>
    <t>00067668</t>
  </si>
  <si>
    <t>EncAlikr06Melee1HRedguardM02</t>
  </si>
  <si>
    <t>00067663</t>
  </si>
  <si>
    <t>EncAlikr06Melee2HBerserkRedguardM01</t>
  </si>
  <si>
    <t>00067669</t>
  </si>
  <si>
    <t>EncAlikr06Melee2HBerserkRedguardM02</t>
  </si>
  <si>
    <t>00067664</t>
  </si>
  <si>
    <t>EncAlikr06MissileRedguardM01</t>
  </si>
  <si>
    <t>0006766A</t>
  </si>
  <si>
    <t>EncAlikr06MissileRedguardM02</t>
  </si>
  <si>
    <t>000C3C9F</t>
  </si>
  <si>
    <t>EncBandit01MagicArgonianM</t>
  </si>
  <si>
    <t>HairArgonianMale08</t>
  </si>
  <si>
    <t>00039D32</t>
  </si>
  <si>
    <t>EncBandit01MagicBretonF</t>
  </si>
  <si>
    <t>00039D33</t>
  </si>
  <si>
    <t>EncBandit01MagicBretonM</t>
  </si>
  <si>
    <t>00039D34</t>
  </si>
  <si>
    <t>EncBandit01MagicDarkElfF</t>
  </si>
  <si>
    <t>00039D35</t>
  </si>
  <si>
    <t>EncBandit01MagicDarkElfM</t>
  </si>
  <si>
    <t>00039D36</t>
  </si>
  <si>
    <t>EncBandit01MagicNordF</t>
  </si>
  <si>
    <t>00039D37</t>
  </si>
  <si>
    <t>EncBandit01MagicNordM</t>
  </si>
  <si>
    <t>00039CF7</t>
  </si>
  <si>
    <t>EncBandit01Melee1HImperialF</t>
  </si>
  <si>
    <t>00039CF6</t>
  </si>
  <si>
    <t>EncBandit01Melee1HImperialM</t>
  </si>
  <si>
    <t>000C3CA0</t>
  </si>
  <si>
    <t>EncBandit01Melee1HKhajiitM</t>
  </si>
  <si>
    <t>00039CF5</t>
  </si>
  <si>
    <t>EncBandit01Melee1HNordF</t>
  </si>
  <si>
    <t>0001BCD8</t>
  </si>
  <si>
    <t>EncBandit01Melee1HNordM</t>
  </si>
  <si>
    <t>00039CFA</t>
  </si>
  <si>
    <t>EncBandit01Melee1HOrcM</t>
  </si>
  <si>
    <t>00039CF8</t>
  </si>
  <si>
    <t>EncBandit01Melee1HRedguardF</t>
  </si>
  <si>
    <t>00039CF9</t>
  </si>
  <si>
    <t>EncBandit01Melee1HRedguardM</t>
  </si>
  <si>
    <t>0003DE87</t>
  </si>
  <si>
    <t>EncBandit01Melee1HTankImperialF</t>
  </si>
  <si>
    <t>0003DE88</t>
  </si>
  <si>
    <t>EncBandit01Melee1HTankImperialM</t>
  </si>
  <si>
    <t>0003DE89</t>
  </si>
  <si>
    <t>EncBandit01Melee1HTankNordF</t>
  </si>
  <si>
    <t>0003DE8A</t>
  </si>
  <si>
    <t>EncBandit01Melee1HTankNordM</t>
  </si>
  <si>
    <t>0003DE8B</t>
  </si>
  <si>
    <t>EncBandit01Melee1HTankOrcM</t>
  </si>
  <si>
    <t>0003DE8C</t>
  </si>
  <si>
    <t>EncBandit01Melee1HTankRedguardF</t>
  </si>
  <si>
    <t>0003DE8D</t>
  </si>
  <si>
    <t>EncBandit01Melee1HTankRedguardM</t>
  </si>
  <si>
    <t>0003DE6E</t>
  </si>
  <si>
    <t>EncBandit01Melee2HBerserkNordF</t>
  </si>
  <si>
    <t>0003DE6F</t>
  </si>
  <si>
    <t>EncBandit01Melee2HBerserkNordM</t>
  </si>
  <si>
    <t>0003DE70</t>
  </si>
  <si>
    <t>EncBandit01Melee2HBerserkOrcM</t>
  </si>
  <si>
    <t>0003DE71</t>
  </si>
  <si>
    <t>EncBandit01Melee2HBerserkRedguardF</t>
  </si>
  <si>
    <t>0003DE72</t>
  </si>
  <si>
    <t>EncBandit01Melee2HBerserkRedguardM</t>
  </si>
  <si>
    <t>0003CF5C</t>
  </si>
  <si>
    <t>EncBandit01Melee2HNordF</t>
  </si>
  <si>
    <t>0003CF5D</t>
  </si>
  <si>
    <t>EncBandit01Melee2HNordM</t>
  </si>
  <si>
    <t>0003CF5E</t>
  </si>
  <si>
    <t>EncBandit01Melee2HOrcM</t>
  </si>
  <si>
    <t>0003DE53</t>
  </si>
  <si>
    <t>EncBandit01Melee2HRedguardF</t>
  </si>
  <si>
    <t>0003DE54</t>
  </si>
  <si>
    <t>EncBandit01Melee2HRedguardM</t>
  </si>
  <si>
    <t>00037BFC</t>
  </si>
  <si>
    <t>EncBandit01MissileImperialF</t>
  </si>
  <si>
    <t>00037BFE</t>
  </si>
  <si>
    <t>EncBandit01MissileImperialM</t>
  </si>
  <si>
    <t>0009A549</t>
  </si>
  <si>
    <t>EncBandit01MissileKhajiitM</t>
  </si>
  <si>
    <t>00037BFF</t>
  </si>
  <si>
    <t>EncBandit01MissileNordF</t>
  </si>
  <si>
    <t>00037C00</t>
  </si>
  <si>
    <t>EncBandit01MissileNordM</t>
  </si>
  <si>
    <t>00037C06</t>
  </si>
  <si>
    <t>EncBandit01MissileRedguardF</t>
  </si>
  <si>
    <t>00037C07</t>
  </si>
  <si>
    <t>EncBandit01MissileRedguardM</t>
  </si>
  <si>
    <t>00039D65</t>
  </si>
  <si>
    <t>EncBandit01MissileWoodElfF</t>
  </si>
  <si>
    <t>00039D66</t>
  </si>
  <si>
    <t>EncBandit01MissileWoodElfM</t>
  </si>
  <si>
    <t>0003DEDE</t>
  </si>
  <si>
    <t>EncBandit02Boss1HImperialF</t>
  </si>
  <si>
    <t>0003DEDF</t>
  </si>
  <si>
    <t>EncBandit02Boss1HImperialM</t>
  </si>
  <si>
    <t>0003DEE0</t>
  </si>
  <si>
    <t>EncBandit02Boss1HNordF</t>
  </si>
  <si>
    <t>0003DEE1</t>
  </si>
  <si>
    <t>EncBandit02Boss1HNordM</t>
  </si>
  <si>
    <t>0003DEE2</t>
  </si>
  <si>
    <t>EncBandit02Boss1HRedguardF</t>
  </si>
  <si>
    <t>0003DEE3</t>
  </si>
  <si>
    <t>EncBandit02Boss1HRedguardM</t>
  </si>
  <si>
    <t>0003DEF0</t>
  </si>
  <si>
    <t>EncBandit02Boss2HImperialM</t>
  </si>
  <si>
    <t>0003DEE4</t>
  </si>
  <si>
    <t>EncBandit02Boss2HNordM</t>
  </si>
  <si>
    <t>0003DEE5</t>
  </si>
  <si>
    <t>EncBandit02Boss2HOrcM</t>
  </si>
  <si>
    <t>0003DEE6</t>
  </si>
  <si>
    <t>EncBandit02Boss2HRedguardM</t>
  </si>
  <si>
    <t>000C3CA1</t>
  </si>
  <si>
    <t>EncBandit02MagicArgonianM</t>
  </si>
  <si>
    <t>00039D39</t>
  </si>
  <si>
    <t>EncBandit02MagicBretonF</t>
  </si>
  <si>
    <t>00039D3A</t>
  </si>
  <si>
    <t>EncBandit02MagicBretonM</t>
  </si>
  <si>
    <t>00039D3B</t>
  </si>
  <si>
    <t>EncBandit02MagicDarkElfF</t>
  </si>
  <si>
    <t>00039D3C</t>
  </si>
  <si>
    <t>EncBandit02MagicDarkElfM</t>
  </si>
  <si>
    <t>00039D3D</t>
  </si>
  <si>
    <t>EncBandit02MagicNordF</t>
  </si>
  <si>
    <t>00039D3E</t>
  </si>
  <si>
    <t>EncBandit02MagicNordM</t>
  </si>
  <si>
    <t>00039CFE</t>
  </si>
  <si>
    <t>EncBandit02Melee1HImperialF</t>
  </si>
  <si>
    <t>00039CFF</t>
  </si>
  <si>
    <t>EncBandit02Melee1HImperialM</t>
  </si>
  <si>
    <t>000C3CA2</t>
  </si>
  <si>
    <t>EncBandit02Melee1HKhajiitM</t>
  </si>
  <si>
    <t>00039D00</t>
  </si>
  <si>
    <t>EncBandit02Melee1HNordF</t>
  </si>
  <si>
    <t>00039D01</t>
  </si>
  <si>
    <t>EncBandit02Melee1HNordM</t>
  </si>
  <si>
    <t>00039D03</t>
  </si>
  <si>
    <t>EncBandit02Melee1HOrcM</t>
  </si>
  <si>
    <t>00039D04</t>
  </si>
  <si>
    <t>EncBandit02Melee1HRedguardF</t>
  </si>
  <si>
    <t>00039D05</t>
  </si>
  <si>
    <t>EncBandit02Melee1HRedguardM</t>
  </si>
  <si>
    <t>0003DE8E</t>
  </si>
  <si>
    <t>EncBandit02Melee1HTankImperialF</t>
  </si>
  <si>
    <t>0003DE8F</t>
  </si>
  <si>
    <t>EncBandit02Melee1HTankImperialM</t>
  </si>
  <si>
    <t>0003DE90</t>
  </si>
  <si>
    <t>EncBandit02Melee1HTankNordF</t>
  </si>
  <si>
    <t>0003DE91</t>
  </si>
  <si>
    <t>EncBandit02Melee1HTankNordM</t>
  </si>
  <si>
    <t>0003DE92</t>
  </si>
  <si>
    <t>EncBandit02Melee1HTankOrcM</t>
  </si>
  <si>
    <t>0003DE93</t>
  </si>
  <si>
    <t>EncBandit02Melee1HTankRedguardF</t>
  </si>
  <si>
    <t>0003DE94</t>
  </si>
  <si>
    <t>EncBandit02Melee1HTankRedguardM</t>
  </si>
  <si>
    <t>0003DEA4</t>
  </si>
  <si>
    <t>EncBandit02Melee2HBerserkNordF</t>
  </si>
  <si>
    <t>0003DEA5</t>
  </si>
  <si>
    <t>EncBandit02Melee2HBerserkNordM</t>
  </si>
  <si>
    <t>0003DEA6</t>
  </si>
  <si>
    <t>EncBandit02Melee2HBerserkOrcM</t>
  </si>
  <si>
    <t>0003DEA7</t>
  </si>
  <si>
    <t>EncBandit02Melee2HBerserkRedguardF</t>
  </si>
  <si>
    <t>0003DEA8</t>
  </si>
  <si>
    <t>EncBandit02Melee2HBerserkRedguardM</t>
  </si>
  <si>
    <t>0003DE55</t>
  </si>
  <si>
    <t>EncBandit02Melee2HNordF</t>
  </si>
  <si>
    <t>0003DE56</t>
  </si>
  <si>
    <t>EncBandit02Melee2HNordM</t>
  </si>
  <si>
    <t>0003DE57</t>
  </si>
  <si>
    <t>EncBandit02Melee2HOrcM</t>
  </si>
  <si>
    <t>0003DE58</t>
  </si>
  <si>
    <t>EncBandit02Melee2HRedguardF</t>
  </si>
  <si>
    <t>0003DE59</t>
  </si>
  <si>
    <t>EncBandit02Melee2HRedguardM</t>
  </si>
  <si>
    <t>00037C01</t>
  </si>
  <si>
    <t>EncBandit02MissileImperialF</t>
  </si>
  <si>
    <t>00037C02</t>
  </si>
  <si>
    <t>EncBandit02MissileImperialM</t>
  </si>
  <si>
    <t>0009A54A</t>
  </si>
  <si>
    <t>EncBandit02MissileKhajiitM</t>
  </si>
  <si>
    <t>00037C03</t>
  </si>
  <si>
    <t>EncBandit02MissileNordF</t>
  </si>
  <si>
    <t>00037C05</t>
  </si>
  <si>
    <t>EncBandit02MissileNordM</t>
  </si>
  <si>
    <t>00037C08</t>
  </si>
  <si>
    <t>EncBandit02MissileRedguardF</t>
  </si>
  <si>
    <t>00037C0C</t>
  </si>
  <si>
    <t>EncBandit02MissileRedguardM</t>
  </si>
  <si>
    <t>00039D67</t>
  </si>
  <si>
    <t>EncBandit02MissileWoodElfF</t>
  </si>
  <si>
    <t>00039D68</t>
  </si>
  <si>
    <t>EncBandit02MissileWoodElfM</t>
  </si>
  <si>
    <t>0003DEE7</t>
  </si>
  <si>
    <t>EncBandit03Boss1HImperialF</t>
  </si>
  <si>
    <t>0003DEE8</t>
  </si>
  <si>
    <t>EncBandit03Boss1HImperialM</t>
  </si>
  <si>
    <t>0003DEE9</t>
  </si>
  <si>
    <t>EncBandit03Boss1HNordF</t>
  </si>
  <si>
    <t>0003DEEA</t>
  </si>
  <si>
    <t>EncBandit03Boss1HNordM</t>
  </si>
  <si>
    <t>0003DEEB</t>
  </si>
  <si>
    <t>EncBandit03Boss1HRedguardF</t>
  </si>
  <si>
    <t>0003DEEC</t>
  </si>
  <si>
    <t>EncBandit03Boss1HRedguardM</t>
  </si>
  <si>
    <t>0003DEF1</t>
  </si>
  <si>
    <t>EncBandit03Boss2HImperialM</t>
  </si>
  <si>
    <t>0003DEED</t>
  </si>
  <si>
    <t>EncBandit03Boss2HNordM</t>
  </si>
  <si>
    <t>0003DEEE</t>
  </si>
  <si>
    <t>EncBandit03Boss2HOrcM</t>
  </si>
  <si>
    <t>0003DEEF</t>
  </si>
  <si>
    <t>EncBandit03Boss2HRedguardM</t>
  </si>
  <si>
    <t>000C3CA3</t>
  </si>
  <si>
    <t>EncBandit03MagicArgonianM</t>
  </si>
  <si>
    <t>00039D44</t>
  </si>
  <si>
    <t>EncBandit03MagicBretonF</t>
  </si>
  <si>
    <t>00039D45</t>
  </si>
  <si>
    <t>EncBandit03MagicBretonM</t>
  </si>
  <si>
    <t>00039D46</t>
  </si>
  <si>
    <t>EncBandit03MagicDarkElfF</t>
  </si>
  <si>
    <t>00039D47</t>
  </si>
  <si>
    <t>EncBandit03MagicDarkElfM</t>
  </si>
  <si>
    <t>00039D48</t>
  </si>
  <si>
    <t>EncBandit03MagicNordF</t>
  </si>
  <si>
    <t>00039D49</t>
  </si>
  <si>
    <t>EncBandit03MagicNordM</t>
  </si>
  <si>
    <t>00039D06</t>
  </si>
  <si>
    <t>EncBandit03Melee1HImperialF</t>
  </si>
  <si>
    <t>00039D07</t>
  </si>
  <si>
    <t>EncBandit03Melee1HImperialM</t>
  </si>
  <si>
    <t>000C3CA4</t>
  </si>
  <si>
    <t>EncBandit03Melee1HKhajiitM</t>
  </si>
  <si>
    <t>00039D08</t>
  </si>
  <si>
    <t>EncBandit03Melee1HNordF</t>
  </si>
  <si>
    <t>00039D09</t>
  </si>
  <si>
    <t>EncBandit03Melee1HNordM</t>
  </si>
  <si>
    <t>00039D0B</t>
  </si>
  <si>
    <t>EncBandit03Melee1HOrcM</t>
  </si>
  <si>
    <t>00039D0C</t>
  </si>
  <si>
    <t>EncBandit03Melee1HRedguardF</t>
  </si>
  <si>
    <t>00039D0D</t>
  </si>
  <si>
    <t>EncBandit03Melee1HRedguardM</t>
  </si>
  <si>
    <t>0003DE95</t>
  </si>
  <si>
    <t>EncBandit03Melee1HTankImperialF</t>
  </si>
  <si>
    <t>0003DE96</t>
  </si>
  <si>
    <t>EncBandit03Melee1HTankImperialM</t>
  </si>
  <si>
    <t>0003DE97</t>
  </si>
  <si>
    <t>EncBandit03Melee1HTankNordF</t>
  </si>
  <si>
    <t>0003DE98</t>
  </si>
  <si>
    <t>EncBandit03Melee1HTankNordM</t>
  </si>
  <si>
    <t>0003DE99</t>
  </si>
  <si>
    <t>EncBandit03Melee1HTankOrcM</t>
  </si>
  <si>
    <t>0003DE9A</t>
  </si>
  <si>
    <t>EncBandit03Melee1HTankRedguardF</t>
  </si>
  <si>
    <t>0003DE9B</t>
  </si>
  <si>
    <t>EncBandit03Melee1HTankRedguardM</t>
  </si>
  <si>
    <t>0003DE73</t>
  </si>
  <si>
    <t>EncBandit03Melee2HBerserkNordF</t>
  </si>
  <si>
    <t>0003DE74</t>
  </si>
  <si>
    <t>EncBandit03Melee2HBerserkNordM</t>
  </si>
  <si>
    <t>0003DE75</t>
  </si>
  <si>
    <t>EncBandit03Melee2HBerserkOrcM</t>
  </si>
  <si>
    <t>0003DE76</t>
  </si>
  <si>
    <t>EncBandit03Melee2HBerserkRedguardF</t>
  </si>
  <si>
    <t>0003DE77</t>
  </si>
  <si>
    <t>EncBandit03Melee2HBerserkRedguardM</t>
  </si>
  <si>
    <t>0003DE5A</t>
  </si>
  <si>
    <t>EncBandit03Melee2HNordF</t>
  </si>
  <si>
    <t>0003DE5B</t>
  </si>
  <si>
    <t>EncBandit03Melee2HNordM</t>
  </si>
  <si>
    <t>0003DE5C</t>
  </si>
  <si>
    <t>EncBandit03Melee2HOrcM</t>
  </si>
  <si>
    <t>0003DE5D</t>
  </si>
  <si>
    <t>EncBandit03Melee2HRedguardF</t>
  </si>
  <si>
    <t>0003DE5E</t>
  </si>
  <si>
    <t>EncBandit03Melee2HRedguardM</t>
  </si>
  <si>
    <t>00037C2F</t>
  </si>
  <si>
    <t>EncBandit03MissileImperialF</t>
  </si>
  <si>
    <t>00037C30</t>
  </si>
  <si>
    <t>EncBandit03MissileImperialM</t>
  </si>
  <si>
    <t>0009A54D</t>
  </si>
  <si>
    <t>EncBandit03MissileKhajiitM</t>
  </si>
  <si>
    <t>00037C31</t>
  </si>
  <si>
    <t>EncBandit03MissileNordF</t>
  </si>
  <si>
    <t>00037C32</t>
  </si>
  <si>
    <t>EncBandit03MissileNordM</t>
  </si>
  <si>
    <t>00037C33</t>
  </si>
  <si>
    <t>EncBandit03MissileRedguardF</t>
  </si>
  <si>
    <t>00037C34</t>
  </si>
  <si>
    <t>EncBandit03MissileRedguardM</t>
  </si>
  <si>
    <t>00039D69</t>
  </si>
  <si>
    <t>EncBandit03MissileWoodElfF</t>
  </si>
  <si>
    <t>00039D6A</t>
  </si>
  <si>
    <t>EncBandit03MissileWoodElfM</t>
  </si>
  <si>
    <t>0003DEF2</t>
  </si>
  <si>
    <t>EncBandit04Boss1HImperialF</t>
  </si>
  <si>
    <t>0003DEF3</t>
  </si>
  <si>
    <t>EncBandit04Boss1HImperialM</t>
  </si>
  <si>
    <t>0003DEF4</t>
  </si>
  <si>
    <t>EncBandit04Boss1HNordF</t>
  </si>
  <si>
    <t>0003DEF5</t>
  </si>
  <si>
    <t>EncBandit04Boss1HNordM</t>
  </si>
  <si>
    <t>0003DEF6</t>
  </si>
  <si>
    <t>EncBandit04Boss1HRedguardF</t>
  </si>
  <si>
    <t>0003DEF7</t>
  </si>
  <si>
    <t>EncBandit04Boss1HRedguardM</t>
  </si>
  <si>
    <t>0003DEFB</t>
  </si>
  <si>
    <t>EncBandit04Boss2HImperialM</t>
  </si>
  <si>
    <t>0003DEF8</t>
  </si>
  <si>
    <t>EncBandit04Boss2HNordM</t>
  </si>
  <si>
    <t>0003DEF9</t>
  </si>
  <si>
    <t>EncBandit04Boss2HOrcM</t>
  </si>
  <si>
    <t>0003DEFA</t>
  </si>
  <si>
    <t>EncBandit04Boss2HRedguardM</t>
  </si>
  <si>
    <t>000C3CA5</t>
  </si>
  <si>
    <t>EncBandit04MagicArgonianM</t>
  </si>
  <si>
    <t>00039D4B</t>
  </si>
  <si>
    <t>EncBandit04MagicBretonF</t>
  </si>
  <si>
    <t>00039D4C</t>
  </si>
  <si>
    <t>EncBandit04MagicBretonM</t>
  </si>
  <si>
    <t>00039D4D</t>
  </si>
  <si>
    <t>EncBandit04MagicDarkElfF</t>
  </si>
  <si>
    <t>00039D4E</t>
  </si>
  <si>
    <t>EncBandit04MagicDarkElfM</t>
  </si>
  <si>
    <t>00039D4F</t>
  </si>
  <si>
    <t>EncBandit04MagicNordF</t>
  </si>
  <si>
    <t>00039D50</t>
  </si>
  <si>
    <t>EncBandit04MagicNordM</t>
  </si>
  <si>
    <t>00039D0E</t>
  </si>
  <si>
    <t>EncBandit04Melee1HImperialF</t>
  </si>
  <si>
    <t>00039D0F</t>
  </si>
  <si>
    <t>EncBandit04Melee1HImperialM</t>
  </si>
  <si>
    <t>000C3CA6</t>
  </si>
  <si>
    <t>EncBandit04Melee1HKhajiitM</t>
  </si>
  <si>
    <t>00039D10</t>
  </si>
  <si>
    <t>EncBandit04Melee1HNordF</t>
  </si>
  <si>
    <t>00039D11</t>
  </si>
  <si>
    <t>EncBandit04Melee1HNordM</t>
  </si>
  <si>
    <t>00039D13</t>
  </si>
  <si>
    <t>EncBandit04Melee1HOrcM</t>
  </si>
  <si>
    <t>00039D14</t>
  </si>
  <si>
    <t>EncBandit04Melee1HRedguardF</t>
  </si>
  <si>
    <t>00039D15</t>
  </si>
  <si>
    <t>EncBandit04Melee1HRedguardM</t>
  </si>
  <si>
    <t>0003DE9D</t>
  </si>
  <si>
    <t>EncBandit04Melee1HTankImperialF</t>
  </si>
  <si>
    <t>0003DE9E</t>
  </si>
  <si>
    <t>EncBandit04Melee1HTankImperialM</t>
  </si>
  <si>
    <t>0003DE9F</t>
  </si>
  <si>
    <t>EncBandit04Melee1HTankNordF</t>
  </si>
  <si>
    <t>0003DEA0</t>
  </si>
  <si>
    <t>EncBandit04Melee1HTankNordM</t>
  </si>
  <si>
    <t>0003DEA1</t>
  </si>
  <si>
    <t>EncBandit04Melee1HTankOrcM</t>
  </si>
  <si>
    <t>0003DEA2</t>
  </si>
  <si>
    <t>EncBandit04Melee1HTankRedguardF</t>
  </si>
  <si>
    <t>0003DEA3</t>
  </si>
  <si>
    <t>EncBandit04Melee1HTankRedguardM</t>
  </si>
  <si>
    <t>0003DE78</t>
  </si>
  <si>
    <t>EncBandit04Melee2HBerserkNordF</t>
  </si>
  <si>
    <t>0003DE79</t>
  </si>
  <si>
    <t>EncBandit04Melee2HBerserkNordM</t>
  </si>
  <si>
    <t>0003DE7A</t>
  </si>
  <si>
    <t>EncBandit04Melee2HBerserkOrcM</t>
  </si>
  <si>
    <t>0003DE7B</t>
  </si>
  <si>
    <t>EncBandit04Melee2HBerserkRedguardF</t>
  </si>
  <si>
    <t>0003DE7C</t>
  </si>
  <si>
    <t>EncBandit04Melee2HBerserkRedguardM</t>
  </si>
  <si>
    <t>0003DE5F</t>
  </si>
  <si>
    <t>EncBandit04Melee2HNordF</t>
  </si>
  <si>
    <t>0003DE60</t>
  </si>
  <si>
    <t>EncBandit04Melee2HNordM</t>
  </si>
  <si>
    <t>0003DE61</t>
  </si>
  <si>
    <t>EncBandit04Melee2HOrcM</t>
  </si>
  <si>
    <t>0003DE62</t>
  </si>
  <si>
    <t>EncBandit04Melee2HRedguardF</t>
  </si>
  <si>
    <t>0003DE63</t>
  </si>
  <si>
    <t>EncBandit04Melee2HRedguardM</t>
  </si>
  <si>
    <t>00037C36</t>
  </si>
  <si>
    <t>EncBandit04MissileImperialF</t>
  </si>
  <si>
    <t>00037C37</t>
  </si>
  <si>
    <t>EncBandit04MissileImperialM</t>
  </si>
  <si>
    <t>0009A54E</t>
  </si>
  <si>
    <t>EncBandit04MissileKhajiitM</t>
  </si>
  <si>
    <t>00037C38</t>
  </si>
  <si>
    <t>EncBandit04MissileNordF</t>
  </si>
  <si>
    <t>00037C39</t>
  </si>
  <si>
    <t>EncBandit04MissileNordM</t>
  </si>
  <si>
    <t>00037C3A</t>
  </si>
  <si>
    <t>EncBandit04MissileRedguardF</t>
  </si>
  <si>
    <t>00037C3B</t>
  </si>
  <si>
    <t>EncBandit04MissileRedguardM</t>
  </si>
  <si>
    <t>00039D6B</t>
  </si>
  <si>
    <t>EncBandit04MissileWoodElfF</t>
  </si>
  <si>
    <t>00039D6C</t>
  </si>
  <si>
    <t>EncBandit04MissileWoodElfM</t>
  </si>
  <si>
    <t>0003DEFC</t>
  </si>
  <si>
    <t>EncBandit05Boss1HImperialF</t>
  </si>
  <si>
    <t>0003DEFD</t>
  </si>
  <si>
    <t>EncBandit05Boss1HImperialM</t>
  </si>
  <si>
    <t>0003DEFE</t>
  </si>
  <si>
    <t>EncBandit05Boss1HNordF</t>
  </si>
  <si>
    <t>0003DEFF</t>
  </si>
  <si>
    <t>EncBandit05Boss1HNordM</t>
  </si>
  <si>
    <t>0003DF00</t>
  </si>
  <si>
    <t>EncBandit05Boss1HRedguardF</t>
  </si>
  <si>
    <t>0003DF01</t>
  </si>
  <si>
    <t>EncBandit05Boss1HRedguardM</t>
  </si>
  <si>
    <t>0003DF05</t>
  </si>
  <si>
    <t>EncBandit05Boss2HImperialM</t>
  </si>
  <si>
    <t>0003DF02</t>
  </si>
  <si>
    <t>EncBandit05Boss2HNordM</t>
  </si>
  <si>
    <t>0003DF03</t>
  </si>
  <si>
    <t>EncBandit05Boss2HOrcM</t>
  </si>
  <si>
    <t>0003DF04</t>
  </si>
  <si>
    <t>EncBandit05Boss2HRedguardM</t>
  </si>
  <si>
    <t>000C3CA7</t>
  </si>
  <si>
    <t>EncBandit05MagicArgonianM</t>
  </si>
  <si>
    <t>00039D52</t>
  </si>
  <si>
    <t>EncBandit05MagicBretonF</t>
  </si>
  <si>
    <t>00039D53</t>
  </si>
  <si>
    <t>EncBandit05MagicBretonM</t>
  </si>
  <si>
    <t>00039D54</t>
  </si>
  <si>
    <t>EncBandit05MagicDarkElfF</t>
  </si>
  <si>
    <t>00039D55</t>
  </si>
  <si>
    <t>EncBandit05MagicDarkElfM</t>
  </si>
  <si>
    <t>00039D56</t>
  </si>
  <si>
    <t>EncBandit05MagicNordF</t>
  </si>
  <si>
    <t>00039D57</t>
  </si>
  <si>
    <t>EncBandit05MagicNordM</t>
  </si>
  <si>
    <t>00039D16</t>
  </si>
  <si>
    <t>EncBandit05Melee1HImperialF</t>
  </si>
  <si>
    <t>00039D17</t>
  </si>
  <si>
    <t>EncBandit05Melee1HImperialM</t>
  </si>
  <si>
    <t>000C3CA8</t>
  </si>
  <si>
    <t>EncBandit05Melee1HKhajiitM</t>
  </si>
  <si>
    <t>00039D18</t>
  </si>
  <si>
    <t>EncBandit05Melee1HNordF</t>
  </si>
  <si>
    <t>00039D19</t>
  </si>
  <si>
    <t>EncBandit05Melee1HNordM</t>
  </si>
  <si>
    <t>00039D1B</t>
  </si>
  <si>
    <t>EncBandit05Melee1HOrcM</t>
  </si>
  <si>
    <t>00039D1C</t>
  </si>
  <si>
    <t>EncBandit05Melee1HRedguardF</t>
  </si>
  <si>
    <t>00039D1D</t>
  </si>
  <si>
    <t>EncBandit05Melee1HRedguardM</t>
  </si>
  <si>
    <t>0003DEA9</t>
  </si>
  <si>
    <t>EncBandit05Melee1HTankImperialF</t>
  </si>
  <si>
    <t>0003DEAA</t>
  </si>
  <si>
    <t>EncBandit05Melee1HTankImperialM</t>
  </si>
  <si>
    <t>0003DEAB</t>
  </si>
  <si>
    <t>EncBandit05Melee1HTankNordF</t>
  </si>
  <si>
    <t>0003DEAC</t>
  </si>
  <si>
    <t>EncBandit05Melee1HTankNordM</t>
  </si>
  <si>
    <t>0003DEAD</t>
  </si>
  <si>
    <t>EncBandit05Melee1HTankOrcM</t>
  </si>
  <si>
    <t>0003DEAE</t>
  </si>
  <si>
    <t>EncBandit05Melee1HTankRedguardF</t>
  </si>
  <si>
    <t>0003DEAF</t>
  </si>
  <si>
    <t>EncBandit05Melee1HTankRedguardM</t>
  </si>
  <si>
    <t>0003DE7D</t>
  </si>
  <si>
    <t>EncBandit05Melee2HBerserkNordF</t>
  </si>
  <si>
    <t>0003DE7E</t>
  </si>
  <si>
    <t>EncBandit05Melee2HBerserkNordM</t>
  </si>
  <si>
    <t>0003DE7F</t>
  </si>
  <si>
    <t>EncBandit05Melee2HBerserkOrcM</t>
  </si>
  <si>
    <t>0003DE80</t>
  </si>
  <si>
    <t>EncBandit05Melee2HBerserkRedguardF</t>
  </si>
  <si>
    <t>0003DE81</t>
  </si>
  <si>
    <t>EncBandit05Melee2HBerserkRedguardM</t>
  </si>
  <si>
    <t>0003DE64</t>
  </si>
  <si>
    <t>EncBandit05Melee2HNordF</t>
  </si>
  <si>
    <t>0003DE65</t>
  </si>
  <si>
    <t>EncBandit05Melee2HNordM</t>
  </si>
  <si>
    <t>0003DE66</t>
  </si>
  <si>
    <t>EncBandit05Melee2HOrcM</t>
  </si>
  <si>
    <t>0003DE67</t>
  </si>
  <si>
    <t>EncBandit05Melee2HRedguardF</t>
  </si>
  <si>
    <t>0003DE68</t>
  </si>
  <si>
    <t>EncBandit05Melee2HRedguardM</t>
  </si>
  <si>
    <t>00037C3D</t>
  </si>
  <si>
    <t>EncBandit05MissileImperialF</t>
  </si>
  <si>
    <t>00037C3E</t>
  </si>
  <si>
    <t>EncBandit05MissileImperialM</t>
  </si>
  <si>
    <t>0009A550</t>
  </si>
  <si>
    <t>EncBandit05MissileKhajiitM</t>
  </si>
  <si>
    <t>00037C3F</t>
  </si>
  <si>
    <t>EncBandit05MissileNordF</t>
  </si>
  <si>
    <t>00037C40</t>
  </si>
  <si>
    <t>EncBandit05MissileNordM</t>
  </si>
  <si>
    <t>00037C41</t>
  </si>
  <si>
    <t>EncBandit05MissileRedguardF</t>
  </si>
  <si>
    <t>00037C42</t>
  </si>
  <si>
    <t>EncBandit05MissileRedguardM</t>
  </si>
  <si>
    <t>00039D6D</t>
  </si>
  <si>
    <t>EncBandit05MissileWoodElfF</t>
  </si>
  <si>
    <t>00039D6E</t>
  </si>
  <si>
    <t>EncBandit05MissileWoodElfM</t>
  </si>
  <si>
    <t>0003DF06</t>
  </si>
  <si>
    <t>EncBandit06Boss1HImperialF</t>
  </si>
  <si>
    <t>0003DF07</t>
  </si>
  <si>
    <t>EncBandit06Boss1HImperialM</t>
  </si>
  <si>
    <t>0003DF08</t>
  </si>
  <si>
    <t>EncBandit06Boss1HNordF</t>
  </si>
  <si>
    <t>0003DF09</t>
  </si>
  <si>
    <t>EncBandit06Boss1HNordM</t>
  </si>
  <si>
    <t>0003DF0A</t>
  </si>
  <si>
    <t>EncBandit06Boss1HRedguardF</t>
  </si>
  <si>
    <t>0003DF0B</t>
  </si>
  <si>
    <t>EncBandit06Boss1HRedguardM</t>
  </si>
  <si>
    <t>0003DF0F</t>
  </si>
  <si>
    <t>EncBandit06Boss2HImperialM</t>
  </si>
  <si>
    <t>0003DF0C</t>
  </si>
  <si>
    <t>EncBandit06Boss2HNordM</t>
  </si>
  <si>
    <t>0003DF0D</t>
  </si>
  <si>
    <t>EncBandit06Boss2HOrcM</t>
  </si>
  <si>
    <t>0003DF0E</t>
  </si>
  <si>
    <t>EncBandit06Boss2HRedguardM</t>
  </si>
  <si>
    <t>000C3CA9</t>
  </si>
  <si>
    <t>EncBandit06MagicArgonianM</t>
  </si>
  <si>
    <t>00039D59</t>
  </si>
  <si>
    <t>EncBandit06MagicBretonF</t>
  </si>
  <si>
    <t>00039D5A</t>
  </si>
  <si>
    <t>EncBandit06MagicBretonM</t>
  </si>
  <si>
    <t>00039D5B</t>
  </si>
  <si>
    <t>EncBandit06MagicDarkElfF</t>
  </si>
  <si>
    <t>00039D5C</t>
  </si>
  <si>
    <t>EncBandit06MagicDarkElfM</t>
  </si>
  <si>
    <t>00039D5D</t>
  </si>
  <si>
    <t>EncBandit06MagicNordF</t>
  </si>
  <si>
    <t>00039D5E</t>
  </si>
  <si>
    <t>EncBandit06MagicNordM</t>
  </si>
  <si>
    <t>00039D1E</t>
  </si>
  <si>
    <t>EncBandit06Melee1HImperialF</t>
  </si>
  <si>
    <t>00039D1F</t>
  </si>
  <si>
    <t>EncBandit06Melee1HImperialM</t>
  </si>
  <si>
    <t>000C3CAA</t>
  </si>
  <si>
    <t>EncBandit06Melee1HKhajiitM</t>
  </si>
  <si>
    <t>00039D20</t>
  </si>
  <si>
    <t>EncBandit06Melee1HNordF</t>
  </si>
  <si>
    <t>00039D21</t>
  </si>
  <si>
    <t>EncBandit06Melee1HNordM</t>
  </si>
  <si>
    <t>00039D23</t>
  </si>
  <si>
    <t>EncBandit06Melee1HOrcM</t>
  </si>
  <si>
    <t>00039D24</t>
  </si>
  <si>
    <t>EncBandit06Melee1HRedguardF</t>
  </si>
  <si>
    <t>00039D25</t>
  </si>
  <si>
    <t>EncBandit06Melee1HRedguardM</t>
  </si>
  <si>
    <t>0003DEB0</t>
  </si>
  <si>
    <t>EncBandit06Melee1HTankImperialF</t>
  </si>
  <si>
    <t>0003DEB1</t>
  </si>
  <si>
    <t>EncBandit06Melee1HTankImperialM</t>
  </si>
  <si>
    <t>0003DEB2</t>
  </si>
  <si>
    <t>EncBandit06Melee1HTankNordF</t>
  </si>
  <si>
    <t>0003DEB3</t>
  </si>
  <si>
    <t>EncBandit06Melee1HTankNordM</t>
  </si>
  <si>
    <t>0003DEB4</t>
  </si>
  <si>
    <t>EncBandit06Melee1HTankOrcM</t>
  </si>
  <si>
    <t>0003DEB5</t>
  </si>
  <si>
    <t>EncBandit06Melee1HTankRedguardF</t>
  </si>
  <si>
    <t>0003DEB6</t>
  </si>
  <si>
    <t>EncBandit06Melee1HTankRedguardM</t>
  </si>
  <si>
    <t>0003DE82</t>
  </si>
  <si>
    <t>EncBandit06Melee2HBerserkNordF</t>
  </si>
  <si>
    <t>0003DE83</t>
  </si>
  <si>
    <t>EncBandit06Melee2HBerserkNordM</t>
  </si>
  <si>
    <t>0003DE84</t>
  </si>
  <si>
    <t>EncBandit06Melee2HBerserkOrcM</t>
  </si>
  <si>
    <t>0003DE85</t>
  </si>
  <si>
    <t>EncBandit06Melee2HBerserkRedguardF</t>
  </si>
  <si>
    <t>0003DE86</t>
  </si>
  <si>
    <t>EncBandit06Melee2HBerserkRedguardM</t>
  </si>
  <si>
    <t>0003DE69</t>
  </si>
  <si>
    <t>EncBandit06Melee2HNordF</t>
  </si>
  <si>
    <t>0003DE6A</t>
  </si>
  <si>
    <t>EncBandit06Melee2HNordM</t>
  </si>
  <si>
    <t>0003DE6B</t>
  </si>
  <si>
    <t>EncBandit06Melee2HOrcM</t>
  </si>
  <si>
    <t>0003DE6C</t>
  </si>
  <si>
    <t>EncBandit06Melee2HRedguardF</t>
  </si>
  <si>
    <t>0003DE6D</t>
  </si>
  <si>
    <t>EncBandit06Melee2HRedguardM</t>
  </si>
  <si>
    <t>00037C44</t>
  </si>
  <si>
    <t>EncBandit06MissileImperialF</t>
  </si>
  <si>
    <t>00037C45</t>
  </si>
  <si>
    <t>EncBandit06MissileImperialM</t>
  </si>
  <si>
    <t>0009A553</t>
  </si>
  <si>
    <t>EncBandit06MissileKhajiitM</t>
  </si>
  <si>
    <t>00037C46</t>
  </si>
  <si>
    <t>EncBandit06MissileNordF</t>
  </si>
  <si>
    <t>00037C47</t>
  </si>
  <si>
    <t>EncBandit06MissileNordM</t>
  </si>
  <si>
    <t>00037C48</t>
  </si>
  <si>
    <t>EncBandit06MissileRedguardF</t>
  </si>
  <si>
    <t>00037C49</t>
  </si>
  <si>
    <t>EncBandit06MissileRedguardM</t>
  </si>
  <si>
    <t>00039D6F</t>
  </si>
  <si>
    <t>EncBandit06MissileWoodElfF</t>
  </si>
  <si>
    <t>00039D70</t>
  </si>
  <si>
    <t>EncBandit06MissileWoodElfM</t>
  </si>
  <si>
    <t>02014225</t>
  </si>
  <si>
    <t>EncDawnguard01Melee1HImperialF</t>
  </si>
  <si>
    <t>02014226</t>
  </si>
  <si>
    <t>EncDawnguard01Melee1HImperialM</t>
  </si>
  <si>
    <t>02014228</t>
  </si>
  <si>
    <t>EncDawnguard01Melee1HNordF</t>
  </si>
  <si>
    <t>02014229</t>
  </si>
  <si>
    <t>EncDawnguard01Melee1HNordM</t>
  </si>
  <si>
    <t>0201422A</t>
  </si>
  <si>
    <t>EncDawnguard01Melee1HOrcM</t>
  </si>
  <si>
    <t>0201422B</t>
  </si>
  <si>
    <t>EncDawnguard01Melee1HRedguardF</t>
  </si>
  <si>
    <t>0201422C</t>
  </si>
  <si>
    <t>EncDawnguard01Melee1HRedguardM</t>
  </si>
  <si>
    <t>02014255</t>
  </si>
  <si>
    <t>EncDawnguard02Melee1HImperialF</t>
  </si>
  <si>
    <t>02014256</t>
  </si>
  <si>
    <t>EncDawnguard02Melee1HImperialM</t>
  </si>
  <si>
    <t>02014258</t>
  </si>
  <si>
    <t>EncDawnguard02Melee1HNordF</t>
  </si>
  <si>
    <t>02014259</t>
  </si>
  <si>
    <t>EncDawnguard02Melee1HNordM</t>
  </si>
  <si>
    <t>0201425A</t>
  </si>
  <si>
    <t>EncDawnguard02Melee1HOrcM</t>
  </si>
  <si>
    <t>0201425B</t>
  </si>
  <si>
    <t>EncDawnguard02Melee1HRedguardF</t>
  </si>
  <si>
    <t>0201425C</t>
  </si>
  <si>
    <t>EncDawnguard02Melee1HRedguardM</t>
  </si>
  <si>
    <t>0201425D</t>
  </si>
  <si>
    <t>EncDawnguard03Melee1HImperialF</t>
  </si>
  <si>
    <t>0201425E</t>
  </si>
  <si>
    <t>EncDawnguard03Melee1HImperialM</t>
  </si>
  <si>
    <t>02014260</t>
  </si>
  <si>
    <t>EncDawnguard03Melee1HNordF</t>
  </si>
  <si>
    <t>02014261</t>
  </si>
  <si>
    <t>EncDawnguard03Melee1HNordM</t>
  </si>
  <si>
    <t>02014262</t>
  </si>
  <si>
    <t>EncDawnguard03Melee1HOrcM</t>
  </si>
  <si>
    <t>02014263</t>
  </si>
  <si>
    <t>EncDawnguard03Melee1HRedguardF</t>
  </si>
  <si>
    <t>02014264</t>
  </si>
  <si>
    <t>EncDawnguard03Melee1HRedguardM</t>
  </si>
  <si>
    <t>02014265</t>
  </si>
  <si>
    <t>EncDawnguard04Melee1HImperialF</t>
  </si>
  <si>
    <t>02014266</t>
  </si>
  <si>
    <t>EncDawnguard04Melee1HImperialM</t>
  </si>
  <si>
    <t>02014268</t>
  </si>
  <si>
    <t>EncDawnguard04Melee1HNordF</t>
  </si>
  <si>
    <t>HairFemaleImperial1</t>
  </si>
  <si>
    <t>02014269</t>
  </si>
  <si>
    <t>EncDawnguard04Melee1HNordM</t>
  </si>
  <si>
    <t>0201426A</t>
  </si>
  <si>
    <t>EncDawnguard04Melee1HOrcM</t>
  </si>
  <si>
    <t>HairMaleOrc02</t>
  </si>
  <si>
    <t>0201426B</t>
  </si>
  <si>
    <t>EncDawnguard04Melee1HRedguardF</t>
  </si>
  <si>
    <t>0201426C</t>
  </si>
  <si>
    <t>EncDawnguard04Melee1HRedguardM</t>
  </si>
  <si>
    <t>0201426D</t>
  </si>
  <si>
    <t>EncDawnguard05Melee1HImperialF</t>
  </si>
  <si>
    <t>0201426E</t>
  </si>
  <si>
    <t>EncDawnguard05Melee1HImperialM</t>
  </si>
  <si>
    <t>02014270</t>
  </si>
  <si>
    <t>EncDawnguard05Melee1HNordF</t>
  </si>
  <si>
    <t>02014271</t>
  </si>
  <si>
    <t>EncDawnguard05Melee1HNordM</t>
  </si>
  <si>
    <t>02014272</t>
  </si>
  <si>
    <t>EncDawnguard05Melee1HOrcM</t>
  </si>
  <si>
    <t>02014273</t>
  </si>
  <si>
    <t>EncDawnguard05Melee1HRedguardF</t>
  </si>
  <si>
    <t>02014274</t>
  </si>
  <si>
    <t>EncDawnguard05Melee1HRedguardM</t>
  </si>
  <si>
    <t>02014275</t>
  </si>
  <si>
    <t>EncDawnguard06Melee1HImperialF</t>
  </si>
  <si>
    <t>02014276</t>
  </si>
  <si>
    <t>EncDawnguard06Melee1HImperialM</t>
  </si>
  <si>
    <t>02014278</t>
  </si>
  <si>
    <t>EncDawnguard06Melee1HNordF</t>
  </si>
  <si>
    <t>02014279</t>
  </si>
  <si>
    <t>EncDawnguard06Melee1HNordM</t>
  </si>
  <si>
    <t>0201427A</t>
  </si>
  <si>
    <t>EncDawnguard06Melee1HOrcM</t>
  </si>
  <si>
    <t>0201427B</t>
  </si>
  <si>
    <t>EncDawnguard06Melee1HRedguardF</t>
  </si>
  <si>
    <t>0201427C</t>
  </si>
  <si>
    <t>EncDawnguard06Melee1HRedguardM</t>
  </si>
  <si>
    <t>00043BEB</t>
  </si>
  <si>
    <t>EncForsworn01MagicBretonF01</t>
  </si>
  <si>
    <t>00043BEC</t>
  </si>
  <si>
    <t>EncForsworn01MagicBretonF02</t>
  </si>
  <si>
    <t>00043BED</t>
  </si>
  <si>
    <t>EncForsworn01MagicBretonF03</t>
  </si>
  <si>
    <t>000F9616</t>
  </si>
  <si>
    <t>EncForsworn01Melee1HBretonBerserk</t>
  </si>
  <si>
    <t>00043BE1</t>
  </si>
  <si>
    <t>EncForsworn01Melee1HBretonF01</t>
  </si>
  <si>
    <t>00043BE0</t>
  </si>
  <si>
    <t>EncForsworn01Melee1HBretonF02</t>
  </si>
  <si>
    <t>00043BE2</t>
  </si>
  <si>
    <t>EncForsworn01Melee1HBretonF03</t>
  </si>
  <si>
    <t>00043BDD</t>
  </si>
  <si>
    <t>EncForsworn01Melee1HBretonM01</t>
  </si>
  <si>
    <t>00043BDE</t>
  </si>
  <si>
    <t>EncForsworn01Melee1HBretonM02</t>
  </si>
  <si>
    <t>00043BDF</t>
  </si>
  <si>
    <t>EncForsworn01Melee1HBretonM03</t>
  </si>
  <si>
    <t>000AD7B4</t>
  </si>
  <si>
    <t>EncForsworn01Melee1HBretonM04</t>
  </si>
  <si>
    <t>00043BE4</t>
  </si>
  <si>
    <t>EncForsworn01MissileBretonF01</t>
  </si>
  <si>
    <t>00043BE5</t>
  </si>
  <si>
    <t>EncForsworn01MissileBretonF02</t>
  </si>
  <si>
    <t>00043BE6</t>
  </si>
  <si>
    <t>EncForsworn01MissileBretonF03</t>
  </si>
  <si>
    <t>00043BE7</t>
  </si>
  <si>
    <t>EncForsworn01MissileBretonM01</t>
  </si>
  <si>
    <t>00043BE8</t>
  </si>
  <si>
    <t>EncForsworn01MissileBretonM02</t>
  </si>
  <si>
    <t>00043BE9</t>
  </si>
  <si>
    <t>EncForsworn01MissileBretonM03</t>
  </si>
  <si>
    <t>000AD7B5</t>
  </si>
  <si>
    <t>EncForsworn01MissileBretonM04</t>
  </si>
  <si>
    <t>000442D4</t>
  </si>
  <si>
    <t>EncForsworn02BossMagicBretonM01</t>
  </si>
  <si>
    <t>000442D5</t>
  </si>
  <si>
    <t>EncForsworn02BossMagicBretonM02</t>
  </si>
  <si>
    <t>000AD7BB</t>
  </si>
  <si>
    <t>EncForsworn02BossMagicBretonM03</t>
  </si>
  <si>
    <t>000442D7</t>
  </si>
  <si>
    <t>EncForsworn02BossMelee1HBretonM01</t>
  </si>
  <si>
    <t>000442D8</t>
  </si>
  <si>
    <t>EncForsworn02BossMelee1HBretonM02</t>
  </si>
  <si>
    <t>000442D9</t>
  </si>
  <si>
    <t>EncForsworn02BossMelee1HBretonM03</t>
  </si>
  <si>
    <t>00043BF1</t>
  </si>
  <si>
    <t>EncForsworn02MagicBretonF01</t>
  </si>
  <si>
    <t>00043BF2</t>
  </si>
  <si>
    <t>EncForsworn02MagicBretonF02</t>
  </si>
  <si>
    <t>00043BF3</t>
  </si>
  <si>
    <t>EncForsworn02MagicBretonF03</t>
  </si>
  <si>
    <t>000F9617</t>
  </si>
  <si>
    <t>EncForsworn02Melee1HBretonBerserk</t>
  </si>
  <si>
    <t>00044256</t>
  </si>
  <si>
    <t>EncForsworn02Melee1HBretonF01</t>
  </si>
  <si>
    <t>00044257</t>
  </si>
  <si>
    <t>EncForsworn02Melee1HBretonF02</t>
  </si>
  <si>
    <t>00044258</t>
  </si>
  <si>
    <t>EncForsworn02Melee1HBretonF03</t>
  </si>
  <si>
    <t>00044259</t>
  </si>
  <si>
    <t>EncForsworn02Melee1HBretonM01</t>
  </si>
  <si>
    <t>0004425A</t>
  </si>
  <si>
    <t>EncForsworn02Melee1HBretonM02</t>
  </si>
  <si>
    <t>0004425B</t>
  </si>
  <si>
    <t>EncForsworn02Melee1HBretonM03</t>
  </si>
  <si>
    <t>000AD7B6</t>
  </si>
  <si>
    <t>EncForsworn02Melee1HBretonM04</t>
  </si>
  <si>
    <t>0004425C</t>
  </si>
  <si>
    <t>EncForsworn02MissileBretonF01</t>
  </si>
  <si>
    <t>0004425D</t>
  </si>
  <si>
    <t>EncForsworn02MissileBretonF02</t>
  </si>
  <si>
    <t>0004425E</t>
  </si>
  <si>
    <t>EncForsworn02MissileBretonF03</t>
  </si>
  <si>
    <t>0004425F</t>
  </si>
  <si>
    <t>EncForsworn02MissileBretonM01</t>
  </si>
  <si>
    <t>00044260</t>
  </si>
  <si>
    <t>EncForsworn02MissileBretonM02</t>
  </si>
  <si>
    <t>00044261</t>
  </si>
  <si>
    <t>EncForsworn02MissileBretonM03</t>
  </si>
  <si>
    <t>000AD7B7</t>
  </si>
  <si>
    <t>EncForsworn02MissileBretonM04</t>
  </si>
  <si>
    <t>000442DA</t>
  </si>
  <si>
    <t>EncForsworn03BossMagicBretonM01</t>
  </si>
  <si>
    <t>000442DB</t>
  </si>
  <si>
    <t>EncForsworn03BossMagicBretonM02</t>
  </si>
  <si>
    <t>000AD7BA</t>
  </si>
  <si>
    <t>EncForsworn03BossMagicBretonM03</t>
  </si>
  <si>
    <t>000442DD</t>
  </si>
  <si>
    <t>EncForsworn03BossMelee1HBretonM01</t>
  </si>
  <si>
    <t>000442DE</t>
  </si>
  <si>
    <t>EncForsworn03BossMelee1HBretonM02</t>
  </si>
  <si>
    <t>000442DF</t>
  </si>
  <si>
    <t>EncForsworn03BossMelee1HBretonM03</t>
  </si>
  <si>
    <t>00044265</t>
  </si>
  <si>
    <t>EncForsworn03MagicBretonF01</t>
  </si>
  <si>
    <t>00044266</t>
  </si>
  <si>
    <t>EncForsworn03MagicBretonF02</t>
  </si>
  <si>
    <t>00044267</t>
  </si>
  <si>
    <t>EncForsworn03MagicBretonF03</t>
  </si>
  <si>
    <t>000F9618</t>
  </si>
  <si>
    <t>EncForsworn03Melee1HBretonBerserk</t>
  </si>
  <si>
    <t>00044268</t>
  </si>
  <si>
    <t>EncForsworn03Melee1HBretonF01</t>
  </si>
  <si>
    <t>00044269</t>
  </si>
  <si>
    <t>EncForsworn03Melee1HBretonF02</t>
  </si>
  <si>
    <t>0004426A</t>
  </si>
  <si>
    <t>EncForsworn03Melee1HBretonF03</t>
  </si>
  <si>
    <t>0004426B</t>
  </si>
  <si>
    <t>EncForsworn03Melee1HBretonM01</t>
  </si>
  <si>
    <t>0004426C</t>
  </si>
  <si>
    <t>EncForsworn03Melee1HBretonM02</t>
  </si>
  <si>
    <t>0004426D</t>
  </si>
  <si>
    <t>EncForsworn03Melee1HBretonM03</t>
  </si>
  <si>
    <t>000AD7B8</t>
  </si>
  <si>
    <t>EncForsworn03Melee1HBretonM04</t>
  </si>
  <si>
    <t>0004426E</t>
  </si>
  <si>
    <t>EncForsworn03MissileBretonF01</t>
  </si>
  <si>
    <t>0004426F</t>
  </si>
  <si>
    <t>EncForsworn03MissileBretonF02</t>
  </si>
  <si>
    <t>00044270</t>
  </si>
  <si>
    <t>EncForsworn03MissileBretonF03</t>
  </si>
  <si>
    <t>00044271</t>
  </si>
  <si>
    <t>EncForsworn03MissileBretonM01</t>
  </si>
  <si>
    <t>00044272</t>
  </si>
  <si>
    <t>EncForsworn03MissileBretonM02</t>
  </si>
  <si>
    <t>00044273</t>
  </si>
  <si>
    <t>EncForsworn03MissileBretonM03</t>
  </si>
  <si>
    <t>000AD7B9</t>
  </si>
  <si>
    <t>EncForsworn03MissileBretonM04</t>
  </si>
  <si>
    <t>000442E0</t>
  </si>
  <si>
    <t>EncForsworn04BossMagicBretonM01</t>
  </si>
  <si>
    <t>000442E1</t>
  </si>
  <si>
    <t>EncForsworn04BossMagicBretonM02</t>
  </si>
  <si>
    <t>000AD7BC</t>
  </si>
  <si>
    <t>EncForsworn04BossMagicBretonM03</t>
  </si>
  <si>
    <t>000442E3</t>
  </si>
  <si>
    <t>EncForsworn04BossMelee1HBretonM01</t>
  </si>
  <si>
    <t>000442E4</t>
  </si>
  <si>
    <t>EncForsworn04BossMelee1HBretonM02</t>
  </si>
  <si>
    <t>000442E5</t>
  </si>
  <si>
    <t>EncForsworn04BossMelee1HBretonM03</t>
  </si>
  <si>
    <t>00044277</t>
  </si>
  <si>
    <t>EncForsworn04MagicBretonF01</t>
  </si>
  <si>
    <t>00044278</t>
  </si>
  <si>
    <t>EncForsworn04MagicBretonF02</t>
  </si>
  <si>
    <t>00044279</t>
  </si>
  <si>
    <t>EncForsworn04MagicBretonF03</t>
  </si>
  <si>
    <t>000F9619</t>
  </si>
  <si>
    <t>EncForsworn04Melee1HBretonBerserk</t>
  </si>
  <si>
    <t>0004427A</t>
  </si>
  <si>
    <t>EncForsworn04Melee1HBretonF01</t>
  </si>
  <si>
    <t>0004427B</t>
  </si>
  <si>
    <t>EncForsworn04Melee1HBretonF02</t>
  </si>
  <si>
    <t>0004427C</t>
  </si>
  <si>
    <t>EncForsworn04Melee1HBretonF03</t>
  </si>
  <si>
    <t>0004427D</t>
  </si>
  <si>
    <t>EncForsworn04Melee1HBretonM01</t>
  </si>
  <si>
    <t>0004427E</t>
  </si>
  <si>
    <t>EncForsworn04Melee1HBretonM02</t>
  </si>
  <si>
    <t>0004427F</t>
  </si>
  <si>
    <t>EncForsworn04Melee1HBretonM03</t>
  </si>
  <si>
    <t>000AD7BD</t>
  </si>
  <si>
    <t>EncForsworn04Melee1HBretonM04</t>
  </si>
  <si>
    <t>00044280</t>
  </si>
  <si>
    <t>EncForsworn04MissileBretonF01</t>
  </si>
  <si>
    <t>00044281</t>
  </si>
  <si>
    <t>EncForsworn04MissileBretonF02</t>
  </si>
  <si>
    <t>00044282</t>
  </si>
  <si>
    <t>EncForsworn04MissileBretonF03</t>
  </si>
  <si>
    <t>00044283</t>
  </si>
  <si>
    <t>EncForsworn04MissileBretonM01</t>
  </si>
  <si>
    <t>00044284</t>
  </si>
  <si>
    <t>EncForsworn04MissileBretonM02</t>
  </si>
  <si>
    <t>00044285</t>
  </si>
  <si>
    <t>EncForsworn04MissileBretonM03</t>
  </si>
  <si>
    <t>000AD7BE</t>
  </si>
  <si>
    <t>EncForsworn04MissileBretonM04</t>
  </si>
  <si>
    <t>000442E6</t>
  </si>
  <si>
    <t>EncForsworn05BossMagicBretonM01</t>
  </si>
  <si>
    <t>000442E7</t>
  </si>
  <si>
    <t>EncForsworn05BossMagicBretonM02</t>
  </si>
  <si>
    <t>000442E9</t>
  </si>
  <si>
    <t>EncForsworn05BossMelee1HBretonM01</t>
  </si>
  <si>
    <t>000442EA</t>
  </si>
  <si>
    <t>EncForsworn05BossMelee1HBretonM02</t>
  </si>
  <si>
    <t>000442EB</t>
  </si>
  <si>
    <t>EncForsworn05BossMelee1HBretonM03</t>
  </si>
  <si>
    <t>00044289</t>
  </si>
  <si>
    <t>EncForsworn05MagicBretonF01</t>
  </si>
  <si>
    <t>0004428A</t>
  </si>
  <si>
    <t>EncForsworn05MagicBretonF02</t>
  </si>
  <si>
    <t>0004428B</t>
  </si>
  <si>
    <t>EncForsworn05MagicBretonF03</t>
  </si>
  <si>
    <t>000F961A</t>
  </si>
  <si>
    <t>EncForsworn05Melee1HBretonBerserk</t>
  </si>
  <si>
    <t>0004428C</t>
  </si>
  <si>
    <t>EncForsworn05Melee1HBretonF01</t>
  </si>
  <si>
    <t>0004428D</t>
  </si>
  <si>
    <t>EncForsworn05Melee1HBretonF02</t>
  </si>
  <si>
    <t>0004428E</t>
  </si>
  <si>
    <t>EncForsworn05Melee1HBretonF03</t>
  </si>
  <si>
    <t>0004428F</t>
  </si>
  <si>
    <t>EncForsworn05Melee1HBretonM01</t>
  </si>
  <si>
    <t>00044290</t>
  </si>
  <si>
    <t>EncForsworn05Melee1HBretonM02</t>
  </si>
  <si>
    <t>00044291</t>
  </si>
  <si>
    <t>EncForsworn05Melee1HBretonM03</t>
  </si>
  <si>
    <t>000AD7BF</t>
  </si>
  <si>
    <t>EncForsworn05Melee1HBretonM04</t>
  </si>
  <si>
    <t>00044292</t>
  </si>
  <si>
    <t>EncForsworn05MissileBretonF01</t>
  </si>
  <si>
    <t>00044293</t>
  </si>
  <si>
    <t>EncForsworn05MissileBretonF02</t>
  </si>
  <si>
    <t>00044294</t>
  </si>
  <si>
    <t>EncForsworn05MissileBretonF03</t>
  </si>
  <si>
    <t>00044295</t>
  </si>
  <si>
    <t>EncForsworn05MissileBretonM01</t>
  </si>
  <si>
    <t>00044296</t>
  </si>
  <si>
    <t>EncForsworn05MissileBretonM02</t>
  </si>
  <si>
    <t>00044297</t>
  </si>
  <si>
    <t>EncForsworn05MissileBretonM03</t>
  </si>
  <si>
    <t>000AD7C0</t>
  </si>
  <si>
    <t>EncForsworn05MissileBretonM04</t>
  </si>
  <si>
    <t>000442EC</t>
  </si>
  <si>
    <t>EncForsworn06BossMagicBretonM01</t>
  </si>
  <si>
    <t>000442ED</t>
  </si>
  <si>
    <t>EncForsworn06BossMagicBretonM02</t>
  </si>
  <si>
    <t>000AD7C1</t>
  </si>
  <si>
    <t>EncForsworn06BossMagicBretonM03</t>
  </si>
  <si>
    <t>000442EF</t>
  </si>
  <si>
    <t>EncForsworn06BossMelee1HBretonM01</t>
  </si>
  <si>
    <t>000442F0</t>
  </si>
  <si>
    <t>EncForsworn06BossMelee1HBretonM02</t>
  </si>
  <si>
    <t>000442F1</t>
  </si>
  <si>
    <t>EncForsworn06BossMelee1HBretonM03</t>
  </si>
  <si>
    <t>0004429B</t>
  </si>
  <si>
    <t>EncForsworn06MagicBretonF01</t>
  </si>
  <si>
    <t>0004429C</t>
  </si>
  <si>
    <t>EncForsworn06MagicBretonF02</t>
  </si>
  <si>
    <t>0004429D</t>
  </si>
  <si>
    <t>EncForsworn06MagicBretonF03</t>
  </si>
  <si>
    <t>000F961B</t>
  </si>
  <si>
    <t>EncForsworn06Melee1HBretonBerserk</t>
  </si>
  <si>
    <t>0004429E</t>
  </si>
  <si>
    <t>EncForsworn06Melee1HBretonF01</t>
  </si>
  <si>
    <t>0004429F</t>
  </si>
  <si>
    <t>EncForsworn06Melee1HBretonF02</t>
  </si>
  <si>
    <t>000442A0</t>
  </si>
  <si>
    <t>EncForsworn06Melee1HBretonF03</t>
  </si>
  <si>
    <t>000442A1</t>
  </si>
  <si>
    <t>EncForsworn06Melee1HBretonM01</t>
  </si>
  <si>
    <t>000442A2</t>
  </si>
  <si>
    <t>EncForsworn06Melee1HBretonM02</t>
  </si>
  <si>
    <t>000442A3</t>
  </si>
  <si>
    <t>EncForsworn06Melee1HBretonM03</t>
  </si>
  <si>
    <t>000AD7C2</t>
  </si>
  <si>
    <t>EncForsworn06Melee1HBretonM04</t>
  </si>
  <si>
    <t>000442A4</t>
  </si>
  <si>
    <t>EncForsworn06MissileBretonF01</t>
  </si>
  <si>
    <t>000442A5</t>
  </si>
  <si>
    <t>EncForsworn06MissileBretonF02</t>
  </si>
  <si>
    <t>000442A6</t>
  </si>
  <si>
    <t>EncForsworn06MissileBretonF03</t>
  </si>
  <si>
    <t>000442A7</t>
  </si>
  <si>
    <t>EncForsworn06MissileBretonM01</t>
  </si>
  <si>
    <t>000442A8</t>
  </si>
  <si>
    <t>EncForsworn06MissileBretonM02</t>
  </si>
  <si>
    <t>000442A9</t>
  </si>
  <si>
    <t>EncForsworn06MissileBretonM03</t>
  </si>
  <si>
    <t>000AD7C3</t>
  </si>
  <si>
    <t>EncForsworn06MissileBretonM04</t>
  </si>
  <si>
    <t>000BFB45</t>
  </si>
  <si>
    <t>EncHunterImperialF</t>
  </si>
  <si>
    <t>00073FBD</t>
  </si>
  <si>
    <t>EncHunterImperialM</t>
  </si>
  <si>
    <t>000BFB48</t>
  </si>
  <si>
    <t>EncHunterNordF</t>
  </si>
  <si>
    <t>00073FBF</t>
  </si>
  <si>
    <t>EncHunterNordM</t>
  </si>
  <si>
    <t>000BFB47</t>
  </si>
  <si>
    <t>EncHunterRedguardF</t>
  </si>
  <si>
    <t>00073FC0</t>
  </si>
  <si>
    <t>EncHunterRedguardM</t>
  </si>
  <si>
    <t>000BFB46</t>
  </si>
  <si>
    <t>EncHunterWoodElfF</t>
  </si>
  <si>
    <t>00073FC1</t>
  </si>
  <si>
    <t>EncHunterWoodElfM</t>
  </si>
  <si>
    <t>000E0CDF</t>
  </si>
  <si>
    <t>EncNightingaleMeleeFemale01</t>
  </si>
  <si>
    <t>000E0CDE</t>
  </si>
  <si>
    <t>EncNightingaleMeleeMale01</t>
  </si>
  <si>
    <t>000E0CE0</t>
  </si>
  <si>
    <t>EncNightingaleMissileFemale01</t>
  </si>
  <si>
    <t>000E0CE1</t>
  </si>
  <si>
    <t>EncNightingaleMissileMale01</t>
  </si>
  <si>
    <t>000D9448</t>
  </si>
  <si>
    <t>EncOrcHunter01M</t>
  </si>
  <si>
    <t>000D9449</t>
  </si>
  <si>
    <t>EncOrcHunter02M</t>
  </si>
  <si>
    <t>000D944A</t>
  </si>
  <si>
    <t>EncOrcHunter03M</t>
  </si>
  <si>
    <t>000D944B</t>
  </si>
  <si>
    <t>EncOrcHunter04M</t>
  </si>
  <si>
    <t>000D944D</t>
  </si>
  <si>
    <t>EncOrcHunter06M</t>
  </si>
  <si>
    <t>0007D990</t>
  </si>
  <si>
    <t>EncPenitus01Fire</t>
  </si>
  <si>
    <t>0007D998</t>
  </si>
  <si>
    <t>EncPenitus01Shock</t>
  </si>
  <si>
    <t>0007D991</t>
  </si>
  <si>
    <t>EncPenitus02Fire</t>
  </si>
  <si>
    <t>0007D999</t>
  </si>
  <si>
    <t>EncPenitus02Shock</t>
  </si>
  <si>
    <t>0007D992</t>
  </si>
  <si>
    <t>EncPenitus03Fire</t>
  </si>
  <si>
    <t>0007D99A</t>
  </si>
  <si>
    <t>EncPenitus03Shock</t>
  </si>
  <si>
    <t>0007D993</t>
  </si>
  <si>
    <t>EncPenitus04Fire</t>
  </si>
  <si>
    <t>0007D99B</t>
  </si>
  <si>
    <t>EncPenitus04Shock</t>
  </si>
  <si>
    <t>0007D994</t>
  </si>
  <si>
    <t>EncPenitus05Fire</t>
  </si>
  <si>
    <t>0007D99D</t>
  </si>
  <si>
    <t>EncPenitus05Shock</t>
  </si>
  <si>
    <t>0007D995</t>
  </si>
  <si>
    <t>EncPenitus06Fire</t>
  </si>
  <si>
    <t>0007D99E</t>
  </si>
  <si>
    <t>EncPenitus06Shock</t>
  </si>
  <si>
    <t>000C6012</t>
  </si>
  <si>
    <t>EncSailorImperialM</t>
  </si>
  <si>
    <t>00088E0F</t>
  </si>
  <si>
    <t>EncSailorNordM</t>
  </si>
  <si>
    <t>000C6016</t>
  </si>
  <si>
    <t>EncSailorRedguardM</t>
  </si>
  <si>
    <t>00017145</t>
  </si>
  <si>
    <t>EncSoldierImperialBretonM01MaleSoldier</t>
  </si>
  <si>
    <t>00017146</t>
  </si>
  <si>
    <t>EncSoldierImperialBretonM02MaleYoungEager</t>
  </si>
  <si>
    <t>00017140</t>
  </si>
  <si>
    <t>EncSoldierImperialImperialM01MaleSoldier</t>
  </si>
  <si>
    <t>00017142</t>
  </si>
  <si>
    <t>EncSoldierImperialImperialM02MaleYoungEager</t>
  </si>
  <si>
    <t>0001713E</t>
  </si>
  <si>
    <t>EncSoldierImperialNordM01MaleSoldier</t>
  </si>
  <si>
    <t>0001713F</t>
  </si>
  <si>
    <t>EncSoldierImperialNordM02MaleSoldier</t>
  </si>
  <si>
    <t>00017141</t>
  </si>
  <si>
    <t>EncSoldierImperialNordM03MaleYoungEager</t>
  </si>
  <si>
    <t>00017143</t>
  </si>
  <si>
    <t>EncSoldierImperialRedguardM01MaleSoldier</t>
  </si>
  <si>
    <t>00017144</t>
  </si>
  <si>
    <t>EncSoldierImperialRedguardM02MaleYoungEager</t>
  </si>
  <si>
    <t>00017167</t>
  </si>
  <si>
    <t>EncSoldierSonsNordF01FemaleNord</t>
  </si>
  <si>
    <t>00017168</t>
  </si>
  <si>
    <t>EncSoldierSonsNordF02FemaleNord</t>
  </si>
  <si>
    <t>00017169</t>
  </si>
  <si>
    <t>EncSoldierSonsNordF03FemaleNord</t>
  </si>
  <si>
    <t>0001716A</t>
  </si>
  <si>
    <t>EncSoldierSonsNordM01MaleNord</t>
  </si>
  <si>
    <t>0001716B</t>
  </si>
  <si>
    <t>EncSoldierSonsNordM02MaleNord</t>
  </si>
  <si>
    <t>0001716C</t>
  </si>
  <si>
    <t>EncSoldierSonsNordM03MaleNord</t>
  </si>
  <si>
    <t>000770AF</t>
  </si>
  <si>
    <t>EncSoldierSonsNordM04MaleNord</t>
  </si>
  <si>
    <t>000770B0</t>
  </si>
  <si>
    <t>EncSoldierSonsNordM05MaleNord</t>
  </si>
  <si>
    <t>000770B1</t>
  </si>
  <si>
    <t>EncSoldierSonsNordM06MaleNord</t>
  </si>
  <si>
    <t>000C5677</t>
  </si>
  <si>
    <t>EncTGSummerset01Melee1HHighElfM</t>
  </si>
  <si>
    <t>00072885</t>
  </si>
  <si>
    <t>EncThalmor01MagicF</t>
  </si>
  <si>
    <t>0002B125</t>
  </si>
  <si>
    <t>EncThalmor01MagicM</t>
  </si>
  <si>
    <t>00072883</t>
  </si>
  <si>
    <t>EncThalmor01Melee1HF</t>
  </si>
  <si>
    <t>000F960B</t>
  </si>
  <si>
    <t>EncThalmor01Melee1HFDual</t>
  </si>
  <si>
    <t>0002B126</t>
  </si>
  <si>
    <t>EncThalmor01Melee1HM</t>
  </si>
  <si>
    <t>000F960A</t>
  </si>
  <si>
    <t>EncThalmor01Melee1HMDual</t>
  </si>
  <si>
    <t>00072884</t>
  </si>
  <si>
    <t>EncThalmor01MissileF</t>
  </si>
  <si>
    <t>0002B127</t>
  </si>
  <si>
    <t>EncThalmor01MissileM</t>
  </si>
  <si>
    <t>0007D987</t>
  </si>
  <si>
    <t>EncThalmor02MagicBossM</t>
  </si>
  <si>
    <t>00072886</t>
  </si>
  <si>
    <t>EncThalmor02MagicF</t>
  </si>
  <si>
    <t>000728AE</t>
  </si>
  <si>
    <t>EncThalmor02MagicM</t>
  </si>
  <si>
    <t>0007297A</t>
  </si>
  <si>
    <t>EncThalmor02Melee1HF</t>
  </si>
  <si>
    <t>000F960E</t>
  </si>
  <si>
    <t>EncThalmor02Melee1HFDual</t>
  </si>
  <si>
    <t>000F95F2</t>
  </si>
  <si>
    <t>EncThalmor02Melee1HFShield</t>
  </si>
  <si>
    <t>00072AA6</t>
  </si>
  <si>
    <t>EncThalmor02Melee1HM</t>
  </si>
  <si>
    <t>000F960D</t>
  </si>
  <si>
    <t>EncThalmor02Melee1HMDual</t>
  </si>
  <si>
    <t>000F95F1</t>
  </si>
  <si>
    <t>EncThalmor02Melee1HMShield</t>
  </si>
  <si>
    <t>00072AA8</t>
  </si>
  <si>
    <t>EncThalmor02MissileF</t>
  </si>
  <si>
    <t>00072AF6</t>
  </si>
  <si>
    <t>EncThalmor02MissileM</t>
  </si>
  <si>
    <t>0007D988</t>
  </si>
  <si>
    <t>EncThalmor03MagicBossM</t>
  </si>
  <si>
    <t>0007D95F</t>
  </si>
  <si>
    <t>EncThalmor03MagicF</t>
  </si>
  <si>
    <t>0007D960</t>
  </si>
  <si>
    <t>EncThalmor03MagicM</t>
  </si>
  <si>
    <t>0007D961</t>
  </si>
  <si>
    <t>EncThalmor03Melee1HF</t>
  </si>
  <si>
    <t>000F9610</t>
  </si>
  <si>
    <t>EncThalmor03Melee1HFDual</t>
  </si>
  <si>
    <t>000F95F4</t>
  </si>
  <si>
    <t>EncThalmor03Melee1HFShield</t>
  </si>
  <si>
    <t>0007D962</t>
  </si>
  <si>
    <t>EncThalmor03Melee1HM</t>
  </si>
  <si>
    <t>000F960F</t>
  </si>
  <si>
    <t>EncThalmor03Melee1HMDual</t>
  </si>
  <si>
    <t>000F95F3</t>
  </si>
  <si>
    <t>EncThalmor03Melee1HMShield</t>
  </si>
  <si>
    <t>0007D963</t>
  </si>
  <si>
    <t>EncThalmor03MissileF</t>
  </si>
  <si>
    <t>0007D964</t>
  </si>
  <si>
    <t>EncThalmor03MissileM</t>
  </si>
  <si>
    <t>0007D989</t>
  </si>
  <si>
    <t>EncThalmor04MagicBossM</t>
  </si>
  <si>
    <t>0007D965</t>
  </si>
  <si>
    <t>EncThalmor04MagicF</t>
  </si>
  <si>
    <t>0007D966</t>
  </si>
  <si>
    <t>EncThalmor04MagicM</t>
  </si>
  <si>
    <t>0007D967</t>
  </si>
  <si>
    <t>EncThalmor04Melee1HF</t>
  </si>
  <si>
    <t>000F9612</t>
  </si>
  <si>
    <t>EncThalmor04Melee1HFDual</t>
  </si>
  <si>
    <t>000F95F6</t>
  </si>
  <si>
    <t>EncThalmor04Melee1HFShield</t>
  </si>
  <si>
    <t>0007D96E</t>
  </si>
  <si>
    <t>EncThalmor04Melee1HM</t>
  </si>
  <si>
    <t>000F9611</t>
  </si>
  <si>
    <t>EncThalmor04Melee1HMDual</t>
  </si>
  <si>
    <t>000F95F5</t>
  </si>
  <si>
    <t>EncThalmor04Melee1HMShield</t>
  </si>
  <si>
    <t>0007D968</t>
  </si>
  <si>
    <t>EncThalmor04MissileF</t>
  </si>
  <si>
    <t>0007D969</t>
  </si>
  <si>
    <t>EncThalmor04MissileM</t>
  </si>
  <si>
    <t>0007D98A</t>
  </si>
  <si>
    <t>EncThalmor05MagicBossM</t>
  </si>
  <si>
    <t>0007D96A</t>
  </si>
  <si>
    <t>EncThalmor05MagicF</t>
  </si>
  <si>
    <t>0007D96B</t>
  </si>
  <si>
    <t>EncThalmor05MagicM</t>
  </si>
  <si>
    <t>0007D96C</t>
  </si>
  <si>
    <t>EncThalmor05Melee1HF</t>
  </si>
  <si>
    <t>000F9614</t>
  </si>
  <si>
    <t>EncThalmor05Melee1HFDual</t>
  </si>
  <si>
    <t>000F95F8</t>
  </si>
  <si>
    <t>EncThalmor05Melee1HFShield</t>
  </si>
  <si>
    <t>0007D96F</t>
  </si>
  <si>
    <t>EncThalmor05Melee1HM</t>
  </si>
  <si>
    <t>000F9613</t>
  </si>
  <si>
    <t>EncThalmor05Melee1HMDual</t>
  </si>
  <si>
    <t>000F95F7</t>
  </si>
  <si>
    <t>EncThalmor05Melee1HMShield</t>
  </si>
  <si>
    <t>0007D96D</t>
  </si>
  <si>
    <t>EncThalmor05MissileF</t>
  </si>
  <si>
    <t>0007D970</t>
  </si>
  <si>
    <t>EncThalmor05MissileM</t>
  </si>
  <si>
    <t>0007D98B</t>
  </si>
  <si>
    <t>EncThalmor06MagicBossM</t>
  </si>
  <si>
    <t>0007D971</t>
  </si>
  <si>
    <t>EncThalmor06MagicF</t>
  </si>
  <si>
    <t>0007D972</t>
  </si>
  <si>
    <t>EncThalmor06MagicM</t>
  </si>
  <si>
    <t>00107A9B</t>
  </si>
  <si>
    <t>EncVampire00BretonF</t>
  </si>
  <si>
    <t>00107A9C</t>
  </si>
  <si>
    <t>EncVampire00DarkElfF</t>
  </si>
  <si>
    <t>00107A9D</t>
  </si>
  <si>
    <t>EncVampire00HighElfF</t>
  </si>
  <si>
    <t>00107A9E</t>
  </si>
  <si>
    <t>EncVampire00ImperialF</t>
  </si>
  <si>
    <t>00107A9F</t>
  </si>
  <si>
    <t>EncVampire00NordF</t>
  </si>
  <si>
    <t>0003300E</t>
  </si>
  <si>
    <t>EncVampire01BretonF</t>
  </si>
  <si>
    <t>0003315A</t>
  </si>
  <si>
    <t>EncVampire01DarkElfF</t>
  </si>
  <si>
    <t>000332C1</t>
  </si>
  <si>
    <t>EncVampire01HighElfF</t>
  </si>
  <si>
    <t>000332C4</t>
  </si>
  <si>
    <t>EncVampire01ImperialF</t>
  </si>
  <si>
    <t>00033424</t>
  </si>
  <si>
    <t>EncVampire01NordF</t>
  </si>
  <si>
    <t>0002E1DC</t>
  </si>
  <si>
    <t>EncVampire02BossBretonM</t>
  </si>
  <si>
    <t>0002E1DD</t>
  </si>
  <si>
    <t>EncVampire02BossDarkElfM</t>
  </si>
  <si>
    <t>0002E1E1</t>
  </si>
  <si>
    <t>EncVampire02BossHighElfM</t>
  </si>
  <si>
    <t>0003377B</t>
  </si>
  <si>
    <t>EncVampire02BossImperialM</t>
  </si>
  <si>
    <t>0002E1E2</t>
  </si>
  <si>
    <t>EncVampire02BossNordM</t>
  </si>
  <si>
    <t>00033853</t>
  </si>
  <si>
    <t>EncVampire02BretonF</t>
  </si>
  <si>
    <t>00033854</t>
  </si>
  <si>
    <t>EncVampire02DarkElfF</t>
  </si>
  <si>
    <t>00033855</t>
  </si>
  <si>
    <t>EncVampire02HighElfF</t>
  </si>
  <si>
    <t>0003386E</t>
  </si>
  <si>
    <t>EncVampire02ImperialF</t>
  </si>
  <si>
    <t>0003386F</t>
  </si>
  <si>
    <t>EncVampire02NordF</t>
  </si>
  <si>
    <t>0002E1F1</t>
  </si>
  <si>
    <t>EncVampire03BossBretonM</t>
  </si>
  <si>
    <t>0002E1F8</t>
  </si>
  <si>
    <t>EncVampire03BossDarkElfM</t>
  </si>
  <si>
    <t>0002E1F9</t>
  </si>
  <si>
    <t>EncVampire03BossHighElfM</t>
  </si>
  <si>
    <t>0003377C</t>
  </si>
  <si>
    <t>EncVampire03BossImperialM</t>
  </si>
  <si>
    <t>0002E1FC</t>
  </si>
  <si>
    <t>EncVampire03BossNordM</t>
  </si>
  <si>
    <t>00033870</t>
  </si>
  <si>
    <t>EncVampire03BretonF</t>
  </si>
  <si>
    <t>00033875</t>
  </si>
  <si>
    <t>EncVampire03DarkElfF</t>
  </si>
  <si>
    <t>0003387B</t>
  </si>
  <si>
    <t>EncVampire03HighElfF</t>
  </si>
  <si>
    <t>0003387C</t>
  </si>
  <si>
    <t>EncVampire03ImperialF</t>
  </si>
  <si>
    <t>0003387D</t>
  </si>
  <si>
    <t>EncVampire03NordF</t>
  </si>
  <si>
    <t>0002E509</t>
  </si>
  <si>
    <t>EncVampire04BossBretonM</t>
  </si>
  <si>
    <t>0002E50A</t>
  </si>
  <si>
    <t>EncVampire04BossDarkElfM</t>
  </si>
  <si>
    <t>0002E511</t>
  </si>
  <si>
    <t>EncVampire04BossHighElfM</t>
  </si>
  <si>
    <t>00033828</t>
  </si>
  <si>
    <t>EncVampire04BossImperialM</t>
  </si>
  <si>
    <t>0002E519</t>
  </si>
  <si>
    <t>EncVampire04BossNordM</t>
  </si>
  <si>
    <t>0003387E</t>
  </si>
  <si>
    <t>EncVampire04BretonF</t>
  </si>
  <si>
    <t>0003387F</t>
  </si>
  <si>
    <t>EncVampire04DarkElfF</t>
  </si>
  <si>
    <t>00033880</t>
  </si>
  <si>
    <t>EncVampire04HighElfF</t>
  </si>
  <si>
    <t>00033881</t>
  </si>
  <si>
    <t>EncVampire04ImperialF</t>
  </si>
  <si>
    <t>00033882</t>
  </si>
  <si>
    <t>EncVampire04NordF</t>
  </si>
  <si>
    <t>0002EA9B</t>
  </si>
  <si>
    <t>EncVampire05BossBretonM</t>
  </si>
  <si>
    <t>0002EA9D</t>
  </si>
  <si>
    <t>EncVampire05BossDarkElfM</t>
  </si>
  <si>
    <t>0002EA9C</t>
  </si>
  <si>
    <t>EncVampire05BossHighElfM</t>
  </si>
  <si>
    <t>0003383E</t>
  </si>
  <si>
    <t>EncVampire05BossImperialM</t>
  </si>
  <si>
    <t>0002EA9E</t>
  </si>
  <si>
    <t>EncVampire05BossNordM</t>
  </si>
  <si>
    <t>00033883</t>
  </si>
  <si>
    <t>EncVampire05BretonF</t>
  </si>
  <si>
    <t>00033884</t>
  </si>
  <si>
    <t>EncVampire05DarkElfF</t>
  </si>
  <si>
    <t>00033885</t>
  </si>
  <si>
    <t>EncVampire05HighElfF</t>
  </si>
  <si>
    <t>00033886</t>
  </si>
  <si>
    <t>EncVampire05ImperialF</t>
  </si>
  <si>
    <t>00033887</t>
  </si>
  <si>
    <t>EncVampire05NordF</t>
  </si>
  <si>
    <t>0002EABE</t>
  </si>
  <si>
    <t>EncVampire06BossBretonM</t>
  </si>
  <si>
    <t>0002EABF</t>
  </si>
  <si>
    <t>EncVampire06BossDarkElfM</t>
  </si>
  <si>
    <t>0002EAC0</t>
  </si>
  <si>
    <t>EncVampire06BossHighElfM</t>
  </si>
  <si>
    <t>0003383F</t>
  </si>
  <si>
    <t>EncVampire06BossImperialM</t>
  </si>
  <si>
    <t>0002EAC1</t>
  </si>
  <si>
    <t>EncVampire06BossNordM</t>
  </si>
  <si>
    <t>00033888</t>
  </si>
  <si>
    <t>EncVampire06BretonF</t>
  </si>
  <si>
    <t>00033929</t>
  </si>
  <si>
    <t>EncVampire06DarkElfF</t>
  </si>
  <si>
    <t>0003392D</t>
  </si>
  <si>
    <t>EncVampire06HighElfF</t>
  </si>
  <si>
    <t>0003392E</t>
  </si>
  <si>
    <t>EncVampire06ImperialF</t>
  </si>
  <si>
    <t>0003392F</t>
  </si>
  <si>
    <t>EncVampire06NordF</t>
  </si>
  <si>
    <t>0010C44E</t>
  </si>
  <si>
    <t>EncVigilantOfStendarr01DarkElfF</t>
  </si>
  <si>
    <t>0010C453</t>
  </si>
  <si>
    <t>EncVigilantOfStendarr01NordF</t>
  </si>
  <si>
    <t>0010C454</t>
  </si>
  <si>
    <t>EncVigilantOfStendarr01NordM01</t>
  </si>
  <si>
    <t>0010C456</t>
  </si>
  <si>
    <t>EncVigilantOfStendarr01NordM02</t>
  </si>
  <si>
    <t>0010C457</t>
  </si>
  <si>
    <t>EncVigilantOfStendarr01NordM03</t>
  </si>
  <si>
    <t>0010C458</t>
  </si>
  <si>
    <t>EncVigilantOfStendarr01NordM04</t>
  </si>
  <si>
    <t>0010C455</t>
  </si>
  <si>
    <t>EncVigilantOfStendarr01RedguardF</t>
  </si>
  <si>
    <t>0010C46F</t>
  </si>
  <si>
    <t>EncVigilantOfStendarr02DarkElfF</t>
  </si>
  <si>
    <t>0010C470</t>
  </si>
  <si>
    <t>EncVigilantOfStendarr02NordF</t>
  </si>
  <si>
    <t>0010C471</t>
  </si>
  <si>
    <t>EncVigilantOfStendarr02NordM01</t>
  </si>
  <si>
    <t>0010C472</t>
  </si>
  <si>
    <t>EncVigilantOfStendarr02NordM02</t>
  </si>
  <si>
    <t>0010C474</t>
  </si>
  <si>
    <t>EncVigilantOfStendarr02NordM03</t>
  </si>
  <si>
    <t>0010C475</t>
  </si>
  <si>
    <t>EncVigilantOfStendarr02NordM04</t>
  </si>
  <si>
    <t>0010C476</t>
  </si>
  <si>
    <t>EncVigilantOfStendarr02RedguardF</t>
  </si>
  <si>
    <t>0010C477</t>
  </si>
  <si>
    <t>EncVigilantOfStendarr03DarkElfF</t>
  </si>
  <si>
    <t>0010C478</t>
  </si>
  <si>
    <t>EncVigilantOfStendarr03NordF</t>
  </si>
  <si>
    <t>0010C479</t>
  </si>
  <si>
    <t>EncVigilantOfStendarr03NordM01</t>
  </si>
  <si>
    <t>0010C47A</t>
  </si>
  <si>
    <t>EncVigilantOfStendarr03NordM02</t>
  </si>
  <si>
    <t>0010C473</t>
  </si>
  <si>
    <t>EncVigilantOfStendarr03NordM03</t>
  </si>
  <si>
    <t>0010C47B</t>
  </si>
  <si>
    <t>EncVigilantOfStendarr03NordM04</t>
  </si>
  <si>
    <t>0010C47C</t>
  </si>
  <si>
    <t>EncVigilantOfStendarr03RedguardF</t>
  </si>
  <si>
    <t>0010C47D</t>
  </si>
  <si>
    <t>EncVigilantOfStendarr04DarkElfF</t>
  </si>
  <si>
    <t>0010C47E</t>
  </si>
  <si>
    <t>EncVigilantOfStendarr04NordF</t>
  </si>
  <si>
    <t>0010C47F</t>
  </si>
  <si>
    <t>EncVigilantOfStendarr04NordM01</t>
  </si>
  <si>
    <t>0010C480</t>
  </si>
  <si>
    <t>EncVigilantOfStendarr04NordM02</t>
  </si>
  <si>
    <t>0010C481</t>
  </si>
  <si>
    <t>EncVigilantOfStendarr04NordM03</t>
  </si>
  <si>
    <t>0010C482</t>
  </si>
  <si>
    <t>EncVigilantOfStendarr04NordM04</t>
  </si>
  <si>
    <t>0010C483</t>
  </si>
  <si>
    <t>EncVigilantOfStendarr04RedguardF</t>
  </si>
  <si>
    <t>0010C48A</t>
  </si>
  <si>
    <t>EncVigilantOfStendarr05DarkElfF</t>
  </si>
  <si>
    <t>0010C484</t>
  </si>
  <si>
    <t>EncVigilantOfStendarr05NordF</t>
  </si>
  <si>
    <t>0010C485</t>
  </si>
  <si>
    <t>EncVigilantOfStendarr05NordM01</t>
  </si>
  <si>
    <t>0010C486</t>
  </si>
  <si>
    <t>EncVigilantOfStendarr05NordM02</t>
  </si>
  <si>
    <t>0010C487</t>
  </si>
  <si>
    <t>EncVigilantOfStendarr05NordM03</t>
  </si>
  <si>
    <t>0010C488</t>
  </si>
  <si>
    <t>EncVigilantOfStendarr05NordM04</t>
  </si>
  <si>
    <t>0010C489</t>
  </si>
  <si>
    <t>EncVigilantOfStendarr05RedguardF</t>
  </si>
  <si>
    <t>0006D234</t>
  </si>
  <si>
    <t>EncWarlockAtro01BretonF</t>
  </si>
  <si>
    <t>0006D235</t>
  </si>
  <si>
    <t>EncWarlockAtro01BretonM</t>
  </si>
  <si>
    <t>0006D236</t>
  </si>
  <si>
    <t>EncWarlockAtro01DarkElfF</t>
  </si>
  <si>
    <t>0006D237</t>
  </si>
  <si>
    <t>EncWarlockAtro01DarkElfM</t>
  </si>
  <si>
    <t>00081ED3</t>
  </si>
  <si>
    <t>EncWarlockAtro01HighElfF</t>
  </si>
  <si>
    <t>0006D239</t>
  </si>
  <si>
    <t>EncWarlockAtro01HighElfM</t>
  </si>
  <si>
    <t>0006D238</t>
  </si>
  <si>
    <t>EncWarlockAtro01ImperialF</t>
  </si>
  <si>
    <t>0006D23A</t>
  </si>
  <si>
    <t>EncWarlockAtro01ImperialM</t>
  </si>
  <si>
    <t>000E0FE4</t>
  </si>
  <si>
    <t>EncWarlockAtro02BossBretonF</t>
  </si>
  <si>
    <t>000E0FE5</t>
  </si>
  <si>
    <t>EncWarlockAtro02BossBretonM</t>
  </si>
  <si>
    <t>000E0FE6</t>
  </si>
  <si>
    <t>EncWarlockAtro02BossHighElfF</t>
  </si>
  <si>
    <t>000E0FE7</t>
  </si>
  <si>
    <t>EncWarlockAtro02BossHighElfM</t>
  </si>
  <si>
    <t>0006D23B</t>
  </si>
  <si>
    <t>EncWarlockAtro02BretonF</t>
  </si>
  <si>
    <t>0006D23C</t>
  </si>
  <si>
    <t>EncWarlockAtro02BretonM</t>
  </si>
  <si>
    <t>0006D23D</t>
  </si>
  <si>
    <t>EncWarlockAtro02DarkElfF</t>
  </si>
  <si>
    <t>0006D23E</t>
  </si>
  <si>
    <t>EncWarlockAtro02DarkElfM</t>
  </si>
  <si>
    <t>0006D23F</t>
  </si>
  <si>
    <t>EncWarlockAtro02HighElfF</t>
  </si>
  <si>
    <t>0006D240</t>
  </si>
  <si>
    <t>EncWarlockAtro02HighElfM</t>
  </si>
  <si>
    <t>0006D241</t>
  </si>
  <si>
    <t>EncWarlockAtro02ImperialF</t>
  </si>
  <si>
    <t>0006D242</t>
  </si>
  <si>
    <t>EncWarlockAtro02ImperialM</t>
  </si>
  <si>
    <t>000E0FE8</t>
  </si>
  <si>
    <t>EncWarlockAtro03BossBretonF</t>
  </si>
  <si>
    <t>000E0FE9</t>
  </si>
  <si>
    <t>EncWarlockAtro03BossBretonM</t>
  </si>
  <si>
    <t>000E0FEA</t>
  </si>
  <si>
    <t>EncWarlockAtro03BossHighElfF</t>
  </si>
  <si>
    <t>000E0FEB</t>
  </si>
  <si>
    <t>EncWarlockAtro03BossHighElfM</t>
  </si>
  <si>
    <t>0006D243</t>
  </si>
  <si>
    <t>EncWarlockAtro03BretonF</t>
  </si>
  <si>
    <t>0006D244</t>
  </si>
  <si>
    <t>EncWarlockAtro03BretonM</t>
  </si>
  <si>
    <t>0006D245</t>
  </si>
  <si>
    <t>EncWarlockAtro03DarkElfF</t>
  </si>
  <si>
    <t>0006D246</t>
  </si>
  <si>
    <t>EncWarlockAtro03DarkElfM</t>
  </si>
  <si>
    <t>0006D247</t>
  </si>
  <si>
    <t>EncWarlockAtro03HighElfF</t>
  </si>
  <si>
    <t>0006D248</t>
  </si>
  <si>
    <t>EncWarlockAtro03HighElfM</t>
  </si>
  <si>
    <t>0006D249</t>
  </si>
  <si>
    <t>EncWarlockAtro03ImperialF</t>
  </si>
  <si>
    <t>0006D24A</t>
  </si>
  <si>
    <t>EncWarlockAtro03ImperialM</t>
  </si>
  <si>
    <t>000E0FEC</t>
  </si>
  <si>
    <t>EncWarlockAtro04BossBretonF</t>
  </si>
  <si>
    <t>000E0FED</t>
  </si>
  <si>
    <t>EncWarlockAtro04BossBretonM</t>
  </si>
  <si>
    <t>000E0FEE</t>
  </si>
  <si>
    <t>EncWarlockAtro04BossHighElfF</t>
  </si>
  <si>
    <t>000E0FEF</t>
  </si>
  <si>
    <t>EncWarlockAtro04BossHighElfM</t>
  </si>
  <si>
    <t>0006D24B</t>
  </si>
  <si>
    <t>EncWarlockAtro04BretonF</t>
  </si>
  <si>
    <t>0006D24C</t>
  </si>
  <si>
    <t>EncWarlockAtro04BretonM</t>
  </si>
  <si>
    <t>0006D24D</t>
  </si>
  <si>
    <t>EncWarlockAtro04DarkElfF</t>
  </si>
  <si>
    <t>0006D24E</t>
  </si>
  <si>
    <t>EncWarlockAtro04DarkElfM</t>
  </si>
  <si>
    <t>0006D24F</t>
  </si>
  <si>
    <t>EncWarlockAtro04HighElfF</t>
  </si>
  <si>
    <t>0006D250</t>
  </si>
  <si>
    <t>EncWarlockAtro04HighElfM</t>
  </si>
  <si>
    <t>0006D252</t>
  </si>
  <si>
    <t>EncWarlockAtro04ImperialF</t>
  </si>
  <si>
    <t>0006D251</t>
  </si>
  <si>
    <t>EncWarlockAtro04ImperialM</t>
  </si>
  <si>
    <t>000E0FF0</t>
  </si>
  <si>
    <t>EncWarlockAtro05BossBretonF</t>
  </si>
  <si>
    <t>000E0FF1</t>
  </si>
  <si>
    <t>EncWarlockAtro05BossBretonM</t>
  </si>
  <si>
    <t>000E0FF2</t>
  </si>
  <si>
    <t>EncWarlockAtro05BossHighElfF</t>
  </si>
  <si>
    <t>000E0FF3</t>
  </si>
  <si>
    <t>EncWarlockAtro05BossHighElfM</t>
  </si>
  <si>
    <t>0006D253</t>
  </si>
  <si>
    <t>EncWarlockAtro05BretonF</t>
  </si>
  <si>
    <t>0006D254</t>
  </si>
  <si>
    <t>EncWarlockAtro05BretonM</t>
  </si>
  <si>
    <t>0006D255</t>
  </si>
  <si>
    <t>EncWarlockAtro05DarkElfF</t>
  </si>
  <si>
    <t>0006D256</t>
  </si>
  <si>
    <t>EncWarlockAtro05DarkElfM</t>
  </si>
  <si>
    <t>0006D257</t>
  </si>
  <si>
    <t>EncWarlockAtro05HighElfF</t>
  </si>
  <si>
    <t>0006D258</t>
  </si>
  <si>
    <t>EncWarlockAtro05HighElfM</t>
  </si>
  <si>
    <t>0006D259</t>
  </si>
  <si>
    <t>EncWarlockAtro05ImperialF</t>
  </si>
  <si>
    <t>0006D25A</t>
  </si>
  <si>
    <t>EncWarlockAtro05ImperialM</t>
  </si>
  <si>
    <t>000E0FF4</t>
  </si>
  <si>
    <t>EncWarlockAtro06BossBretonF</t>
  </si>
  <si>
    <t>000E0FF5</t>
  </si>
  <si>
    <t>EncWarlockAtro06BossBretonM</t>
  </si>
  <si>
    <t>000E0FF6</t>
  </si>
  <si>
    <t>EncWarlockAtro06BossHighElfF</t>
  </si>
  <si>
    <t>000E0FF7</t>
  </si>
  <si>
    <t>EncWarlockAtro06BossHighElfM</t>
  </si>
  <si>
    <t>0006D25B</t>
  </si>
  <si>
    <t>EncWarlockAtro06BretonF</t>
  </si>
  <si>
    <t>0006D25C</t>
  </si>
  <si>
    <t>EncWarlockAtro06BretonM</t>
  </si>
  <si>
    <t>0006D25D</t>
  </si>
  <si>
    <t>EncWarlockAtro06DarkElfF</t>
  </si>
  <si>
    <t>0006D25E</t>
  </si>
  <si>
    <t>EncWarlockAtro06DarkElfM</t>
  </si>
  <si>
    <t>0006D25F</t>
  </si>
  <si>
    <t>EncWarlockAtro06HighElfF</t>
  </si>
  <si>
    <t>0006D260</t>
  </si>
  <si>
    <t>EncWarlockAtro06HighElfM</t>
  </si>
  <si>
    <t>0006D261</t>
  </si>
  <si>
    <t>EncWarlockAtro06ImperialF</t>
  </si>
  <si>
    <t>0006D262</t>
  </si>
  <si>
    <t>EncWarlockAtro06ImperialM</t>
  </si>
  <si>
    <t>001091B7</t>
  </si>
  <si>
    <t>EncWarlockAtro07BossBretonF</t>
  </si>
  <si>
    <t>001091BD</t>
  </si>
  <si>
    <t>EncWarlockAtro07BossHighElfM</t>
  </si>
  <si>
    <t>001091B8</t>
  </si>
  <si>
    <t>EncWarlockAtro07BretonF</t>
  </si>
  <si>
    <t>001091B2</t>
  </si>
  <si>
    <t>EncWarlockAtro07HighElfM</t>
  </si>
  <si>
    <t>00044CDC</t>
  </si>
  <si>
    <t>EncWarlockFire01BretonF</t>
  </si>
  <si>
    <t>00044CDA</t>
  </si>
  <si>
    <t>EncWarlockFire01BretonM</t>
  </si>
  <si>
    <t>00044CDF</t>
  </si>
  <si>
    <t>EncWarlockFire01DarkElfF</t>
  </si>
  <si>
    <t>00044CE1</t>
  </si>
  <si>
    <t>EncWarlockFire01DarkElfM</t>
  </si>
  <si>
    <t>00044CE3</t>
  </si>
  <si>
    <t>EncWarlockFire01HighElfF</t>
  </si>
  <si>
    <t>00044CE5</t>
  </si>
  <si>
    <t>EncWarlockFire01HighElfM</t>
  </si>
  <si>
    <t>00044CEA</t>
  </si>
  <si>
    <t>EncWarlockFire01ImperialF</t>
  </si>
  <si>
    <t>00044CEB</t>
  </si>
  <si>
    <t>EncWarlockFire01ImperialM</t>
  </si>
  <si>
    <t>000E0FFF</t>
  </si>
  <si>
    <t>EncWarlockFire02BossDarkElfF</t>
  </si>
  <si>
    <t>000E1000</t>
  </si>
  <si>
    <t>EncWarlockFire02BossDarkElfM</t>
  </si>
  <si>
    <t>000E1001</t>
  </si>
  <si>
    <t>EncWarlockFire02BossHighElfF</t>
  </si>
  <si>
    <t>000E1002</t>
  </si>
  <si>
    <t>EncWarlockFire02BossHighElfM</t>
  </si>
  <si>
    <t>00045C62</t>
  </si>
  <si>
    <t>EncWarlockFire02BretonF</t>
  </si>
  <si>
    <t>00045C63</t>
  </si>
  <si>
    <t>EncWarlockFire02BretonM</t>
  </si>
  <si>
    <t>00045C64</t>
  </si>
  <si>
    <t>EncWarlockFire02DarkElfF</t>
  </si>
  <si>
    <t>00045C65</t>
  </si>
  <si>
    <t>EncWarlockFire02DarkElfM</t>
  </si>
  <si>
    <t>00045C66</t>
  </si>
  <si>
    <t>EncWarlockFire02HighElfF</t>
  </si>
  <si>
    <t>00045C67</t>
  </si>
  <si>
    <t>EncWarlockFire02HighElfM</t>
  </si>
  <si>
    <t>00045C68</t>
  </si>
  <si>
    <t>EncWarlockFire02ImperialF</t>
  </si>
  <si>
    <t>00045C69</t>
  </si>
  <si>
    <t>EncWarlockFire02ImperialM</t>
  </si>
  <si>
    <t>000E1003</t>
  </si>
  <si>
    <t>EncWarlockFire03BossDarkElfF</t>
  </si>
  <si>
    <t>000E1004</t>
  </si>
  <si>
    <t>EncWarlockFire03BossDarkElfM</t>
  </si>
  <si>
    <t>000E1005</t>
  </si>
  <si>
    <t>EncWarlockFire03BossHighElfF</t>
  </si>
  <si>
    <t>000E1006</t>
  </si>
  <si>
    <t>EncWarlockFire03BossHighElfM</t>
  </si>
  <si>
    <t>00045C7D</t>
  </si>
  <si>
    <t>EncWarlockFire03BretonF</t>
  </si>
  <si>
    <t>00045C7E</t>
  </si>
  <si>
    <t>EncWarlockFire03BretonM</t>
  </si>
  <si>
    <t>00045C7F</t>
  </si>
  <si>
    <t>EncWarlockFire03DarkElfF</t>
  </si>
  <si>
    <t>00045C80</t>
  </si>
  <si>
    <t>EncWarlockFire03DarkElfM</t>
  </si>
  <si>
    <t>00045C81</t>
  </si>
  <si>
    <t>EncWarlockFire03HighElfF</t>
  </si>
  <si>
    <t>00045C82</t>
  </si>
  <si>
    <t>EncWarlockFire03HighElfM</t>
  </si>
  <si>
    <t>00045C83</t>
  </si>
  <si>
    <t>EncWarlockFire03ImperialF</t>
  </si>
  <si>
    <t>00045C84</t>
  </si>
  <si>
    <t>EncWarlockFire03ImperialM</t>
  </si>
  <si>
    <t>000E1007</t>
  </si>
  <si>
    <t>EncWarlockFire04BossDarkElfF</t>
  </si>
  <si>
    <t>000E1008</t>
  </si>
  <si>
    <t>EncWarlockFire04BossDarkElfM</t>
  </si>
  <si>
    <t>000E1009</t>
  </si>
  <si>
    <t>EncWarlockFire04BossHighElfF</t>
  </si>
  <si>
    <t>000E100A</t>
  </si>
  <si>
    <t>EncWarlockFire04BossHighElfM</t>
  </si>
  <si>
    <t>00045CA3</t>
  </si>
  <si>
    <t>EncWarlockFire04BretonF</t>
  </si>
  <si>
    <t>00045CA4</t>
  </si>
  <si>
    <t>EncWarlockFire04BretonM</t>
  </si>
  <si>
    <t>00045CA5</t>
  </si>
  <si>
    <t>EncWarlockFire04DarkElfF</t>
  </si>
  <si>
    <t>00045CA6</t>
  </si>
  <si>
    <t>EncWarlockFire04DarkElfM</t>
  </si>
  <si>
    <t>00045CA7</t>
  </si>
  <si>
    <t>EncWarlockFire04HighElfF</t>
  </si>
  <si>
    <t>00045CA8</t>
  </si>
  <si>
    <t>EncWarlockFire04HighElfM</t>
  </si>
  <si>
    <t>00045CA9</t>
  </si>
  <si>
    <t>EncWarlockFire04ImperialF</t>
  </si>
  <si>
    <t>00045CAA</t>
  </si>
  <si>
    <t>EncWarlockFire04ImperialM</t>
  </si>
  <si>
    <t>000E100B</t>
  </si>
  <si>
    <t>EncWarlockFire05BossDarkElfF</t>
  </si>
  <si>
    <t>000E100C</t>
  </si>
  <si>
    <t>EncWarlockFire05BossDarkElfM</t>
  </si>
  <si>
    <t>000E100D</t>
  </si>
  <si>
    <t>EncWarlockFire05BossHighElfF</t>
  </si>
  <si>
    <t>000E100E</t>
  </si>
  <si>
    <t>EncWarlockFire05BossHighElfM</t>
  </si>
  <si>
    <t>00045CC1</t>
  </si>
  <si>
    <t>EncWarlockFire05BretonF</t>
  </si>
  <si>
    <t>00045CC2</t>
  </si>
  <si>
    <t>EncWarlockFire05BretonM</t>
  </si>
  <si>
    <t>00045CC3</t>
  </si>
  <si>
    <t>EncWarlockFire05DarkElfF</t>
  </si>
  <si>
    <t>00045CCB</t>
  </si>
  <si>
    <t>EncWarlockFire05DarkElfM</t>
  </si>
  <si>
    <t>00045CC4</t>
  </si>
  <si>
    <t>EncWarlockFire05HighElfF</t>
  </si>
  <si>
    <t>00045CC5</t>
  </si>
  <si>
    <t>EncWarlockFire05HighElfM</t>
  </si>
  <si>
    <t>00045CC6</t>
  </si>
  <si>
    <t>EncWarlockFire05ImperialF</t>
  </si>
  <si>
    <t>00045CC7</t>
  </si>
  <si>
    <t>EncWarlockFire05ImperialM</t>
  </si>
  <si>
    <t>000E100F</t>
  </si>
  <si>
    <t>EncWarlockFire06BossDarkElfF</t>
  </si>
  <si>
    <t>000E1010</t>
  </si>
  <si>
    <t>EncWarlockFire06BossDarkElfM</t>
  </si>
  <si>
    <t>000E1011</t>
  </si>
  <si>
    <t>EncWarlockFire06BossHighElfF</t>
  </si>
  <si>
    <t>000E1012</t>
  </si>
  <si>
    <t>EncWarlockFire06BossHighElfM</t>
  </si>
  <si>
    <t>00045CC8</t>
  </si>
  <si>
    <t>EncWarlockFire06BretonF</t>
  </si>
  <si>
    <t>00045CC9</t>
  </si>
  <si>
    <t>EncWarlockFire06BretonM</t>
  </si>
  <si>
    <t>00045CCA</t>
  </si>
  <si>
    <t>EncWarlockFire06DarkElfF</t>
  </si>
  <si>
    <t>00045CCC</t>
  </si>
  <si>
    <t>EncWarlockFire06DarkElfM</t>
  </si>
  <si>
    <t>00045CCD</t>
  </si>
  <si>
    <t>EncWarlockFire06HighElfF</t>
  </si>
  <si>
    <t>00045CCE</t>
  </si>
  <si>
    <t>EncWarlockFire06HighElfM</t>
  </si>
  <si>
    <t>00045CCF</t>
  </si>
  <si>
    <t>EncWarlockFire06ImperialF</t>
  </si>
  <si>
    <t>00045CD0</t>
  </si>
  <si>
    <t>EncWarlockFire06ImperialM</t>
  </si>
  <si>
    <t>001091BF</t>
  </si>
  <si>
    <t>EncWarlockFire07BossDarkElfF</t>
  </si>
  <si>
    <t>001091BE</t>
  </si>
  <si>
    <t>EncWarlockFire07BossHighElfM</t>
  </si>
  <si>
    <t>001091B9</t>
  </si>
  <si>
    <t>EncWarlockFire07BretonF</t>
  </si>
  <si>
    <t>001091B3</t>
  </si>
  <si>
    <t>EncWarlockFire07HighElfM</t>
  </si>
  <si>
    <t>00045C51</t>
  </si>
  <si>
    <t>EncWarlockIce01BretonF</t>
  </si>
  <si>
    <t>00045C52</t>
  </si>
  <si>
    <t>EncWarlockIce01BretonM</t>
  </si>
  <si>
    <t>00045C53</t>
  </si>
  <si>
    <t>EncWarlockIce01HighElfF</t>
  </si>
  <si>
    <t>00045C54</t>
  </si>
  <si>
    <t>EncWarlockIce01HighElfM</t>
  </si>
  <si>
    <t>00045C55</t>
  </si>
  <si>
    <t>EncWarlockIce01ImperialF</t>
  </si>
  <si>
    <t>00045C56</t>
  </si>
  <si>
    <t>EncWarlockIce01ImperialM</t>
  </si>
  <si>
    <t>00045C75</t>
  </si>
  <si>
    <t>EncWarlockIce01NordF</t>
  </si>
  <si>
    <t>00045C76</t>
  </si>
  <si>
    <t>EncWarlockIce01NordM</t>
  </si>
  <si>
    <t>000E101C</t>
  </si>
  <si>
    <t>EncWarlockIce02BossHighElfF</t>
  </si>
  <si>
    <t>000E101D</t>
  </si>
  <si>
    <t>EncWarlockIce02BossHighElfM</t>
  </si>
  <si>
    <t>000E1019</t>
  </si>
  <si>
    <t>EncWarlockIce02BossNordF</t>
  </si>
  <si>
    <t>000E101A</t>
  </si>
  <si>
    <t>EncWarlockIce02BossNordM</t>
  </si>
  <si>
    <t>00045C6A</t>
  </si>
  <si>
    <t>EncWarlockIce02BretonF</t>
  </si>
  <si>
    <t>00045C6B</t>
  </si>
  <si>
    <t>EncWarlockIce02BretonM</t>
  </si>
  <si>
    <t>00045C6C</t>
  </si>
  <si>
    <t>EncWarlockIce02HighElfF</t>
  </si>
  <si>
    <t>00045C6D</t>
  </si>
  <si>
    <t>EncWarlockIce02HighElfM</t>
  </si>
  <si>
    <t>00045C6E</t>
  </si>
  <si>
    <t>EncWarlockIce02ImperialF</t>
  </si>
  <si>
    <t>00045C6F</t>
  </si>
  <si>
    <t>EncWarlockIce02ImperialM</t>
  </si>
  <si>
    <t>00045C77</t>
  </si>
  <si>
    <t>EncWarlockIce02NordF</t>
  </si>
  <si>
    <t>00045C78</t>
  </si>
  <si>
    <t>EncWarlockIce02NordM</t>
  </si>
  <si>
    <t>000E101B</t>
  </si>
  <si>
    <t>EncWarlockIce03BossHighElfF</t>
  </si>
  <si>
    <t>000E101E</t>
  </si>
  <si>
    <t>EncWarlockIce03BossHighElfM</t>
  </si>
  <si>
    <t>000E101F</t>
  </si>
  <si>
    <t>EncWarlockIce03BossNordF</t>
  </si>
  <si>
    <t>000E1020</t>
  </si>
  <si>
    <t>EncWarlockIce03BossNordM</t>
  </si>
  <si>
    <t>00045C85</t>
  </si>
  <si>
    <t>EncWarlockIce03BretonF</t>
  </si>
  <si>
    <t>00045C86</t>
  </si>
  <si>
    <t>EncWarlockIce03BretonM</t>
  </si>
  <si>
    <t>00045C87</t>
  </si>
  <si>
    <t>EncWarlockIce03HighElfF</t>
  </si>
  <si>
    <t>00045C88</t>
  </si>
  <si>
    <t>EncWarlockIce03HighElfM</t>
  </si>
  <si>
    <t>00045C89</t>
  </si>
  <si>
    <t>EncWarlockIce03ImperialF</t>
  </si>
  <si>
    <t>00045C8A</t>
  </si>
  <si>
    <t>EncWarlockIce03ImperialM</t>
  </si>
  <si>
    <t>00045C8B</t>
  </si>
  <si>
    <t>EncWarlockIce03NordF</t>
  </si>
  <si>
    <t>00045C8C</t>
  </si>
  <si>
    <t>EncWarlockIce03NordM</t>
  </si>
  <si>
    <t>000E1021</t>
  </si>
  <si>
    <t>EncWarlockIce04BossHighElfF</t>
  </si>
  <si>
    <t>000E1022</t>
  </si>
  <si>
    <t>EncWarlockIce04BossHighElfM</t>
  </si>
  <si>
    <t>000E1023</t>
  </si>
  <si>
    <t>EncWarlockIce04BossNordF</t>
  </si>
  <si>
    <t>000E1024</t>
  </si>
  <si>
    <t>EncWarlockIce04BossNordM</t>
  </si>
  <si>
    <t>00045CAB</t>
  </si>
  <si>
    <t>EncWarlockIce04BretonF</t>
  </si>
  <si>
    <t>00045CAC</t>
  </si>
  <si>
    <t>EncWarlockIce04BretonM</t>
  </si>
  <si>
    <t>00045CAD</t>
  </si>
  <si>
    <t>EncWarlockIce04HighElfF</t>
  </si>
  <si>
    <t>00045CAE</t>
  </si>
  <si>
    <t>EncWarlockIce04HighElfM</t>
  </si>
  <si>
    <t>00045CAF</t>
  </si>
  <si>
    <t>EncWarlockIce04ImperialF</t>
  </si>
  <si>
    <t>00045CB0</t>
  </si>
  <si>
    <t>EncWarlockIce04ImperialM</t>
  </si>
  <si>
    <t>00045CB1</t>
  </si>
  <si>
    <t>EncWarlockIce04NordF</t>
  </si>
  <si>
    <t>00045CB2</t>
  </si>
  <si>
    <t>EncWarlockIce04NordM</t>
  </si>
  <si>
    <t>000E1025</t>
  </si>
  <si>
    <t>EncWarlockIce05BossHighElfF</t>
  </si>
  <si>
    <t>000E1026</t>
  </si>
  <si>
    <t>EncWarlockIce05BossHighElfM</t>
  </si>
  <si>
    <t>000E1027</t>
  </si>
  <si>
    <t>EncWarlockIce05BossNordF</t>
  </si>
  <si>
    <t>000E1028</t>
  </si>
  <si>
    <t>EncWarlockIce05BossNordM</t>
  </si>
  <si>
    <t>00045CD1</t>
  </si>
  <si>
    <t>EncWarlockIce05BretonF</t>
  </si>
  <si>
    <t>00045CD2</t>
  </si>
  <si>
    <t>EncWarlockIce05BretonM</t>
  </si>
  <si>
    <t>00045CD3</t>
  </si>
  <si>
    <t>EncWarlockIce05HighElfF</t>
  </si>
  <si>
    <t>00045CD4</t>
  </si>
  <si>
    <t>EncWarlockIce05HighElfM</t>
  </si>
  <si>
    <t>00045CD5</t>
  </si>
  <si>
    <t>EncWarlockIce05ImperialF</t>
  </si>
  <si>
    <t>00045CD8</t>
  </si>
  <si>
    <t>EncWarlockIce05ImperialM</t>
  </si>
  <si>
    <t>00045CD6</t>
  </si>
  <si>
    <t>EncWarlockIce05NordF</t>
  </si>
  <si>
    <t>00045CD7</t>
  </si>
  <si>
    <t>EncWarlockIce05NordM</t>
  </si>
  <si>
    <t>000E1029</t>
  </si>
  <si>
    <t>EncWarlockIce06BossHighElfF</t>
  </si>
  <si>
    <t>000E102A</t>
  </si>
  <si>
    <t>EncWarlockIce06BossHighElfM</t>
  </si>
  <si>
    <t>000E102B</t>
  </si>
  <si>
    <t>EncWarlockIce06BossNordF</t>
  </si>
  <si>
    <t>000E102C</t>
  </si>
  <si>
    <t>EncWarlockIce06BossNordM</t>
  </si>
  <si>
    <t>00045CD9</t>
  </si>
  <si>
    <t>EncWarlockIce06BretonF</t>
  </si>
  <si>
    <t>00045CDA</t>
  </si>
  <si>
    <t>EncWarlockIce06BretonM</t>
  </si>
  <si>
    <t>00045CDB</t>
  </si>
  <si>
    <t>EncWarlockIce06HighElfF</t>
  </si>
  <si>
    <t>00045CDC</t>
  </si>
  <si>
    <t>EncWarlockIce06HighElfM</t>
  </si>
  <si>
    <t>00045CDD</t>
  </si>
  <si>
    <t>EncWarlockIce06ImperialF</t>
  </si>
  <si>
    <t>00045CDE</t>
  </si>
  <si>
    <t>EncWarlockIce06ImperialM</t>
  </si>
  <si>
    <t>00045CDF</t>
  </si>
  <si>
    <t>EncWarlockIce06NordF</t>
  </si>
  <si>
    <t>00045CE0</t>
  </si>
  <si>
    <t>EncWarlockIce06NordM</t>
  </si>
  <si>
    <t>001091C0</t>
  </si>
  <si>
    <t>EncWarlockIce07BossHighElfM</t>
  </si>
  <si>
    <t>001091C1</t>
  </si>
  <si>
    <t>EncWarlockIce07BossNordF</t>
  </si>
  <si>
    <t>001091BA</t>
  </si>
  <si>
    <t>EncWarlockIce07BretonF</t>
  </si>
  <si>
    <t>001091B4</t>
  </si>
  <si>
    <t>EncWarlockIce07HighElfM</t>
  </si>
  <si>
    <t>000551B0</t>
  </si>
  <si>
    <t>EncWarlockNecro01BretonF</t>
  </si>
  <si>
    <t>000551B1</t>
  </si>
  <si>
    <t>EncWarlockNecro01BretonM</t>
  </si>
  <si>
    <t>000551B2</t>
  </si>
  <si>
    <t>EncWarlockNecro01DarkElfF</t>
  </si>
  <si>
    <t>000551B3</t>
  </si>
  <si>
    <t>EncWarlockNecro01DarkElfM</t>
  </si>
  <si>
    <t>000551B4</t>
  </si>
  <si>
    <t>EncWarlockNecro01HighElfF</t>
  </si>
  <si>
    <t>000551B5</t>
  </si>
  <si>
    <t>EncWarlockNecro01HighElfM</t>
  </si>
  <si>
    <t>000551B6</t>
  </si>
  <si>
    <t>EncWarlockNecro01ImperialF</t>
  </si>
  <si>
    <t>000551B7</t>
  </si>
  <si>
    <t>EncWarlockNecro01ImperialM</t>
  </si>
  <si>
    <t>000E1035</t>
  </si>
  <si>
    <t>EncWarlockNecro02BossBretonF</t>
  </si>
  <si>
    <t>000E1036</t>
  </si>
  <si>
    <t>EncWarlockNecro02BossBretonM</t>
  </si>
  <si>
    <t>000E1037</t>
  </si>
  <si>
    <t>EncWarlockNecro02BossHighElfF</t>
  </si>
  <si>
    <t>000E1049</t>
  </si>
  <si>
    <t>EncWarlockNecro02BossHighElfM</t>
  </si>
  <si>
    <t>000551B8</t>
  </si>
  <si>
    <t>EncWarlockNecro02BretonF</t>
  </si>
  <si>
    <t>000551B9</t>
  </si>
  <si>
    <t>EncWarlockNecro02BretonM</t>
  </si>
  <si>
    <t>000551BA</t>
  </si>
  <si>
    <t>EncWarlockNecro02DarkElfF</t>
  </si>
  <si>
    <t>000551BB</t>
  </si>
  <si>
    <t>EncWarlockNecro02DarkElfM</t>
  </si>
  <si>
    <t>000551BC</t>
  </si>
  <si>
    <t>EncWarlockNecro02HighElfF</t>
  </si>
  <si>
    <t>000551BD</t>
  </si>
  <si>
    <t>EncWarlockNecro02HighElfM</t>
  </si>
  <si>
    <t>000551BE</t>
  </si>
  <si>
    <t>EncWarlockNecro02ImperialF</t>
  </si>
  <si>
    <t>000551BF</t>
  </si>
  <si>
    <t>EncWarlockNecro02ImperialM</t>
  </si>
  <si>
    <t>000E1039</t>
  </si>
  <si>
    <t>EncWarlockNecro03BossBretonF</t>
  </si>
  <si>
    <t>000E103A</t>
  </si>
  <si>
    <t>EncWarlockNecro03BossBretonM</t>
  </si>
  <si>
    <t>000E103B</t>
  </si>
  <si>
    <t>EncWarlockNecro03BossHighElfF</t>
  </si>
  <si>
    <t>000E103C</t>
  </si>
  <si>
    <t>EncWarlockNecro03BossHighElfM</t>
  </si>
  <si>
    <t>000551C0</t>
  </si>
  <si>
    <t>EncWarlockNecro03BretonF</t>
  </si>
  <si>
    <t>000551C1</t>
  </si>
  <si>
    <t>EncWarlockNecro03BretonM</t>
  </si>
  <si>
    <t>000551C2</t>
  </si>
  <si>
    <t>EncWarlockNecro03DarkElfF</t>
  </si>
  <si>
    <t>000551C3</t>
  </si>
  <si>
    <t>EncWarlockNecro03DarkElfM</t>
  </si>
  <si>
    <t>000551C4</t>
  </si>
  <si>
    <t>EncWarlockNecro03HighElfF</t>
  </si>
  <si>
    <t>000551C5</t>
  </si>
  <si>
    <t>EncWarlockNecro03HighElfM</t>
  </si>
  <si>
    <t>000551C6</t>
  </si>
  <si>
    <t>EncWarlockNecro03ImperialF</t>
  </si>
  <si>
    <t>000551C7</t>
  </si>
  <si>
    <t>EncWarlockNecro03ImperialM</t>
  </si>
  <si>
    <t>000E103D</t>
  </si>
  <si>
    <t>EncWarlockNecro04BossBretonF</t>
  </si>
  <si>
    <t>000E103E</t>
  </si>
  <si>
    <t>EncWarlockNecro04BossBretonM</t>
  </si>
  <si>
    <t>000E103F</t>
  </si>
  <si>
    <t>EncWarlockNecro04BossHighElfF</t>
  </si>
  <si>
    <t>000E1040</t>
  </si>
  <si>
    <t>EncWarlockNecro04BossHighElfM</t>
  </si>
  <si>
    <t>000551C8</t>
  </si>
  <si>
    <t>EncWarlockNecro04BretonF</t>
  </si>
  <si>
    <t>000551C9</t>
  </si>
  <si>
    <t>EncWarlockNecro04BretonM</t>
  </si>
  <si>
    <t>000551CA</t>
  </si>
  <si>
    <t>EncWarlockNecro04DarkElfF</t>
  </si>
  <si>
    <t>000551CB</t>
  </si>
  <si>
    <t>EncWarlockNecro04DarkElfM</t>
  </si>
  <si>
    <t>000551CC</t>
  </si>
  <si>
    <t>EncWarlockNecro04HighElfF</t>
  </si>
  <si>
    <t>000551CD</t>
  </si>
  <si>
    <t>EncWarlockNecro04HighElfM</t>
  </si>
  <si>
    <t>000551CE</t>
  </si>
  <si>
    <t>EncWarlockNecro04ImperialF</t>
  </si>
  <si>
    <t>000551CF</t>
  </si>
  <si>
    <t>EncWarlockNecro04ImperialM</t>
  </si>
  <si>
    <t>000E1041</t>
  </si>
  <si>
    <t>EncWarlockNecro05BossBretonF</t>
  </si>
  <si>
    <t>000E1042</t>
  </si>
  <si>
    <t>EncWarlockNecro05BossBretonM</t>
  </si>
  <si>
    <t>000E1043</t>
  </si>
  <si>
    <t>EncWarlockNecro05BossHighElfF</t>
  </si>
  <si>
    <t>000E1044</t>
  </si>
  <si>
    <t>EncWarlockNecro05BossHighElfM</t>
  </si>
  <si>
    <t>000551D0</t>
  </si>
  <si>
    <t>EncWarlockNecro05BretonF</t>
  </si>
  <si>
    <t>000551D1</t>
  </si>
  <si>
    <t>EncWarlockNecro05BretonM</t>
  </si>
  <si>
    <t>000551D2</t>
  </si>
  <si>
    <t>EncWarlockNecro05DarkElfF</t>
  </si>
  <si>
    <t>000551D3</t>
  </si>
  <si>
    <t>EncWarlockNecro05DarkElfM</t>
  </si>
  <si>
    <t>000551D4</t>
  </si>
  <si>
    <t>EncWarlockNecro05HighElfF</t>
  </si>
  <si>
    <t>000551D5</t>
  </si>
  <si>
    <t>EncWarlockNecro05HighElfM</t>
  </si>
  <si>
    <t>000551D6</t>
  </si>
  <si>
    <t>EncWarlockNecro05ImperialF</t>
  </si>
  <si>
    <t>000551D7</t>
  </si>
  <si>
    <t>EncWarlockNecro05ImperialM</t>
  </si>
  <si>
    <t>000E1045</t>
  </si>
  <si>
    <t>EncWarlockNecro06BossBretonF</t>
  </si>
  <si>
    <t>000E1046</t>
  </si>
  <si>
    <t>EncWarlockNecro06BossBretonM</t>
  </si>
  <si>
    <t>000E1047</t>
  </si>
  <si>
    <t>EncWarlockNecro06BossHighElfF</t>
  </si>
  <si>
    <t>000E1048</t>
  </si>
  <si>
    <t>EncWarlockNecro06BossHighElfM</t>
  </si>
  <si>
    <t>000551D8</t>
  </si>
  <si>
    <t>EncWarlockNecro06BretonF</t>
  </si>
  <si>
    <t>000551D9</t>
  </si>
  <si>
    <t>EncWarlockNecro06BretonM</t>
  </si>
  <si>
    <t>000551DA</t>
  </si>
  <si>
    <t>EncWarlockNecro06DarkElfF</t>
  </si>
  <si>
    <t>000551DB</t>
  </si>
  <si>
    <t>EncWarlockNecro06DarkElfM</t>
  </si>
  <si>
    <t>000551DC</t>
  </si>
  <si>
    <t>EncWarlockNecro06HighElfF</t>
  </si>
  <si>
    <t>000551DD</t>
  </si>
  <si>
    <t>EncWarlockNecro06HighElfM</t>
  </si>
  <si>
    <t>000551DE</t>
  </si>
  <si>
    <t>EncWarlockNecro06ImperialF</t>
  </si>
  <si>
    <t>000551DF</t>
  </si>
  <si>
    <t>EncWarlockNecro06ImperialM</t>
  </si>
  <si>
    <t>001091C3</t>
  </si>
  <si>
    <t>EncWarlockNecro07BossBretonF</t>
  </si>
  <si>
    <t>001091C2</t>
  </si>
  <si>
    <t>EncWarlockNecro07BossHighElfM</t>
  </si>
  <si>
    <t>001091BB</t>
  </si>
  <si>
    <t>EncWarlockNecro07BretonF</t>
  </si>
  <si>
    <t>001091B5</t>
  </si>
  <si>
    <t>EncWarlockNecro07HighElfM</t>
  </si>
  <si>
    <t>00045C57</t>
  </si>
  <si>
    <t>EncWarlockStorm01BretonF</t>
  </si>
  <si>
    <t>00045C58</t>
  </si>
  <si>
    <t>EncWarlockStorm01BretonM</t>
  </si>
  <si>
    <t>00045C59</t>
  </si>
  <si>
    <t>EncWarlockStorm01DarkElfF</t>
  </si>
  <si>
    <t>00045C5A</t>
  </si>
  <si>
    <t>EncWarlockStorm01DarkElfM</t>
  </si>
  <si>
    <t>00045C5B</t>
  </si>
  <si>
    <t>EncWarlockStorm01HighElfF</t>
  </si>
  <si>
    <t>00045C5C</t>
  </si>
  <si>
    <t>EncWarlockStorm01HighElfM</t>
  </si>
  <si>
    <t>00045C5D</t>
  </si>
  <si>
    <t>EncWarlockStorm01ImperialF</t>
  </si>
  <si>
    <t>00045C5E</t>
  </si>
  <si>
    <t>EncWarlockStorm01ImperialM</t>
  </si>
  <si>
    <t>000E1051</t>
  </si>
  <si>
    <t>EncWarlockStorm02BossBretonF</t>
  </si>
  <si>
    <t>000E1052</t>
  </si>
  <si>
    <t>EncWarlockStorm02BossBretonM</t>
  </si>
  <si>
    <t>000E1053</t>
  </si>
  <si>
    <t>EncWarlockStorm02BossHighElfF</t>
  </si>
  <si>
    <t>000E1054</t>
  </si>
  <si>
    <t>EncWarlockStorm02BossHighElfM</t>
  </si>
  <si>
    <t>00045C70</t>
  </si>
  <si>
    <t>EncWarlockStorm02BretonF</t>
  </si>
  <si>
    <t>00045C71</t>
  </si>
  <si>
    <t>EncWarlockStorm02BretonM</t>
  </si>
  <si>
    <t>00045C90</t>
  </si>
  <si>
    <t>EncWarlockStorm02DarkElfF</t>
  </si>
  <si>
    <t>00045C91</t>
  </si>
  <si>
    <t>EncWarlockStorm02DarkElfM</t>
  </si>
  <si>
    <t>00045C72</t>
  </si>
  <si>
    <t>EncWarlockStorm02HighElfF</t>
  </si>
  <si>
    <t>00045C73</t>
  </si>
  <si>
    <t>EncWarlockStorm02HighElfM</t>
  </si>
  <si>
    <t>00045C74</t>
  </si>
  <si>
    <t>EncWarlockStorm02ImperialF</t>
  </si>
  <si>
    <t>00045C79</t>
  </si>
  <si>
    <t>EncWarlockStorm02ImperialM</t>
  </si>
  <si>
    <t>000E1055</t>
  </si>
  <si>
    <t>EncWarlockStorm03BossBretonF</t>
  </si>
  <si>
    <t>000E1056</t>
  </si>
  <si>
    <t>EncWarlockStorm03BossBretonM</t>
  </si>
  <si>
    <t>000E1057</t>
  </si>
  <si>
    <t>EncWarlockStorm03BossHighElfF</t>
  </si>
  <si>
    <t>000E1058</t>
  </si>
  <si>
    <t>EncWarlockStorm03BossHighElfM</t>
  </si>
  <si>
    <t>00045C8D</t>
  </si>
  <si>
    <t>EncWarlockStorm03BretonF</t>
  </si>
  <si>
    <t>00045C8E</t>
  </si>
  <si>
    <t>EncWarlockStorm03BretonM</t>
  </si>
  <si>
    <t>00045C92</t>
  </si>
  <si>
    <t>EncWarlockStorm03DarkElfF</t>
  </si>
  <si>
    <t>00045C93</t>
  </si>
  <si>
    <t>EncWarlockStorm03DarkElfM</t>
  </si>
  <si>
    <t>00045C8F</t>
  </si>
  <si>
    <t>EncWarlockStorm03HighElfF</t>
  </si>
  <si>
    <t>00045C94</t>
  </si>
  <si>
    <t>EncWarlockStorm03HighElfM</t>
  </si>
  <si>
    <t>00045C95</t>
  </si>
  <si>
    <t>EncWarlockStorm03ImperialF</t>
  </si>
  <si>
    <t>00045C96</t>
  </si>
  <si>
    <t>EncWarlockStorm03ImperialM</t>
  </si>
  <si>
    <t>000E1059</t>
  </si>
  <si>
    <t>EncWarlockStorm04BossBretonF</t>
  </si>
  <si>
    <t>000E105A</t>
  </si>
  <si>
    <t>EncWarlockStorm04BossBretonM</t>
  </si>
  <si>
    <t>000E105B</t>
  </si>
  <si>
    <t>EncWarlockStorm04BossHighElfF</t>
  </si>
  <si>
    <t>000E105C</t>
  </si>
  <si>
    <t>EncWarlockStorm04BossHighElfM</t>
  </si>
  <si>
    <t>00045CB3</t>
  </si>
  <si>
    <t>EncWarlockStorm04BretonF</t>
  </si>
  <si>
    <t>00045CB4</t>
  </si>
  <si>
    <t>EncWarlockStorm04BretonM</t>
  </si>
  <si>
    <t>00045CB5</t>
  </si>
  <si>
    <t>EncWarlockStorm04DarkElfF</t>
  </si>
  <si>
    <t>00045CB6</t>
  </si>
  <si>
    <t>EncWarlockStorm04DarkElfM</t>
  </si>
  <si>
    <t>00045CB7</t>
  </si>
  <si>
    <t>EncWarlockStorm04HighElfF</t>
  </si>
  <si>
    <t>00045CB8</t>
  </si>
  <si>
    <t>EncWarlockStorm04HighElfM</t>
  </si>
  <si>
    <t>00045CB9</t>
  </si>
  <si>
    <t>EncWarlockStorm04ImperialF</t>
  </si>
  <si>
    <t>00045CBA</t>
  </si>
  <si>
    <t>EncWarlockStorm04ImperialM</t>
  </si>
  <si>
    <t>000E105D</t>
  </si>
  <si>
    <t>EncWarlockStorm05BossBretonF</t>
  </si>
  <si>
    <t>000E105E</t>
  </si>
  <si>
    <t>EncWarlockStorm05BossBretonM</t>
  </si>
  <si>
    <t>000E105F</t>
  </si>
  <si>
    <t>EncWarlockStorm05BossHighElfF</t>
  </si>
  <si>
    <t>000E1060</t>
  </si>
  <si>
    <t>EncWarlockStorm05BossHighElfM</t>
  </si>
  <si>
    <t>00045CE1</t>
  </si>
  <si>
    <t>EncWarlockStorm05BretonF</t>
  </si>
  <si>
    <t>00045CE2</t>
  </si>
  <si>
    <t>EncWarlockStorm05BretonM</t>
  </si>
  <si>
    <t>00045CE3</t>
  </si>
  <si>
    <t>EncWarlockStorm05DarkElfF</t>
  </si>
  <si>
    <t>00045CE4</t>
  </si>
  <si>
    <t>EncWarlockStorm05DarkElfM</t>
  </si>
  <si>
    <t>00045CE5</t>
  </si>
  <si>
    <t>EncWarlockStorm05HighElfF</t>
  </si>
  <si>
    <t>00045CE6</t>
  </si>
  <si>
    <t>EncWarlockStorm05HighElfM</t>
  </si>
  <si>
    <t>00045CE7</t>
  </si>
  <si>
    <t>EncWarlockStorm05ImperialF</t>
  </si>
  <si>
    <t>00045CE8</t>
  </si>
  <si>
    <t>EncWarlockStorm05ImperialM</t>
  </si>
  <si>
    <t>000E1061</t>
  </si>
  <si>
    <t>EncWarlockStorm06BossBretonF</t>
  </si>
  <si>
    <t>000E1062</t>
  </si>
  <si>
    <t>EncWarlockStorm06BossBretonM</t>
  </si>
  <si>
    <t>000E1063</t>
  </si>
  <si>
    <t>EncWarlockStorm06BossHighElfF</t>
  </si>
  <si>
    <t>000E1064</t>
  </si>
  <si>
    <t>EncWarlockStorm06BossHighElfM</t>
  </si>
  <si>
    <t>00045CE9</t>
  </si>
  <si>
    <t>EncWarlockStorm06BretonF</t>
  </si>
  <si>
    <t>00045CEA</t>
  </si>
  <si>
    <t>EncWarlockStorm06BretonM</t>
  </si>
  <si>
    <t>00045CEB</t>
  </si>
  <si>
    <t>EncWarlockStorm06DarkElfF</t>
  </si>
  <si>
    <t>00045CEC</t>
  </si>
  <si>
    <t>EncWarlockStorm06DarkElfM</t>
  </si>
  <si>
    <t>00045CED</t>
  </si>
  <si>
    <t>EncWarlockStorm06HighElfF</t>
  </si>
  <si>
    <t>00045CEE</t>
  </si>
  <si>
    <t>EncWarlockStorm06HighElfM</t>
  </si>
  <si>
    <t>00045CEF</t>
  </si>
  <si>
    <t>EncWarlockStorm06ImperialF</t>
  </si>
  <si>
    <t>00045CF0</t>
  </si>
  <si>
    <t>EncWarlockStorm06ImperialM</t>
  </si>
  <si>
    <t>001091C5</t>
  </si>
  <si>
    <t>EncWarlockStorm07BossBretonF</t>
  </si>
  <si>
    <t>001091C4</t>
  </si>
  <si>
    <t>EncWarlockStorm07BossHighElfM</t>
  </si>
  <si>
    <t>001091BC</t>
  </si>
  <si>
    <t>EncWarlockStorm07BretonF</t>
  </si>
  <si>
    <t>001091B6</t>
  </si>
  <si>
    <t>EncWarlockStorm07HighElfM</t>
  </si>
  <si>
    <t>00074F77</t>
  </si>
  <si>
    <t>EncWitchFire01BretonF</t>
  </si>
  <si>
    <t>00074F78</t>
  </si>
  <si>
    <t>EncWitchFire01DarkElfF</t>
  </si>
  <si>
    <t>00074F79</t>
  </si>
  <si>
    <t>EncWitchFire01HighElfF</t>
  </si>
  <si>
    <t>00074F7A</t>
  </si>
  <si>
    <t>EncWitchFire01ImperialF</t>
  </si>
  <si>
    <t>00074F86</t>
  </si>
  <si>
    <t>EncWitchFire02BretonF</t>
  </si>
  <si>
    <t>00074F87</t>
  </si>
  <si>
    <t>EncWitchFire02DarkElfF</t>
  </si>
  <si>
    <t>00074F88</t>
  </si>
  <si>
    <t>EncWitchFire02HighElfF</t>
  </si>
  <si>
    <t>00074F89</t>
  </si>
  <si>
    <t>EncWitchFire02ImperialF</t>
  </si>
  <si>
    <t>00074F7B</t>
  </si>
  <si>
    <t>EncWitchIce01BretonF</t>
  </si>
  <si>
    <t>00074F7C</t>
  </si>
  <si>
    <t>EncWitchIce01HighElfF</t>
  </si>
  <si>
    <t>00074F7D</t>
  </si>
  <si>
    <t>EncWitchIce01ImperialF</t>
  </si>
  <si>
    <t>00074F7E</t>
  </si>
  <si>
    <t>EncWitchIce01NordF</t>
  </si>
  <si>
    <t>00074F8A</t>
  </si>
  <si>
    <t>EncWitchIce02BretonF</t>
  </si>
  <si>
    <t>00074F8B</t>
  </si>
  <si>
    <t>EncWitchIce02HighElfF</t>
  </si>
  <si>
    <t>00074F8C</t>
  </si>
  <si>
    <t>EncWitchIce02ImperialF</t>
  </si>
  <si>
    <t>00074F8D</t>
  </si>
  <si>
    <t>EncWitchIce02NordF</t>
  </si>
  <si>
    <t>00074F7F</t>
  </si>
  <si>
    <t>EncWitchStorm01BretonF</t>
  </si>
  <si>
    <t>00074F80</t>
  </si>
  <si>
    <t>EncWitchStorm01DarkElfF</t>
  </si>
  <si>
    <t>00074F81</t>
  </si>
  <si>
    <t>EncWitchStorm01HighElfF</t>
  </si>
  <si>
    <t>00074F82</t>
  </si>
  <si>
    <t>EncWitchStorm01ImperialF</t>
  </si>
  <si>
    <t>00074F8E</t>
  </si>
  <si>
    <t>EncWitchStorm02BretonF</t>
  </si>
  <si>
    <t>00074F8F</t>
  </si>
  <si>
    <t>EncWitchStorm02DarkElfF</t>
  </si>
  <si>
    <t>00074F90</t>
  </si>
  <si>
    <t>EncWitchStorm02HighElfF</t>
  </si>
  <si>
    <t>00074F91</t>
  </si>
  <si>
    <t>EncWitchStorm02ImperialF</t>
  </si>
  <si>
    <t>00056553</t>
  </si>
  <si>
    <t>FromDeepestFathomsVision</t>
  </si>
  <si>
    <t>000EA154</t>
  </si>
  <si>
    <t>GuardRiftenGateImpNorthStartup</t>
  </si>
  <si>
    <t>000EA155</t>
  </si>
  <si>
    <t>GuardRiftenGateImpSouthStartup</t>
  </si>
  <si>
    <t>000EA156</t>
  </si>
  <si>
    <t>GuardRiftenGateImpWestStartup</t>
  </si>
  <si>
    <t>000E66F6</t>
  </si>
  <si>
    <t>GuardRiftenGateNorthStartup</t>
  </si>
  <si>
    <t>000E66F8</t>
  </si>
  <si>
    <t>GuardRiftenGateSouthStartup</t>
  </si>
  <si>
    <t>000E66F7</t>
  </si>
  <si>
    <t>GuardRiftenGateWestStartup</t>
  </si>
  <si>
    <t>000274AC</t>
  </si>
  <si>
    <t>GuardRiverwoodImperial02</t>
  </si>
  <si>
    <t>000F684E</t>
  </si>
  <si>
    <t>GuardSolitudeImperialDayMaleGuard</t>
  </si>
  <si>
    <t>000B4C4F</t>
  </si>
  <si>
    <t>GuardSolitudeImperialTrainingBow</t>
  </si>
  <si>
    <t>000199F8</t>
  </si>
  <si>
    <t>GuardSolitudeImperialWarroom</t>
  </si>
  <si>
    <t>00108AA8</t>
  </si>
  <si>
    <t>GuardSolitudeSonsTrainingBow</t>
  </si>
  <si>
    <t>000D1985</t>
  </si>
  <si>
    <t>GuardWhiterunImperialGate</t>
  </si>
  <si>
    <t>000D8F09</t>
  </si>
  <si>
    <t>GuardWhiterunImperialGate2</t>
  </si>
  <si>
    <t>000E0D77</t>
  </si>
  <si>
    <t>GuardWhiterunSonsGate</t>
  </si>
  <si>
    <t>0003EECF</t>
  </si>
  <si>
    <t>GuardWindhelmSonsGateDocks</t>
  </si>
  <si>
    <t>0003EF2C</t>
  </si>
  <si>
    <t>GuardWindhelmSonsGateMain</t>
  </si>
  <si>
    <t>00055A2B</t>
  </si>
  <si>
    <t>GuardWindhelmSonsWarroom</t>
  </si>
  <si>
    <t>000EC6E7</t>
  </si>
  <si>
    <t>LvlFalkreathHoldGuardImperialVoiceTypeMaleGuard</t>
  </si>
  <si>
    <t>000CA449</t>
  </si>
  <si>
    <t>LvlWarlockElementalAmbushCondescendingF</t>
  </si>
  <si>
    <t>000CAEF5</t>
  </si>
  <si>
    <t>LvlWarlockNecroAmbushDarkElfM</t>
  </si>
  <si>
    <t>000713DD</t>
  </si>
  <si>
    <t>LvlWarlockNecromancerFemaleHighElf</t>
  </si>
  <si>
    <t>000235FD</t>
  </si>
  <si>
    <t>LvlWarlockNecromancerMaleDarkElf</t>
  </si>
  <si>
    <t>000D95FC</t>
  </si>
  <si>
    <t>MQ101GenericCivilianNordFemale</t>
  </si>
  <si>
    <t>000D95F4</t>
  </si>
  <si>
    <t>MQ101GenericCivilianNordMale</t>
  </si>
  <si>
    <t>00106B83</t>
  </si>
  <si>
    <t>MQ101ImperialArcherFemale</t>
  </si>
  <si>
    <t>00106B84</t>
  </si>
  <si>
    <t>MQ101ImperialArcherMale</t>
  </si>
  <si>
    <t>00047CBA</t>
  </si>
  <si>
    <t>MQ101ImperialSoldierCartDriver</t>
  </si>
  <si>
    <t>0005B364</t>
  </si>
  <si>
    <t>MQ101StormcloakCageRoomPrisoner</t>
  </si>
  <si>
    <t>000FE512</t>
  </si>
  <si>
    <t>MQ101StormcloakPrisonerFemaleUnaggressive</t>
  </si>
  <si>
    <t>000FE511</t>
  </si>
  <si>
    <t>MQ101StormcloakPrisonerMaleUnaggressive</t>
  </si>
  <si>
    <t>0010A1A3</t>
  </si>
  <si>
    <t>MQ101StormcloakPrisonerMaleUnaggressive02</t>
  </si>
  <si>
    <t>0002F2DC</t>
  </si>
  <si>
    <t>MQ105PhantomFormActor</t>
  </si>
  <si>
    <t>00033F45</t>
  </si>
  <si>
    <t>MQ201PartyGuard</t>
  </si>
  <si>
    <t>0003AF2F</t>
  </si>
  <si>
    <t>MQ201PartyGuard2</t>
  </si>
  <si>
    <t>0006B29F</t>
  </si>
  <si>
    <t>MQ201ThalmorGuardCanBeFooled</t>
  </si>
  <si>
    <t>00054507</t>
  </si>
  <si>
    <t>MQ201ThalmorGuardCanBeFooledArcher</t>
  </si>
  <si>
    <t>00015F72</t>
  </si>
  <si>
    <t>MQ201ThalmorMageCanBeFooled</t>
  </si>
  <si>
    <t>0006B3F2</t>
  </si>
  <si>
    <t>MQ201ThalmorMageSolarGuard</t>
  </si>
  <si>
    <t>000EA57E</t>
  </si>
  <si>
    <t>MQ304Froki</t>
  </si>
  <si>
    <t>000EA582</t>
  </si>
  <si>
    <t>MQ304Galmar</t>
  </si>
  <si>
    <t>00091AF2</t>
  </si>
  <si>
    <t>MQ304LostSoulImperial</t>
  </si>
  <si>
    <t>000173C1</t>
  </si>
  <si>
    <t>MQ304LostSoulImperial2</t>
  </si>
  <si>
    <t>00090A47</t>
  </si>
  <si>
    <t>MQ304LostSoulSons</t>
  </si>
  <si>
    <t>000173C0</t>
  </si>
  <si>
    <t>MQ304LostSoulSons2</t>
  </si>
  <si>
    <t>000173C2</t>
  </si>
  <si>
    <t>MQ304LostSoulSons3</t>
  </si>
  <si>
    <t>000EA583</t>
  </si>
  <si>
    <t>MQ304Rikke</t>
  </si>
  <si>
    <t>000EA57A</t>
  </si>
  <si>
    <t>MQ304Svaknir</t>
  </si>
  <si>
    <t>000EA581</t>
  </si>
  <si>
    <t>MQ304Ulfric</t>
  </si>
  <si>
    <t>000EDF6D</t>
  </si>
  <si>
    <t>MQ305SovngardeHeroFemale2</t>
  </si>
  <si>
    <t>000FBA5A</t>
  </si>
  <si>
    <t>MQ305SovngardeHeroFemaleMage</t>
  </si>
  <si>
    <t>000EDF6C</t>
  </si>
  <si>
    <t>MQ305SovngardeHeroMale2</t>
  </si>
  <si>
    <t>00108433</t>
  </si>
  <si>
    <t>MQ305SovngardeHeroMale4</t>
  </si>
  <si>
    <t>000FBA5B</t>
  </si>
  <si>
    <t>MQ305SovngardeHeroMaleMage</t>
  </si>
  <si>
    <t>000FBA5C</t>
  </si>
  <si>
    <t>MQ305SovngardeHeroMaleMage2</t>
  </si>
  <si>
    <t>00028503</t>
  </si>
  <si>
    <t>MS06NecromancerCultist2</t>
  </si>
  <si>
    <t>00096559</t>
  </si>
  <si>
    <t>MS06NecromancerCultist3</t>
  </si>
  <si>
    <t>0009655B</t>
  </si>
  <si>
    <t>MS06NecromancerCultist4</t>
  </si>
  <si>
    <t>00015711</t>
  </si>
  <si>
    <t>MS06VampireGeneralBanter</t>
  </si>
  <si>
    <t>00088F0C</t>
  </si>
  <si>
    <t>MS07LvlBlackbloodMeleeBerserkerCommonerMAmbush</t>
  </si>
  <si>
    <t>00088F0D</t>
  </si>
  <si>
    <t>MS07LvlBlackbloodMeleeTankEvenTonedMAmbush</t>
  </si>
  <si>
    <t>00088F11</t>
  </si>
  <si>
    <t>MS07LvlBlackbloodWizardCondescendingMAmbush</t>
  </si>
  <si>
    <t>000D2C9D</t>
  </si>
  <si>
    <t>MS11SusannaDeadA</t>
  </si>
  <si>
    <t>000D5810</t>
  </si>
  <si>
    <t>MS11SusannaDeadB</t>
  </si>
  <si>
    <t>000D86C5</t>
  </si>
  <si>
    <t>POIVolcanicHunterImperialF</t>
  </si>
  <si>
    <t>000D86C6</t>
  </si>
  <si>
    <t>POIVolcanicHunterNordM</t>
  </si>
  <si>
    <t>000D86C7</t>
  </si>
  <si>
    <t>POIVolcanicHunterRedguardF</t>
  </si>
  <si>
    <t>000B6313</t>
  </si>
  <si>
    <t>TG02GoldenglowGateGuard</t>
  </si>
  <si>
    <t>0007EB39</t>
  </si>
  <si>
    <t>TG02Mercenary01</t>
  </si>
  <si>
    <t>000A7C8B</t>
  </si>
  <si>
    <t>TG02Mercenary01BeeHiveMerc</t>
  </si>
  <si>
    <t>000B5545</t>
  </si>
  <si>
    <t>TG02Mercenary01ChoppingWood</t>
  </si>
  <si>
    <t>000A4687</t>
  </si>
  <si>
    <t>TG02Mercenary01Reinforcement</t>
  </si>
  <si>
    <t>0007EB3A</t>
  </si>
  <si>
    <t>TG02Mercenary02</t>
  </si>
  <si>
    <t>000A7C8C</t>
  </si>
  <si>
    <t>TG02Mercenary02BeeHiveMerc</t>
  </si>
  <si>
    <t>000A7CE3</t>
  </si>
  <si>
    <t>TG02Mercenary02CarryWood</t>
  </si>
  <si>
    <t>000A4A03</t>
  </si>
  <si>
    <t>TG02Mercenary02Reinforcement</t>
  </si>
  <si>
    <t>00061AEF</t>
  </si>
  <si>
    <t>TG02MercenaryBasement01</t>
  </si>
  <si>
    <t>00061AF9</t>
  </si>
  <si>
    <t>TG02MercenaryBasement02</t>
  </si>
  <si>
    <t>000B643A</t>
  </si>
  <si>
    <t>TG02MercenaryGateGuard01</t>
  </si>
  <si>
    <t>000B552D</t>
  </si>
  <si>
    <t>TG02MercenaryGuard01</t>
  </si>
  <si>
    <t>000B552E</t>
  </si>
  <si>
    <t>TG02MercenaryGuard02</t>
  </si>
  <si>
    <t>001007FA</t>
  </si>
  <si>
    <t>TG04EastEmpireSolitudeImperialPosted</t>
  </si>
  <si>
    <t>001007FB</t>
  </si>
  <si>
    <t>TG04EastEmpireSolitudeSonsPosted</t>
  </si>
  <si>
    <t>00084D13</t>
  </si>
  <si>
    <t>TGCrownGhost01</t>
  </si>
  <si>
    <t>00084D16</t>
  </si>
  <si>
    <t>TGCrownGhost02</t>
  </si>
  <si>
    <t>00084D18</t>
  </si>
  <si>
    <t>TGCrownGhost03</t>
  </si>
  <si>
    <t>000328E0</t>
  </si>
  <si>
    <t>TreasCorpseBanditBretonFemale</t>
  </si>
  <si>
    <t>000328DF</t>
  </si>
  <si>
    <t>TreasCorpseBanditBretonMale</t>
  </si>
  <si>
    <t>000328DD</t>
  </si>
  <si>
    <t>TreasCorpseBanditDarkElfFemale</t>
  </si>
  <si>
    <t>000328DE</t>
  </si>
  <si>
    <t>TreasCorpseBanditDarkElfMale</t>
  </si>
  <si>
    <t>0001A766</t>
  </si>
  <si>
    <t>TreasCorpseBanditImperialFemale</t>
  </si>
  <si>
    <t>0001A765</t>
  </si>
  <si>
    <t>TreasCorpseBanditImperialMale</t>
  </si>
  <si>
    <t>000328D6</t>
  </si>
  <si>
    <t>TreasCorpseBanditNordFemale</t>
  </si>
  <si>
    <t>000328D5</t>
  </si>
  <si>
    <t>TreasCorpseBanditNordMale</t>
  </si>
  <si>
    <t>000328D7</t>
  </si>
  <si>
    <t>TreasCorpseBanditOrcMale</t>
  </si>
  <si>
    <t>000328D4</t>
  </si>
  <si>
    <t>TreasCorpseBanditRedguardFemale</t>
  </si>
  <si>
    <t>00032860</t>
  </si>
  <si>
    <t>TreasCorpseBanditRedguardMale</t>
  </si>
  <si>
    <t>000328DC</t>
  </si>
  <si>
    <t>TreasCorpseBanditWoodElfFemale</t>
  </si>
  <si>
    <t>000328DB</t>
  </si>
  <si>
    <t>TreasCorpseBanditWoodElfMale</t>
  </si>
  <si>
    <t>000E9DC0</t>
  </si>
  <si>
    <t>TreasCorpseBeggarNordMaleOld</t>
  </si>
  <si>
    <t>0001B152</t>
  </si>
  <si>
    <t>TreasCorpseForswornBretonFemale</t>
  </si>
  <si>
    <t>0001B153</t>
  </si>
  <si>
    <t>TreasCorpseForswornBretonMale</t>
  </si>
  <si>
    <t>000C49DB</t>
  </si>
  <si>
    <t>TreasCorpseHunterImperialM</t>
  </si>
  <si>
    <t>000C49DC</t>
  </si>
  <si>
    <t>TreasCorpseHunterNordM</t>
  </si>
  <si>
    <t>000C49DD</t>
  </si>
  <si>
    <t>TreasCorpseHunterRedguardM</t>
  </si>
  <si>
    <t>000C49DE</t>
  </si>
  <si>
    <t>TreasCorpseHunterWoodElfM</t>
  </si>
  <si>
    <t>000978AA</t>
  </si>
  <si>
    <t>TreasCorpseThalmorM</t>
  </si>
  <si>
    <t>000AF9CD</t>
  </si>
  <si>
    <t>TreasCorpseThalmorMelee1HM</t>
  </si>
  <si>
    <t>0001A76E</t>
  </si>
  <si>
    <t>TreasCorpseVampireBretonFemale</t>
  </si>
  <si>
    <t>0001A777</t>
  </si>
  <si>
    <t>TreasCorpseVampireBretonMale</t>
  </si>
  <si>
    <t>0001A76F</t>
  </si>
  <si>
    <t>TreasCorpseVampireDarkElfFemale</t>
  </si>
  <si>
    <t>0001A776</t>
  </si>
  <si>
    <t>TreasCorpseVampireDarkElfMale</t>
  </si>
  <si>
    <t>0001A770</t>
  </si>
  <si>
    <t>TreasCorpseVampireHighElfFemale</t>
  </si>
  <si>
    <t>0001A775</t>
  </si>
  <si>
    <t>TreasCorpseVampireHighElfMale</t>
  </si>
  <si>
    <t>0001A771</t>
  </si>
  <si>
    <t>TreasCorpseVampireImperialFemale</t>
  </si>
  <si>
    <t>0001A774</t>
  </si>
  <si>
    <t>TreasCorpseVampireImperialMale</t>
  </si>
  <si>
    <t>0001A772</t>
  </si>
  <si>
    <t>TreasCorpseVampireNordFemale</t>
  </si>
  <si>
    <t>0001A773</t>
  </si>
  <si>
    <t>TreasCorpseVampireNordMale</t>
  </si>
  <si>
    <t>02019FFA</t>
  </si>
  <si>
    <t>TreasCorpseVigilantOfStendarrFemale</t>
  </si>
  <si>
    <t>02019FFF</t>
  </si>
  <si>
    <t>TreasCorpseVigilantOfStendarrFemale02</t>
  </si>
  <si>
    <t>000DC11D</t>
  </si>
  <si>
    <t>TreasCorpseVigilantOfStendarrMale</t>
  </si>
  <si>
    <t>02019FFC</t>
  </si>
  <si>
    <t>TreasCorpseVigilantOfStendarrMale02</t>
  </si>
  <si>
    <t>0001A763</t>
  </si>
  <si>
    <t>TreasCorpseWarlockBretonFemale</t>
  </si>
  <si>
    <t>0001A764</t>
  </si>
  <si>
    <t>TreasCorpseWarlockBretonMale</t>
  </si>
  <si>
    <t>0001A767</t>
  </si>
  <si>
    <t>TreasCorpseWarlockDarkElfFemale</t>
  </si>
  <si>
    <t>0001A768</t>
  </si>
  <si>
    <t>TreasCorpseWarlockDarkElfMale</t>
  </si>
  <si>
    <t>001068F5</t>
  </si>
  <si>
    <t>TreasCorpseWarlockDarkElfMaleCOPY0000</t>
  </si>
  <si>
    <t>0001A76A</t>
  </si>
  <si>
    <t>TreasCorpseWarlockHighElfMale</t>
  </si>
  <si>
    <t>0001A76B</t>
  </si>
  <si>
    <t>TreasCorpseWarlockImperialFemale</t>
  </si>
  <si>
    <t>0001A76C</t>
  </si>
  <si>
    <t>TreasCorpseWarlockImperialMale</t>
  </si>
  <si>
    <t>0007E5B6</t>
  </si>
  <si>
    <t>ValmirImperial</t>
  </si>
  <si>
    <t>0007E5B5</t>
  </si>
  <si>
    <t>ValmirSons</t>
  </si>
  <si>
    <t>000684CD</t>
  </si>
  <si>
    <t>WarehouseNPCWebActorSit</t>
  </si>
  <si>
    <t>001034EA</t>
  </si>
  <si>
    <t>WEAdventurerBattlemage</t>
  </si>
  <si>
    <t>0010611F</t>
  </si>
  <si>
    <t>WEAdventurerBattlemageBretonMFire</t>
  </si>
  <si>
    <t>00106120</t>
  </si>
  <si>
    <t>WEAdventurerBattlemageBretonMIce</t>
  </si>
  <si>
    <t>00106121</t>
  </si>
  <si>
    <t>WEAdventurerBattlemageBretonMStorm</t>
  </si>
  <si>
    <t>00106122</t>
  </si>
  <si>
    <t>WEAdventurerBattlemageHighElfMFire</t>
  </si>
  <si>
    <t>00106123</t>
  </si>
  <si>
    <t>WEAdventurerBattlemageHighElfMIce</t>
  </si>
  <si>
    <t>00106124</t>
  </si>
  <si>
    <t>WEAdventurerBattlemageHighElfMStorm</t>
  </si>
  <si>
    <t>00106127</t>
  </si>
  <si>
    <t>WEAdventurerBattlemageKhajiitMFire</t>
  </si>
  <si>
    <t>00106128</t>
  </si>
  <si>
    <t>WEAdventurerBattlemageKhajiitMIce</t>
  </si>
  <si>
    <t>00106129</t>
  </si>
  <si>
    <t>WEAdventurerBattlemageKhajiitMStorm</t>
  </si>
  <si>
    <t>00105547</t>
  </si>
  <si>
    <t>WEAdventurerBerserker</t>
  </si>
  <si>
    <t>0010555E</t>
  </si>
  <si>
    <t>WEAdventurerBrawler</t>
  </si>
  <si>
    <t>00105549</t>
  </si>
  <si>
    <t>WEAdventurerDualPoisoner</t>
  </si>
  <si>
    <t>00106113</t>
  </si>
  <si>
    <t>WEAdventurerMageShieldStaff</t>
  </si>
  <si>
    <t>0010612D</t>
  </si>
  <si>
    <t>WEAdventurerMageShieldStaffArgonianMFire</t>
  </si>
  <si>
    <t>0010612E</t>
  </si>
  <si>
    <t>WEAdventurerMageShieldStaffArgonianMIce</t>
  </si>
  <si>
    <t>0010612F</t>
  </si>
  <si>
    <t>WEAdventurerMageShieldStaffArgonianMStorm</t>
  </si>
  <si>
    <t>00106130</t>
  </si>
  <si>
    <t>WEAdventurerMageShieldStaffHighElfFFire</t>
  </si>
  <si>
    <t>00106131</t>
  </si>
  <si>
    <t>WEAdventurerMageShieldStaffHighElfFIce</t>
  </si>
  <si>
    <t>00106132</t>
  </si>
  <si>
    <t>WEAdventurerMageShieldStaffHighElfFStorm</t>
  </si>
  <si>
    <t>00106133</t>
  </si>
  <si>
    <t>WEAdventurerMageShieldStaffHighElfMFire</t>
  </si>
  <si>
    <t>00106135</t>
  </si>
  <si>
    <t>WEAdventurerMageShieldStaffHighElfMIce</t>
  </si>
  <si>
    <t>00106134</t>
  </si>
  <si>
    <t>WEAdventurerMageShieldStaffHighElfMStorm</t>
  </si>
  <si>
    <t>0010554B</t>
  </si>
  <si>
    <t>WEAdventurerRangedConjurer</t>
  </si>
  <si>
    <t>00105540</t>
  </si>
  <si>
    <t>WEAdventurerSpellsword</t>
  </si>
  <si>
    <t>00105541</t>
  </si>
  <si>
    <t>WEAdventurerWarrior</t>
  </si>
  <si>
    <t>00105545</t>
  </si>
  <si>
    <t>WEAdventurerWarriorDual</t>
  </si>
  <si>
    <t>00103511</t>
  </si>
  <si>
    <t>WEAssassinArgonianF</t>
  </si>
  <si>
    <t>001051F3</t>
  </si>
  <si>
    <t>WEAssassinDarkElfM</t>
  </si>
  <si>
    <t>00103516</t>
  </si>
  <si>
    <t>WEAssassinKhajiitF</t>
  </si>
  <si>
    <t>000B125F</t>
  </si>
  <si>
    <t>WEJS09GhostCorpse</t>
  </si>
  <si>
    <t>000B9285</t>
  </si>
  <si>
    <t>WERJ03Alikr</t>
  </si>
  <si>
    <t>000BF31E</t>
  </si>
  <si>
    <t>WERJ07Vampire</t>
  </si>
  <si>
    <t>00103512</t>
  </si>
  <si>
    <t>WEThiefArgonianM</t>
  </si>
  <si>
    <t>00103514</t>
  </si>
  <si>
    <t>WEThiefDarkElfF</t>
  </si>
  <si>
    <t>00103513</t>
  </si>
  <si>
    <t>WEThiefDarkElfM</t>
  </si>
  <si>
    <t>00103515</t>
  </si>
  <si>
    <t>WEThiefKhajiitM</t>
  </si>
  <si>
    <t>000590EF</t>
  </si>
  <si>
    <t>WhiterunJailPrisoner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</si>
</sst>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b/>
      <sz val="10.0"/>
      <color theme="1"/>
      <name val="Arial"/>
    </font>
    <font>
      <sz val="10.0"/>
      <color theme="1"/>
      <name val="Arial"/>
    </font>
    <font>
      <color theme="1"/>
      <name val="Arial"/>
      <scheme val="minor"/>
    </font>
    <font>
      <u/>
      <color rgb="FF0000FF"/>
    </font>
    <font>
      <u/>
      <color rgb="FF0000FF"/>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49" xfId="0" applyFont="1" applyNumberFormat="1"/>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2" numFmtId="0" xfId="0" applyAlignment="1" applyFont="1">
      <alignment shrinkToFit="0" wrapText="1"/>
    </xf>
    <xf borderId="0" fillId="0" fontId="2" numFmtId="0" xfId="0" applyAlignment="1" applyFont="1">
      <alignment readingOrder="0"/>
    </xf>
    <xf borderId="0" fillId="0" fontId="1" numFmtId="0" xfId="0" applyFont="1"/>
    <xf borderId="0" fillId="0" fontId="3" numFmtId="49" xfId="0" applyFont="1" applyNumberFormat="1"/>
    <xf borderId="0" fillId="0" fontId="5" numFmtId="0" xfId="0" applyAlignment="1" applyFont="1">
      <alignment readingOrder="0"/>
    </xf>
    <xf borderId="0" fillId="0" fontId="4" numFmtId="0" xfId="0" applyFont="1"/>
    <xf borderId="0" fillId="0" fontId="6" numFmtId="0" xfId="0" applyAlignment="1" applyFont="1">
      <alignment readingOrder="0"/>
    </xf>
    <xf borderId="0" fillId="0" fontId="3" numFmtId="0" xfId="0" applyAlignment="1" applyFont="1">
      <alignment shrinkToFit="0" wrapText="1"/>
    </xf>
    <xf quotePrefix="1" borderId="0" fillId="0" fontId="3" numFmtId="0" xfId="0" applyFont="1"/>
    <xf borderId="0" fillId="0" fontId="3" numFmtId="49" xfId="0" applyAlignment="1" applyFont="1" applyNumberFormat="1">
      <alignment readingOrder="0"/>
    </xf>
    <xf borderId="0" fillId="0" fontId="7" numFmtId="0" xfId="0" applyFont="1"/>
  </cellXfs>
  <cellStyles count="1">
    <cellStyle xfId="0" name="Normal" builtinId="0"/>
  </cellStyles>
  <dxfs count="4">
    <dxf>
      <font/>
      <fill>
        <patternFill patternType="solid">
          <fgColor rgb="FFF4CCCC"/>
          <bgColor rgb="FFF4CCCC"/>
        </patternFill>
      </fill>
      <border/>
    </dxf>
    <dxf>
      <font/>
      <fill>
        <patternFill patternType="solid">
          <fgColor rgb="FFC9DAF8"/>
          <bgColor rgb="FFC9DAF8"/>
        </patternFill>
      </fill>
      <border/>
    </dxf>
    <dxf>
      <font/>
      <fill>
        <patternFill patternType="solid">
          <fgColor rgb="FFFCE5CD"/>
          <bgColor rgb="FFFCE5CD"/>
        </patternFill>
      </fill>
      <border/>
    </dxf>
    <dxf>
      <font/>
      <fill>
        <patternFill patternType="solid">
          <fgColor rgb="FFFF7FFF"/>
          <bgColor rgb="FFFF7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tthew Murphy" id="{4426dd1d-55cb-4912-aa94-1c6f5f8abc65}" providerId="google-sheets"/>
  <x18tc:person displayName="" id="{9a20e6ea-ba00-4b94-a196-06b65e668c9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30T18:21:38.00" personId="{9a20e6ea-ba00-4b94-a196-06b65e668c9d}" id="{c7c70c86-aacb-4a6e-bf94-89fb1a1d34b6}" done="0">
    <x18tc:text xml:space="preserve">Automatically generated based on all the other columns. 
Highlight this whole column (except the header) and copy/paste it into your SPID distribution ini file.</x18tc:text>
  </x18tc:threadedComment>
  <x18tc:threadedComment ref="A1" dT="2026-07-30T18:21:38.00" personId="{9a20e6ea-ba00-4b94-a196-06b65e668c9d}" id="{1b7ca92e-3cf2-4070-9603-48add9f83981}" done="0">
    <x18tc:text xml:space="preserve">Select an alternate hairstyle if you want. The vanilla hairstyle will be commented out in the SPID form if anything is entered here.
Dropdown options are based on the NPC's hair category.</x18tc:text>
  </x18tc:threadedComment>
  <x18tc:threadedComment ref="A1" dT="2026-07-30T18:21:38.00" personId="{9a20e6ea-ba00-4b94-a196-06b65e668c9d}" id="{6caf98bc-a377-4936-b27a-ba6f32f08654}" done="0">
    <x18tc:text xml:space="preserve">Add an X (or anything) here to have the NPC's alternate hairstyle commented out in the SPID form.</x18tc:text>
  </x18tc:threadedComment>
  <x18tc:threadedComment ref="A1" dT="2026-07-30T18:21:38.00" personId="{4426dd1d-55cb-4912-aa94-1c6f5f8abc65}" id="{376a58ff-492d-4886-ba95-4307e8c621ac}" done="0">
    <x18tc:text xml:space="preserve">The name of the NPC's Vanilla Hairstyle.</x18tc:text>
  </x18tc:threadedComment>
  <x18tc:threadedComment ref="A1" dT="2026-07-30T18:21:38.00" personId="{9a20e6ea-ba00-4b94-a196-06b65e668c9d}" id="{7736e0e1-849c-4f8b-9207-d881a30b3e5f}" done="0">
    <x18tc:text xml:space="preserve">Race is used to check the validity of the chosen wig.</x18tc:text>
  </x18tc:threadedComment>
  <x18tc:threadedComment ref="A1" dT="2026-07-30T18:21:38.00" personId="{9a20e6ea-ba00-4b94-a196-06b65e668c9d}" id="{839fd52e-67a1-4ec6-bca0-7d9980cb9601}" done="0">
    <x18tc:text xml:space="preserve">Gender is used to check the validity of the chosen wig.</x18tc:text>
  </x18tc:threadedComment>
  <x18tc:threadedComment ref="A1" dT="2026-07-30T18:21:38.00" personId="{9a20e6ea-ba00-4b94-a196-06b65e668c9d}" id="{c0d529e1-ed1b-4696-9d1b-5ae1a3ab940e}" done="0">
    <x18tc:text xml:space="preserve">The FormID can be handy when running player.placeatme commands in-game to see how the new hairstyle looks.</x18tc:text>
  </x18tc:threadedComment>
  <x18tc:threadedComment ref="A1" dT="2026-07-30T18:21:38.00" personId="{9a20e6ea-ba00-4b94-a196-06b65e668c9d}" id="{81b6a518-7cb7-4d1c-b4dd-e3977c58a6f5}" done="0">
    <x18tc:text xml:space="preserve">Enter an NPC's EditorID here. If it's in the "NPC List" tab, the NPC's info will automatically populate in the other columns.</x18tc:text>
  </x18tc:threadedComment>
  <x18tc:threadedComment ref="A1" dT="2026-07-30T18:21:38.00" personId="{9a20e6ea-ba00-4b94-a196-06b65e668c9d}" id="{211d15e4-2166-4d56-bcc6-515b01fef90f}" done="0">
    <x18tc:text xml:space="preserve">Notes will appear next to the NPC's name in the SPID form.</x18tc:text>
  </x18tc:threadedComment>
  <x18tc:threadedComment ref="A1" dT="2026-07-30T18:21:38.00" personId="{9a20e6ea-ba00-4b94-a196-06b65e668c9d}" id="{56a2b03b-776d-472e-aa2e-00455a03571b}" done="0">
    <x18tc:text xml:space="preserve">The NPC's Vanilla Hairstyle. This will appear in the SPID form, but can be overridden by choosing an alternate hairstyle.</x18tc:text>
  </x18tc:threadedComment>
  <x18tc:threadedComment ref="A1" dT="2026-07-30T18:21:38.00" personId="{9a20e6ea-ba00-4b94-a196-06b65e668c9d}" id="{1c07dc0e-64ac-4a87-823d-95c677c278b0}" done="0">
    <x18tc:text xml:space="preserve">Add an X (or anything) here to have the NPC's vanilla hairstyle commented out in the SPID form. It will automatically be commented out if an alternate hairstyle is added.</x18tc:text>
  </x18tc:threadedComment>
  <x18tc:threadedComment ref="A1" dT="2026-07-30T18:21:38.00" personId="{4426dd1d-55cb-4912-aa94-1c6f5f8abc65}" id="{10f9d5f9-9f6e-4603-951c-a4a14cf6611e}" done="0">
    <x18tc:text xml:space="preserve">Used to determine which hairstyles are available to the NPC</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patreon.com/posts/71131410?collection=209996" TargetMode="External"/><Relationship Id="rId22" Type="http://schemas.openxmlformats.org/officeDocument/2006/relationships/hyperlink" Target="https://www.nexusmods.com/skyrimspecialedition/mods/63181" TargetMode="External"/><Relationship Id="rId21" Type="http://schemas.openxmlformats.org/officeDocument/2006/relationships/hyperlink" Target="https://www.nexusmods.com/skyrimspecialedition/mods/183885" TargetMode="External"/><Relationship Id="rId24" Type="http://schemas.openxmlformats.org/officeDocument/2006/relationships/hyperlink" Target="https://www.nexusmods.com/skyrimspecialedition/mods/174832" TargetMode="External"/><Relationship Id="rId23" Type="http://schemas.openxmlformats.org/officeDocument/2006/relationships/hyperlink" Target="https://www.nexusmods.com/skyrimspecialedition/mods/64259" TargetMode="External"/><Relationship Id="rId1" Type="http://schemas.openxmlformats.org/officeDocument/2006/relationships/hyperlink" Target="https://www.nexusmods.com/skyrimspecialedition/mods/63979" TargetMode="External"/><Relationship Id="rId2" Type="http://schemas.openxmlformats.org/officeDocument/2006/relationships/hyperlink" Target="https://www.nexusmods.com/skyrimspecialedition/mods/187429" TargetMode="External"/><Relationship Id="rId3" Type="http://schemas.openxmlformats.org/officeDocument/2006/relationships/hyperlink" Target="https://www.patreon.com/dint999/posts/hairpack02-hdt-1-29917266" TargetMode="External"/><Relationship Id="rId4" Type="http://schemas.openxmlformats.org/officeDocument/2006/relationships/hyperlink" Target="https://www.nexusmods.com/skyrimspecialedition/mods/93608" TargetMode="External"/><Relationship Id="rId9" Type="http://schemas.openxmlformats.org/officeDocument/2006/relationships/hyperlink" Target="https://www.patreon.com/posts/98291872?collection=209996" TargetMode="External"/><Relationship Id="rId26" Type="http://schemas.openxmlformats.org/officeDocument/2006/relationships/hyperlink" Target="https://www.nexusmods.com/skyrimspecialedition/mods/170525" TargetMode="External"/><Relationship Id="rId25" Type="http://schemas.openxmlformats.org/officeDocument/2006/relationships/hyperlink" Target="https://www.nexusmods.com/skyrimspecialedition/mods/31300" TargetMode="External"/><Relationship Id="rId28" Type="http://schemas.openxmlformats.org/officeDocument/2006/relationships/hyperlink" Target="https://www.nexusmods.com/skyrimspecialedition/mods/184585" TargetMode="External"/><Relationship Id="rId27" Type="http://schemas.openxmlformats.org/officeDocument/2006/relationships/hyperlink" Target="https://www.nexusmods.com/skyrimspecialedition/mods/56583" TargetMode="External"/><Relationship Id="rId5" Type="http://schemas.openxmlformats.org/officeDocument/2006/relationships/hyperlink" Target="https://www.nexusmods.com/skyrimspecialedition/mods/180029" TargetMode="External"/><Relationship Id="rId6" Type="http://schemas.openxmlformats.org/officeDocument/2006/relationships/hyperlink" Target="https://www.nexusmods.com/skyrimspecialedition/mods/114769" TargetMode="External"/><Relationship Id="rId29" Type="http://schemas.openxmlformats.org/officeDocument/2006/relationships/drawing" Target="../drawings/drawing3.xml"/><Relationship Id="rId7" Type="http://schemas.openxmlformats.org/officeDocument/2006/relationships/hyperlink" Target="https://www.nexusmods.com/skyrimspecialedition/mods/172939" TargetMode="External"/><Relationship Id="rId8" Type="http://schemas.openxmlformats.org/officeDocument/2006/relationships/hyperlink" Target="https://www.patreon.com/posts/68250938?collection=209996" TargetMode="External"/><Relationship Id="rId11" Type="http://schemas.openxmlformats.org/officeDocument/2006/relationships/hyperlink" Target="https://www.patreon.com/posts/64262256?collection=209996" TargetMode="External"/><Relationship Id="rId10" Type="http://schemas.openxmlformats.org/officeDocument/2006/relationships/hyperlink" Target="https://www.patreon.com/posts/76570894?collection=209996" TargetMode="External"/><Relationship Id="rId13" Type="http://schemas.openxmlformats.org/officeDocument/2006/relationships/hyperlink" Target="https://www.patreon.com/posts/86395571?collection=209996" TargetMode="External"/><Relationship Id="rId12" Type="http://schemas.openxmlformats.org/officeDocument/2006/relationships/hyperlink" Target="https://www.patreon.com/posts/62876423?collection=209996" TargetMode="External"/><Relationship Id="rId15" Type="http://schemas.openxmlformats.org/officeDocument/2006/relationships/hyperlink" Target="https://www.patreon.com/posts/72123559?collection=209996" TargetMode="External"/><Relationship Id="rId14" Type="http://schemas.openxmlformats.org/officeDocument/2006/relationships/hyperlink" Target="https://www.patreon.com/posts/89043767?collection=209996" TargetMode="External"/><Relationship Id="rId17" Type="http://schemas.openxmlformats.org/officeDocument/2006/relationships/hyperlink" Target="https://www.patreon.com/posts/73058791?collection=209996" TargetMode="External"/><Relationship Id="rId16" Type="http://schemas.openxmlformats.org/officeDocument/2006/relationships/hyperlink" Target="https://www.patreon.com/posts/65302074?collection=209996" TargetMode="External"/><Relationship Id="rId19" Type="http://schemas.openxmlformats.org/officeDocument/2006/relationships/hyperlink" Target="https://www.patreon.com/posts/62190804?collection=209996" TargetMode="External"/><Relationship Id="rId18" Type="http://schemas.openxmlformats.org/officeDocument/2006/relationships/hyperlink" Target="https://www.patreon.com/posts/75589695?collection=20999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48.0"/>
    <col customWidth="1" min="3" max="3" width="38.25"/>
    <col customWidth="1" min="4" max="4" width="17.38"/>
    <col customWidth="1" min="5" max="5" width="11.88"/>
    <col customWidth="1" min="6" max="6" width="24.88"/>
    <col customWidth="1" min="7" max="7" width="97.75"/>
  </cols>
  <sheetData>
    <row r="1" ht="12.75" customHeight="1">
      <c r="A1" s="3" t="s">
        <v>2</v>
      </c>
      <c r="B1" s="2" t="s">
        <v>11</v>
      </c>
      <c r="C1" s="2" t="s">
        <v>12</v>
      </c>
      <c r="D1" s="2" t="s">
        <v>14</v>
      </c>
      <c r="E1" s="2" t="s">
        <v>17</v>
      </c>
      <c r="F1" s="2" t="s">
        <v>20</v>
      </c>
      <c r="G1" s="7" t="s">
        <v>25</v>
      </c>
    </row>
    <row r="2" ht="12.75" customHeight="1">
      <c r="A2" s="5" t="s">
        <v>33</v>
      </c>
      <c r="B2" s="5" t="s">
        <v>35</v>
      </c>
      <c r="C2" s="5" t="s">
        <v>35</v>
      </c>
      <c r="D2" s="5" t="s">
        <v>38</v>
      </c>
      <c r="E2" s="5" t="s">
        <v>41</v>
      </c>
      <c r="F2" s="5" t="s">
        <v>44</v>
      </c>
      <c r="G2" s="14" t="str">
        <f t="array" ref="G2">IF(B2="", "",
  LET(_xlpm.spell, IFERROR(IF(F2="", "", INDEX(_xlws.FILTER(Hairstyles!$F:$F, ISNUMBER(SEARCH(F2, Hairstyles!$B:$B))), 1)), "No Spell for Hairstyle"),
  _xlpm.vanillaPrefix, IF(LEFT(_xlpm.spell, 7)="Uvi_Wig", "", ";"),
  ";" &amp; IF(C2="", B2, C2) &amp; IF(M2="", "", " ("&amp;M2&amp;")") &amp; CHAR(10) &amp;
  _xlpm.vanillaPrefix &amp; "Keyword = Uvi_Wig_Distr_KYWD|" &amp; B2 &amp; CHAR(10) &amp;
  _xlpm.vanillaPrefix &amp; "Spell = " &amp; _xlpm.spell &amp; "|" &amp; B2
  )
)</f>
        <v>;Abelone
;Keyword = Uvi_Wig_Distr_KYWD|Abelone
;Spell = No Spell for Hairstyle|Abelone</v>
      </c>
    </row>
    <row r="3" ht="12.75" customHeight="1">
      <c r="A3" s="5" t="s">
        <v>227</v>
      </c>
      <c r="B3" s="5" t="s">
        <v>228</v>
      </c>
      <c r="C3" s="5" t="s">
        <v>229</v>
      </c>
      <c r="D3" s="5" t="s">
        <v>38</v>
      </c>
      <c r="E3" s="5" t="s">
        <v>233</v>
      </c>
      <c r="F3" s="5" t="s">
        <v>234</v>
      </c>
      <c r="G3" s="14" t="str">
        <f t="array" ref="G3">IF(B3="", "",
  LET(_xlpm.spell, IFERROR(IF(F3="", "", INDEX(_xlws.FILTER(Hairstyles!$F:$F, ISNUMBER(SEARCH(F3, Hairstyles!$B:$B))), 1)), "No Spell for Hairstyle"),
  _xlpm.vanillaPrefix, IF(LEFT(_xlpm.spell, 7)="Uvi_Wig", "", ";"),
  ";" &amp; IF(C3="", B3, C3) &amp; IF(M3="", "", " ("&amp;M3&amp;")") &amp; CHAR(10) &amp;
  _xlpm.vanillaPrefix &amp; "Keyword = Uvi_Wig_Distr_KYWD|" &amp; B3 &amp; CHAR(10) &amp;
  _xlpm.vanillaPrefix &amp; "Spell = " &amp; _xlpm.spell &amp; "|" &amp; B3
  )
)</f>
        <v>;Acolyte Jenssen
;Keyword = Uvi_Wig_Distr_KYWD|AcolyteJenssen
;Spell = No Spell for Hairstyle|AcolyteJenssen</v>
      </c>
    </row>
    <row r="4" ht="12.75" customHeight="1">
      <c r="A4" s="15" t="s">
        <v>318</v>
      </c>
      <c r="B4" s="5" t="s">
        <v>320</v>
      </c>
      <c r="C4" s="5" t="s">
        <v>320</v>
      </c>
      <c r="D4" s="5" t="s">
        <v>86</v>
      </c>
      <c r="E4" s="5" t="s">
        <v>41</v>
      </c>
      <c r="F4" s="5" t="s">
        <v>88</v>
      </c>
      <c r="G4" s="14" t="str">
        <f t="array" ref="G4">IF(B4="", "",
  LET(_xlpm.spell, IFERROR(IF(F4="", "", INDEX(_xlws.FILTER(Hairstyles!$F:$F, ISNUMBER(SEARCH(F4, Hairstyles!$B:$B))), 1)), "No Spell for Hairstyle"),
  _xlpm.vanillaPrefix, IF(LEFT(_xlpm.spell, 7)="Uvi_Wig", "", ";"),
  ";" &amp; IF(C4="", B4, C4) &amp; IF(M4="", "", " ("&amp;M4&amp;")") &amp; CHAR(10) &amp;
  _xlpm.vanillaPrefix &amp; "Keyword = Uvi_Wig_Distr_KYWD|" &amp; B4 &amp; CHAR(10) &amp;
  _xlpm.vanillaPrefix &amp; "Spell = " &amp; _xlpm.spell &amp; "|" &amp; B4
  )
)</f>
        <v>;Adara
;Keyword = Uvi_Wig_Distr_KYWD|Adara
;Spell = No Spell for Hairstyle|Adara</v>
      </c>
    </row>
    <row r="5" ht="12.75" customHeight="1">
      <c r="A5" s="5" t="s">
        <v>366</v>
      </c>
      <c r="B5" s="5" t="s">
        <v>368</v>
      </c>
      <c r="C5" s="5" t="s">
        <v>369</v>
      </c>
      <c r="D5" s="5" t="s">
        <v>51</v>
      </c>
      <c r="E5" s="5" t="s">
        <v>41</v>
      </c>
      <c r="F5" s="5" t="s">
        <v>371</v>
      </c>
      <c r="G5" s="14" t="str">
        <f t="array" ref="G5">IF(B5="", "",
  LET(_xlpm.spell, IFERROR(IF(F5="", "", INDEX(_xlws.FILTER(Hairstyles!$F:$F, ISNUMBER(SEARCH(F5, Hairstyles!$B:$B))), 1)), "No Spell for Hairstyle"),
  _xlpm.vanillaPrefix, IF(LEFT(_xlpm.spell, 7)="Uvi_Wig", "", ";"),
  ";" &amp; IF(C5="", B5, C5) &amp; IF(M5="", "", " ("&amp;M5&amp;")") &amp; CHAR(10) &amp;
  _xlpm.vanillaPrefix &amp; "Keyword = Uvi_Wig_Distr_KYWD|" &amp; B5 &amp; CHAR(10) &amp;
  _xlpm.vanillaPrefix &amp; "Spell = " &amp; _xlpm.spell &amp; "|" &amp; B5
  )
)</f>
        <v>;Addict
;Keyword = Uvi_Wig_Distr_KYWD|DLC1dunRedwaterDenAddict4
;Spell = No Spell for Hairstyle|DLC1dunRedwaterDenAddict4</v>
      </c>
    </row>
    <row r="6" ht="12.75" customHeight="1">
      <c r="A6" s="15" t="s">
        <v>420</v>
      </c>
      <c r="B6" s="5" t="s">
        <v>421</v>
      </c>
      <c r="C6" s="5" t="s">
        <v>421</v>
      </c>
      <c r="D6" s="5" t="s">
        <v>38</v>
      </c>
      <c r="E6" s="5" t="s">
        <v>233</v>
      </c>
      <c r="F6" s="5" t="s">
        <v>424</v>
      </c>
      <c r="G6" s="14" t="str">
        <f t="array" ref="G6">IF(B6="", "",
  LET(_xlpm.spell, IFERROR(IF(F6="", "", INDEX(_xlws.FILTER(Hairstyles!$F:$F, ISNUMBER(SEARCH(F6, Hairstyles!$B:$B))), 1)), "No Spell for Hairstyle"),
  _xlpm.vanillaPrefix, IF(LEFT(_xlpm.spell, 7)="Uvi_Wig", "", ";"),
  ";" &amp; IF(C6="", B6, C6) &amp; IF(M6="", "", " ("&amp;M6&amp;")") &amp; CHAR(10) &amp;
  _xlpm.vanillaPrefix &amp; "Keyword = Uvi_Wig_Distr_KYWD|" &amp; B6 &amp; CHAR(10) &amp;
  _xlpm.vanillaPrefix &amp; "Spell = " &amp; _xlpm.spell &amp; "|" &amp; B6
  )
)</f>
        <v>;Addvar
;Keyword = Uvi_Wig_Distr_KYWD|Addvar
;Spell = No Spell for Hairstyle|Addvar</v>
      </c>
    </row>
    <row r="7" ht="12.75" customHeight="1">
      <c r="A7" s="5" t="s">
        <v>469</v>
      </c>
      <c r="B7" s="5" t="s">
        <v>470</v>
      </c>
      <c r="C7" s="5" t="s">
        <v>470</v>
      </c>
      <c r="D7" s="5" t="s">
        <v>38</v>
      </c>
      <c r="E7" s="5" t="s">
        <v>233</v>
      </c>
      <c r="F7" s="5" t="s">
        <v>424</v>
      </c>
      <c r="G7" s="14" t="str">
        <f t="array" ref="G7">IF(B7="", "",
  LET(_xlpm.spell, IFERROR(IF(F7="", "", INDEX(_xlws.FILTER(Hairstyles!$F:$F, ISNUMBER(SEARCH(F7, Hairstyles!$B:$B))), 1)), "No Spell for Hairstyle"),
  _xlpm.vanillaPrefix, IF(LEFT(_xlpm.spell, 7)="Uvi_Wig", "", ";"),
  ";" &amp; IF(C7="", B7, C7) &amp; IF(M7="", "", " ("&amp;M7&amp;")") &amp; CHAR(10) &amp;
  _xlpm.vanillaPrefix &amp; "Keyword = Uvi_Wig_Distr_KYWD|" &amp; B7 &amp; CHAR(10) &amp;
  _xlpm.vanillaPrefix &amp; "Spell = " &amp; _xlpm.spell &amp; "|" &amp; B7
  )
)</f>
        <v>;Addvild
;Keyword = Uvi_Wig_Distr_KYWD|Addvild
;Spell = No Spell for Hairstyle|Addvild</v>
      </c>
    </row>
    <row r="8" ht="12.75" customHeight="1">
      <c r="A8" s="5" t="s">
        <v>518</v>
      </c>
      <c r="B8" s="5" t="s">
        <v>519</v>
      </c>
      <c r="C8" s="5" t="s">
        <v>519</v>
      </c>
      <c r="D8" s="5" t="s">
        <v>16</v>
      </c>
      <c r="E8" s="5" t="s">
        <v>233</v>
      </c>
      <c r="F8" s="5" t="s">
        <v>521</v>
      </c>
      <c r="G8" s="14" t="str">
        <f t="array" ref="G8">IF(B8="", "",
  LET(_xlpm.spell, IFERROR(IF(F8="", "", INDEX(_xlws.FILTER(Hairstyles!$F:$F, ISNUMBER(SEARCH(F8, Hairstyles!$B:$B))), 1)), "No Spell for Hairstyle"),
  _xlpm.vanillaPrefix, IF(LEFT(_xlpm.spell, 7)="Uvi_Wig", "", ";"),
  ";" &amp; IF(C8="", B8, C8) &amp; IF(M8="", "", " ("&amp;M8&amp;")") &amp; CHAR(10) &amp;
  _xlpm.vanillaPrefix &amp; "Keyword = Uvi_Wig_Distr_KYWD|" &amp; B8 &amp; CHAR(10) &amp;
  _xlpm.vanillaPrefix &amp; "Spell = " &amp; _xlpm.spell &amp; "|" &amp; B8
  )
)</f>
        <v>;Adeber
;Keyword = Uvi_Wig_Distr_KYWD|Adeber
;Spell = No Spell for Hairstyle|Adeber</v>
      </c>
    </row>
    <row r="9" ht="12.75" customHeight="1">
      <c r="A9" s="5" t="s">
        <v>555</v>
      </c>
      <c r="B9" s="5" t="s">
        <v>556</v>
      </c>
      <c r="C9" s="5" t="s">
        <v>557</v>
      </c>
      <c r="D9" s="5" t="s">
        <v>59</v>
      </c>
      <c r="E9" s="5" t="s">
        <v>41</v>
      </c>
      <c r="F9" s="5" t="s">
        <v>343</v>
      </c>
      <c r="G9" s="14" t="str">
        <f t="array" ref="G9">IF(B9="", "",
  LET(_xlpm.spell, IFERROR(IF(F9="", "", INDEX(_xlws.FILTER(Hairstyles!$F:$F, ISNUMBER(SEARCH(F9, Hairstyles!$B:$B))), 1)), "No Spell for Hairstyle"),
  _xlpm.vanillaPrefix, IF(LEFT(_xlpm.spell, 7)="Uvi_Wig", "", ";"),
  ";" &amp; IF(C9="", B9, C9) &amp; IF(M9="", "", " ("&amp;M9&amp;")") &amp; CHAR(10) &amp;
  _xlpm.vanillaPrefix &amp; "Keyword = Uvi_Wig_Distr_KYWD|" &amp; B9 &amp; CHAR(10) &amp;
  _xlpm.vanillaPrefix &amp; "Spell = " &amp; _xlpm.spell &amp; "|" &amp; B9
  )
)</f>
        <v>;Adelaisa Vendicci
;Keyword = Uvi_Wig_Distr_KYWD|Adelaisa
;Spell = No Spell for Hairstyle|Adelaisa</v>
      </c>
    </row>
    <row r="10" ht="12.75" customHeight="1">
      <c r="A10" s="5" t="s">
        <v>581</v>
      </c>
      <c r="B10" s="5" t="s">
        <v>582</v>
      </c>
      <c r="C10" s="5" t="s">
        <v>582</v>
      </c>
      <c r="D10" s="5" t="s">
        <v>38</v>
      </c>
      <c r="E10" s="5" t="s">
        <v>41</v>
      </c>
      <c r="F10" s="5" t="s">
        <v>22</v>
      </c>
      <c r="G10" s="14" t="str">
        <f t="array" ref="G10">IF(B10="", "",
  LET(_xlpm.spell, IFERROR(IF(F10="", "", INDEX(_xlws.FILTER(Hairstyles!$F:$F, ISNUMBER(SEARCH(F10, Hairstyles!$B:$B))), 1)), "No Spell for Hairstyle"),
  _xlpm.vanillaPrefix, IF(LEFT(_xlpm.spell, 7)="Uvi_Wig", "", ";"),
  ";" &amp; IF(C10="", B10, C10) &amp; IF(M10="", "", " ("&amp;M10&amp;")") &amp; CHAR(10) &amp;
  _xlpm.vanillaPrefix &amp; "Keyword = Uvi_Wig_Distr_KYWD|" &amp; B10 &amp; CHAR(10) &amp;
  _xlpm.vanillaPrefix &amp; "Spell = " &amp; _xlpm.spell &amp; "|" &amp; B10
  )
)</f>
        <v>;Adisla
;Keyword = Uvi_Wig_Distr_KYWD|Adisla
;Spell = No Spell for Hairstyle|Adisla</v>
      </c>
    </row>
    <row r="11" ht="12.75" customHeight="1">
      <c r="A11" s="5" t="s">
        <v>601</v>
      </c>
      <c r="B11" s="5" t="s">
        <v>602</v>
      </c>
      <c r="C11" s="5" t="s">
        <v>604</v>
      </c>
      <c r="D11" s="5" t="s">
        <v>59</v>
      </c>
      <c r="E11" s="5" t="s">
        <v>233</v>
      </c>
      <c r="F11" s="5" t="s">
        <v>224</v>
      </c>
      <c r="G11" s="14" t="str">
        <f t="array" ref="G11">IF(B11="", "",
  LET(_xlpm.spell, IFERROR(IF(F11="", "", INDEX(_xlws.FILTER(Hairstyles!$F:$F, ISNUMBER(SEARCH(F11, Hairstyles!$B:$B))), 1)), "No Spell for Hairstyle"),
  _xlpm.vanillaPrefix, IF(LEFT(_xlpm.spell, 7)="Uvi_Wig", "", ";"),
  ";" &amp; IF(C11="", B11, C11) &amp; IF(M11="", "", " ("&amp;M11&amp;")") &amp; CHAR(10) &amp;
  _xlpm.vanillaPrefix &amp; "Keyword = Uvi_Wig_Distr_KYWD|" &amp; B11 &amp; CHAR(10) &amp;
  _xlpm.vanillaPrefix &amp; "Spell = " &amp; _xlpm.spell &amp; "|" &amp; B11
  )
)</f>
        <v>;Adonato Leotelli
;Keyword = Uvi_Wig_Distr_KYWD|AdonatoLeotelli
;Spell = No Spell for Hairstyle|AdonatoLeotelli</v>
      </c>
    </row>
    <row r="12" ht="12.75" customHeight="1">
      <c r="A12" s="5" t="s">
        <v>624</v>
      </c>
      <c r="B12" s="5" t="s">
        <v>625</v>
      </c>
      <c r="C12" s="5" t="s">
        <v>626</v>
      </c>
      <c r="D12" s="5" t="s">
        <v>59</v>
      </c>
      <c r="E12" s="5" t="s">
        <v>41</v>
      </c>
      <c r="F12" s="5" t="s">
        <v>270</v>
      </c>
      <c r="G12" s="14" t="str">
        <f t="array" ref="G12">IF(B12="", "",
  LET(_xlpm.spell, IFERROR(IF(F12="", "", INDEX(_xlws.FILTER(Hairstyles!$F:$F, ISNUMBER(SEARCH(F12, Hairstyles!$B:$B))), 1)), "No Spell for Hairstyle"),
  _xlpm.vanillaPrefix, IF(LEFT(_xlpm.spell, 7)="Uvi_Wig", "", ";"),
  ";" &amp; IF(C12="", B12, C12) &amp; IF(M12="", "", " ("&amp;M12&amp;")") &amp; CHAR(10) &amp;
  _xlpm.vanillaPrefix &amp; "Keyword = Uvi_Wig_Distr_KYWD|" &amp; B12 &amp; CHAR(10) &amp;
  _xlpm.vanillaPrefix &amp; "Spell = " &amp; _xlpm.spell &amp; "|" &amp; B12
  )
)</f>
        <v>;Adrianne Avenicci
;Keyword = Uvi_Wig_Distr_KYWD|AdrianneAvenicci
;Spell = No Spell for Hairstyle|AdrianneAvenicci</v>
      </c>
    </row>
    <row r="13" ht="12.75" customHeight="1">
      <c r="A13" s="15" t="s">
        <v>650</v>
      </c>
      <c r="B13" s="5" t="s">
        <v>651</v>
      </c>
      <c r="C13" s="5" t="s">
        <v>652</v>
      </c>
      <c r="D13" s="5" t="s">
        <v>45</v>
      </c>
      <c r="E13" s="5" t="s">
        <v>233</v>
      </c>
      <c r="F13" s="5" t="s">
        <v>47</v>
      </c>
      <c r="G13" s="14" t="str">
        <f t="array" ref="G13">IF(B13="", "",
  LET(_xlpm.spell, IFERROR(IF(F13="", "", INDEX(_xlws.FILTER(Hairstyles!$F:$F, ISNUMBER(SEARCH(F13, Hairstyles!$B:$B))), 1)), "No Spell for Hairstyle"),
  _xlpm.vanillaPrefix, IF(LEFT(_xlpm.spell, 7)="Uvi_Wig", "", ";"),
  ";" &amp; IF(C13="", B13, C13) &amp; IF(M13="", "", " ("&amp;M13&amp;")") &amp; CHAR(10) &amp;
  _xlpm.vanillaPrefix &amp; "Keyword = Uvi_Wig_Distr_KYWD|" &amp; B13 &amp; CHAR(10) &amp;
  _xlpm.vanillaPrefix &amp; "Spell = " &amp; _xlpm.spell &amp; "|" &amp; B13
  )
)</f>
        <v>;Adril Arano
;Keyword = Uvi_Wig_Distr_KYWD|DLC2RRAdrilArano
;Spell = No Spell for Hairstyle|DLC2RRAdrilArano</v>
      </c>
    </row>
    <row r="14" ht="12.75" customHeight="1">
      <c r="A14" s="5" t="s">
        <v>669</v>
      </c>
      <c r="B14" s="5" t="s">
        <v>670</v>
      </c>
      <c r="C14" s="5" t="s">
        <v>671</v>
      </c>
      <c r="D14" s="5" t="s">
        <v>45</v>
      </c>
      <c r="E14" s="5" t="s">
        <v>41</v>
      </c>
      <c r="F14" s="5" t="s">
        <v>48</v>
      </c>
      <c r="G14" s="14" t="str">
        <f t="array" ref="G14">IF(B14="", "",
  LET(_xlpm.spell, IFERROR(IF(F14="", "", INDEX(_xlws.FILTER(Hairstyles!$F:$F, ISNUMBER(SEARCH(F14, Hairstyles!$B:$B))), 1)), "No Spell for Hairstyle"),
  _xlpm.vanillaPrefix, IF(LEFT(_xlpm.spell, 7)="Uvi_Wig", "", ";"),
  ";" &amp; IF(C14="", B14, C14) &amp; IF(M14="", "", " ("&amp;M14&amp;")") &amp; CHAR(10) &amp;
  _xlpm.vanillaPrefix &amp; "Keyword = Uvi_Wig_Distr_KYWD|" &amp; B14 &amp; CHAR(10) &amp;
  _xlpm.vanillaPrefix &amp; "Spell = " &amp; _xlpm.spell &amp; "|" &amp; B14
  )
)</f>
        <v>;Aduri Sarethi
;Keyword = Uvi_Wig_Distr_KYWD|AduriSarethi
;Spell = No Spell for Hairstyle|AduriSarethi</v>
      </c>
    </row>
    <row r="15" ht="12.75" customHeight="1">
      <c r="A15" s="5" t="s">
        <v>692</v>
      </c>
      <c r="B15" s="5" t="s">
        <v>693</v>
      </c>
      <c r="C15" s="5" t="s">
        <v>694</v>
      </c>
      <c r="D15" s="5" t="s">
        <v>59</v>
      </c>
      <c r="E15" s="5" t="s">
        <v>233</v>
      </c>
      <c r="F15" s="5" t="s">
        <v>695</v>
      </c>
      <c r="G15" s="14" t="str">
        <f t="array" ref="G15">IF(B15="", "",
  LET(_xlpm.spell, IFERROR(IF(F15="", "", INDEX(_xlws.FILTER(Hairstyles!$F:$F, ISNUMBER(SEARCH(F15, Hairstyles!$B:$B))), 1)), "No Spell for Hairstyle"),
  _xlpm.vanillaPrefix, IF(LEFT(_xlpm.spell, 7)="Uvi_Wig", "", ";"),
  ";" &amp; IF(C15="", B15, C15) &amp; IF(M15="", "", " ("&amp;M15&amp;")") &amp; CHAR(10) &amp;
  _xlpm.vanillaPrefix &amp; "Keyword = Uvi_Wig_Distr_KYWD|" &amp; B15 &amp; CHAR(10) &amp;
  _xlpm.vanillaPrefix &amp; "Spell = " &amp; _xlpm.spell &amp; "|" &amp; B15
  )
)</f>
        <v>;Adventurer
;Keyword = Uvi_Wig_Distr_KYWD|DLC1ArkngthamzAdventurer
;Spell = No Spell for Hairstyle|DLC1ArkngthamzAdventurer</v>
      </c>
    </row>
    <row r="16" ht="12.75" customHeight="1">
      <c r="A16" s="5" t="s">
        <v>717</v>
      </c>
      <c r="B16" s="5" t="s">
        <v>718</v>
      </c>
      <c r="C16" s="5" t="s">
        <v>694</v>
      </c>
      <c r="D16" s="5" t="s">
        <v>16</v>
      </c>
      <c r="E16" s="5" t="s">
        <v>41</v>
      </c>
      <c r="F16" s="5" t="s">
        <v>42</v>
      </c>
      <c r="G16" s="14" t="str">
        <f t="array" ref="G16">IF(B16="", "",
  LET(_xlpm.spell, IFERROR(IF(F16="", "", INDEX(_xlws.FILTER(Hairstyles!$F:$F, ISNUMBER(SEARCH(F16, Hairstyles!$B:$B))), 1)), "No Spell for Hairstyle"),
  _xlpm.vanillaPrefix, IF(LEFT(_xlpm.spell, 7)="Uvi_Wig", "", ";"),
  ";" &amp; IF(C16="", B16, C16) &amp; IF(M16="", "", " ("&amp;M16&amp;")") &amp; CHAR(10) &amp;
  _xlpm.vanillaPrefix &amp; "Keyword = Uvi_Wig_Distr_KYWD|" &amp; B16 &amp; CHAR(10) &amp;
  _xlpm.vanillaPrefix &amp; "Spell = " &amp; _xlpm.spell &amp; "|" &amp; B16
  )
)</f>
        <v>;Adventurer
;Keyword = Uvi_Wig_Distr_KYWD|DLC1LD_BookCorpse1
;Spell = No Spell for Hairstyle|DLC1LD_BookCorpse1</v>
      </c>
    </row>
    <row r="17" ht="12.75" customHeight="1">
      <c r="A17" s="5" t="s">
        <v>739</v>
      </c>
      <c r="B17" s="5" t="s">
        <v>740</v>
      </c>
      <c r="C17" s="5" t="s">
        <v>694</v>
      </c>
      <c r="D17" s="5" t="s">
        <v>65</v>
      </c>
      <c r="E17" s="5" t="s">
        <v>233</v>
      </c>
      <c r="F17" s="5" t="s">
        <v>321</v>
      </c>
      <c r="G17" s="14" t="str">
        <f t="array" ref="G17">IF(B17="", "",
  LET(_xlpm.spell, IFERROR(IF(F17="", "", INDEX(_xlws.FILTER(Hairstyles!$F:$F, ISNUMBER(SEARCH(F17, Hairstyles!$B:$B))), 1)), "No Spell for Hairstyle"),
  _xlpm.vanillaPrefix, IF(LEFT(_xlpm.spell, 7)="Uvi_Wig", "", ";"),
  ";" &amp; IF(C17="", B17, C17) &amp; IF(M17="", "", " ("&amp;M17&amp;")") &amp; CHAR(10) &amp;
  _xlpm.vanillaPrefix &amp; "Keyword = Uvi_Wig_Distr_KYWD|" &amp; B17 &amp; CHAR(10) &amp;
  _xlpm.vanillaPrefix &amp; "Spell = " &amp; _xlpm.spell &amp; "|" &amp; B17
  )
)</f>
        <v>;Adventurer
;Keyword = Uvi_Wig_Distr_KYWD|DLC1LD_BookCorpse2
;Spell = No Spell for Hairstyle|DLC1LD_BookCorpse2</v>
      </c>
    </row>
    <row r="18" ht="12.75" customHeight="1">
      <c r="A18" s="5" t="s">
        <v>759</v>
      </c>
      <c r="B18" s="5" t="s">
        <v>760</v>
      </c>
      <c r="C18" s="5" t="s">
        <v>694</v>
      </c>
      <c r="D18" s="5" t="s">
        <v>38</v>
      </c>
      <c r="E18" s="5" t="s">
        <v>233</v>
      </c>
      <c r="F18" s="5" t="s">
        <v>762</v>
      </c>
      <c r="G18" s="14" t="str">
        <f t="array" ref="G18">IF(B18="", "",
  LET(_xlpm.spell, IFERROR(IF(F18="", "", INDEX(_xlws.FILTER(Hairstyles!$F:$F, ISNUMBER(SEARCH(F18, Hairstyles!$B:$B))), 1)), "No Spell for Hairstyle"),
  _xlpm.vanillaPrefix, IF(LEFT(_xlpm.spell, 7)="Uvi_Wig", "", ";"),
  ";" &amp; IF(C18="", B18, C18) &amp; IF(M18="", "", " ("&amp;M18&amp;")") &amp; CHAR(10) &amp;
  _xlpm.vanillaPrefix &amp; "Keyword = Uvi_Wig_Distr_KYWD|" &amp; B18 &amp; CHAR(10) &amp;
  _xlpm.vanillaPrefix &amp; "Spell = " &amp; _xlpm.spell &amp; "|" &amp; B18
  )
)</f>
        <v>;Adventurer
;Keyword = Uvi_Wig_Distr_KYWD|DLC2dunGyldenhulAdventurer
;Spell = No Spell for Hairstyle|DLC2dunGyldenhulAdventurer</v>
      </c>
    </row>
    <row r="19" ht="12.75" customHeight="1">
      <c r="A19" s="5" t="s">
        <v>778</v>
      </c>
      <c r="B19" s="5" t="s">
        <v>779</v>
      </c>
      <c r="C19" s="5" t="s">
        <v>694</v>
      </c>
      <c r="D19" s="5" t="s">
        <v>59</v>
      </c>
      <c r="E19" s="5" t="s">
        <v>233</v>
      </c>
      <c r="F19" s="5" t="s">
        <v>695</v>
      </c>
      <c r="G19" s="14" t="str">
        <f t="array" ref="G19">IF(B19="", "",
  LET(_xlpm.spell, IFERROR(IF(F19="", "", INDEX(_xlws.FILTER(Hairstyles!$F:$F, ISNUMBER(SEARCH(F19, Hairstyles!$B:$B))), 1)), "No Spell for Hairstyle"),
  _xlpm.vanillaPrefix, IF(LEFT(_xlpm.spell, 7)="Uvi_Wig", "", ";"),
  ";" &amp; IF(C19="", B19, C19) &amp; IF(M19="", "", " ("&amp;M19&amp;")") &amp; CHAR(10) &amp;
  _xlpm.vanillaPrefix &amp; "Keyword = Uvi_Wig_Distr_KYWD|" &amp; B19 &amp; CHAR(10) &amp;
  _xlpm.vanillaPrefix &amp; "Spell = " &amp; _xlpm.spell &amp; "|" &amp; B19
  )
)</f>
        <v>;Adventurer
;Keyword = Uvi_Wig_Distr_KYWD|dunChillwindAdventurer01
;Spell = No Spell for Hairstyle|dunChillwindAdventurer01</v>
      </c>
    </row>
    <row r="20" ht="12.75" customHeight="1">
      <c r="A20" s="15" t="s">
        <v>800</v>
      </c>
      <c r="B20" s="5" t="s">
        <v>801</v>
      </c>
      <c r="C20" s="5" t="s">
        <v>694</v>
      </c>
      <c r="D20" s="5" t="s">
        <v>80</v>
      </c>
      <c r="E20" s="5" t="s">
        <v>233</v>
      </c>
      <c r="F20" s="5" t="s">
        <v>537</v>
      </c>
      <c r="G20" s="14" t="str">
        <f t="array" ref="G20">IF(B20="", "",
  LET(_xlpm.spell, IFERROR(IF(F20="", "", INDEX(_xlws.FILTER(Hairstyles!$F:$F, ISNUMBER(SEARCH(F20, Hairstyles!$B:$B))), 1)), "No Spell for Hairstyle"),
  _xlpm.vanillaPrefix, IF(LEFT(_xlpm.spell, 7)="Uvi_Wig", "", ";"),
  ";" &amp; IF(C20="", B20, C20) &amp; IF(M20="", "", " ("&amp;M20&amp;")") &amp; CHAR(10) &amp;
  _xlpm.vanillaPrefix &amp; "Keyword = Uvi_Wig_Distr_KYWD|" &amp; B20 &amp; CHAR(10) &amp;
  _xlpm.vanillaPrefix &amp; "Spell = " &amp; _xlpm.spell &amp; "|" &amp; B20
  )
)</f>
        <v>;Adventurer
;Keyword = Uvi_Wig_Distr_KYWD|dunChillwindAdventurer02
;Spell = No Spell for Hairstyle|dunChillwindAdventurer02</v>
      </c>
    </row>
    <row r="21" ht="12.75" customHeight="1">
      <c r="A21" s="5" t="s">
        <v>820</v>
      </c>
      <c r="B21" s="5" t="s">
        <v>821</v>
      </c>
      <c r="C21" s="5" t="s">
        <v>694</v>
      </c>
      <c r="D21" s="5" t="s">
        <v>80</v>
      </c>
      <c r="E21" s="5" t="s">
        <v>233</v>
      </c>
      <c r="F21" s="5" t="s">
        <v>537</v>
      </c>
      <c r="G21" s="14" t="str">
        <f t="array" ref="G21">IF(B21="", "",
  LET(_xlpm.spell, IFERROR(IF(F21="", "", INDEX(_xlws.FILTER(Hairstyles!$F:$F, ISNUMBER(SEARCH(F21, Hairstyles!$B:$B))), 1)), "No Spell for Hairstyle"),
  _xlpm.vanillaPrefix, IF(LEFT(_xlpm.spell, 7)="Uvi_Wig", "", ";"),
  ";" &amp; IF(C21="", B21, C21) &amp; IF(M21="", "", " ("&amp;M21&amp;")") &amp; CHAR(10) &amp;
  _xlpm.vanillaPrefix &amp; "Keyword = Uvi_Wig_Distr_KYWD|" &amp; B21 &amp; CHAR(10) &amp;
  _xlpm.vanillaPrefix &amp; "Spell = " &amp; _xlpm.spell &amp; "|" &amp; B21
  )
)</f>
        <v>;Adventurer
;Keyword = Uvi_Wig_Distr_KYWD|dunDeepwoodAdventurer1
;Spell = No Spell for Hairstyle|dunDeepwoodAdventurer1</v>
      </c>
    </row>
    <row r="22" ht="12.75" customHeight="1">
      <c r="A22" s="5" t="s">
        <v>841</v>
      </c>
      <c r="B22" s="5" t="s">
        <v>842</v>
      </c>
      <c r="C22" s="5" t="s">
        <v>694</v>
      </c>
      <c r="D22" s="5" t="s">
        <v>16</v>
      </c>
      <c r="E22" s="5" t="s">
        <v>233</v>
      </c>
      <c r="F22" s="5" t="s">
        <v>235</v>
      </c>
      <c r="G22" s="14" t="str">
        <f t="array" ref="G22">IF(B22="", "",
  LET(_xlpm.spell, IFERROR(IF(F22="", "", INDEX(_xlws.FILTER(Hairstyles!$F:$F, ISNUMBER(SEARCH(F22, Hairstyles!$B:$B))), 1)), "No Spell for Hairstyle"),
  _xlpm.vanillaPrefix, IF(LEFT(_xlpm.spell, 7)="Uvi_Wig", "", ";"),
  ";" &amp; IF(C22="", B22, C22) &amp; IF(M22="", "", " ("&amp;M22&amp;")") &amp; CHAR(10) &amp;
  _xlpm.vanillaPrefix &amp; "Keyword = Uvi_Wig_Distr_KYWD|" &amp; B22 &amp; CHAR(10) &amp;
  _xlpm.vanillaPrefix &amp; "Spell = " &amp; _xlpm.spell &amp; "|" &amp; B22
  )
)</f>
        <v>;Adventurer
;Keyword = Uvi_Wig_Distr_KYWD|dunFolgunthurAdventurer1
;Spell = No Spell for Hairstyle|dunFolgunthurAdventurer1</v>
      </c>
    </row>
    <row r="23" ht="12.75" customHeight="1">
      <c r="A23" s="5" t="s">
        <v>860</v>
      </c>
      <c r="B23" s="5" t="s">
        <v>861</v>
      </c>
      <c r="C23" s="5" t="s">
        <v>694</v>
      </c>
      <c r="D23" s="5" t="s">
        <v>59</v>
      </c>
      <c r="E23" s="5" t="s">
        <v>41</v>
      </c>
      <c r="F23" s="5" t="s">
        <v>862</v>
      </c>
      <c r="G23" s="14" t="str">
        <f t="array" ref="G23">IF(B23="", "",
  LET(_xlpm.spell, IFERROR(IF(F23="", "", INDEX(_xlws.FILTER(Hairstyles!$F:$F, ISNUMBER(SEARCH(F23, Hairstyles!$B:$B))), 1)), "No Spell for Hairstyle"),
  _xlpm.vanillaPrefix, IF(LEFT(_xlpm.spell, 7)="Uvi_Wig", "", ";"),
  ";" &amp; IF(C23="", B23, C23) &amp; IF(M23="", "", " ("&amp;M23&amp;")") &amp; CHAR(10) &amp;
  _xlpm.vanillaPrefix &amp; "Keyword = Uvi_Wig_Distr_KYWD|" &amp; B23 &amp; CHAR(10) &amp;
  _xlpm.vanillaPrefix &amp; "Spell = " &amp; _xlpm.spell &amp; "|" &amp; B23
  )
)</f>
        <v>;Adventurer
;Keyword = Uvi_Wig_Distr_KYWD|dunFolgunthurAdventurer2
;Spell = No Spell for Hairstyle|dunFolgunthurAdventurer2</v>
      </c>
    </row>
    <row r="24" ht="12.75" customHeight="1">
      <c r="A24" s="5" t="s">
        <v>883</v>
      </c>
      <c r="B24" s="5" t="s">
        <v>884</v>
      </c>
      <c r="C24" s="5" t="s">
        <v>694</v>
      </c>
      <c r="D24" s="5" t="s">
        <v>38</v>
      </c>
      <c r="E24" s="5" t="s">
        <v>233</v>
      </c>
      <c r="F24" s="5" t="s">
        <v>762</v>
      </c>
      <c r="G24" s="14" t="str">
        <f t="array" ref="G24">IF(B24="", "",
  LET(_xlpm.spell, IFERROR(IF(F24="", "", INDEX(_xlws.FILTER(Hairstyles!$F:$F, ISNUMBER(SEARCH(F24, Hairstyles!$B:$B))), 1)), "No Spell for Hairstyle"),
  _xlpm.vanillaPrefix, IF(LEFT(_xlpm.spell, 7)="Uvi_Wig", "", ";"),
  ";" &amp; IF(C24="", B24, C24) &amp; IF(M24="", "", " ("&amp;M24&amp;")") &amp; CHAR(10) &amp;
  _xlpm.vanillaPrefix &amp; "Keyword = Uvi_Wig_Distr_KYWD|" &amp; B24 &amp; CHAR(10) &amp;
  _xlpm.vanillaPrefix &amp; "Spell = " &amp; _xlpm.spell &amp; "|" &amp; B24
  )
)</f>
        <v>;Adventurer
;Keyword = Uvi_Wig_Distr_KYWD|dunFolgunthurAdventurer3
;Spell = No Spell for Hairstyle|dunFolgunthurAdventurer3</v>
      </c>
    </row>
    <row r="25" ht="12.75" customHeight="1">
      <c r="A25" s="5" t="s">
        <v>903</v>
      </c>
      <c r="B25" s="5" t="s">
        <v>904</v>
      </c>
      <c r="C25" s="5" t="s">
        <v>694</v>
      </c>
      <c r="D25" s="5" t="s">
        <v>83</v>
      </c>
      <c r="E25" s="5" t="s">
        <v>41</v>
      </c>
      <c r="F25" s="5" t="s">
        <v>905</v>
      </c>
      <c r="G25" s="14" t="str">
        <f t="array" ref="G25">IF(B25="", "",
  LET(_xlpm.spell, IFERROR(IF(F25="", "", INDEX(_xlws.FILTER(Hairstyles!$F:$F, ISNUMBER(SEARCH(F25, Hairstyles!$B:$B))), 1)), "No Spell for Hairstyle"),
  _xlpm.vanillaPrefix, IF(LEFT(_xlpm.spell, 7)="Uvi_Wig", "", ";"),
  ";" &amp; IF(C25="", B25, C25) &amp; IF(M25="", "", " ("&amp;M25&amp;")") &amp; CHAR(10) &amp;
  _xlpm.vanillaPrefix &amp; "Keyword = Uvi_Wig_Distr_KYWD|" &amp; B25 &amp; CHAR(10) &amp;
  _xlpm.vanillaPrefix &amp; "Spell = " &amp; _xlpm.spell &amp; "|" &amp; B25
  )
)</f>
        <v>;Adventurer
;Keyword = Uvi_Wig_Distr_KYWD|dunFolgunthurAdventurer4
;Spell = No Spell for Hairstyle|dunFolgunthurAdventurer4</v>
      </c>
    </row>
    <row r="26" ht="12.75" customHeight="1">
      <c r="A26" s="5" t="s">
        <v>923</v>
      </c>
      <c r="B26" s="5" t="s">
        <v>924</v>
      </c>
      <c r="C26" s="5" t="s">
        <v>694</v>
      </c>
      <c r="D26" s="5" t="s">
        <v>59</v>
      </c>
      <c r="E26" s="5" t="s">
        <v>233</v>
      </c>
      <c r="F26" s="5" t="s">
        <v>695</v>
      </c>
      <c r="G26" s="14" t="str">
        <f t="array" ref="G26">IF(B26="", "",
  LET(_xlpm.spell, IFERROR(IF(F26="", "", INDEX(_xlws.FILTER(Hairstyles!$F:$F, ISNUMBER(SEARCH(F26, Hairstyles!$B:$B))), 1)), "No Spell for Hairstyle"),
  _xlpm.vanillaPrefix, IF(LEFT(_xlpm.spell, 7)="Uvi_Wig", "", ";"),
  ";" &amp; IF(C26="", B26, C26) &amp; IF(M26="", "", " ("&amp;M26&amp;")") &amp; CHAR(10) &amp;
  _xlpm.vanillaPrefix &amp; "Keyword = Uvi_Wig_Distr_KYWD|" &amp; B26 &amp; CHAR(10) &amp;
  _xlpm.vanillaPrefix &amp; "Spell = " &amp; _xlpm.spell &amp; "|" &amp; B26
  )
)</f>
        <v>;Adventurer
;Keyword = Uvi_Wig_Distr_KYWD|dunFolgunthurAdventurer5
;Spell = No Spell for Hairstyle|dunFolgunthurAdventurer5</v>
      </c>
    </row>
    <row r="27" ht="12.75" customHeight="1">
      <c r="A27" s="5" t="s">
        <v>942</v>
      </c>
      <c r="B27" s="5" t="s">
        <v>943</v>
      </c>
      <c r="C27" s="5" t="s">
        <v>694</v>
      </c>
      <c r="D27" s="5" t="s">
        <v>59</v>
      </c>
      <c r="E27" s="5" t="s">
        <v>233</v>
      </c>
      <c r="F27" s="5" t="s">
        <v>695</v>
      </c>
      <c r="G27" s="14" t="str">
        <f t="array" ref="G27">IF(B27="", "",
  LET(_xlpm.spell, IFERROR(IF(F27="", "", INDEX(_xlws.FILTER(Hairstyles!$F:$F, ISNUMBER(SEARCH(F27, Hairstyles!$B:$B))), 1)), "No Spell for Hairstyle"),
  _xlpm.vanillaPrefix, IF(LEFT(_xlpm.spell, 7)="Uvi_Wig", "", ";"),
  ";" &amp; IF(C27="", B27, C27) &amp; IF(M27="", "", " ("&amp;M27&amp;")") &amp; CHAR(10) &amp;
  _xlpm.vanillaPrefix &amp; "Keyword = Uvi_Wig_Distr_KYWD|" &amp; B27 &amp; CHAR(10) &amp;
  _xlpm.vanillaPrefix &amp; "Spell = " &amp; _xlpm.spell &amp; "|" &amp; B27
  )
)</f>
        <v>;Adventurer
;Keyword = Uvi_Wig_Distr_KYWD|dunReachwaterRockAdventurer
;Spell = No Spell for Hairstyle|dunReachwaterRockAdventurer</v>
      </c>
    </row>
    <row r="28" ht="12.75" customHeight="1">
      <c r="A28" s="5" t="s">
        <v>962</v>
      </c>
      <c r="B28" s="5" t="s">
        <v>964</v>
      </c>
      <c r="C28" s="5" t="s">
        <v>694</v>
      </c>
      <c r="D28" s="5" t="s">
        <v>80</v>
      </c>
      <c r="E28" s="5" t="s">
        <v>233</v>
      </c>
      <c r="F28" s="5" t="s">
        <v>537</v>
      </c>
      <c r="G28" s="14" t="str">
        <f t="array" ref="G28">IF(B28="", "",
  LET(_xlpm.spell, IFERROR(IF(F28="", "", INDEX(_xlws.FILTER(Hairstyles!$F:$F, ISNUMBER(SEARCH(F28, Hairstyles!$B:$B))), 1)), "No Spell for Hairstyle"),
  _xlpm.vanillaPrefix, IF(LEFT(_xlpm.spell, 7)="Uvi_Wig", "", ";"),
  ";" &amp; IF(C28="", B28, C28) &amp; IF(M28="", "", " ("&amp;M28&amp;")") &amp; CHAR(10) &amp;
  _xlpm.vanillaPrefix &amp; "Keyword = Uvi_Wig_Distr_KYWD|" &amp; B28 &amp; CHAR(10) &amp;
  _xlpm.vanillaPrefix &amp; "Spell = " &amp; _xlpm.spell &amp; "|" &amp; B28
  )
)</f>
        <v>;Adventurer
;Keyword = Uvi_Wig_Distr_KYWD|dunRebelsCairnAdventurer
;Spell = No Spell for Hairstyle|dunRebelsCairnAdventurer</v>
      </c>
    </row>
    <row r="29" ht="12.75" customHeight="1">
      <c r="A29" s="5" t="s">
        <v>988</v>
      </c>
      <c r="B29" s="5" t="s">
        <v>989</v>
      </c>
      <c r="C29" s="5" t="s">
        <v>694</v>
      </c>
      <c r="D29" s="5" t="s">
        <v>38</v>
      </c>
      <c r="E29" s="5" t="s">
        <v>233</v>
      </c>
      <c r="F29" s="5" t="s">
        <v>990</v>
      </c>
      <c r="G29" s="14" t="str">
        <f t="array" ref="G29">IF(B29="", "",
  LET(_xlpm.spell, IFERROR(IF(F29="", "", INDEX(_xlws.FILTER(Hairstyles!$F:$F, ISNUMBER(SEARCH(F29, Hairstyles!$B:$B))), 1)), "No Spell for Hairstyle"),
  _xlpm.vanillaPrefix, IF(LEFT(_xlpm.spell, 7)="Uvi_Wig", "", ";"),
  ";" &amp; IF(C29="", B29, C29) &amp; IF(M29="", "", " ("&amp;M29&amp;")") &amp; CHAR(10) &amp;
  _xlpm.vanillaPrefix &amp; "Keyword = Uvi_Wig_Distr_KYWD|" &amp; B29 &amp; CHAR(10) &amp;
  _xlpm.vanillaPrefix &amp; "Spell = " &amp; _xlpm.spell &amp; "|" &amp; B29
  )
)</f>
        <v>;Adventurer
;Keyword = Uvi_Wig_Distr_KYWD|dunSkybornAltarAdventurer
;Spell = No Spell for Hairstyle|dunSkybornAltarAdventurer</v>
      </c>
    </row>
    <row r="30" ht="12.75" customHeight="1">
      <c r="A30" s="5" t="s">
        <v>1013</v>
      </c>
      <c r="B30" s="5" t="s">
        <v>1014</v>
      </c>
      <c r="C30" s="5" t="s">
        <v>694</v>
      </c>
      <c r="D30" s="5" t="s">
        <v>38</v>
      </c>
      <c r="E30" s="5" t="s">
        <v>233</v>
      </c>
      <c r="F30" s="5" t="s">
        <v>68</v>
      </c>
      <c r="G30" s="14" t="str">
        <f t="array" ref="G30">IF(B30="", "",
  LET(_xlpm.spell, IFERROR(IF(F30="", "", INDEX(_xlws.FILTER(Hairstyles!$F:$F, ISNUMBER(SEARCH(F30, Hairstyles!$B:$B))), 1)), "No Spell for Hairstyle"),
  _xlpm.vanillaPrefix, IF(LEFT(_xlpm.spell, 7)="Uvi_Wig", "", ";"),
  ";" &amp; IF(C30="", B30, C30) &amp; IF(M30="", "", " ("&amp;M30&amp;")") &amp; CHAR(10) &amp;
  _xlpm.vanillaPrefix &amp; "Keyword = Uvi_Wig_Distr_KYWD|" &amp; B30 &amp; CHAR(10) &amp;
  _xlpm.vanillaPrefix &amp; "Spell = " &amp; _xlpm.spell &amp; "|" &amp; B30
  )
)</f>
        <v>;Adventurer
;Keyword = Uvi_Wig_Distr_KYWD|WEAdventurerTemplate
;Spell = No Spell for Hairstyle|WEAdventurerTemplate</v>
      </c>
    </row>
    <row r="31" ht="12.75" customHeight="1">
      <c r="A31" s="5" t="s">
        <v>1037</v>
      </c>
      <c r="B31" s="5" t="s">
        <v>1038</v>
      </c>
      <c r="C31" s="5" t="s">
        <v>1039</v>
      </c>
      <c r="D31" s="5" t="s">
        <v>38</v>
      </c>
      <c r="E31" s="5" t="s">
        <v>41</v>
      </c>
      <c r="F31" s="5" t="s">
        <v>1041</v>
      </c>
      <c r="G31" s="14" t="str">
        <f t="array" ref="G31">IF(B31="", "",
  LET(_xlpm.spell, IFERROR(IF(F31="", "", INDEX(_xlws.FILTER(Hairstyles!$F:$F, ISNUMBER(SEARCH(F31, Hairstyles!$B:$B))), 1)), "No Spell for Hairstyle"),
  _xlpm.vanillaPrefix, IF(LEFT(_xlpm.spell, 7)="Uvi_Wig", "", ";"),
  ";" &amp; IF(C31="", B31, C31) &amp; IF(M31="", "", " ("&amp;M31&amp;")") &amp; CHAR(10) &amp;
  _xlpm.vanillaPrefix &amp; "Keyword = Uvi_Wig_Distr_KYWD|" &amp; B31 &amp; CHAR(10) &amp;
  _xlpm.vanillaPrefix &amp; "Spell = " &amp; _xlpm.spell &amp; "|" &amp; B31
  )
)</f>
        <v>;Aela the Huntress
;Keyword = Uvi_Wig_Distr_KYWD|AelaTheHuntress
;Spell = No Spell for Hairstyle|AelaTheHuntress</v>
      </c>
    </row>
    <row r="32" ht="12.75" customHeight="1">
      <c r="A32" s="5" t="s">
        <v>1060</v>
      </c>
      <c r="B32" s="5" t="s">
        <v>1061</v>
      </c>
      <c r="C32" s="5" t="s">
        <v>1061</v>
      </c>
      <c r="D32" s="5" t="s">
        <v>38</v>
      </c>
      <c r="E32" s="5" t="s">
        <v>41</v>
      </c>
      <c r="F32" s="5" t="s">
        <v>1063</v>
      </c>
      <c r="G32" s="14" t="str">
        <f t="array" ref="G32">IF(B32="", "",
  LET(_xlpm.spell, IFERROR(IF(F32="", "", INDEX(_xlws.FILTER(Hairstyles!$F:$F, ISNUMBER(SEARCH(F32, Hairstyles!$B:$B))), 1)), "No Spell for Hairstyle"),
  _xlpm.vanillaPrefix, IF(LEFT(_xlpm.spell, 7)="Uvi_Wig", "", ";"),
  ";" &amp; IF(C32="", B32, C32) &amp; IF(M32="", "", " ("&amp;M32&amp;")") &amp; CHAR(10) &amp;
  _xlpm.vanillaPrefix &amp; "Keyword = Uvi_Wig_Distr_KYWD|" &amp; B32 &amp; CHAR(10) &amp;
  _xlpm.vanillaPrefix &amp; "Spell = " &amp; _xlpm.spell &amp; "|" &amp; B32
  )
)</f>
        <v>;Aeri
;Keyword = Uvi_Wig_Distr_KYWD|Aeri
;Spell = No Spell for Hairstyle|Aeri</v>
      </c>
    </row>
    <row r="33" ht="12.75" customHeight="1">
      <c r="A33" s="15" t="s">
        <v>1085</v>
      </c>
      <c r="B33" s="5" t="s">
        <v>1086</v>
      </c>
      <c r="C33" s="5" t="s">
        <v>1086</v>
      </c>
      <c r="D33" s="5" t="s">
        <v>59</v>
      </c>
      <c r="E33" s="5" t="s">
        <v>233</v>
      </c>
      <c r="F33" s="5" t="s">
        <v>1088</v>
      </c>
      <c r="G33" s="14" t="str">
        <f t="array" ref="G33">IF(B33="", "",
  LET(_xlpm.spell, IFERROR(IF(F33="", "", INDEX(_xlws.FILTER(Hairstyles!$F:$F, ISNUMBER(SEARCH(F33, Hairstyles!$B:$B))), 1)), "No Spell for Hairstyle"),
  _xlpm.vanillaPrefix, IF(LEFT(_xlpm.spell, 7)="Uvi_Wig", "", ";"),
  ";" &amp; IF(C33="", B33, C33) &amp; IF(M33="", "", " ("&amp;M33&amp;")") &amp; CHAR(10) &amp;
  _xlpm.vanillaPrefix &amp; "Keyword = Uvi_Wig_Distr_KYWD|" &amp; B33 &amp; CHAR(10) &amp;
  _xlpm.vanillaPrefix &amp; "Spell = " &amp; _xlpm.spell &amp; "|" &amp; B33
  )
)</f>
        <v>;Aerin
;Keyword = Uvi_Wig_Distr_KYWD|Aerin
;Spell = No Spell for Hairstyle|Aerin</v>
      </c>
    </row>
    <row r="34" ht="12.75" customHeight="1">
      <c r="A34" s="5" t="s">
        <v>1115</v>
      </c>
      <c r="B34" s="5" t="s">
        <v>1116</v>
      </c>
      <c r="C34" s="5" t="s">
        <v>1117</v>
      </c>
      <c r="D34" s="5" t="s">
        <v>74</v>
      </c>
      <c r="E34" s="5" t="s">
        <v>41</v>
      </c>
      <c r="F34" s="5" t="s">
        <v>62</v>
      </c>
      <c r="G34" s="14" t="str">
        <f t="array" ref="G34">IF(B34="", "",
  LET(_xlpm.spell, IFERROR(IF(F34="", "", INDEX(_xlws.FILTER(Hairstyles!$F:$F, ISNUMBER(SEARCH(F34, Hairstyles!$B:$B))), 1)), "No Spell for Hairstyle"),
  _xlpm.vanillaPrefix, IF(LEFT(_xlpm.spell, 7)="Uvi_Wig", "", ";"),
  ";" &amp; IF(C34="", B34, C34) &amp; IF(M34="", "", " ("&amp;M34&amp;")") &amp; CHAR(10) &amp;
  _xlpm.vanillaPrefix &amp; "Keyword = Uvi_Wig_Distr_KYWD|" &amp; B34 &amp; CHAR(10) &amp;
  _xlpm.vanillaPrefix &amp; "Spell = " &amp; _xlpm.spell &amp; "|" &amp; B34
  )
)</f>
        <v>;Aeta
;Keyword = Uvi_Wig_Distr_KYWD|DLC2SVAeta
;Spell = No Spell for Hairstyle|DLC2SVAeta</v>
      </c>
    </row>
    <row r="35" ht="12.75" customHeight="1">
      <c r="A35" s="5" t="s">
        <v>1143</v>
      </c>
      <c r="B35" s="5" t="s">
        <v>1145</v>
      </c>
      <c r="C35" s="5" t="s">
        <v>1146</v>
      </c>
      <c r="D35" s="5" t="s">
        <v>38</v>
      </c>
      <c r="E35" s="5" t="s">
        <v>233</v>
      </c>
      <c r="F35" s="5" t="s">
        <v>68</v>
      </c>
      <c r="G35" s="14" t="str">
        <f t="array" ref="G35">IF(B35="", "",
  LET(_xlpm.spell, IFERROR(IF(F35="", "", INDEX(_xlws.FILTER(Hairstyles!$F:$F, ISNUMBER(SEARCH(F35, Hairstyles!$B:$B))), 1)), "No Spell for Hairstyle"),
  _xlpm.vanillaPrefix, IF(LEFT(_xlpm.spell, 7)="Uvi_Wig", "", ";"),
  ";" &amp; IF(C35="", B35, C35) &amp; IF(M35="", "", " ("&amp;M35&amp;")") &amp; CHAR(10) &amp;
  _xlpm.vanillaPrefix &amp; "Keyword = Uvi_Wig_Distr_KYWD|" &amp; B35 &amp; CHAR(10) &amp;
  _xlpm.vanillaPrefix &amp; "Spell = " &amp; _xlpm.spell &amp; "|" &amp; B35
  )
)</f>
        <v>;Affable Gent
;Keyword = Uvi_Wig_Distr_KYWD|WarehouseNPCWAllAmbush
;Spell = No Spell for Hairstyle|WarehouseNPCWAllAmbush</v>
      </c>
    </row>
    <row r="36" ht="12.75" customHeight="1">
      <c r="A36" s="5" t="s">
        <v>1165</v>
      </c>
      <c r="B36" s="5" t="s">
        <v>1166</v>
      </c>
      <c r="C36" s="5" t="s">
        <v>1167</v>
      </c>
      <c r="D36" s="5" t="s">
        <v>37</v>
      </c>
      <c r="E36" s="5" t="s">
        <v>233</v>
      </c>
      <c r="F36" s="5" t="s">
        <v>19</v>
      </c>
      <c r="G36" s="14" t="str">
        <f t="array" ref="G36">IF(B36="", "",
  LET(_xlpm.spell, IFERROR(IF(F36="", "", INDEX(_xlws.FILTER(Hairstyles!$F:$F, ISNUMBER(SEARCH(F36, Hairstyles!$B:$B))), 1)), "No Spell for Hairstyle"),
  _xlpm.vanillaPrefix, IF(LEFT(_xlpm.spell, 7)="Uvi_Wig", "", ";"),
  ";" &amp; IF(C36="", B36, C36) &amp; IF(M36="", "", " ("&amp;M36&amp;")") &amp; CHAR(10) &amp;
  _xlpm.vanillaPrefix &amp; "Keyword = Uvi_Wig_Distr_KYWD|" &amp; B36 &amp; CHAR(10) &amp;
  _xlpm.vanillaPrefix &amp; "Spell = " &amp; _xlpm.spell &amp; "|" &amp; B36
  )
)</f>
        <v>;Afflicted
;Keyword = Uvi_Wig_Distr_KYWD|DA13EncAfflicted00Template
;Spell = No Spell for Hairstyle|DA13EncAfflicted00Template</v>
      </c>
    </row>
    <row r="37" ht="12.75" customHeight="1">
      <c r="A37" s="5" t="s">
        <v>1186</v>
      </c>
      <c r="B37" s="5" t="s">
        <v>1187</v>
      </c>
      <c r="C37" s="5" t="s">
        <v>1188</v>
      </c>
      <c r="D37" s="5" t="s">
        <v>37</v>
      </c>
      <c r="E37" s="5" t="s">
        <v>233</v>
      </c>
      <c r="F37" s="5" t="s">
        <v>19</v>
      </c>
      <c r="G37" s="14" t="str">
        <f t="array" ref="G37">IF(B37="", "",
  LET(_xlpm.spell, IFERROR(IF(F37="", "", INDEX(_xlws.FILTER(Hairstyles!$F:$F, ISNUMBER(SEARCH(F37, Hairstyles!$B:$B))), 1)), "No Spell for Hairstyle"),
  _xlpm.vanillaPrefix, IF(LEFT(_xlpm.spell, 7)="Uvi_Wig", "", ";"),
  ";" &amp; IF(C37="", B37, C37) &amp; IF(M37="", "", " ("&amp;M37&amp;")") &amp; CHAR(10) &amp;
  _xlpm.vanillaPrefix &amp; "Keyword = Uvi_Wig_Distr_KYWD|" &amp; B37 &amp; CHAR(10) &amp;
  _xlpm.vanillaPrefix &amp; "Spell = " &amp; _xlpm.spell &amp; "|" &amp; B37
  )
)</f>
        <v>;Afflicted Devotee
;Keyword = Uvi_Wig_Distr_KYWD|DA13encAfflicted
;Spell = No Spell for Hairstyle|DA13encAfflicted</v>
      </c>
    </row>
    <row r="38" ht="12.75" customHeight="1">
      <c r="A38" s="5" t="s">
        <v>1212</v>
      </c>
      <c r="B38" s="5" t="s">
        <v>1214</v>
      </c>
      <c r="C38" s="5" t="s">
        <v>1215</v>
      </c>
      <c r="D38" s="5" t="s">
        <v>37</v>
      </c>
      <c r="E38" s="5" t="s">
        <v>233</v>
      </c>
      <c r="F38" s="5" t="s">
        <v>762</v>
      </c>
      <c r="G38" s="14" t="str">
        <f t="array" ref="G38">IF(B38="", "",
  LET(_xlpm.spell, IFERROR(IF(F38="", "", INDEX(_xlws.FILTER(Hairstyles!$F:$F, ISNUMBER(SEARCH(F38, Hairstyles!$B:$B))), 1)), "No Spell for Hairstyle"),
  _xlpm.vanillaPrefix, IF(LEFT(_xlpm.spell, 7)="Uvi_Wig", "", ";"),
  ";" &amp; IF(C38="", B38, C38) &amp; IF(M38="", "", " ("&amp;M38&amp;")") &amp; CHAR(10) &amp;
  _xlpm.vanillaPrefix &amp; "Keyword = Uvi_Wig_Distr_KYWD|" &amp; B38 &amp; CHAR(10) &amp;
  _xlpm.vanillaPrefix &amp; "Spell = " &amp; _xlpm.spell &amp; "|" &amp; B38
  )
)</f>
        <v>;Afflicted Refugee
;Keyword = Uvi_Wig_Distr_KYWD|DA13LvlAfflictedMelee1HWERefugee
;Spell = No Spell for Hairstyle|DA13LvlAfflictedMelee1HWERefugee</v>
      </c>
    </row>
    <row r="39" ht="12.75" customHeight="1">
      <c r="A39" s="5" t="s">
        <v>1232</v>
      </c>
      <c r="B39" s="5" t="s">
        <v>1233</v>
      </c>
      <c r="C39" s="5" t="s">
        <v>1235</v>
      </c>
      <c r="D39" s="5" t="s">
        <v>38</v>
      </c>
      <c r="E39" s="5" t="s">
        <v>233</v>
      </c>
      <c r="F39" s="5" t="s">
        <v>521</v>
      </c>
      <c r="G39" s="14" t="str">
        <f t="array" ref="G39">IF(B39="", "",
  LET(_xlpm.spell, IFERROR(IF(F39="", "", INDEX(_xlws.FILTER(Hairstyles!$F:$F, ISNUMBER(SEARCH(F39, Hairstyles!$B:$B))), 1)), "No Spell for Hairstyle"),
  _xlpm.vanillaPrefix, IF(LEFT(_xlpm.spell, 7)="Uvi_Wig", "", ";"),
  ";" &amp; IF(C39="", B39, C39) &amp; IF(M39="", "", " ("&amp;M39&amp;")") &amp; CHAR(10) &amp;
  _xlpm.vanillaPrefix &amp; "Keyword = Uvi_Wig_Distr_KYWD|" &amp; B39 &amp; CHAR(10) &amp;
  _xlpm.vanillaPrefix &amp; "Spell = " &amp; _xlpm.spell &amp; "|" &amp; B39
  )
)</f>
        <v>;Agmaer
;Keyword = Uvi_Wig_Distr_KYWD|DLC1Agmaer
;Spell = No Spell for Hairstyle|DLC1Agmaer</v>
      </c>
    </row>
    <row r="40" ht="12.75" customHeight="1">
      <c r="A40" s="5" t="s">
        <v>1255</v>
      </c>
      <c r="B40" s="5" t="s">
        <v>1256</v>
      </c>
      <c r="C40" s="5" t="s">
        <v>1256</v>
      </c>
      <c r="D40" s="5" t="s">
        <v>38</v>
      </c>
      <c r="E40" s="5" t="s">
        <v>41</v>
      </c>
      <c r="F40" s="5" t="s">
        <v>356</v>
      </c>
      <c r="G40" s="14" t="str">
        <f t="array" ref="G40">IF(B40="", "",
  LET(_xlpm.spell, IFERROR(IF(F40="", "", INDEX(_xlws.FILTER(Hairstyles!$F:$F, ISNUMBER(SEARCH(F40, Hairstyles!$B:$B))), 1)), "No Spell for Hairstyle"),
  _xlpm.vanillaPrefix, IF(LEFT(_xlpm.spell, 7)="Uvi_Wig", "", ";"),
  ";" &amp; IF(C40="", B40, C40) &amp; IF(M40="", "", " ("&amp;M40&amp;")") &amp; CHAR(10) &amp;
  _xlpm.vanillaPrefix &amp; "Keyword = Uvi_Wig_Distr_KYWD|" &amp; B40 &amp; CHAR(10) &amp;
  _xlpm.vanillaPrefix &amp; "Spell = " &amp; _xlpm.spell &amp; "|" &amp; B40
  )
)</f>
        <v>;Agna
;Keyword = Uvi_Wig_Distr_KYWD|Agna
;Spell = No Spell for Hairstyle|Agna</v>
      </c>
    </row>
    <row r="41" ht="12.75" customHeight="1">
      <c r="A41" s="15" t="s">
        <v>1276</v>
      </c>
      <c r="B41" s="5" t="s">
        <v>1278</v>
      </c>
      <c r="C41" s="5" t="s">
        <v>1278</v>
      </c>
      <c r="D41" s="5" t="s">
        <v>74</v>
      </c>
      <c r="E41" s="5" t="s">
        <v>41</v>
      </c>
      <c r="F41" s="5" t="s">
        <v>28</v>
      </c>
      <c r="G41" s="14" t="str">
        <f t="array" ref="G41">IF(B41="", "",
  LET(_xlpm.spell, IFERROR(IF(F41="", "", INDEX(_xlws.FILTER(Hairstyles!$F:$F, ISNUMBER(SEARCH(F41, Hairstyles!$B:$B))), 1)), "No Spell for Hairstyle"),
  _xlpm.vanillaPrefix, IF(LEFT(_xlpm.spell, 7)="Uvi_Wig", "", ";"),
  ";" &amp; IF(C41="", B41, C41) &amp; IF(M41="", "", " ("&amp;M41&amp;")") &amp; CHAR(10) &amp;
  _xlpm.vanillaPrefix &amp; "Keyword = Uvi_Wig_Distr_KYWD|" &amp; B41 &amp; CHAR(10) &amp;
  _xlpm.vanillaPrefix &amp; "Spell = " &amp; _xlpm.spell &amp; "|" &amp; B41
  )
)</f>
        <v>;Agni
;Keyword = Uvi_Wig_Distr_KYWD|Agni
;Spell = No Spell for Hairstyle|Agni</v>
      </c>
    </row>
    <row r="42" ht="12.75" customHeight="1">
      <c r="A42" s="15" t="s">
        <v>1296</v>
      </c>
      <c r="B42" s="5" t="s">
        <v>1297</v>
      </c>
      <c r="C42" s="5" t="s">
        <v>1297</v>
      </c>
      <c r="D42" s="5" t="s">
        <v>38</v>
      </c>
      <c r="E42" s="5" t="s">
        <v>41</v>
      </c>
      <c r="F42" s="5" t="s">
        <v>44</v>
      </c>
      <c r="G42" s="14" t="str">
        <f t="array" ref="G42">IF(B42="", "",
  LET(_xlpm.spell, IFERROR(IF(F42="", "", INDEX(_xlws.FILTER(Hairstyles!$F:$F, ISNUMBER(SEARCH(F42, Hairstyles!$B:$B))), 1)), "No Spell for Hairstyle"),
  _xlpm.vanillaPrefix, IF(LEFT(_xlpm.spell, 7)="Uvi_Wig", "", ";"),
  ";" &amp; IF(C42="", B42, C42) &amp; IF(M42="", "", " ("&amp;M42&amp;")") &amp; CHAR(10) &amp;
  _xlpm.vanillaPrefix &amp; "Keyword = Uvi_Wig_Distr_KYWD|" &amp; B42 &amp; CHAR(10) &amp;
  _xlpm.vanillaPrefix &amp; "Spell = " &amp; _xlpm.spell &amp; "|" &amp; B42
  )
)</f>
        <v>;Agnis
;Keyword = Uvi_Wig_Distr_KYWD|Agnis
;Spell = No Spell for Hairstyle|Agnis</v>
      </c>
    </row>
    <row r="43" ht="12.75" customHeight="1">
      <c r="A43" s="5" t="s">
        <v>1317</v>
      </c>
      <c r="B43" s="5" t="s">
        <v>1318</v>
      </c>
      <c r="C43" s="5" t="s">
        <v>1319</v>
      </c>
      <c r="D43" s="5" t="s">
        <v>59</v>
      </c>
      <c r="E43" s="5" t="s">
        <v>233</v>
      </c>
      <c r="F43" s="5" t="s">
        <v>695</v>
      </c>
      <c r="G43" s="14" t="str">
        <f t="array" ref="G43">IF(B43="", "",
  LET(_xlpm.spell, IFERROR(IF(F43="", "", INDEX(_xlws.FILTER(Hairstyles!$F:$F, ISNUMBER(SEARCH(F43, Hairstyles!$B:$B))), 1)), "No Spell for Hairstyle"),
  _xlpm.vanillaPrefix, IF(LEFT(_xlpm.spell, 7)="Uvi_Wig", "", ";"),
  ";" &amp; IF(C43="", B43, C43) &amp; IF(M43="", "", " ("&amp;M43&amp;")") &amp; CHAR(10) &amp;
  _xlpm.vanillaPrefix &amp; "Keyword = Uvi_Wig_Distr_KYWD|" &amp; B43 &amp; CHAR(10) &amp;
  _xlpm.vanillaPrefix &amp; "Spell = " &amp; _xlpm.spell &amp; "|" &amp; B43
  )
)</f>
        <v>;Agrius
;Keyword = Uvi_Wig_Distr_KYWD|dunHalldirsDeadBandit03
;Spell = No Spell for Hairstyle|dunHalldirsDeadBandit03</v>
      </c>
    </row>
    <row r="44" ht="12.75" customHeight="1">
      <c r="A44" s="5" t="s">
        <v>1342</v>
      </c>
      <c r="B44" s="5" t="s">
        <v>1343</v>
      </c>
      <c r="C44" s="5" t="s">
        <v>1344</v>
      </c>
      <c r="D44" s="5" t="s">
        <v>65</v>
      </c>
      <c r="E44" s="5" t="s">
        <v>41</v>
      </c>
      <c r="F44" s="5" t="s">
        <v>1345</v>
      </c>
      <c r="G44" s="14" t="str">
        <f t="array" ref="G44">IF(B44="", "",
  LET(_xlpm.spell, IFERROR(IF(F44="", "", INDEX(_xlws.FILTER(Hairstyles!$F:$F, ISNUMBER(SEARCH(F44, Hairstyles!$B:$B))), 1)), "No Spell for Hairstyle"),
  _xlpm.vanillaPrefix, IF(LEFT(_xlpm.spell, 7)="Uvi_Wig", "", ";"),
  ";" &amp; IF(C44="", B44, C44) &amp; IF(M44="", "", " ("&amp;M44&amp;")") &amp; CHAR(10) &amp;
  _xlpm.vanillaPrefix &amp; "Keyword = Uvi_Wig_Distr_KYWD|" &amp; B44 &amp; CHAR(10) &amp;
  _xlpm.vanillaPrefix &amp; "Spell = " &amp; _xlpm.spell &amp; "|" &amp; B44
  )
)</f>
        <v>;Ahjisi
;Keyword = Uvi_Wig_Distr_KYWD|DA05Hunter11_04Melee_Ahjisi
;Spell = No Spell for Hairstyle|DA05Hunter11_04Melee_Ahjisi</v>
      </c>
    </row>
    <row r="45" ht="12.75" customHeight="1">
      <c r="A45" s="5" t="s">
        <v>1362</v>
      </c>
      <c r="B45" s="5" t="s">
        <v>1363</v>
      </c>
      <c r="C45" s="5" t="s">
        <v>1363</v>
      </c>
      <c r="D45" s="5" t="s">
        <v>65</v>
      </c>
      <c r="E45" s="5" t="s">
        <v>41</v>
      </c>
      <c r="F45" s="5" t="s">
        <v>1365</v>
      </c>
      <c r="G45" s="14" t="str">
        <f t="array" ref="G45">IF(B45="", "",
  LET(_xlpm.spell, IFERROR(IF(F45="", "", INDEX(_xlws.FILTER(Hairstyles!$F:$F, ISNUMBER(SEARCH(F45, Hairstyles!$B:$B))), 1)), "No Spell for Hairstyle"),
  _xlpm.vanillaPrefix, IF(LEFT(_xlpm.spell, 7)="Uvi_Wig", "", ";"),
  ";" &amp; IF(C45="", B45, C45) &amp; IF(M45="", "", " ("&amp;M45&amp;")") &amp; CHAR(10) &amp;
  _xlpm.vanillaPrefix &amp; "Keyword = Uvi_Wig_Distr_KYWD|" &amp; B45 &amp; CHAR(10) &amp;
  _xlpm.vanillaPrefix &amp; "Spell = " &amp; _xlpm.spell &amp; "|" &amp; B45
  )
)</f>
        <v>;Ahkari
;Keyword = Uvi_Wig_Distr_KYWD|Ahkari
;Spell = No Spell for Hairstyle|Ahkari</v>
      </c>
    </row>
    <row r="46" ht="12.75" customHeight="1">
      <c r="A46" s="5" t="s">
        <v>1383</v>
      </c>
      <c r="B46" s="5" t="s">
        <v>1384</v>
      </c>
      <c r="C46" s="5" t="s">
        <v>1384</v>
      </c>
      <c r="D46" s="5" t="s">
        <v>83</v>
      </c>
      <c r="E46" s="5" t="s">
        <v>41</v>
      </c>
      <c r="F46" s="5" t="s">
        <v>270</v>
      </c>
      <c r="G46" s="14" t="str">
        <f t="array" ref="G46">IF(B46="", "",
  LET(_xlpm.spell, IFERROR(IF(F46="", "", INDEX(_xlws.FILTER(Hairstyles!$F:$F, ISNUMBER(SEARCH(F46, Hairstyles!$B:$B))), 1)), "No Spell for Hairstyle"),
  _xlpm.vanillaPrefix, IF(LEFT(_xlpm.spell, 7)="Uvi_Wig", "", ";"),
  ";" &amp; IF(C46="", B46, C46) &amp; IF(M46="", "", " ("&amp;M46&amp;")") &amp; CHAR(10) &amp;
  _xlpm.vanillaPrefix &amp; "Keyword = Uvi_Wig_Distr_KYWD|" &amp; B46 &amp; CHAR(10) &amp;
  _xlpm.vanillaPrefix &amp; "Spell = " &amp; _xlpm.spell &amp; "|" &amp; B46
  )
)</f>
        <v>;Ahlam
;Keyword = Uvi_Wig_Distr_KYWD|Ahlam
;Spell = No Spell for Hairstyle|Ahlam</v>
      </c>
    </row>
    <row r="47" ht="12.75" customHeight="1">
      <c r="A47" s="5" t="s">
        <v>1401</v>
      </c>
      <c r="B47" s="5" t="s">
        <v>1402</v>
      </c>
      <c r="C47" s="5" t="s">
        <v>1384</v>
      </c>
      <c r="D47" s="5" t="s">
        <v>83</v>
      </c>
      <c r="E47" s="5" t="s">
        <v>41</v>
      </c>
      <c r="F47" s="5" t="s">
        <v>270</v>
      </c>
      <c r="G47" s="14" t="str">
        <f t="array" ref="G47">IF(B47="", "",
  LET(_xlpm.spell, IFERROR(IF(F47="", "", INDEX(_xlws.FILTER(Hairstyles!$F:$F, ISNUMBER(SEARCH(F47, Hairstyles!$B:$B))), 1)), "No Spell for Hairstyle"),
  _xlpm.vanillaPrefix, IF(LEFT(_xlpm.spell, 7)="Uvi_Wig", "", ";"),
  ";" &amp; IF(C47="", B47, C47) &amp; IF(M47="", "", " ("&amp;M47&amp;")") &amp; CHAR(10) &amp;
  _xlpm.vanillaPrefix &amp; "Keyword = Uvi_Wig_Distr_KYWD|" &amp; B47 &amp; CHAR(10) &amp;
  _xlpm.vanillaPrefix &amp; "Spell = " &amp; _xlpm.spell &amp; "|" &amp; B47
  )
)</f>
        <v>;Ahlam
;Keyword = Uvi_Wig_Distr_KYWD|DLC1TestAngry
;Spell = No Spell for Hairstyle|DLC1TestAngry</v>
      </c>
    </row>
    <row r="48" ht="12.75" customHeight="1">
      <c r="A48" s="5" t="s">
        <v>1419</v>
      </c>
      <c r="B48" s="5" t="s">
        <v>1420</v>
      </c>
      <c r="C48" s="5" t="s">
        <v>1420</v>
      </c>
      <c r="D48" s="5" t="s">
        <v>83</v>
      </c>
      <c r="E48" s="5" t="s">
        <v>233</v>
      </c>
      <c r="F48" s="5" t="s">
        <v>245</v>
      </c>
      <c r="G48" s="14" t="str">
        <f t="array" ref="G48">IF(B48="", "",
  LET(_xlpm.spell, IFERROR(IF(F48="", "", INDEX(_xlws.FILTER(Hairstyles!$F:$F, ISNUMBER(SEARCH(F48, Hairstyles!$B:$B))), 1)), "No Spell for Hairstyle"),
  _xlpm.vanillaPrefix, IF(LEFT(_xlpm.spell, 7)="Uvi_Wig", "", ";"),
  ";" &amp; IF(C48="", B48, C48) &amp; IF(M48="", "", " ("&amp;M48&amp;")") &amp; CHAR(10) &amp;
  _xlpm.vanillaPrefix &amp; "Keyword = Uvi_Wig_Distr_KYWD|" &amp; B48 &amp; CHAR(10) &amp;
  _xlpm.vanillaPrefix &amp; "Spell = " &amp; _xlpm.spell &amp; "|" &amp; B48
  )
)</f>
        <v>;Ahtar
;Keyword = Uvi_Wig_Distr_KYWD|Ahtar
;Spell = No Spell for Hairstyle|Ahtar</v>
      </c>
    </row>
    <row r="49" ht="12.75" customHeight="1">
      <c r="A49" s="5" t="s">
        <v>1439</v>
      </c>
      <c r="B49" s="5" t="s">
        <v>1440</v>
      </c>
      <c r="C49" s="5" t="s">
        <v>1441</v>
      </c>
      <c r="D49" s="5" t="s">
        <v>59</v>
      </c>
      <c r="E49" s="5" t="s">
        <v>41</v>
      </c>
      <c r="F49" s="5" t="s">
        <v>270</v>
      </c>
      <c r="G49" s="14" t="str">
        <f t="array" ref="G49">IF(B49="", "",
  LET(_xlpm.spell, IFERROR(IF(F49="", "", INDEX(_xlws.FILTER(Hairstyles!$F:$F, ISNUMBER(SEARCH(F49, Hairstyles!$B:$B))), 1)), "No Spell for Hairstyle"),
  _xlpm.vanillaPrefix, IF(LEFT(_xlpm.spell, 7)="Uvi_Wig", "", ";"),
  ";" &amp; IF(C49="", B49, C49) &amp; IF(M49="", "", " ("&amp;M49&amp;")") &amp; CHAR(10) &amp;
  _xlpm.vanillaPrefix &amp; "Keyword = Uvi_Wig_Distr_KYWD|" &amp; B49 &amp; CHAR(10) &amp;
  _xlpm.vanillaPrefix &amp; "Spell = " &amp; _xlpm.spell &amp; "|" &amp; B49
  )
)</f>
        <v>;Aia Arria
;Keyword = Uvi_Wig_Distr_KYWD|AiaArria
;Spell = No Spell for Hairstyle|AiaArria</v>
      </c>
    </row>
    <row r="50" ht="12.75" customHeight="1">
      <c r="A50" s="5" t="s">
        <v>1460</v>
      </c>
      <c r="B50" s="5" t="s">
        <v>1461</v>
      </c>
      <c r="C50" s="5" t="s">
        <v>1461</v>
      </c>
      <c r="D50" s="5" t="s">
        <v>57</v>
      </c>
      <c r="E50" s="5" t="s">
        <v>233</v>
      </c>
      <c r="F50" s="5" t="s">
        <v>47</v>
      </c>
      <c r="G50" s="14" t="str">
        <f t="array" ref="G50">IF(B50="", "",
  LET(_xlpm.spell, IFERROR(IF(F50="", "", INDEX(_xlws.FILTER(Hairstyles!$F:$F, ISNUMBER(SEARCH(F50, Hairstyles!$B:$B))), 1)), "No Spell for Hairstyle"),
  _xlpm.vanillaPrefix, IF(LEFT(_xlpm.spell, 7)="Uvi_Wig", "", ";"),
  ";" &amp; IF(C50="", B50, C50) &amp; IF(M50="", "", " ("&amp;M50&amp;")") &amp; CHAR(10) &amp;
  _xlpm.vanillaPrefix &amp; "Keyword = Uvi_Wig_Distr_KYWD|" &amp; B50 &amp; CHAR(10) &amp;
  _xlpm.vanillaPrefix &amp; "Spell = " &amp; _xlpm.spell &amp; "|" &amp; B50
  )
)</f>
        <v>;Aicantar
;Keyword = Uvi_Wig_Distr_KYWD|Aicantar
;Spell = No Spell for Hairstyle|Aicantar</v>
      </c>
    </row>
    <row r="51" ht="12.75" customHeight="1">
      <c r="A51" s="5" t="s">
        <v>1479</v>
      </c>
      <c r="B51" s="5" t="s">
        <v>1480</v>
      </c>
      <c r="C51" s="5" t="s">
        <v>1480</v>
      </c>
      <c r="D51" s="5" t="s">
        <v>16</v>
      </c>
      <c r="E51" s="5" t="s">
        <v>233</v>
      </c>
      <c r="F51" s="5" t="s">
        <v>218</v>
      </c>
      <c r="G51" s="14" t="str">
        <f t="array" ref="G51">IF(B51="", "",
  LET(_xlpm.spell, IFERROR(IF(F51="", "", INDEX(_xlws.FILTER(Hairstyles!$F:$F, ISNUMBER(SEARCH(F51, Hairstyles!$B:$B))), 1)), "No Spell for Hairstyle"),
  _xlpm.vanillaPrefix, IF(LEFT(_xlpm.spell, 7)="Uvi_Wig", "", ";"),
  ";" &amp; IF(C51="", B51, C51) &amp; IF(M51="", "", " ("&amp;M51&amp;")") &amp; CHAR(10) &amp;
  _xlpm.vanillaPrefix &amp; "Keyword = Uvi_Wig_Distr_KYWD|" &amp; B51 &amp; CHAR(10) &amp;
  _xlpm.vanillaPrefix &amp; "Spell = " &amp; _xlpm.spell &amp; "|" &amp; B51
  )
)</f>
        <v>;Ainethach
;Keyword = Uvi_Wig_Distr_KYWD|Ainethach
;Spell = No Spell for Hairstyle|Ainethach</v>
      </c>
    </row>
    <row r="52" ht="12.75" customHeight="1">
      <c r="A52" s="5" t="s">
        <v>1498</v>
      </c>
      <c r="B52" s="5" t="s">
        <v>1499</v>
      </c>
      <c r="C52" s="5" t="s">
        <v>1500</v>
      </c>
      <c r="D52" s="5" t="s">
        <v>38</v>
      </c>
      <c r="E52" s="5" t="s">
        <v>233</v>
      </c>
      <c r="F52" s="5" t="s">
        <v>521</v>
      </c>
      <c r="G52" s="14" t="str">
        <f t="array" ref="G52">IF(B52="", "",
  LET(_xlpm.spell, IFERROR(IF(F52="", "", INDEX(_xlws.FILTER(Hairstyles!$F:$F, ISNUMBER(SEARCH(F52, Hairstyles!$B:$B))), 1)), "No Spell for Hairstyle"),
  _xlpm.vanillaPrefix, IF(LEFT(_xlpm.spell, 7)="Uvi_Wig", "", ";"),
  ";" &amp; IF(C52="", B52, C52) &amp; IF(M52="", "", " ("&amp;M52&amp;")") &amp; CHAR(10) &amp;
  _xlpm.vanillaPrefix &amp; "Keyword = Uvi_Wig_Distr_KYWD|" &amp; B52 &amp; CHAR(10) &amp;
  _xlpm.vanillaPrefix &amp; "Spell = " &amp; _xlpm.spell &amp; "|" &amp; B52
  )
)</f>
        <v>;Akar
;Keyword = Uvi_Wig_Distr_KYWD|DLC2dunFrostmoonAkar
;Spell = No Spell for Hairstyle|DLC2dunFrostmoonAkar</v>
      </c>
    </row>
    <row r="53" ht="12.75" customHeight="1">
      <c r="A53" s="5" t="s">
        <v>1517</v>
      </c>
      <c r="B53" s="5" t="s">
        <v>1519</v>
      </c>
      <c r="C53" s="5" t="s">
        <v>1520</v>
      </c>
      <c r="D53" s="5" t="s">
        <v>16</v>
      </c>
      <c r="E53" s="5" t="s">
        <v>233</v>
      </c>
      <c r="F53" s="5" t="s">
        <v>346</v>
      </c>
      <c r="G53" s="14" t="str">
        <f t="array" ref="G53">IF(B53="", "",
  LET(_xlpm.spell, IFERROR(IF(F53="", "", INDEX(_xlws.FILTER(Hairstyles!$F:$F, ISNUMBER(SEARCH(F53, Hairstyles!$B:$B))), 1)), "No Spell for Hairstyle"),
  _xlpm.vanillaPrefix, IF(LEFT(_xlpm.spell, 7)="Uvi_Wig", "", ";"),
  ";" &amp; IF(C53="", B53, C53) &amp; IF(M53="", "", " ("&amp;M53&amp;")") &amp; CHAR(10) &amp;
  _xlpm.vanillaPrefix &amp; "Keyword = Uvi_Wig_Distr_KYWD|" &amp; B53 &amp; CHAR(10) &amp;
  _xlpm.vanillaPrefix &amp; "Spell = " &amp; _xlpm.spell &amp; "|" &amp; B53
  )
)</f>
        <v>;Alain Dufont
;Keyword = Uvi_Wig_Distr_KYWD|AlainDufont
;Spell = No Spell for Hairstyle|AlainDufont</v>
      </c>
    </row>
    <row r="54" ht="12.75" customHeight="1">
      <c r="A54" s="15" t="s">
        <v>1537</v>
      </c>
      <c r="B54" s="5" t="s">
        <v>1538</v>
      </c>
      <c r="C54" s="5" t="s">
        <v>1539</v>
      </c>
      <c r="D54" s="5" t="s">
        <v>45</v>
      </c>
      <c r="E54" s="5" t="s">
        <v>233</v>
      </c>
      <c r="F54" s="5" t="s">
        <v>1541</v>
      </c>
      <c r="G54" s="14" t="str">
        <f t="array" ref="G54">IF(B54="", "",
  LET(_xlpm.spell, IFERROR(IF(F54="", "", INDEX(_xlws.FILTER(Hairstyles!$F:$F, ISNUMBER(SEARCH(F54, Hairstyles!$B:$B))), 1)), "No Spell for Hairstyle"),
  _xlpm.vanillaPrefix, IF(LEFT(_xlpm.spell, 7)="Uvi_Wig", "", ";"),
  ";" &amp; IF(C54="", B54, C54) &amp; IF(M54="", "", " ("&amp;M54&amp;")") &amp; CHAR(10) &amp;
  _xlpm.vanillaPrefix &amp; "Keyword = Uvi_Wig_Distr_KYWD|" &amp; B54 &amp; CHAR(10) &amp;
  _xlpm.vanillaPrefix &amp; "Spell = " &amp; _xlpm.spell &amp; "|" &amp; B54
  )
)</f>
        <v>;Alchemist
;Keyword = Uvi_Wig_Distr_KYWD|TreasCorpseAlchemist
;Spell = No Spell for Hairstyle|TreasCorpseAlchemist</v>
      </c>
    </row>
    <row r="55" ht="12.75" customHeight="1">
      <c r="A55" s="15" t="s">
        <v>1550</v>
      </c>
      <c r="B55" s="5" t="s">
        <v>1551</v>
      </c>
      <c r="C55" s="5" t="s">
        <v>1552</v>
      </c>
      <c r="D55" s="5" t="s">
        <v>38</v>
      </c>
      <c r="E55" s="5" t="s">
        <v>233</v>
      </c>
      <c r="F55" s="5" t="s">
        <v>1553</v>
      </c>
      <c r="G55" s="14" t="str">
        <f t="array" ref="G55">IF(B55="", "",
  LET(_xlpm.spell, IFERROR(IF(F55="", "", INDEX(_xlws.FILTER(Hairstyles!$F:$F, ISNUMBER(SEARCH(F55, Hairstyles!$B:$B))), 1)), "No Spell for Hairstyle"),
  _xlpm.vanillaPrefix, IF(LEFT(_xlpm.spell, 7)="Uvi_Wig", "", ";"),
  ";" &amp; IF(C55="", B55, C55) &amp; IF(M55="", "", " ("&amp;M55&amp;")") &amp; CHAR(10) &amp;
  _xlpm.vanillaPrefix &amp; "Keyword = Uvi_Wig_Distr_KYWD|" &amp; B55 &amp; CHAR(10) &amp;
  _xlpm.vanillaPrefix &amp; "Spell = " &amp; _xlpm.spell &amp; "|" &amp; B55
  )
)</f>
        <v>;Alding
;Keyword = Uvi_Wig_Distr_KYWD|MS10Pirate1
;Spell = No Spell for Hairstyle|MS10Pirate1</v>
      </c>
    </row>
    <row r="56" ht="12.75" customHeight="1">
      <c r="A56" s="5" t="s">
        <v>1554</v>
      </c>
      <c r="B56" s="5" t="s">
        <v>1555</v>
      </c>
      <c r="C56" s="5" t="s">
        <v>1556</v>
      </c>
      <c r="D56" s="5" t="s">
        <v>38</v>
      </c>
      <c r="E56" s="5" t="s">
        <v>41</v>
      </c>
      <c r="F56" s="5" t="s">
        <v>1557</v>
      </c>
      <c r="G56" s="14" t="str">
        <f t="array" ref="G56">IF(B56="", "",
  LET(_xlpm.spell, IFERROR(IF(F56="", "", INDEX(_xlws.FILTER(Hairstyles!$F:$F, ISNUMBER(SEARCH(F56, Hairstyles!$B:$B))), 1)), "No Spell for Hairstyle"),
  _xlpm.vanillaPrefix, IF(LEFT(_xlpm.spell, 7)="Uvi_Wig", "", ";"),
  ";" &amp; IF(C56="", B56, C56) &amp; IF(M56="", "", " ("&amp;M56&amp;")") &amp; CHAR(10) &amp;
  _xlpm.vanillaPrefix &amp; "Keyword = Uvi_Wig_Distr_KYWD|" &amp; B56 &amp; CHAR(10) &amp;
  _xlpm.vanillaPrefix &amp; "Spell = " &amp; _xlpm.spell &amp; "|" &amp; B56
  )
)</f>
        <v>;Alea Quintus
;Keyword = Uvi_Wig_Distr_KYWD|DB02Captive2
;Spell = No Spell for Hairstyle|DB02Captive2</v>
      </c>
    </row>
    <row r="57" ht="12.75" customHeight="1">
      <c r="A57" s="5" t="s">
        <v>1558</v>
      </c>
      <c r="B57" s="5" t="s">
        <v>1559</v>
      </c>
      <c r="C57" s="5" t="s">
        <v>1560</v>
      </c>
      <c r="D57" s="5" t="s">
        <v>86</v>
      </c>
      <c r="E57" s="5" t="s">
        <v>233</v>
      </c>
      <c r="F57" s="5" t="s">
        <v>87</v>
      </c>
      <c r="G57" s="14" t="str">
        <f t="array" ref="G57">IF(B57="", "",
  LET(_xlpm.spell, IFERROR(IF(F57="", "", INDEX(_xlws.FILTER(Hairstyles!$F:$F, ISNUMBER(SEARCH(F57, Hairstyles!$B:$B))), 1)), "No Spell for Hairstyle"),
  _xlpm.vanillaPrefix, IF(LEFT(_xlpm.spell, 7)="Uvi_Wig", "", ";"),
  ";" &amp; IF(C57="", B57, C57) &amp; IF(M57="", "", " ("&amp;M57&amp;")") &amp; CHAR(10) &amp;
  _xlpm.vanillaPrefix &amp; "Keyword = Uvi_Wig_Distr_KYWD|" &amp; B57 &amp; CHAR(10) &amp;
  _xlpm.vanillaPrefix &amp; "Spell = " &amp; _xlpm.spell &amp; "|" &amp; B57
  )
)</f>
        <v>;Alesan
;Keyword = Uvi_Wig_Distr_KYWD|BYOHUrchin_Alesan
;Spell = No Spell for Hairstyle|BYOHUrchin_Alesan</v>
      </c>
    </row>
    <row r="58" ht="12.75" customHeight="1">
      <c r="A58" s="15" t="s">
        <v>1561</v>
      </c>
      <c r="B58" s="5" t="s">
        <v>1562</v>
      </c>
      <c r="C58" s="5" t="s">
        <v>1562</v>
      </c>
      <c r="D58" s="5" t="s">
        <v>59</v>
      </c>
      <c r="E58" s="5" t="s">
        <v>41</v>
      </c>
      <c r="F58" s="5" t="s">
        <v>371</v>
      </c>
      <c r="G58" s="14" t="str">
        <f t="array" ref="G58">IF(B58="", "",
  LET(_xlpm.spell, IFERROR(IF(F58="", "", INDEX(_xlws.FILTER(Hairstyles!$F:$F, ISNUMBER(SEARCH(F58, Hairstyles!$B:$B))), 1)), "No Spell for Hairstyle"),
  _xlpm.vanillaPrefix, IF(LEFT(_xlpm.spell, 7)="Uvi_Wig", "", ";"),
  ";" &amp; IF(C58="", B58, C58) &amp; IF(M58="", "", " ("&amp;M58&amp;")") &amp; CHAR(10) &amp;
  _xlpm.vanillaPrefix &amp; "Keyword = Uvi_Wig_Distr_KYWD|" &amp; B58 &amp; CHAR(10) &amp;
  _xlpm.vanillaPrefix &amp; "Spell = " &amp; _xlpm.spell &amp; "|" &amp; B58
  )
)</f>
        <v>;Alessandra
;Keyword = Uvi_Wig_Distr_KYWD|Alessandra
;Spell = No Spell for Hairstyle|Alessandra</v>
      </c>
    </row>
    <row r="59" ht="12.75" customHeight="1">
      <c r="A59" s="5" t="s">
        <v>1563</v>
      </c>
      <c r="B59" s="5" t="s">
        <v>1564</v>
      </c>
      <c r="C59" s="5" t="s">
        <v>1565</v>
      </c>
      <c r="D59" s="5" t="s">
        <v>59</v>
      </c>
      <c r="E59" s="5" t="s">
        <v>233</v>
      </c>
      <c r="F59" s="5" t="s">
        <v>1566</v>
      </c>
      <c r="G59" s="14" t="str">
        <f t="array" ref="G59">IF(B59="", "",
  LET(_xlpm.spell, IFERROR(IF(F59="", "", INDEX(_xlws.FILTER(Hairstyles!$F:$F, ISNUMBER(SEARCH(F59, Hairstyles!$B:$B))), 1)), "No Spell for Hairstyle"),
  _xlpm.vanillaPrefix, IF(LEFT(_xlpm.spell, 7)="Uvi_Wig", "", ";"),
  ";" &amp; IF(C59="", B59, C59) &amp; IF(M59="", "", " ("&amp;M59&amp;")") &amp; CHAR(10) &amp;
  _xlpm.vanillaPrefix &amp; "Keyword = Uvi_Wig_Distr_KYWD|" &amp; B59 &amp; CHAR(10) &amp;
  _xlpm.vanillaPrefix &amp; "Spell = " &amp; _xlpm.spell &amp; "|" &amp; B59
  )
)</f>
        <v>;Alethius
;Keyword = Uvi_Wig_Distr_KYWD|dunNchuandAlethiusCorpse
;Spell = No Spell for Hairstyle|dunNchuandAlethiusCorpse</v>
      </c>
    </row>
    <row r="60" ht="12.75" customHeight="1">
      <c r="A60" s="5" t="s">
        <v>1567</v>
      </c>
      <c r="B60" s="5" t="s">
        <v>1568</v>
      </c>
      <c r="C60" s="5" t="s">
        <v>1569</v>
      </c>
      <c r="D60" s="5" t="s">
        <v>59</v>
      </c>
      <c r="E60" s="5" t="s">
        <v>41</v>
      </c>
      <c r="F60" s="5" t="s">
        <v>270</v>
      </c>
      <c r="G60" s="14" t="str">
        <f t="array" ref="G60">IF(B60="", "",
  LET(_xlpm.spell, IFERROR(IF(F60="", "", INDEX(_xlws.FILTER(Hairstyles!$F:$F, ISNUMBER(SEARCH(F60, Hairstyles!$B:$B))), 1)), "No Spell for Hairstyle"),
  _xlpm.vanillaPrefix, IF(LEFT(_xlpm.spell, 7)="Uvi_Wig", "", ";"),
  ";" &amp; IF(C60="", B60, C60) &amp; IF(M60="", "", " ("&amp;M60&amp;")") &amp; CHAR(10) &amp;
  _xlpm.vanillaPrefix &amp; "Keyword = Uvi_Wig_Distr_KYWD|" &amp; B60 &amp; CHAR(10) &amp;
  _xlpm.vanillaPrefix &amp; "Spell = " &amp; _xlpm.spell &amp; "|" &amp; B60
  )
)</f>
        <v>;Alexia Vici
;Keyword = Uvi_Wig_Distr_KYWD|AlexiaVici
;Spell = No Spell for Hairstyle|AlexiaVici</v>
      </c>
    </row>
    <row r="61" ht="12.75" customHeight="1">
      <c r="A61" s="5" t="s">
        <v>1570</v>
      </c>
      <c r="B61" s="5" t="s">
        <v>1571</v>
      </c>
      <c r="C61" s="5" t="s">
        <v>1572</v>
      </c>
      <c r="D61" s="5" t="s">
        <v>38</v>
      </c>
      <c r="E61" s="5" t="s">
        <v>233</v>
      </c>
      <c r="F61" s="5" t="s">
        <v>424</v>
      </c>
      <c r="G61" s="14" t="str">
        <f t="array" ref="G61">IF(B61="", "",
  LET(_xlpm.spell, IFERROR(IF(F61="", "", INDEX(_xlws.FILTER(Hairstyles!$F:$F, ISNUMBER(SEARCH(F61, Hairstyles!$B:$B))), 1)), "No Spell for Hairstyle"),
  _xlpm.vanillaPrefix, IF(LEFT(_xlpm.spell, 7)="Uvi_Wig", "", ";"),
  ";" &amp; IF(C61="", B61, C61) &amp; IF(M61="", "", " ("&amp;M61&amp;")") &amp; CHAR(10) &amp;
  _xlpm.vanillaPrefix &amp; "Keyword = Uvi_Wig_Distr_KYWD|" &amp; B61 &amp; CHAR(10) &amp;
  _xlpm.vanillaPrefix &amp; "Spell = " &amp; _xlpm.spell &amp; "|" &amp; B61
  )
)</f>
        <v>;Alfarinn
;Keyword = Uvi_Wig_Distr_KYWD|CarriageDriverWindhelm
;Spell = No Spell for Hairstyle|CarriageDriverWindhelm</v>
      </c>
    </row>
    <row r="62" ht="12.75" customHeight="1">
      <c r="A62" s="5" t="s">
        <v>1573</v>
      </c>
      <c r="B62" s="5" t="s">
        <v>1574</v>
      </c>
      <c r="C62" s="5" t="s">
        <v>1575</v>
      </c>
      <c r="D62" s="5" t="s">
        <v>38</v>
      </c>
      <c r="E62" s="5" t="s">
        <v>41</v>
      </c>
      <c r="F62" s="5" t="s">
        <v>44</v>
      </c>
      <c r="G62" s="14" t="str">
        <f t="array" ref="G62">IF(B62="", "",
  LET(_xlpm.spell, IFERROR(IF(F62="", "", INDEX(_xlws.FILTER(Hairstyles!$F:$F, ISNUMBER(SEARCH(F62, Hairstyles!$B:$B))), 1)), "No Spell for Hairstyle"),
  _xlpm.vanillaPrefix, IF(LEFT(_xlpm.spell, 7)="Uvi_Wig", "", ";"),
  ";" &amp; IF(C62="", B62, C62) &amp; IF(M62="", "", " ("&amp;M62&amp;")") &amp; CHAR(10) &amp;
  _xlpm.vanillaPrefix &amp; "Keyword = Uvi_Wig_Distr_KYWD|" &amp; B62 &amp; CHAR(10) &amp;
  _xlpm.vanillaPrefix &amp; "Spell = " &amp; _xlpm.spell &amp; "|" &amp; B62
  )
)</f>
        <v>;Alfhild Battle-Born
;Keyword = Uvi_Wig_Distr_KYWD|AlfhildBattleBorn
;Spell = No Spell for Hairstyle|AlfhildBattleBorn</v>
      </c>
    </row>
    <row r="63" ht="12.75" customHeight="1">
      <c r="A63" s="5" t="s">
        <v>1576</v>
      </c>
      <c r="B63" s="5" t="s">
        <v>1577</v>
      </c>
      <c r="C63" s="5" t="s">
        <v>1578</v>
      </c>
      <c r="D63" s="5" t="s">
        <v>83</v>
      </c>
      <c r="E63" s="5" t="s">
        <v>233</v>
      </c>
      <c r="F63" s="5" t="s">
        <v>84</v>
      </c>
      <c r="G63" s="14" t="str">
        <f t="array" ref="G63">IF(B63="", "",
  LET(_xlpm.spell, IFERROR(IF(F63="", "", INDEX(_xlws.FILTER(Hairstyles!$F:$F, ISNUMBER(SEARCH(F63, Hairstyles!$B:$B))), 1)), "No Spell for Hairstyle"),
  _xlpm.vanillaPrefix, IF(LEFT(_xlpm.spell, 7)="Uvi_Wig", "", ";"),
  ";" &amp; IF(C63="", B63, C63) &amp; IF(M63="", "", " ("&amp;M63&amp;")") &amp; CHAR(10) &amp;
  _xlpm.vanillaPrefix &amp; "Keyword = Uvi_Wig_Distr_KYWD|" &amp; B63 &amp; CHAR(10) &amp;
  _xlpm.vanillaPrefix &amp; "Spell = " &amp; _xlpm.spell &amp; "|" &amp; B63
  )
)</f>
        <v>;Alik'r Prisoner
;Keyword = Uvi_Wig_Distr_KYWD|MS08AlikrPrisoner
;Spell = No Spell for Hairstyle|MS08AlikrPrisoner</v>
      </c>
    </row>
    <row r="64" ht="12.75" customHeight="1">
      <c r="A64" s="5" t="s">
        <v>1579</v>
      </c>
      <c r="B64" s="5" t="s">
        <v>1580</v>
      </c>
      <c r="C64" s="5" t="s">
        <v>1581</v>
      </c>
      <c r="D64" s="5" t="s">
        <v>83</v>
      </c>
      <c r="E64" s="5" t="s">
        <v>233</v>
      </c>
      <c r="F64" s="5" t="s">
        <v>174</v>
      </c>
      <c r="G64" s="14" t="str">
        <f t="array" ref="G64">IF(B64="", "",
  LET(_xlpm.spell, IFERROR(IF(F64="", "", INDEX(_xlws.FILTER(Hairstyles!$F:$F, ISNUMBER(SEARCH(F64, Hairstyles!$B:$B))), 1)), "No Spell for Hairstyle"),
  _xlpm.vanillaPrefix, IF(LEFT(_xlpm.spell, 7)="Uvi_Wig", "", ";"),
  ";" &amp; IF(C64="", B64, C64) &amp; IF(M64="", "", " ("&amp;M64&amp;")") &amp; CHAR(10) &amp;
  _xlpm.vanillaPrefix &amp; "Keyword = Uvi_Wig_Distr_KYWD|" &amp; B64 &amp; CHAR(10) &amp;
  _xlpm.vanillaPrefix &amp; "Spell = " &amp; _xlpm.spell &amp; "|" &amp; B64
  )
)</f>
        <v>;Alik'r Warrior
;Keyword = Uvi_Wig_Distr_KYWD|EncAlikr00Template
;Spell = No Spell for Hairstyle|EncAlikr00Template</v>
      </c>
    </row>
    <row r="65" ht="12.75" customHeight="1">
      <c r="A65" s="5" t="s">
        <v>1582</v>
      </c>
      <c r="B65" s="5" t="s">
        <v>1583</v>
      </c>
      <c r="C65" s="5" t="s">
        <v>1581</v>
      </c>
      <c r="D65" s="5" t="s">
        <v>83</v>
      </c>
      <c r="E65" s="5" t="s">
        <v>233</v>
      </c>
      <c r="F65" s="5" t="s">
        <v>762</v>
      </c>
      <c r="G65" s="14" t="str">
        <f t="array" ref="G65">IF(B65="", "",
  LET(_xlpm.spell, IFERROR(IF(F65="", "", INDEX(_xlws.FILTER(Hairstyles!$F:$F, ISNUMBER(SEARCH(F65, Hairstyles!$B:$B))), 1)), "No Spell for Hairstyle"),
  _xlpm.vanillaPrefix, IF(LEFT(_xlpm.spell, 7)="Uvi_Wig", "", ";"),
  ";" &amp; IF(C65="", B65, C65) &amp; IF(M65="", "", " ("&amp;M65&amp;")") &amp; CHAR(10) &amp;
  _xlpm.vanillaPrefix &amp; "Keyword = Uvi_Wig_Distr_KYWD|" &amp; B65 &amp; CHAR(10) &amp;
  _xlpm.vanillaPrefix &amp; "Spell = " &amp; _xlpm.spell &amp; "|" &amp; B65
  )
)</f>
        <v>;Alik'r Warrior
;Keyword = Uvi_Wig_Distr_KYWD|MS08AlikrKematuGuard
;Spell = No Spell for Hairstyle|MS08AlikrKematuGuard</v>
      </c>
    </row>
    <row r="66" ht="12.75" customHeight="1">
      <c r="A66" s="5" t="s">
        <v>1584</v>
      </c>
      <c r="B66" s="5" t="s">
        <v>1585</v>
      </c>
      <c r="C66" s="5" t="s">
        <v>1581</v>
      </c>
      <c r="D66" s="5" t="s">
        <v>83</v>
      </c>
      <c r="E66" s="5" t="s">
        <v>233</v>
      </c>
      <c r="F66" s="5" t="s">
        <v>174</v>
      </c>
      <c r="G66" s="14" t="str">
        <f t="array" ref="G66">IF(B66="", "",
  LET(_xlpm.spell, IFERROR(IF(F66="", "", INDEX(_xlws.FILTER(Hairstyles!$F:$F, ISNUMBER(SEARCH(F66, Hairstyles!$B:$B))), 1)), "No Spell for Hairstyle"),
  _xlpm.vanillaPrefix, IF(LEFT(_xlpm.spell, 7)="Uvi_Wig", "", ";"),
  ";" &amp; IF(C66="", B66, C66) &amp; IF(M66="", "", " ("&amp;M66&amp;")") &amp; CHAR(10) &amp;
  _xlpm.vanillaPrefix &amp; "Keyword = Uvi_Wig_Distr_KYWD|" &amp; B66 &amp; CHAR(10) &amp;
  _xlpm.vanillaPrefix &amp; "Spell = " &amp; _xlpm.spell &amp; "|" &amp; B66
  )
)</f>
        <v>;Alik'r Warrior
;Keyword = Uvi_Wig_Distr_KYWD|MS08AlikrKematuGuard02
;Spell = No Spell for Hairstyle|MS08AlikrKematuGuard02</v>
      </c>
    </row>
    <row r="67" ht="12.75" customHeight="1">
      <c r="A67" s="5" t="s">
        <v>1586</v>
      </c>
      <c r="B67" s="5" t="s">
        <v>1587</v>
      </c>
      <c r="C67" s="5" t="s">
        <v>1581</v>
      </c>
      <c r="D67" s="5" t="s">
        <v>83</v>
      </c>
      <c r="E67" s="5" t="s">
        <v>233</v>
      </c>
      <c r="F67" s="5" t="s">
        <v>167</v>
      </c>
      <c r="G67" s="14" t="str">
        <f t="array" ref="G67">IF(B67="", "",
  LET(_xlpm.spell, IFERROR(IF(F67="", "", INDEX(_xlws.FILTER(Hairstyles!$F:$F, ISNUMBER(SEARCH(F67, Hairstyles!$B:$B))), 1)), "No Spell for Hairstyle"),
  _xlpm.vanillaPrefix, IF(LEFT(_xlpm.spell, 7)="Uvi_Wig", "", ";"),
  ";" &amp; IF(C67="", B67, C67) &amp; IF(M67="", "", " ("&amp;M67&amp;")") &amp; CHAR(10) &amp;
  _xlpm.vanillaPrefix &amp; "Keyword = Uvi_Wig_Distr_KYWD|" &amp; B67 &amp; CHAR(10) &amp;
  _xlpm.vanillaPrefix &amp; "Spell = " &amp; _xlpm.spell &amp; "|" &amp; B67
  )
)</f>
        <v>;Alik'r Warrior
;Keyword = Uvi_Wig_Distr_KYWD|MS08AlikrKematuGuard03
;Spell = No Spell for Hairstyle|MS08AlikrKematuGuard03</v>
      </c>
    </row>
    <row r="68" ht="12.75" customHeight="1">
      <c r="A68" s="15" t="s">
        <v>1588</v>
      </c>
      <c r="B68" s="5" t="s">
        <v>1589</v>
      </c>
      <c r="C68" s="5" t="s">
        <v>1581</v>
      </c>
      <c r="D68" s="5" t="s">
        <v>83</v>
      </c>
      <c r="E68" s="5" t="s">
        <v>233</v>
      </c>
      <c r="F68" s="5" t="s">
        <v>174</v>
      </c>
      <c r="G68" s="14" t="str">
        <f t="array" ref="G68">IF(B68="", "",
  LET(_xlpm.spell, IFERROR(IF(F68="", "", INDEX(_xlws.FILTER(Hairstyles!$F:$F, ISNUMBER(SEARCH(F68, Hairstyles!$B:$B))), 1)), "No Spell for Hairstyle"),
  _xlpm.vanillaPrefix, IF(LEFT(_xlpm.spell, 7)="Uvi_Wig", "", ";"),
  ";" &amp; IF(C68="", B68, C68) &amp; IF(M68="", "", " ("&amp;M68&amp;")") &amp; CHAR(10) &amp;
  _xlpm.vanillaPrefix &amp; "Keyword = Uvi_Wig_Distr_KYWD|" &amp; B68 &amp; CHAR(10) &amp;
  _xlpm.vanillaPrefix &amp; "Spell = " &amp; _xlpm.spell &amp; "|" &amp; B68
  )
)</f>
        <v>;Alik'r Warrior
;Keyword = Uvi_Wig_Distr_KYWD|MS08AlikrWarrior
;Spell = No Spell for Hairstyle|MS08AlikrWarrior</v>
      </c>
    </row>
    <row r="69" ht="12.75" customHeight="1">
      <c r="A69" s="5" t="s">
        <v>1590</v>
      </c>
      <c r="B69" s="5" t="s">
        <v>1591</v>
      </c>
      <c r="C69" s="5" t="s">
        <v>1581</v>
      </c>
      <c r="D69" s="5" t="s">
        <v>83</v>
      </c>
      <c r="E69" s="5" t="s">
        <v>233</v>
      </c>
      <c r="F69" s="5" t="s">
        <v>84</v>
      </c>
      <c r="G69" s="14" t="str">
        <f t="array" ref="G69">IF(B69="", "",
  LET(_xlpm.spell, IFERROR(IF(F69="", "", INDEX(_xlws.FILTER(Hairstyles!$F:$F, ISNUMBER(SEARCH(F69, Hairstyles!$B:$B))), 1)), "No Spell for Hairstyle"),
  _xlpm.vanillaPrefix, IF(LEFT(_xlpm.spell, 7)="Uvi_Wig", "", ";"),
  ";" &amp; IF(C69="", B69, C69) &amp; IF(M69="", "", " ("&amp;M69&amp;")") &amp; CHAR(10) &amp;
  _xlpm.vanillaPrefix &amp; "Keyword = Uvi_Wig_Distr_KYWD|" &amp; B69 &amp; CHAR(10) &amp;
  _xlpm.vanillaPrefix &amp; "Spell = " &amp; _xlpm.spell &amp; "|" &amp; B69
  )
)</f>
        <v>;Alik'r Warrior
;Keyword = Uvi_Wig_Distr_KYWD|MS08AlikrWarriorWhiterun
;Spell = No Spell for Hairstyle|MS08AlikrWarriorWhiterun</v>
      </c>
    </row>
    <row r="70" ht="12.75" customHeight="1">
      <c r="A70" s="5" t="s">
        <v>1592</v>
      </c>
      <c r="B70" s="5" t="s">
        <v>1593</v>
      </c>
      <c r="C70" s="5" t="s">
        <v>1581</v>
      </c>
      <c r="D70" s="5" t="s">
        <v>83</v>
      </c>
      <c r="E70" s="5" t="s">
        <v>233</v>
      </c>
      <c r="F70" s="5" t="s">
        <v>84</v>
      </c>
      <c r="G70" s="14" t="str">
        <f t="array" ref="G70">IF(B70="", "",
  LET(_xlpm.spell, IFERROR(IF(F70="", "", INDEX(_xlws.FILTER(Hairstyles!$F:$F, ISNUMBER(SEARCH(F70, Hairstyles!$B:$B))), 1)), "No Spell for Hairstyle"),
  _xlpm.vanillaPrefix, IF(LEFT(_xlpm.spell, 7)="Uvi_Wig", "", ";"),
  ";" &amp; IF(C70="", B70, C70) &amp; IF(M70="", "", " ("&amp;M70&amp;")") &amp; CHAR(10) &amp;
  _xlpm.vanillaPrefix &amp; "Keyword = Uvi_Wig_Distr_KYWD|" &amp; B70 &amp; CHAR(10) &amp;
  _xlpm.vanillaPrefix &amp; "Spell = " &amp; _xlpm.spell &amp; "|" &amp; B70
  )
)</f>
        <v>;Alik'r Warrior
;Keyword = Uvi_Wig_Distr_KYWD|MS08AlikrWarriorWhiterun02
;Spell = No Spell for Hairstyle|MS08AlikrWarriorWhiterun02</v>
      </c>
    </row>
    <row r="71" ht="12.75" customHeight="1">
      <c r="A71" s="15" t="s">
        <v>1594</v>
      </c>
      <c r="B71" s="5" t="s">
        <v>1595</v>
      </c>
      <c r="C71" s="5" t="s">
        <v>1595</v>
      </c>
      <c r="D71" s="5" t="s">
        <v>38</v>
      </c>
      <c r="E71" s="5" t="s">
        <v>41</v>
      </c>
      <c r="F71" s="5" t="s">
        <v>1596</v>
      </c>
      <c r="G71" s="14" t="str">
        <f t="array" ref="G71">IF(B71="", "",
  LET(_xlpm.spell, IFERROR(IF(F71="", "", INDEX(_xlws.FILTER(Hairstyles!$F:$F, ISNUMBER(SEARCH(F71, Hairstyles!$B:$B))), 1)), "No Spell for Hairstyle"),
  _xlpm.vanillaPrefix, IF(LEFT(_xlpm.spell, 7)="Uvi_Wig", "", ";"),
  ";" &amp; IF(C71="", B71, C71) &amp; IF(M71="", "", " ("&amp;M71&amp;")") &amp; CHAR(10) &amp;
  _xlpm.vanillaPrefix &amp; "Keyword = Uvi_Wig_Distr_KYWD|" &amp; B71 &amp; CHAR(10) &amp;
  _xlpm.vanillaPrefix &amp; "Spell = " &amp; _xlpm.spell &amp; "|" &amp; B71
  )
)</f>
        <v>;Alva
;Keyword = Uvi_Wig_Distr_KYWD|Alva
;Spell = No Spell for Hairstyle|Alva</v>
      </c>
    </row>
    <row r="72" ht="12.75" customHeight="1">
      <c r="A72" s="5" t="s">
        <v>1597</v>
      </c>
      <c r="B72" s="5" t="s">
        <v>1598</v>
      </c>
      <c r="C72" s="5" t="s">
        <v>1599</v>
      </c>
      <c r="D72" s="5" t="s">
        <v>38</v>
      </c>
      <c r="E72" s="5" t="s">
        <v>41</v>
      </c>
      <c r="F72" s="5" t="s">
        <v>44</v>
      </c>
      <c r="G72" s="14" t="str">
        <f t="array" ref="G72">IF(B72="", "",
  LET(_xlpm.spell, IFERROR(IF(F72="", "", INDEX(_xlws.FILTER(Hairstyles!$F:$F, ISNUMBER(SEARCH(F72, Hairstyles!$B:$B))), 1)), "No Spell for Hairstyle"),
  _xlpm.vanillaPrefix, IF(LEFT(_xlpm.spell, 7)="Uvi_Wig", "", ";"),
  ";" &amp; IF(C72="", B72, C72) &amp; IF(M72="", "", " ("&amp;M72&amp;")") &amp; CHAR(10) &amp;
  _xlpm.vanillaPrefix &amp; "Keyword = Uvi_Wig_Distr_KYWD|" &amp; B72 &amp; CHAR(10) &amp;
  _xlpm.vanillaPrefix &amp; "Spell = " &amp; _xlpm.spell &amp; "|" &amp; B72
  )
)</f>
        <v>;Alvide
;Keyword = Uvi_Wig_Distr_KYWD|DLC1RefugeeAlvide
;Spell = No Spell for Hairstyle|DLC1RefugeeAlvide</v>
      </c>
    </row>
    <row r="73" ht="12.75" customHeight="1">
      <c r="A73" s="15" t="s">
        <v>1600</v>
      </c>
      <c r="B73" s="5" t="s">
        <v>1601</v>
      </c>
      <c r="C73" s="5" t="s">
        <v>1601</v>
      </c>
      <c r="D73" s="5" t="s">
        <v>38</v>
      </c>
      <c r="E73" s="5" t="s">
        <v>233</v>
      </c>
      <c r="F73" s="5" t="s">
        <v>521</v>
      </c>
      <c r="G73" s="14" t="str">
        <f t="array" ref="G73">IF(B73="", "",
  LET(_xlpm.spell, IFERROR(IF(F73="", "", INDEX(_xlws.FILTER(Hairstyles!$F:$F, ISNUMBER(SEARCH(F73, Hairstyles!$B:$B))), 1)), "No Spell for Hairstyle"),
  _xlpm.vanillaPrefix, IF(LEFT(_xlpm.spell, 7)="Uvi_Wig", "", ";"),
  ";" &amp; IF(C73="", B73, C73) &amp; IF(M73="", "", " ("&amp;M73&amp;")") &amp; CHAR(10) &amp;
  _xlpm.vanillaPrefix &amp; "Keyword = Uvi_Wig_Distr_KYWD|" &amp; B73 &amp; CHAR(10) &amp;
  _xlpm.vanillaPrefix &amp; "Spell = " &amp; _xlpm.spell &amp; "|" &amp; B73
  )
)</f>
        <v>;Alvor
;Keyword = Uvi_Wig_Distr_KYWD|Alvor
;Spell = No Spell for Hairstyle|Alvor</v>
      </c>
    </row>
    <row r="74" ht="12.75" customHeight="1">
      <c r="A74" s="5" t="s">
        <v>1602</v>
      </c>
      <c r="B74" s="5" t="s">
        <v>1603</v>
      </c>
      <c r="C74" s="5" t="s">
        <v>1604</v>
      </c>
      <c r="D74" s="5" t="s">
        <v>16</v>
      </c>
      <c r="E74" s="5" t="s">
        <v>233</v>
      </c>
      <c r="F74" s="5" t="s">
        <v>990</v>
      </c>
      <c r="G74" s="14" t="str">
        <f t="array" ref="G74">IF(B74="", "",
  LET(_xlpm.spell, IFERROR(IF(F74="", "", INDEX(_xlws.FILTER(Hairstyles!$F:$F, ISNUMBER(SEARCH(F74, Hairstyles!$B:$B))), 1)), "No Spell for Hairstyle"),
  _xlpm.vanillaPrefix, IF(LEFT(_xlpm.spell, 7)="Uvi_Wig", "", ";"),
  ";" &amp; IF(C74="", B74, C74) &amp; IF(M74="", "", " ("&amp;M74&amp;")") &amp; CHAR(10) &amp;
  _xlpm.vanillaPrefix &amp; "Keyword = Uvi_Wig_Distr_KYWD|" &amp; B74 &amp; CHAR(10) &amp;
  _xlpm.vanillaPrefix &amp; "Spell = " &amp; _xlpm.spell &amp; "|" &amp; B74
  )
)</f>
        <v>;Amaund Motierre
;Keyword = Uvi_Wig_Distr_KYWD|AmaundMotierre
;Spell = No Spell for Hairstyle|AmaundMotierre</v>
      </c>
    </row>
    <row r="75" ht="12.75" customHeight="1">
      <c r="A75" s="5" t="s">
        <v>1605</v>
      </c>
      <c r="B75" s="5" t="s">
        <v>1606</v>
      </c>
      <c r="C75" s="5" t="s">
        <v>1604</v>
      </c>
      <c r="D75" s="5" t="s">
        <v>16</v>
      </c>
      <c r="E75" s="5" t="s">
        <v>233</v>
      </c>
      <c r="F75" s="5" t="s">
        <v>424</v>
      </c>
      <c r="G75" s="14" t="str">
        <f t="array" ref="G75">IF(B75="", "",
  LET(_xlpm.spell, IFERROR(IF(F75="", "", INDEX(_xlws.FILTER(Hairstyles!$F:$F, ISNUMBER(SEARCH(F75, Hairstyles!$B:$B))), 1)), "No Spell for Hairstyle"),
  _xlpm.vanillaPrefix, IF(LEFT(_xlpm.spell, 7)="Uvi_Wig", "", ";"),
  ";" &amp; IF(C75="", B75, C75) &amp; IF(M75="", "", " ("&amp;M75&amp;")") &amp; CHAR(10) &amp;
  _xlpm.vanillaPrefix &amp; "Keyword = Uvi_Wig_Distr_KYWD|" &amp; B75 &amp; CHAR(10) &amp;
  _xlpm.vanillaPrefix &amp; "Spell = " &amp; _xlpm.spell &amp; "|" &amp; B75
  )
)</f>
        <v>;Amaund Motierre
;Keyword = Uvi_Wig_Distr_KYWD|AmaundMotierreEnd
;Spell = No Spell for Hairstyle|AmaundMotierreEnd</v>
      </c>
    </row>
    <row r="76" ht="12.75" customHeight="1">
      <c r="A76" s="5" t="s">
        <v>1607</v>
      </c>
      <c r="B76" s="5" t="s">
        <v>1608</v>
      </c>
      <c r="C76" s="5" t="s">
        <v>1609</v>
      </c>
      <c r="D76" s="5" t="s">
        <v>45</v>
      </c>
      <c r="E76" s="5" t="s">
        <v>233</v>
      </c>
      <c r="F76" s="5" t="s">
        <v>525</v>
      </c>
      <c r="G76" s="14" t="str">
        <f t="array" ref="G76">IF(B76="", "",
  LET(_xlpm.spell, IFERROR(IF(F76="", "", INDEX(_xlws.FILTER(Hairstyles!$F:$F, ISNUMBER(SEARCH(F76, Hairstyles!$B:$B))), 1)), "No Spell for Hairstyle"),
  _xlpm.vanillaPrefix, IF(LEFT(_xlpm.spell, 7)="Uvi_Wig", "", ";"),
  ";" &amp; IF(C76="", B76, C76) &amp; IF(M76="", "", " ("&amp;M76&amp;")") &amp; CHAR(10) &amp;
  _xlpm.vanillaPrefix &amp; "Keyword = Uvi_Wig_Distr_KYWD|" &amp; B76 &amp; CHAR(10) &amp;
  _xlpm.vanillaPrefix &amp; "Spell = " &amp; _xlpm.spell &amp; "|" &amp; B76
  )
)</f>
        <v>;Ambarys Rendar
;Keyword = Uvi_Wig_Distr_KYWD|AmbarysRendar
;Spell = No Spell for Hairstyle|AmbarysRendar</v>
      </c>
    </row>
    <row r="77" ht="12.75" customHeight="1">
      <c r="A77" s="5" t="s">
        <v>1610</v>
      </c>
      <c r="B77" s="5" t="s">
        <v>1611</v>
      </c>
      <c r="C77" s="5" t="s">
        <v>1611</v>
      </c>
      <c r="D77" s="5" t="s">
        <v>83</v>
      </c>
      <c r="E77" s="5" t="s">
        <v>233</v>
      </c>
      <c r="F77" s="5" t="s">
        <v>238</v>
      </c>
      <c r="G77" s="14" t="str">
        <f t="array" ref="G77">IF(B77="", "",
  LET(_xlpm.spell, IFERROR(IF(F77="", "", INDEX(_xlws.FILTER(Hairstyles!$F:$F, ISNUMBER(SEARCH(F77, Hairstyles!$B:$B))), 1)), "No Spell for Hairstyle"),
  _xlpm.vanillaPrefix, IF(LEFT(_xlpm.spell, 7)="Uvi_Wig", "", ";"),
  ";" &amp; IF(C77="", B77, C77) &amp; IF(M77="", "", " ("&amp;M77&amp;")") &amp; CHAR(10) &amp;
  _xlpm.vanillaPrefix &amp; "Keyword = Uvi_Wig_Distr_KYWD|" &amp; B77 &amp; CHAR(10) &amp;
  _xlpm.vanillaPrefix &amp; "Spell = " &amp; _xlpm.spell &amp; "|" &amp; B77
  )
)</f>
        <v>;Amren
;Keyword = Uvi_Wig_Distr_KYWD|Amren
;Spell = No Spell for Hairstyle|Amren</v>
      </c>
    </row>
    <row r="78" ht="12.75" customHeight="1">
      <c r="A78" s="5" t="s">
        <v>1612</v>
      </c>
      <c r="B78" s="5" t="s">
        <v>1613</v>
      </c>
      <c r="C78" s="5" t="s">
        <v>1613</v>
      </c>
      <c r="D78" s="5" t="s">
        <v>57</v>
      </c>
      <c r="E78" s="5" t="s">
        <v>233</v>
      </c>
      <c r="F78" s="5" t="s">
        <v>47</v>
      </c>
      <c r="G78" s="14" t="str">
        <f t="array" ref="G78">IF(B78="", "",
  LET(_xlpm.spell, IFERROR(IF(F78="", "", INDEX(_xlws.FILTER(Hairstyles!$F:$F, ISNUMBER(SEARCH(F78, Hairstyles!$B:$B))), 1)), "No Spell for Hairstyle"),
  _xlpm.vanillaPrefix, IF(LEFT(_xlpm.spell, 7)="Uvi_Wig", "", ";"),
  ";" &amp; IF(C78="", B78, C78) &amp; IF(M78="", "", " ("&amp;M78&amp;")") &amp; CHAR(10) &amp;
  _xlpm.vanillaPrefix &amp; "Keyword = Uvi_Wig_Distr_KYWD|" &amp; B78 &amp; CHAR(10) &amp;
  _xlpm.vanillaPrefix &amp; "Spell = " &amp; _xlpm.spell &amp; "|" &amp; B78
  )
)</f>
        <v>;Ancano
;Keyword = Uvi_Wig_Distr_KYWD|Ancano
;Spell = No Spell for Hairstyle|Ancano</v>
      </c>
    </row>
    <row r="79" ht="12.75" customHeight="1">
      <c r="A79" s="5" t="s">
        <v>1614</v>
      </c>
      <c r="B79" s="5" t="s">
        <v>1615</v>
      </c>
      <c r="C79" s="5" t="s">
        <v>1616</v>
      </c>
      <c r="D79" s="5" t="s">
        <v>57</v>
      </c>
      <c r="E79" s="5" t="s">
        <v>233</v>
      </c>
      <c r="F79" s="5" t="s">
        <v>47</v>
      </c>
      <c r="G79" s="14" t="str">
        <f t="array" ref="G79">IF(B79="", "",
  LET(_xlpm.spell, IFERROR(IF(F79="", "", INDEX(_xlws.FILTER(Hairstyles!$F:$F, ISNUMBER(SEARCH(F79, Hairstyles!$B:$B))), 1)), "No Spell for Hairstyle"),
  _xlpm.vanillaPrefix, IF(LEFT(_xlpm.spell, 7)="Uvi_Wig", "", ";"),
  ";" &amp; IF(C79="", B79, C79) &amp; IF(M79="", "", " ("&amp;M79&amp;")") &amp; CHAR(10) &amp;
  _xlpm.vanillaPrefix &amp; "Keyword = Uvi_Wig_Distr_KYWD|" &amp; B79 &amp; CHAR(10) &amp;
  _xlpm.vanillaPrefix &amp; "Spell = " &amp; _xlpm.spell &amp; "|" &amp; B79
  )
)</f>
        <v>;Ancarion
;Keyword = Uvi_Wig_Distr_KYWD|DLC2SV02Ancarion
;Spell = No Spell for Hairstyle|DLC2SV02Ancarion</v>
      </c>
    </row>
    <row r="80" ht="12.75" customHeight="1">
      <c r="A80" s="15" t="s">
        <v>1617</v>
      </c>
      <c r="B80" s="5" t="s">
        <v>1618</v>
      </c>
      <c r="C80" s="5" t="s">
        <v>1619</v>
      </c>
      <c r="D80" s="5" t="s">
        <v>79</v>
      </c>
      <c r="E80" s="5" t="s">
        <v>41</v>
      </c>
      <c r="F80" s="5" t="s">
        <v>1557</v>
      </c>
      <c r="G80" s="14" t="str">
        <f t="array" ref="G80">IF(B80="", "",
  LET(_xlpm.spell, IFERROR(IF(F80="", "", INDEX(_xlws.FILTER(Hairstyles!$F:$F, ISNUMBER(SEARCH(F80, Hairstyles!$B:$B))), 1)), "No Spell for Hairstyle"),
  _xlpm.vanillaPrefix, IF(LEFT(_xlpm.spell, 7)="Uvi_Wig", "", ";"),
  ";" &amp; IF(C80="", B80, C80) &amp; IF(M80="", "", " ("&amp;M80&amp;")") &amp; CHAR(10) &amp;
  _xlpm.vanillaPrefix &amp; "Keyword = Uvi_Wig_Distr_KYWD|" &amp; B80 &amp; CHAR(10) &amp;
  _xlpm.vanillaPrefix &amp; "Spell = " &amp; _xlpm.spell &amp; "|" &amp; B80
  )
)</f>
        <v>;Ancient Vampire
;Keyword = Uvi_Wig_Distr_KYWD|EncVampire05Template
;Spell = No Spell for Hairstyle|EncVampire05Template</v>
      </c>
    </row>
    <row r="81" ht="12.75" customHeight="1">
      <c r="A81" s="5" t="s">
        <v>1620</v>
      </c>
      <c r="B81" s="5" t="s">
        <v>1621</v>
      </c>
      <c r="C81" s="5" t="s">
        <v>1621</v>
      </c>
      <c r="D81" s="5" t="s">
        <v>38</v>
      </c>
      <c r="E81" s="5" t="s">
        <v>233</v>
      </c>
      <c r="F81" s="5" t="s">
        <v>1622</v>
      </c>
      <c r="G81" s="14" t="str">
        <f t="array" ref="G81">IF(B81="", "",
  LET(_xlpm.spell, IFERROR(IF(F81="", "", INDEX(_xlws.FILTER(Hairstyles!$F:$F, ISNUMBER(SEARCH(F81, Hairstyles!$B:$B))), 1)), "No Spell for Hairstyle"),
  _xlpm.vanillaPrefix, IF(LEFT(_xlpm.spell, 7)="Uvi_Wig", "", ";"),
  ";" &amp; IF(C81="", B81, C81) &amp; IF(M81="", "", " ("&amp;M81&amp;")") &amp; CHAR(10) &amp;
  _xlpm.vanillaPrefix &amp; "Keyword = Uvi_Wig_Distr_KYWD|" &amp; B81 &amp; CHAR(10) &amp;
  _xlpm.vanillaPrefix &amp; "Spell = " &amp; _xlpm.spell &amp; "|" &amp; B81
  )
)</f>
        <v>;Andurs
;Keyword = Uvi_Wig_Distr_KYWD|Andurs
;Spell = No Spell for Hairstyle|Andurs</v>
      </c>
    </row>
    <row r="82" ht="12.75" customHeight="1">
      <c r="A82" s="15" t="s">
        <v>1623</v>
      </c>
      <c r="B82" s="5" t="s">
        <v>1624</v>
      </c>
      <c r="C82" s="5" t="s">
        <v>1625</v>
      </c>
      <c r="D82" s="5" t="s">
        <v>16</v>
      </c>
      <c r="E82" s="5" t="s">
        <v>41</v>
      </c>
      <c r="F82" s="5" t="s">
        <v>44</v>
      </c>
      <c r="G82" s="14" t="str">
        <f t="array" ref="G82">IF(B82="", "",
  LET(_xlpm.spell, IFERROR(IF(F82="", "", INDEX(_xlws.FILTER(Hairstyles!$F:$F, ISNUMBER(SEARCH(F82, Hairstyles!$B:$B))), 1)), "No Spell for Hairstyle"),
  _xlpm.vanillaPrefix, IF(LEFT(_xlpm.spell, 7)="Uvi_Wig", "", ";"),
  ";" &amp; IF(C82="", B82, C82) &amp; IF(M82="", "", " ("&amp;M82&amp;")") &amp; CHAR(10) &amp;
  _xlpm.vanillaPrefix &amp; "Keyword = Uvi_Wig_Distr_KYWD|" &amp; B82 &amp; CHAR(10) &amp;
  _xlpm.vanillaPrefix &amp; "Spell = " &amp; _xlpm.spell &amp; "|" &amp; B82
  )
)</f>
        <v>;Angeline Morrard
;Keyword = Uvi_Wig_Distr_KYWD|AngelineMorrard
;Spell = No Spell for Hairstyle|AngelineMorrard</v>
      </c>
    </row>
    <row r="83" ht="12.75" customHeight="1">
      <c r="A83" s="5" t="s">
        <v>1626</v>
      </c>
      <c r="B83" s="5" t="s">
        <v>1627</v>
      </c>
      <c r="C83" s="5" t="s">
        <v>1628</v>
      </c>
      <c r="D83" s="5" t="s">
        <v>38</v>
      </c>
      <c r="E83" s="5" t="s">
        <v>233</v>
      </c>
      <c r="F83" s="5" t="s">
        <v>424</v>
      </c>
      <c r="G83" s="14" t="str">
        <f t="array" ref="G83">IF(B83="", "",
  LET(_xlpm.spell, IFERROR(IF(F83="", "", INDEX(_xlws.FILTER(Hairstyles!$F:$F, ISNUMBER(SEARCH(F83, Hairstyles!$B:$B))), 1)), "No Spell for Hairstyle"),
  _xlpm.vanillaPrefix, IF(LEFT(_xlpm.spell, 7)="Uvi_Wig", "", ";"),
  ";" &amp; IF(C83="", B83, C83) &amp; IF(M83="", "", " ("&amp;M83&amp;")") &amp; CHAR(10) &amp;
  _xlpm.vanillaPrefix &amp; "Keyword = Uvi_Wig_Distr_KYWD|" &amp; B83 &amp; CHAR(10) &amp;
  _xlpm.vanillaPrefix &amp; "Spell = " &amp; _xlpm.spell &amp; "|" &amp; B83
  )
)</f>
        <v>;Anger
;Keyword = Uvi_Wig_Distr_KYWD|dunBluePalaceBully
;Spell = No Spell for Hairstyle|dunBluePalaceBully</v>
      </c>
    </row>
    <row r="84" ht="12.75" customHeight="1">
      <c r="A84" s="5" t="s">
        <v>1629</v>
      </c>
      <c r="B84" s="5" t="s">
        <v>1630</v>
      </c>
      <c r="C84" s="5" t="s">
        <v>1631</v>
      </c>
      <c r="D84" s="5" t="s">
        <v>38</v>
      </c>
      <c r="E84" s="5" t="s">
        <v>41</v>
      </c>
      <c r="F84" s="5" t="s">
        <v>22</v>
      </c>
      <c r="G84" s="14" t="str">
        <f t="array" ref="G84">IF(B84="", "",
  LET(_xlpm.spell, IFERROR(IF(F84="", "", INDEX(_xlws.FILTER(Hairstyles!$F:$F, ISNUMBER(SEARCH(F84, Hairstyles!$B:$B))), 1)), "No Spell for Hairstyle"),
  _xlpm.vanillaPrefix, IF(LEFT(_xlpm.spell, 7)="Uvi_Wig", "", ";"),
  ";" &amp; IF(C84="", B84, C84) &amp; IF(M84="", "", " ("&amp;M84&amp;")") &amp; CHAR(10) &amp;
  _xlpm.vanillaPrefix &amp; "Keyword = Uvi_Wig_Distr_KYWD|" &amp; B84 &amp; CHAR(10) &amp;
  _xlpm.vanillaPrefix &amp; "Spell = " &amp; _xlpm.spell &amp; "|" &amp; B84
  )
)</f>
        <v>;Angi
;Keyword = Uvi_Wig_Distr_KYWD|dunAngiREF
;Spell = No Spell for Hairstyle|dunAngiREF</v>
      </c>
    </row>
    <row r="85" ht="12.75" customHeight="1">
      <c r="A85" s="15" t="s">
        <v>1632</v>
      </c>
      <c r="B85" s="5" t="s">
        <v>1633</v>
      </c>
      <c r="C85" s="5" t="s">
        <v>1634</v>
      </c>
      <c r="D85" s="5" t="s">
        <v>38</v>
      </c>
      <c r="E85" s="5" t="s">
        <v>233</v>
      </c>
      <c r="F85" s="5" t="s">
        <v>209</v>
      </c>
      <c r="G85" s="14" t="str">
        <f t="array" ref="G85">IF(B85="", "",
  LET(_xlpm.spell, IFERROR(IF(F85="", "", INDEX(_xlws.FILTER(Hairstyles!$F:$F, ISNUMBER(SEARCH(F85, Hairstyles!$B:$B))), 1)), "No Spell for Hairstyle"),
  _xlpm.vanillaPrefix, IF(LEFT(_xlpm.spell, 7)="Uvi_Wig", "", ";"),
  ";" &amp; IF(C85="", B85, C85) &amp; IF(M85="", "", " ("&amp;M85&amp;")") &amp; CHAR(10) &amp;
  _xlpm.vanillaPrefix &amp; "Keyword = Uvi_Wig_Distr_KYWD|" &amp; B85 &amp; CHAR(10) &amp;
  _xlpm.vanillaPrefix &amp; "Spell = " &amp; _xlpm.spell &amp; "|" &amp; B85
  )
)</f>
        <v>;Angrenor Once-Honored
;Keyword = Uvi_Wig_Distr_KYWD|Angrenor
;Spell = No Spell for Hairstyle|Angrenor</v>
      </c>
    </row>
    <row r="86" ht="12.75" customHeight="1">
      <c r="A86" s="5" t="s">
        <v>1635</v>
      </c>
      <c r="B86" s="5" t="s">
        <v>1636</v>
      </c>
      <c r="C86" s="5" t="s">
        <v>1636</v>
      </c>
      <c r="D86" s="5" t="s">
        <v>38</v>
      </c>
      <c r="E86" s="5" t="s">
        <v>233</v>
      </c>
      <c r="F86" s="5" t="s">
        <v>990</v>
      </c>
      <c r="G86" s="14" t="str">
        <f t="array" ref="G86">IF(B86="", "",
  LET(_xlpm.spell, IFERROR(IF(F86="", "", INDEX(_xlws.FILTER(Hairstyles!$F:$F, ISNUMBER(SEARCH(F86, Hairstyles!$B:$B))), 1)), "No Spell for Hairstyle"),
  _xlpm.vanillaPrefix, IF(LEFT(_xlpm.spell, 7)="Uvi_Wig", "", ";"),
  ";" &amp; IF(C86="", B86, C86) &amp; IF(M86="", "", " ("&amp;M86&amp;")") &amp; CHAR(10) &amp;
  _xlpm.vanillaPrefix &amp; "Keyword = Uvi_Wig_Distr_KYWD|" &amp; B86 &amp; CHAR(10) &amp;
  _xlpm.vanillaPrefix &amp; "Spell = " &amp; _xlpm.spell &amp; "|" &amp; B86
  )
)</f>
        <v>;Angvid
;Keyword = Uvi_Wig_Distr_KYWD|Angvid
;Spell = No Spell for Hairstyle|Angvid</v>
      </c>
    </row>
    <row r="87" ht="12.75" customHeight="1">
      <c r="A87" s="5" t="s">
        <v>1637</v>
      </c>
      <c r="B87" s="5" t="s">
        <v>1638</v>
      </c>
      <c r="C87" s="5" t="s">
        <v>1639</v>
      </c>
      <c r="D87" s="5" t="s">
        <v>51</v>
      </c>
      <c r="E87" s="5" t="s">
        <v>41</v>
      </c>
      <c r="F87" s="5" t="s">
        <v>1640</v>
      </c>
      <c r="G87" s="14" t="str">
        <f t="array" ref="G87">IF(B87="", "",
  LET(_xlpm.spell, IFERROR(IF(F87="", "", INDEX(_xlws.FILTER(Hairstyles!$F:$F, ISNUMBER(SEARCH(F87, Hairstyles!$B:$B))), 1)), "No Spell for Hairstyle"),
  _xlpm.vanillaPrefix, IF(LEFT(_xlpm.spell, 7)="Uvi_Wig", "", ";"),
  ";" &amp; IF(C87="", B87, C87) &amp; IF(M87="", "", " ("&amp;M87&amp;")") &amp; CHAR(10) &amp;
  _xlpm.vanillaPrefix &amp; "Keyword = Uvi_Wig_Distr_KYWD|" &amp; B87 &amp; CHAR(10) &amp;
  _xlpm.vanillaPrefix &amp; "Spell = " &amp; _xlpm.spell &amp; "|" &amp; B87
  )
)</f>
        <v>;Anise
;Keyword = Uvi_Wig_Distr_KYWD|dunPOIWitchAnise
;Spell = No Spell for Hairstyle|dunPOIWitchAnise</v>
      </c>
    </row>
    <row r="88" ht="12.75" customHeight="1">
      <c r="A88" s="15" t="s">
        <v>1641</v>
      </c>
      <c r="B88" s="5" t="s">
        <v>1642</v>
      </c>
      <c r="C88" s="5" t="s">
        <v>1643</v>
      </c>
      <c r="D88" s="5" t="s">
        <v>38</v>
      </c>
      <c r="E88" s="5" t="s">
        <v>41</v>
      </c>
      <c r="F88" s="5" t="s">
        <v>44</v>
      </c>
      <c r="G88" s="14" t="str">
        <f t="array" ref="G88">IF(B88="", "",
  LET(_xlpm.spell, IFERROR(IF(F88="", "", INDEX(_xlws.FILTER(Hairstyles!$F:$F, ISNUMBER(SEARCH(F88, Hairstyles!$B:$B))), 1)), "No Spell for Hairstyle"),
  _xlpm.vanillaPrefix, IF(LEFT(_xlpm.spell, 7)="Uvi_Wig", "", ";"),
  ";" &amp; IF(C88="", B88, C88) &amp; IF(M88="", "", " ("&amp;M88&amp;")") &amp; CHAR(10) &amp;
  _xlpm.vanillaPrefix &amp; "Keyword = Uvi_Wig_Distr_KYWD|" &amp; B88 &amp; CHAR(10) &amp;
  _xlpm.vanillaPrefix &amp; "Spell = " &amp; _xlpm.spell &amp; "|" &amp; B88
  )
)</f>
        <v>;Annekke Crag-Jumper
;Keyword = Uvi_Wig_Distr_KYWD|Annekke
;Spell = No Spell for Hairstyle|Annekke</v>
      </c>
    </row>
    <row r="89" ht="12.75" customHeight="1">
      <c r="A89" s="5" t="s">
        <v>1644</v>
      </c>
      <c r="B89" s="5" t="s">
        <v>1645</v>
      </c>
      <c r="C89" s="5" t="s">
        <v>1645</v>
      </c>
      <c r="D89" s="5" t="s">
        <v>90</v>
      </c>
      <c r="E89" s="5" t="s">
        <v>233</v>
      </c>
      <c r="F89" s="5" t="s">
        <v>525</v>
      </c>
      <c r="G89" s="14" t="str">
        <f t="array" ref="G89">IF(B89="", "",
  LET(_xlpm.spell, IFERROR(IF(F89="", "", INDEX(_xlws.FILTER(Hairstyles!$F:$F, ISNUMBER(SEARCH(F89, Hairstyles!$B:$B))), 1)), "No Spell for Hairstyle"),
  _xlpm.vanillaPrefix, IF(LEFT(_xlpm.spell, 7)="Uvi_Wig", "", ";"),
  ";" &amp; IF(C89="", B89, C89) &amp; IF(M89="", "", " ("&amp;M89&amp;")") &amp; CHAR(10) &amp;
  _xlpm.vanillaPrefix &amp; "Keyword = Uvi_Wig_Distr_KYWD|" &amp; B89 &amp; CHAR(10) &amp;
  _xlpm.vanillaPrefix &amp; "Spell = " &amp; _xlpm.spell &amp; "|" &amp; B89
  )
)</f>
        <v>;Anoriath
;Keyword = Uvi_Wig_Distr_KYWD|Anoriath
;Spell = No Spell for Hairstyle|Anoriath</v>
      </c>
    </row>
    <row r="90" ht="12.75" customHeight="1">
      <c r="A90" s="15" t="s">
        <v>1646</v>
      </c>
      <c r="B90" s="5" t="s">
        <v>1647</v>
      </c>
      <c r="C90" s="5" t="s">
        <v>1648</v>
      </c>
      <c r="D90" s="5" t="s">
        <v>16</v>
      </c>
      <c r="E90" s="5" t="s">
        <v>233</v>
      </c>
      <c r="F90" s="5" t="s">
        <v>218</v>
      </c>
      <c r="G90" s="14" t="str">
        <f t="array" ref="G90">IF(B90="", "",
  LET(_xlpm.spell, IFERROR(IF(F90="", "", INDEX(_xlws.FILTER(Hairstyles!$F:$F, ISNUMBER(SEARCH(F90, Hairstyles!$B:$B))), 1)), "No Spell for Hairstyle"),
  _xlpm.vanillaPrefix, IF(LEFT(_xlpm.spell, 7)="Uvi_Wig", "", ";"),
  ";" &amp; IF(C90="", B90, C90) &amp; IF(M90="", "", " ("&amp;M90&amp;")") &amp; CHAR(10) &amp;
  _xlpm.vanillaPrefix &amp; "Keyword = Uvi_Wig_Distr_KYWD|" &amp; B90 &amp; CHAR(10) &amp;
  _xlpm.vanillaPrefix &amp; "Spell = " &amp; _xlpm.spell &amp; "|" &amp; B90
  )
)</f>
        <v>;Anton Virane
;Keyword = Uvi_Wig_Distr_KYWD|Anton
;Spell = No Spell for Hairstyle|Anton</v>
      </c>
    </row>
    <row r="91" ht="12.75" customHeight="1">
      <c r="A91" s="15" t="s">
        <v>1649</v>
      </c>
      <c r="B91" s="5" t="s">
        <v>1650</v>
      </c>
      <c r="C91" s="5" t="s">
        <v>1650</v>
      </c>
      <c r="D91" s="5" t="s">
        <v>90</v>
      </c>
      <c r="E91" s="5" t="s">
        <v>41</v>
      </c>
      <c r="F91" s="5" t="s">
        <v>491</v>
      </c>
      <c r="G91" s="14" t="str">
        <f t="array" ref="G91">IF(B91="", "",
  LET(_xlpm.spell, IFERROR(IF(F91="", "", INDEX(_xlws.FILTER(Hairstyles!$F:$F, ISNUMBER(SEARCH(F91, Hairstyles!$B:$B))), 1)), "No Spell for Hairstyle"),
  _xlpm.vanillaPrefix, IF(LEFT(_xlpm.spell, 7)="Uvi_Wig", "", ";"),
  ";" &amp; IF(C91="", B91, C91) &amp; IF(M91="", "", " ("&amp;M91&amp;")") &amp; CHAR(10) &amp;
  _xlpm.vanillaPrefix &amp; "Keyword = Uvi_Wig_Distr_KYWD|" &amp; B91 &amp; CHAR(10) &amp;
  _xlpm.vanillaPrefix &amp; "Spell = " &amp; _xlpm.spell &amp; "|" &amp; B91
  )
)</f>
        <v>;Anuriel
;Keyword = Uvi_Wig_Distr_KYWD|Anuriel
;Spell = No Spell for Hairstyle|Anuriel</v>
      </c>
    </row>
    <row r="92" ht="12.75" customHeight="1">
      <c r="A92" s="15" t="s">
        <v>1651</v>
      </c>
      <c r="B92" s="5" t="s">
        <v>1652</v>
      </c>
      <c r="C92" s="5" t="s">
        <v>1652</v>
      </c>
      <c r="D92" s="5" t="s">
        <v>83</v>
      </c>
      <c r="E92" s="5" t="s">
        <v>41</v>
      </c>
      <c r="F92" s="5" t="s">
        <v>85</v>
      </c>
      <c r="G92" s="14" t="str">
        <f t="array" ref="G92">IF(B92="", "",
  LET(_xlpm.spell, IFERROR(IF(F92="", "", INDEX(_xlws.FILTER(Hairstyles!$F:$F, ISNUMBER(SEARCH(F92, Hairstyles!$B:$B))), 1)), "No Spell for Hairstyle"),
  _xlpm.vanillaPrefix, IF(LEFT(_xlpm.spell, 7)="Uvi_Wig", "", ";"),
  ";" &amp; IF(C92="", B92, C92) &amp; IF(M92="", "", " ("&amp;M92&amp;")") &amp; CHAR(10) &amp;
  _xlpm.vanillaPrefix &amp; "Keyword = Uvi_Wig_Distr_KYWD|" &amp; B92 &amp; CHAR(10) &amp;
  _xlpm.vanillaPrefix &amp; "Spell = " &amp; _xlpm.spell &amp; "|" &amp; B92
  )
)</f>
        <v>;Anwen
;Keyword = Uvi_Wig_Distr_KYWD|Anwen
;Spell = No Spell for Hairstyle|Anwen</v>
      </c>
    </row>
    <row r="93" ht="12.75" customHeight="1">
      <c r="A93" s="5" t="s">
        <v>1653</v>
      </c>
      <c r="B93" s="5" t="s">
        <v>1654</v>
      </c>
      <c r="C93" s="5" t="s">
        <v>1655</v>
      </c>
      <c r="D93" s="5" t="s">
        <v>45</v>
      </c>
      <c r="E93" s="5" t="s">
        <v>41</v>
      </c>
      <c r="F93" s="5" t="s">
        <v>1656</v>
      </c>
      <c r="G93" s="14" t="str">
        <f t="array" ref="G93">IF(B93="", "",
  LET(_xlpm.spell, IFERROR(IF(F93="", "", INDEX(_xlws.FILTER(Hairstyles!$F:$F, ISNUMBER(SEARCH(F93, Hairstyles!$B:$B))), 1)), "No Spell for Hairstyle"),
  _xlpm.vanillaPrefix, IF(LEFT(_xlpm.spell, 7)="Uvi_Wig", "", ";"),
  ";" &amp; IF(C93="", B93, C93) &amp; IF(M93="", "", " ("&amp;M93&amp;")") &amp; CHAR(10) &amp;
  _xlpm.vanillaPrefix &amp; "Keyword = Uvi_Wig_Distr_KYWD|" &amp; B93 &amp; CHAR(10) &amp;
  _xlpm.vanillaPrefix &amp; "Spell = " &amp; _xlpm.spell &amp; "|" &amp; B93
  )
)</f>
        <v>;Aphia Velothi
;Keyword = Uvi_Wig_Distr_KYWD|DLC2RRAphiaVelothi
;Spell = No Spell for Hairstyle|DLC2RRAphiaVelothi</v>
      </c>
    </row>
    <row r="94" ht="12.75" customHeight="1">
      <c r="A94" s="5" t="s">
        <v>1657</v>
      </c>
      <c r="B94" s="5" t="s">
        <v>1658</v>
      </c>
      <c r="C94" s="5" t="s">
        <v>1659</v>
      </c>
      <c r="D94" s="5" t="s">
        <v>51</v>
      </c>
      <c r="E94" s="5" t="s">
        <v>233</v>
      </c>
      <c r="F94" s="5" t="s">
        <v>84</v>
      </c>
      <c r="G94" s="14" t="str">
        <f t="array" ref="G94">IF(B94="", "",
  LET(_xlpm.spell, IFERROR(IF(F94="", "", INDEX(_xlws.FILTER(Hairstyles!$F:$F, ISNUMBER(SEARCH(F94, Hairstyles!$B:$B))), 1)), "No Spell for Hairstyle"),
  _xlpm.vanillaPrefix, IF(LEFT(_xlpm.spell, 7)="Uvi_Wig", "", ";"),
  ";" &amp; IF(C94="", B94, C94) &amp; IF(M94="", "", " ("&amp;M94&amp;")") &amp; CHAR(10) &amp;
  _xlpm.vanillaPrefix &amp; "Keyword = Uvi_Wig_Distr_KYWD|" &amp; B94 &amp; CHAR(10) &amp;
  _xlpm.vanillaPrefix &amp; "Spell = " &amp; _xlpm.spell &amp; "|" &amp; B94
  )
)</f>
        <v>;Apprentice Conjurer
;Keyword = Uvi_Wig_Distr_KYWD|EncWarlock02TemplateBossConjurer
;Spell = No Spell for Hairstyle|EncWarlock02TemplateBossConjurer</v>
      </c>
    </row>
    <row r="95" ht="12.75" customHeight="1">
      <c r="A95" s="5" t="s">
        <v>1660</v>
      </c>
      <c r="B95" s="5" t="s">
        <v>1661</v>
      </c>
      <c r="C95" s="5" t="s">
        <v>1659</v>
      </c>
      <c r="D95" s="5" t="s">
        <v>16</v>
      </c>
      <c r="E95" s="5" t="s">
        <v>233</v>
      </c>
      <c r="F95" s="5" t="s">
        <v>1088</v>
      </c>
      <c r="G95" s="14" t="str">
        <f t="array" ref="G95">IF(B95="", "",
  LET(_xlpm.spell, IFERROR(IF(F95="", "", INDEX(_xlws.FILTER(Hairstyles!$F:$F, ISNUMBER(SEARCH(F95, Hairstyles!$B:$B))), 1)), "No Spell for Hairstyle"),
  _xlpm.vanillaPrefix, IF(LEFT(_xlpm.spell, 7)="Uvi_Wig", "", ";"),
  ";" &amp; IF(C95="", B95, C95) &amp; IF(M95="", "", " ("&amp;M95&amp;")") &amp; CHAR(10) &amp;
  _xlpm.vanillaPrefix &amp; "Keyword = Uvi_Wig_Distr_KYWD|" &amp; B95 &amp; CHAR(10) &amp;
  _xlpm.vanillaPrefix &amp; "Spell = " &amp; _xlpm.spell &amp; "|" &amp; B95
  )
)</f>
        <v>;Apprentice Conjurer
;Keyword = Uvi_Wig_Distr_KYWD|EncWarlock02TemplateConjurer
;Spell = No Spell for Hairstyle|EncWarlock02TemplateConjurer</v>
      </c>
    </row>
    <row r="96" ht="12.75" customHeight="1">
      <c r="A96" s="5" t="s">
        <v>1662</v>
      </c>
      <c r="B96" s="5" t="s">
        <v>1663</v>
      </c>
      <c r="C96" s="5" t="s">
        <v>1664</v>
      </c>
      <c r="D96" s="5" t="s">
        <v>51</v>
      </c>
      <c r="E96" s="5" t="s">
        <v>233</v>
      </c>
      <c r="F96" s="5" t="s">
        <v>1622</v>
      </c>
      <c r="G96" s="14" t="str">
        <f t="array" ref="G96">IF(B96="", "",
  LET(_xlpm.spell, IFERROR(IF(F96="", "", INDEX(_xlws.FILTER(Hairstyles!$F:$F, ISNUMBER(SEARCH(F96, Hairstyles!$B:$B))), 1)), "No Spell for Hairstyle"),
  _xlpm.vanillaPrefix, IF(LEFT(_xlpm.spell, 7)="Uvi_Wig", "", ";"),
  ";" &amp; IF(C96="", B96, C96) &amp; IF(M96="", "", " ("&amp;M96&amp;")") &amp; CHAR(10) &amp;
  _xlpm.vanillaPrefix &amp; "Keyword = Uvi_Wig_Distr_KYWD|" &amp; B96 &amp; CHAR(10) &amp;
  _xlpm.vanillaPrefix &amp; "Spell = " &amp; _xlpm.spell &amp; "|" &amp; B96
  )
)</f>
        <v>;Apprentice Fire Mage
;Keyword = Uvi_Wig_Distr_KYWD|EncWarlock02TemplateBossFire
;Spell = No Spell for Hairstyle|EncWarlock02TemplateBossFire</v>
      </c>
    </row>
    <row r="97" ht="12.75" customHeight="1">
      <c r="A97" s="5" t="s">
        <v>1665</v>
      </c>
      <c r="B97" s="5" t="s">
        <v>1666</v>
      </c>
      <c r="C97" s="5" t="s">
        <v>1664</v>
      </c>
      <c r="D97" s="5" t="s">
        <v>45</v>
      </c>
      <c r="E97" s="5" t="s">
        <v>233</v>
      </c>
      <c r="F97" s="5" t="s">
        <v>1667</v>
      </c>
      <c r="G97" s="14" t="str">
        <f t="array" ref="G97">IF(B97="", "",
  LET(_xlpm.spell, IFERROR(IF(F97="", "", INDEX(_xlws.FILTER(Hairstyles!$F:$F, ISNUMBER(SEARCH(F97, Hairstyles!$B:$B))), 1)), "No Spell for Hairstyle"),
  _xlpm.vanillaPrefix, IF(LEFT(_xlpm.spell, 7)="Uvi_Wig", "", ";"),
  ";" &amp; IF(C97="", B97, C97) &amp; IF(M97="", "", " ("&amp;M97&amp;")") &amp; CHAR(10) &amp;
  _xlpm.vanillaPrefix &amp; "Keyword = Uvi_Wig_Distr_KYWD|" &amp; B97 &amp; CHAR(10) &amp;
  _xlpm.vanillaPrefix &amp; "Spell = " &amp; _xlpm.spell &amp; "|" &amp; B97
  )
)</f>
        <v>;Apprentice Fire Mage
;Keyword = Uvi_Wig_Distr_KYWD|EncWarlock02TemplateFire
;Spell = No Spell for Hairstyle|EncWarlock02TemplateFire</v>
      </c>
    </row>
    <row r="98" ht="12.75" customHeight="1">
      <c r="A98" s="5" t="s">
        <v>1668</v>
      </c>
      <c r="B98" s="5" t="s">
        <v>1669</v>
      </c>
      <c r="C98" s="5" t="s">
        <v>1670</v>
      </c>
      <c r="D98" s="5" t="s">
        <v>51</v>
      </c>
      <c r="E98" s="5" t="s">
        <v>233</v>
      </c>
      <c r="F98" s="5" t="s">
        <v>1622</v>
      </c>
      <c r="G98" s="14" t="str">
        <f t="array" ref="G98">IF(B98="", "",
  LET(_xlpm.spell, IFERROR(IF(F98="", "", INDEX(_xlws.FILTER(Hairstyles!$F:$F, ISNUMBER(SEARCH(F98, Hairstyles!$B:$B))), 1)), "No Spell for Hairstyle"),
  _xlpm.vanillaPrefix, IF(LEFT(_xlpm.spell, 7)="Uvi_Wig", "", ";"),
  ";" &amp; IF(C98="", B98, C98) &amp; IF(M98="", "", " ("&amp;M98&amp;")") &amp; CHAR(10) &amp;
  _xlpm.vanillaPrefix &amp; "Keyword = Uvi_Wig_Distr_KYWD|" &amp; B98 &amp; CHAR(10) &amp;
  _xlpm.vanillaPrefix &amp; "Spell = " &amp; _xlpm.spell &amp; "|" &amp; B98
  )
)</f>
        <v>;Apprentice Ice Mage
;Keyword = Uvi_Wig_Distr_KYWD|EncWarlock02TemplateBossIce
;Spell = No Spell for Hairstyle|EncWarlock02TemplateBossIce</v>
      </c>
    </row>
    <row r="99" ht="12.75" customHeight="1">
      <c r="A99" s="5" t="s">
        <v>1671</v>
      </c>
      <c r="B99" s="5" t="s">
        <v>1672</v>
      </c>
      <c r="C99" s="5" t="s">
        <v>1670</v>
      </c>
      <c r="D99" s="5" t="s">
        <v>38</v>
      </c>
      <c r="E99" s="5" t="s">
        <v>233</v>
      </c>
      <c r="F99" s="5" t="s">
        <v>84</v>
      </c>
      <c r="G99" s="14" t="str">
        <f t="array" ref="G99">IF(B99="", "",
  LET(_xlpm.spell, IFERROR(IF(F99="", "", INDEX(_xlws.FILTER(Hairstyles!$F:$F, ISNUMBER(SEARCH(F99, Hairstyles!$B:$B))), 1)), "No Spell for Hairstyle"),
  _xlpm.vanillaPrefix, IF(LEFT(_xlpm.spell, 7)="Uvi_Wig", "", ";"),
  ";" &amp; IF(C99="", B99, C99) &amp; IF(M99="", "", " ("&amp;M99&amp;")") &amp; CHAR(10) &amp;
  _xlpm.vanillaPrefix &amp; "Keyword = Uvi_Wig_Distr_KYWD|" &amp; B99 &amp; CHAR(10) &amp;
  _xlpm.vanillaPrefix &amp; "Spell = " &amp; _xlpm.spell &amp; "|" &amp; B99
  )
)</f>
        <v>;Apprentice Ice Mage
;Keyword = Uvi_Wig_Distr_KYWD|EncWarlock02TemplateIce
;Spell = No Spell for Hairstyle|EncWarlock02TemplateIce</v>
      </c>
    </row>
    <row r="100" ht="12.75" customHeight="1">
      <c r="A100" s="5" t="s">
        <v>1673</v>
      </c>
      <c r="B100" s="5" t="s">
        <v>1674</v>
      </c>
      <c r="C100" s="5" t="s">
        <v>1675</v>
      </c>
      <c r="D100" s="5" t="s">
        <v>51</v>
      </c>
      <c r="E100" s="5" t="s">
        <v>233</v>
      </c>
      <c r="F100" s="5" t="s">
        <v>762</v>
      </c>
      <c r="G100" s="14" t="str">
        <f t="array" ref="G100">IF(B100="", "",
  LET(_xlpm.spell, IFERROR(IF(F100="", "", INDEX(_xlws.FILTER(Hairstyles!$F:$F, ISNUMBER(SEARCH(F100, Hairstyles!$B:$B))), 1)), "No Spell for Hairstyle"),
  _xlpm.vanillaPrefix, IF(LEFT(_xlpm.spell, 7)="Uvi_Wig", "", ";"),
  ";" &amp; IF(C100="", B100, C100) &amp; IF(M100="", "", " ("&amp;M100&amp;")") &amp; CHAR(10) &amp;
  _xlpm.vanillaPrefix &amp; "Keyword = Uvi_Wig_Distr_KYWD|" &amp; B100 &amp; CHAR(10) &amp;
  _xlpm.vanillaPrefix &amp; "Spell = " &amp; _xlpm.spell &amp; "|" &amp; B100
  )
)</f>
        <v>;Apprentice Necromancer
;Keyword = Uvi_Wig_Distr_KYWD|EncWarlock02TemplateBossNecro
;Spell = No Spell for Hairstyle|EncWarlock02TemplateBossNecro</v>
      </c>
    </row>
    <row r="101" ht="12.75" customHeight="1">
      <c r="A101" s="5" t="s">
        <v>1676</v>
      </c>
      <c r="B101" s="5" t="s">
        <v>1677</v>
      </c>
      <c r="C101" s="5" t="s">
        <v>1675</v>
      </c>
      <c r="D101" s="5" t="s">
        <v>16</v>
      </c>
      <c r="E101" s="5" t="s">
        <v>233</v>
      </c>
      <c r="F101" s="5" t="s">
        <v>1678</v>
      </c>
      <c r="G101" s="14" t="str">
        <f t="array" ref="G101">IF(B101="", "",
  LET(_xlpm.spell, IFERROR(IF(F101="", "", INDEX(_xlws.FILTER(Hairstyles!$F:$F, ISNUMBER(SEARCH(F101, Hairstyles!$B:$B))), 1)), "No Spell for Hairstyle"),
  _xlpm.vanillaPrefix, IF(LEFT(_xlpm.spell, 7)="Uvi_Wig", "", ";"),
  ";" &amp; IF(C101="", B101, C101) &amp; IF(M101="", "", " ("&amp;M101&amp;")") &amp; CHAR(10) &amp;
  _xlpm.vanillaPrefix &amp; "Keyword = Uvi_Wig_Distr_KYWD|" &amp; B101 &amp; CHAR(10) &amp;
  _xlpm.vanillaPrefix &amp; "Spell = " &amp; _xlpm.spell &amp; "|" &amp; B101
  )
)</f>
        <v>;Apprentice Necromancer
;Keyword = Uvi_Wig_Distr_KYWD|EncWarlock02TemplateNecro
;Spell = No Spell for Hairstyle|EncWarlock02TemplateNecro</v>
      </c>
    </row>
    <row r="102" ht="12.75" customHeight="1">
      <c r="A102" s="5" t="s">
        <v>1679</v>
      </c>
      <c r="B102" s="5" t="s">
        <v>1680</v>
      </c>
      <c r="C102" s="5" t="s">
        <v>1681</v>
      </c>
      <c r="D102" s="5" t="s">
        <v>51</v>
      </c>
      <c r="E102" s="5" t="s">
        <v>233</v>
      </c>
      <c r="F102" s="5" t="s">
        <v>1622</v>
      </c>
      <c r="G102" s="14" t="str">
        <f t="array" ref="G102">IF(B102="", "",
  LET(_xlpm.spell, IFERROR(IF(F102="", "", INDEX(_xlws.FILTER(Hairstyles!$F:$F, ISNUMBER(SEARCH(F102, Hairstyles!$B:$B))), 1)), "No Spell for Hairstyle"),
  _xlpm.vanillaPrefix, IF(LEFT(_xlpm.spell, 7)="Uvi_Wig", "", ";"),
  ";" &amp; IF(C102="", B102, C102) &amp; IF(M102="", "", " ("&amp;M102&amp;")") &amp; CHAR(10) &amp;
  _xlpm.vanillaPrefix &amp; "Keyword = Uvi_Wig_Distr_KYWD|" &amp; B102 &amp; CHAR(10) &amp;
  _xlpm.vanillaPrefix &amp; "Spell = " &amp; _xlpm.spell &amp; "|" &amp; B102
  )
)</f>
        <v>;Apprentice Storm Mage
;Keyword = Uvi_Wig_Distr_KYWD|EncWarlock02TemplateBossStorm
;Spell = No Spell for Hairstyle|EncWarlock02TemplateBossStorm</v>
      </c>
    </row>
    <row r="103" ht="12.75" customHeight="1">
      <c r="A103" s="5" t="s">
        <v>1682</v>
      </c>
      <c r="B103" s="5" t="s">
        <v>1683</v>
      </c>
      <c r="C103" s="5" t="s">
        <v>1681</v>
      </c>
      <c r="D103" s="5" t="s">
        <v>57</v>
      </c>
      <c r="E103" s="5" t="s">
        <v>233</v>
      </c>
      <c r="F103" s="5" t="s">
        <v>1684</v>
      </c>
      <c r="G103" s="14" t="str">
        <f t="array" ref="G103">IF(B103="", "",
  LET(_xlpm.spell, IFERROR(IF(F103="", "", INDEX(_xlws.FILTER(Hairstyles!$F:$F, ISNUMBER(SEARCH(F103, Hairstyles!$B:$B))), 1)), "No Spell for Hairstyle"),
  _xlpm.vanillaPrefix, IF(LEFT(_xlpm.spell, 7)="Uvi_Wig", "", ";"),
  ";" &amp; IF(C103="", B103, C103) &amp; IF(M103="", "", " ("&amp;M103&amp;")") &amp; CHAR(10) &amp;
  _xlpm.vanillaPrefix &amp; "Keyword = Uvi_Wig_Distr_KYWD|" &amp; B103 &amp; CHAR(10) &amp;
  _xlpm.vanillaPrefix &amp; "Spell = " &amp; _xlpm.spell &amp; "|" &amp; B103
  )
)</f>
        <v>;Apprentice Storm Mage
;Keyword = Uvi_Wig_Distr_KYWD|EncWarlock02TemplateStorm
;Spell = No Spell for Hairstyle|EncWarlock02TemplateStorm</v>
      </c>
    </row>
    <row r="104" ht="12.75" customHeight="1">
      <c r="A104" s="5" t="s">
        <v>1685</v>
      </c>
      <c r="B104" s="5" t="s">
        <v>1686</v>
      </c>
      <c r="C104" s="5" t="s">
        <v>1687</v>
      </c>
      <c r="D104" s="5" t="s">
        <v>59</v>
      </c>
      <c r="E104" s="5" t="s">
        <v>233</v>
      </c>
      <c r="F104" s="5" t="s">
        <v>209</v>
      </c>
      <c r="G104" s="14" t="str">
        <f t="array" ref="G104">IF(B104="", "",
  LET(_xlpm.spell, IFERROR(IF(F104="", "", INDEX(_xlws.FILTER(Hairstyles!$F:$F, ISNUMBER(SEARCH(F104, Hairstyles!$B:$B))), 1)), "No Spell for Hairstyle"),
  _xlpm.vanillaPrefix, IF(LEFT(_xlpm.spell, 7)="Uvi_Wig", "", ";"),
  ";" &amp; IF(C104="", B104, C104) &amp; IF(M104="", "", " ("&amp;M104&amp;")") &amp; CHAR(10) &amp;
  _xlpm.vanillaPrefix &amp; "Keyword = Uvi_Wig_Distr_KYWD|" &amp; B104 &amp; CHAR(10) &amp;
  _xlpm.vanillaPrefix &amp; "Spell = " &amp; _xlpm.spell &amp; "|" &amp; B104
  )
)</f>
        <v>;Aquillius Aeresius
;Keyword = Uvi_Wig_Distr_KYWD|AquilliusAeresius
;Spell = No Spell for Hairstyle|AquilliusAeresius</v>
      </c>
    </row>
    <row r="105" ht="12.75" customHeight="1">
      <c r="A105" s="5" t="s">
        <v>1688</v>
      </c>
      <c r="B105" s="5" t="s">
        <v>1689</v>
      </c>
      <c r="C105" s="5" t="s">
        <v>1690</v>
      </c>
      <c r="D105" s="5" t="s">
        <v>45</v>
      </c>
      <c r="E105" s="5" t="s">
        <v>41</v>
      </c>
      <c r="F105" s="5" t="s">
        <v>1691</v>
      </c>
      <c r="G105" s="14" t="str">
        <f t="array" ref="G105">IF(B105="", "",
  LET(_xlpm.spell, IFERROR(IF(F105="", "", INDEX(_xlws.FILTER(Hairstyles!$F:$F, ISNUMBER(SEARCH(F105, Hairstyles!$B:$B))), 1)), "No Spell for Hairstyle"),
  _xlpm.vanillaPrefix, IF(LEFT(_xlpm.spell, 7)="Uvi_Wig", "", ";"),
  ";" &amp; IF(C105="", B105, C105) &amp; IF(M105="", "", " ("&amp;M105&amp;")") &amp; CHAR(10) &amp;
  _xlpm.vanillaPrefix &amp; "Keyword = Uvi_Wig_Distr_KYWD|" &amp; B105 &amp; CHAR(10) &amp;
  _xlpm.vanillaPrefix &amp; "Spell = " &amp; _xlpm.spell &amp; "|" &amp; B105
  )
)</f>
        <v>;Aranea Ienith
;Keyword = Uvi_Wig_Distr_KYWD|DA01Aranea
;Spell = No Spell for Hairstyle|DA01Aranea</v>
      </c>
    </row>
    <row r="106" ht="12.75" customHeight="1">
      <c r="A106" s="5" t="s">
        <v>1692</v>
      </c>
      <c r="B106" s="5" t="s">
        <v>1693</v>
      </c>
      <c r="C106" s="5" t="s">
        <v>1693</v>
      </c>
      <c r="D106" s="5" t="s">
        <v>59</v>
      </c>
      <c r="E106" s="5" t="s">
        <v>41</v>
      </c>
      <c r="F106" s="5" t="s">
        <v>1694</v>
      </c>
      <c r="G106" s="14" t="str">
        <f t="array" ref="G106">IF(B106="", "",
  LET(_xlpm.spell, IFERROR(IF(F106="", "", INDEX(_xlws.FILTER(Hairstyles!$F:$F, ISNUMBER(SEARCH(F106, Hairstyles!$B:$B))), 1)), "No Spell for Hairstyle"),
  _xlpm.vanillaPrefix, IF(LEFT(_xlpm.spell, 7)="Uvi_Wig", "", ";"),
  ";" &amp; IF(C106="", B106, C106) &amp; IF(M106="", "", " ("&amp;M106&amp;")") &amp; CHAR(10) &amp;
  _xlpm.vanillaPrefix &amp; "Keyword = Uvi_Wig_Distr_KYWD|" &amp; B106 &amp; CHAR(10) &amp;
  _xlpm.vanillaPrefix &amp; "Spell = " &amp; _xlpm.spell &amp; "|" &amp; B106
  )
)</f>
        <v>;Arcadia
;Keyword = Uvi_Wig_Distr_KYWD|Arcadia
;Spell = No Spell for Hairstyle|Arcadia</v>
      </c>
    </row>
    <row r="107" ht="12.75" customHeight="1">
      <c r="A107" s="5" t="s">
        <v>1695</v>
      </c>
      <c r="B107" s="5" t="s">
        <v>1696</v>
      </c>
      <c r="C107" s="5" t="s">
        <v>1697</v>
      </c>
      <c r="D107" s="5" t="s">
        <v>16</v>
      </c>
      <c r="E107" s="5" t="s">
        <v>233</v>
      </c>
      <c r="F107" s="5" t="s">
        <v>1678</v>
      </c>
      <c r="G107" s="14" t="str">
        <f t="array" ref="G107">IF(B107="", "",
  LET(_xlpm.spell, IFERROR(IF(F107="", "", INDEX(_xlws.FILTER(Hairstyles!$F:$F, ISNUMBER(SEARCH(F107, Hairstyles!$B:$B))), 1)), "No Spell for Hairstyle"),
  _xlpm.vanillaPrefix, IF(LEFT(_xlpm.spell, 7)="Uvi_Wig", "", ";"),
  ";" &amp; IF(C107="", B107, C107) &amp; IF(M107="", "", " ("&amp;M107&amp;")") &amp; CHAR(10) &amp;
  _xlpm.vanillaPrefix &amp; "Keyword = Uvi_Wig_Distr_KYWD|" &amp; B107 &amp; CHAR(10) &amp;
  _xlpm.vanillaPrefix &amp; "Spell = " &amp; _xlpm.spell &amp; "|" &amp; B107
  )
)</f>
        <v>;Arch Conjurer
;Keyword = Uvi_Wig_Distr_KYWD|EncWarlock07TemplateBossConjurer
;Spell = No Spell for Hairstyle|EncWarlock07TemplateBossConjurer</v>
      </c>
    </row>
    <row r="108" ht="12.75" customHeight="1">
      <c r="A108" s="5" t="s">
        <v>1698</v>
      </c>
      <c r="B108" s="5" t="s">
        <v>1699</v>
      </c>
      <c r="C108" s="5" t="s">
        <v>1697</v>
      </c>
      <c r="D108" s="5" t="s">
        <v>16</v>
      </c>
      <c r="E108" s="5" t="s">
        <v>233</v>
      </c>
      <c r="F108" s="5" t="s">
        <v>1700</v>
      </c>
      <c r="G108" s="14" t="str">
        <f t="array" ref="G108">IF(B108="", "",
  LET(_xlpm.spell, IFERROR(IF(F108="", "", INDEX(_xlws.FILTER(Hairstyles!$F:$F, ISNUMBER(SEARCH(F108, Hairstyles!$B:$B))), 1)), "No Spell for Hairstyle"),
  _xlpm.vanillaPrefix, IF(LEFT(_xlpm.spell, 7)="Uvi_Wig", "", ";"),
  ";" &amp; IF(C108="", B108, C108) &amp; IF(M108="", "", " ("&amp;M108&amp;")") &amp; CHAR(10) &amp;
  _xlpm.vanillaPrefix &amp; "Keyword = Uvi_Wig_Distr_KYWD|" &amp; B108 &amp; CHAR(10) &amp;
  _xlpm.vanillaPrefix &amp; "Spell = " &amp; _xlpm.spell &amp; "|" &amp; B108
  )
)</f>
        <v>;Arch Conjurer
;Keyword = Uvi_Wig_Distr_KYWD|EncWarlock07TemplateConjurer
;Spell = No Spell for Hairstyle|EncWarlock07TemplateConjurer</v>
      </c>
    </row>
    <row r="109" ht="12.75" customHeight="1">
      <c r="A109" s="5" t="s">
        <v>1701</v>
      </c>
      <c r="B109" s="5" t="s">
        <v>1702</v>
      </c>
      <c r="C109" s="5" t="s">
        <v>1703</v>
      </c>
      <c r="D109" s="5" t="s">
        <v>38</v>
      </c>
      <c r="E109" s="5" t="s">
        <v>233</v>
      </c>
      <c r="F109" s="5" t="s">
        <v>234</v>
      </c>
      <c r="G109" s="14" t="str">
        <f t="array" ref="G109">IF(B109="", "",
  LET(_xlpm.spell, IFERROR(IF(F109="", "", INDEX(_xlws.FILTER(Hairstyles!$F:$F, ISNUMBER(SEARCH(F109, Hairstyles!$B:$B))), 1)), "No Spell for Hairstyle"),
  _xlpm.vanillaPrefix, IF(LEFT(_xlpm.spell, 7)="Uvi_Wig", "", ";"),
  ";" &amp; IF(C109="", B109, C109) &amp; IF(M109="", "", " ("&amp;M109&amp;")") &amp; CHAR(10) &amp;
  _xlpm.vanillaPrefix &amp; "Keyword = Uvi_Wig_Distr_KYWD|" &amp; B109 &amp; CHAR(10) &amp;
  _xlpm.vanillaPrefix &amp; "Spell = " &amp; _xlpm.spell &amp; "|" &amp; B109
  )
)</f>
        <v>;Arch Cryomancer
;Keyword = Uvi_Wig_Distr_KYWD|EncWarlock07TemplateBossIce
;Spell = No Spell for Hairstyle|EncWarlock07TemplateBossIce</v>
      </c>
    </row>
    <row r="110" ht="12.75" customHeight="1">
      <c r="A110" s="5" t="s">
        <v>1704</v>
      </c>
      <c r="B110" s="5" t="s">
        <v>1705</v>
      </c>
      <c r="C110" s="5" t="s">
        <v>1703</v>
      </c>
      <c r="D110" s="5" t="s">
        <v>38</v>
      </c>
      <c r="E110" s="5" t="s">
        <v>233</v>
      </c>
      <c r="F110" s="5" t="s">
        <v>68</v>
      </c>
      <c r="G110" s="14" t="str">
        <f t="array" ref="G110">IF(B110="", "",
  LET(_xlpm.spell, IFERROR(IF(F110="", "", INDEX(_xlws.FILTER(Hairstyles!$F:$F, ISNUMBER(SEARCH(F110, Hairstyles!$B:$B))), 1)), "No Spell for Hairstyle"),
  _xlpm.vanillaPrefix, IF(LEFT(_xlpm.spell, 7)="Uvi_Wig", "", ";"),
  ";" &amp; IF(C110="", B110, C110) &amp; IF(M110="", "", " ("&amp;M110&amp;")") &amp; CHAR(10) &amp;
  _xlpm.vanillaPrefix &amp; "Keyword = Uvi_Wig_Distr_KYWD|" &amp; B110 &amp; CHAR(10) &amp;
  _xlpm.vanillaPrefix &amp; "Spell = " &amp; _xlpm.spell &amp; "|" &amp; B110
  )
)</f>
        <v>;Arch Cryomancer
;Keyword = Uvi_Wig_Distr_KYWD|EncWarlock07TemplateIce
;Spell = No Spell for Hairstyle|EncWarlock07TemplateIce</v>
      </c>
    </row>
    <row r="111" ht="12.75" customHeight="1">
      <c r="A111" s="5" t="s">
        <v>1706</v>
      </c>
      <c r="B111" s="5" t="s">
        <v>1707</v>
      </c>
      <c r="C111" s="5" t="s">
        <v>1708</v>
      </c>
      <c r="D111" s="5" t="s">
        <v>38</v>
      </c>
      <c r="E111" s="5" t="s">
        <v>233</v>
      </c>
      <c r="F111" s="5" t="s">
        <v>1709</v>
      </c>
      <c r="G111" s="14" t="str">
        <f t="array" ref="G111">IF(B111="", "",
  LET(_xlpm.spell, IFERROR(IF(F111="", "", INDEX(_xlws.FILTER(Hairstyles!$F:$F, ISNUMBER(SEARCH(F111, Hairstyles!$B:$B))), 1)), "No Spell for Hairstyle"),
  _xlpm.vanillaPrefix, IF(LEFT(_xlpm.spell, 7)="Uvi_Wig", "", ";"),
  ";" &amp; IF(C111="", B111, C111) &amp; IF(M111="", "", " ("&amp;M111&amp;")") &amp; CHAR(10) &amp;
  _xlpm.vanillaPrefix &amp; "Keyword = Uvi_Wig_Distr_KYWD|" &amp; B111 &amp; CHAR(10) &amp;
  _xlpm.vanillaPrefix &amp; "Spell = " &amp; _xlpm.spell &amp; "|" &amp; B111
  )
)</f>
        <v>;Arch Cultist
;Keyword = Uvi_Wig_Distr_KYWD|DLC2EncCultist07Template
;Spell = No Spell for Hairstyle|DLC2EncCultist07Template</v>
      </c>
    </row>
    <row r="112" ht="12.75" customHeight="1">
      <c r="A112" s="5" t="s">
        <v>1710</v>
      </c>
      <c r="B112" s="5" t="s">
        <v>1711</v>
      </c>
      <c r="C112" s="5" t="s">
        <v>1712</v>
      </c>
      <c r="D112" s="5" t="s">
        <v>57</v>
      </c>
      <c r="E112" s="5" t="s">
        <v>233</v>
      </c>
      <c r="F112" s="5" t="s">
        <v>525</v>
      </c>
      <c r="G112" s="14" t="str">
        <f t="array" ref="G112">IF(B112="", "",
  LET(_xlpm.spell, IFERROR(IF(F112="", "", INDEX(_xlws.FILTER(Hairstyles!$F:$F, ISNUMBER(SEARCH(F112, Hairstyles!$B:$B))), 1)), "No Spell for Hairstyle"),
  _xlpm.vanillaPrefix, IF(LEFT(_xlpm.spell, 7)="Uvi_Wig", "", ";"),
  ";" &amp; IF(C112="", B112, C112) &amp; IF(M112="", "", " ("&amp;M112&amp;")") &amp; CHAR(10) &amp;
  _xlpm.vanillaPrefix &amp; "Keyword = Uvi_Wig_Distr_KYWD|" &amp; B112 &amp; CHAR(10) &amp;
  _xlpm.vanillaPrefix &amp; "Spell = " &amp; _xlpm.spell &amp; "|" &amp; B112
  )
)</f>
        <v>;Arch Electromancer
;Keyword = Uvi_Wig_Distr_KYWD|EncWarlock07TemplateBossStorm
;Spell = No Spell for Hairstyle|EncWarlock07TemplateBossStorm</v>
      </c>
    </row>
    <row r="113" ht="12.75" customHeight="1">
      <c r="A113" s="5" t="s">
        <v>1713</v>
      </c>
      <c r="B113" s="5" t="s">
        <v>1714</v>
      </c>
      <c r="C113" s="5" t="s">
        <v>1712</v>
      </c>
      <c r="D113" s="5" t="s">
        <v>57</v>
      </c>
      <c r="E113" s="5" t="s">
        <v>233</v>
      </c>
      <c r="F113" s="5" t="s">
        <v>47</v>
      </c>
      <c r="G113" s="14" t="str">
        <f t="array" ref="G113">IF(B113="", "",
  LET(_xlpm.spell, IFERROR(IF(F113="", "", INDEX(_xlws.FILTER(Hairstyles!$F:$F, ISNUMBER(SEARCH(F113, Hairstyles!$B:$B))), 1)), "No Spell for Hairstyle"),
  _xlpm.vanillaPrefix, IF(LEFT(_xlpm.spell, 7)="Uvi_Wig", "", ";"),
  ";" &amp; IF(C113="", B113, C113) &amp; IF(M113="", "", " ("&amp;M113&amp;")") &amp; CHAR(10) &amp;
  _xlpm.vanillaPrefix &amp; "Keyword = Uvi_Wig_Distr_KYWD|" &amp; B113 &amp; CHAR(10) &amp;
  _xlpm.vanillaPrefix &amp; "Spell = " &amp; _xlpm.spell &amp; "|" &amp; B113
  )
)</f>
        <v>;Arch Electromancer
;Keyword = Uvi_Wig_Distr_KYWD|EncWarlock07TemplateStorm
;Spell = No Spell for Hairstyle|EncWarlock07TemplateStorm</v>
      </c>
    </row>
    <row r="114" ht="12.75" customHeight="1">
      <c r="A114" s="5" t="s">
        <v>1715</v>
      </c>
      <c r="B114" s="5" t="s">
        <v>1716</v>
      </c>
      <c r="C114" s="5" t="s">
        <v>1717</v>
      </c>
      <c r="D114" s="5" t="s">
        <v>16</v>
      </c>
      <c r="E114" s="5" t="s">
        <v>233</v>
      </c>
      <c r="F114" s="5" t="s">
        <v>84</v>
      </c>
      <c r="G114" s="14" t="str">
        <f t="array" ref="G114">IF(B114="", "",
  LET(_xlpm.spell, IFERROR(IF(F114="", "", INDEX(_xlws.FILTER(Hairstyles!$F:$F, ISNUMBER(SEARCH(F114, Hairstyles!$B:$B))), 1)), "No Spell for Hairstyle"),
  _xlpm.vanillaPrefix, IF(LEFT(_xlpm.spell, 7)="Uvi_Wig", "", ";"),
  ";" &amp; IF(C114="", B114, C114) &amp; IF(M114="", "", " ("&amp;M114&amp;")") &amp; CHAR(10) &amp;
  _xlpm.vanillaPrefix &amp; "Keyword = Uvi_Wig_Distr_KYWD|" &amp; B114 &amp; CHAR(10) &amp;
  _xlpm.vanillaPrefix &amp; "Spell = " &amp; _xlpm.spell &amp; "|" &amp; B114
  )
)</f>
        <v>;Arch Necromancer
;Keyword = Uvi_Wig_Distr_KYWD|EncWarlock07TemplateBossNecro
;Spell = No Spell for Hairstyle|EncWarlock07TemplateBossNecro</v>
      </c>
    </row>
    <row r="115" ht="12.75" customHeight="1">
      <c r="A115" s="5" t="s">
        <v>1718</v>
      </c>
      <c r="B115" s="5" t="s">
        <v>1719</v>
      </c>
      <c r="C115" s="5" t="s">
        <v>1717</v>
      </c>
      <c r="D115" s="5" t="s">
        <v>16</v>
      </c>
      <c r="E115" s="5" t="s">
        <v>233</v>
      </c>
      <c r="F115" s="5" t="s">
        <v>218</v>
      </c>
      <c r="G115" s="14" t="str">
        <f t="array" ref="G115">IF(B115="", "",
  LET(_xlpm.spell, IFERROR(IF(F115="", "", INDEX(_xlws.FILTER(Hairstyles!$F:$F, ISNUMBER(SEARCH(F115, Hairstyles!$B:$B))), 1)), "No Spell for Hairstyle"),
  _xlpm.vanillaPrefix, IF(LEFT(_xlpm.spell, 7)="Uvi_Wig", "", ";"),
  ";" &amp; IF(C115="", B115, C115) &amp; IF(M115="", "", " ("&amp;M115&amp;")") &amp; CHAR(10) &amp;
  _xlpm.vanillaPrefix &amp; "Keyword = Uvi_Wig_Distr_KYWD|" &amp; B115 &amp; CHAR(10) &amp;
  _xlpm.vanillaPrefix &amp; "Spell = " &amp; _xlpm.spell &amp; "|" &amp; B115
  )
)</f>
        <v>;Arch Necromancer
;Keyword = Uvi_Wig_Distr_KYWD|EncWarlock07TemplateNecro
;Spell = No Spell for Hairstyle|EncWarlock07TemplateNecro</v>
      </c>
    </row>
    <row r="116" ht="12.75" customHeight="1">
      <c r="A116" s="5" t="s">
        <v>1720</v>
      </c>
      <c r="B116" s="5" t="s">
        <v>1721</v>
      </c>
      <c r="C116" s="5" t="s">
        <v>1722</v>
      </c>
      <c r="D116" s="5" t="s">
        <v>45</v>
      </c>
      <c r="E116" s="5" t="s">
        <v>233</v>
      </c>
      <c r="F116" s="5" t="s">
        <v>1723</v>
      </c>
      <c r="G116" s="14" t="str">
        <f t="array" ref="G116">IF(B116="", "",
  LET(_xlpm.spell, IFERROR(IF(F116="", "", INDEX(_xlws.FILTER(Hairstyles!$F:$F, ISNUMBER(SEARCH(F116, Hairstyles!$B:$B))), 1)), "No Spell for Hairstyle"),
  _xlpm.vanillaPrefix, IF(LEFT(_xlpm.spell, 7)="Uvi_Wig", "", ";"),
  ";" &amp; IF(C116="", B116, C116) &amp; IF(M116="", "", " ("&amp;M116&amp;")") &amp; CHAR(10) &amp;
  _xlpm.vanillaPrefix &amp; "Keyword = Uvi_Wig_Distr_KYWD|" &amp; B116 &amp; CHAR(10) &amp;
  _xlpm.vanillaPrefix &amp; "Spell = " &amp; _xlpm.spell &amp; "|" &amp; B116
  )
)</f>
        <v>;Arch Pyromancer
;Keyword = Uvi_Wig_Distr_KYWD|EncWarlock07TemplateBossFire
;Spell = No Spell for Hairstyle|EncWarlock07TemplateBossFire</v>
      </c>
    </row>
    <row r="117" ht="12.75" customHeight="1">
      <c r="A117" s="5" t="s">
        <v>1724</v>
      </c>
      <c r="B117" s="5" t="s">
        <v>1725</v>
      </c>
      <c r="C117" s="5" t="s">
        <v>1722</v>
      </c>
      <c r="D117" s="5" t="s">
        <v>45</v>
      </c>
      <c r="E117" s="5" t="s">
        <v>233</v>
      </c>
      <c r="F117" s="5" t="s">
        <v>47</v>
      </c>
      <c r="G117" s="14" t="str">
        <f t="array" ref="G117">IF(B117="", "",
  LET(_xlpm.spell, IFERROR(IF(F117="", "", INDEX(_xlws.FILTER(Hairstyles!$F:$F, ISNUMBER(SEARCH(F117, Hairstyles!$B:$B))), 1)), "No Spell for Hairstyle"),
  _xlpm.vanillaPrefix, IF(LEFT(_xlpm.spell, 7)="Uvi_Wig", "", ";"),
  ";" &amp; IF(C117="", B117, C117) &amp; IF(M117="", "", " ("&amp;M117&amp;")") &amp; CHAR(10) &amp;
  _xlpm.vanillaPrefix &amp; "Keyword = Uvi_Wig_Distr_KYWD|" &amp; B117 &amp; CHAR(10) &amp;
  _xlpm.vanillaPrefix &amp; "Spell = " &amp; _xlpm.spell &amp; "|" &amp; B117
  )
)</f>
        <v>;Arch Pyromancer
;Keyword = Uvi_Wig_Distr_KYWD|EncWarlock07TemplateFire
;Spell = No Spell for Hairstyle|EncWarlock07TemplateFire</v>
      </c>
    </row>
    <row r="118" ht="12.75" customHeight="1">
      <c r="A118" s="15" t="s">
        <v>1726</v>
      </c>
      <c r="B118" s="5" t="s">
        <v>1727</v>
      </c>
      <c r="C118" s="5" t="s">
        <v>1728</v>
      </c>
      <c r="D118" s="5" t="s">
        <v>94</v>
      </c>
      <c r="E118" s="5" t="s">
        <v>233</v>
      </c>
      <c r="F118" s="5" t="s">
        <v>47</v>
      </c>
      <c r="G118" s="14" t="str">
        <f t="array" ref="G118">IF(B118="", "",
  LET(_xlpm.spell, IFERROR(IF(F118="", "", INDEX(_xlws.FILTER(Hairstyles!$F:$F, ISNUMBER(SEARCH(F118, Hairstyles!$B:$B))), 1)), "No Spell for Hairstyle"),
  _xlpm.vanillaPrefix, IF(LEFT(_xlpm.spell, 7)="Uvi_Wig", "", ";"),
  ";" &amp; IF(C118="", B118, C118) &amp; IF(M118="", "", " ("&amp;M118&amp;")") &amp; CHAR(10) &amp;
  _xlpm.vanillaPrefix &amp; "Keyword = Uvi_Wig_Distr_KYWD|" &amp; B118 &amp; CHAR(10) &amp;
  _xlpm.vanillaPrefix &amp; "Spell = " &amp; _xlpm.spell &amp; "|" &amp; B118
  )
)</f>
        <v>;Arch-Curate Vyrthur
;Keyword = Uvi_Wig_Distr_KYWD|DLC1AlthadanVyrthur
;Spell = No Spell for Hairstyle|DLC1AlthadanVyrthur</v>
      </c>
    </row>
    <row r="119" ht="12.75" customHeight="1">
      <c r="A119" s="5" t="s">
        <v>1729</v>
      </c>
      <c r="B119" s="5" t="s">
        <v>1730</v>
      </c>
      <c r="C119" s="5" t="s">
        <v>1731</v>
      </c>
      <c r="D119" s="5" t="s">
        <v>90</v>
      </c>
      <c r="E119" s="5" t="s">
        <v>41</v>
      </c>
      <c r="F119" s="5" t="s">
        <v>1732</v>
      </c>
      <c r="G119" s="14" t="str">
        <f t="array" ref="G119">IF(B119="", "",
  LET(_xlpm.spell, IFERROR(IF(F119="", "", INDEX(_xlws.FILTER(Hairstyles!$F:$F, ISNUMBER(SEARCH(F119, Hairstyles!$B:$B))), 1)), "No Spell for Hairstyle"),
  _xlpm.vanillaPrefix, IF(LEFT(_xlpm.spell, 7)="Uvi_Wig", "", ";"),
  ";" &amp; IF(C119="", B119, C119) &amp; IF(M119="", "", " ("&amp;M119&amp;")") &amp; CHAR(10) &amp;
  _xlpm.vanillaPrefix &amp; "Keyword = Uvi_Wig_Distr_KYWD|" &amp; B119 &amp; CHAR(10) &amp;
  _xlpm.vanillaPrefix &amp; "Spell = " &amp; _xlpm.spell &amp; "|" &amp; B119
  )
)</f>
        <v>;Ardwen
;Keyword = Uvi_Wig_Distr_KYWD|WEJS13Ardwen
;Spell = No Spell for Hairstyle|WEJS13Ardwen</v>
      </c>
    </row>
    <row r="120" ht="12.75" customHeight="1">
      <c r="A120" s="15" t="s">
        <v>1733</v>
      </c>
      <c r="B120" s="5" t="s">
        <v>1734</v>
      </c>
      <c r="C120" s="5" t="s">
        <v>1735</v>
      </c>
      <c r="D120" s="5" t="s">
        <v>38</v>
      </c>
      <c r="E120" s="5" t="s">
        <v>41</v>
      </c>
      <c r="F120" s="5" t="s">
        <v>22</v>
      </c>
      <c r="G120" s="14" t="str">
        <f t="array" ref="G120">IF(B120="", "",
  LET(_xlpm.spell, IFERROR(IF(F120="", "", INDEX(_xlws.FILTER(Hairstyles!$F:$F, ISNUMBER(SEARCH(F120, Hairstyles!$B:$B))), 1)), "No Spell for Hairstyle"),
  _xlpm.vanillaPrefix, IF(LEFT(_xlpm.spell, 7)="Uvi_Wig", "", ";"),
  ";" &amp; IF(C120="", B120, C120) &amp; IF(M120="", "", " ("&amp;M120&amp;")") &amp; CHAR(10) &amp;
  _xlpm.vanillaPrefix &amp; "Keyword = Uvi_Wig_Distr_KYWD|" &amp; B120 &amp; CHAR(10) &amp;
  _xlpm.vanillaPrefix &amp; "Spell = " &amp; _xlpm.spell &amp; "|" &amp; B120
  )
)</f>
        <v>;Argi Farseer
;Keyword = Uvi_Wig_Distr_KYWD|ArgiFarseer
;Spell = No Spell for Hairstyle|ArgiFarseer</v>
      </c>
    </row>
    <row r="121" ht="12.75" customHeight="1">
      <c r="A121" s="5" t="s">
        <v>1736</v>
      </c>
      <c r="B121" s="5" t="s">
        <v>1737</v>
      </c>
      <c r="C121" s="5" t="s">
        <v>1738</v>
      </c>
      <c r="D121" s="5" t="s">
        <v>38</v>
      </c>
      <c r="E121" s="5" t="s">
        <v>233</v>
      </c>
      <c r="F121" s="5" t="s">
        <v>762</v>
      </c>
      <c r="G121" s="14" t="str">
        <f t="array" ref="G121">IF(B121="", "",
  LET(_xlpm.spell, IFERROR(IF(F121="", "", INDEX(_xlws.FILTER(Hairstyles!$F:$F, ISNUMBER(SEARCH(F121, Hairstyles!$B:$B))), 1)), "No Spell for Hairstyle"),
  _xlpm.vanillaPrefix, IF(LEFT(_xlpm.spell, 7)="Uvi_Wig", "", ";"),
  ";" &amp; IF(C121="", B121, C121) &amp; IF(M121="", "", " ("&amp;M121&amp;")") &amp; CHAR(10) &amp;
  _xlpm.vanillaPrefix &amp; "Keyword = Uvi_Wig_Distr_KYWD|" &amp; B121 &amp; CHAR(10) &amp;
  _xlpm.vanillaPrefix &amp; "Spell = " &amp; _xlpm.spell &amp; "|" &amp; B121
  )
)</f>
        <v>;Argis the Bulwark
;Keyword = Uvi_Wig_Distr_KYWD|HousecarlMarkarth
;Spell = No Spell for Hairstyle|HousecarlMarkarth</v>
      </c>
    </row>
    <row r="122" ht="12.75" customHeight="1">
      <c r="A122" s="5" t="s">
        <v>1739</v>
      </c>
      <c r="B122" s="5" t="s">
        <v>1740</v>
      </c>
      <c r="C122" s="5" t="s">
        <v>10</v>
      </c>
      <c r="D122" s="5" t="s">
        <v>10</v>
      </c>
      <c r="E122" s="5" t="s">
        <v>41</v>
      </c>
      <c r="F122" s="4" t="s">
        <v>1741</v>
      </c>
      <c r="G122" s="14" t="str">
        <f t="array" ref="G122">IF(B122="", "",
  LET(_xlpm.spell, IFERROR(IF(F122="", "", INDEX(_xlws.FILTER(Hairstyles!$F:$F, ISNUMBER(SEARCH(F122, Hairstyles!$B:$B))), 1)), "No Spell for Hairstyle"),
  _xlpm.vanillaPrefix, IF(LEFT(_xlpm.spell, 7)="Uvi_Wig", "", ";"),
  ";" &amp; IF(C122="", B122, C122) &amp; IF(M122="", "", " ("&amp;M122&amp;")") &amp; CHAR(10) &amp;
  _xlpm.vanillaPrefix &amp; "Keyword = Uvi_Wig_Distr_KYWD|" &amp; B122 &amp; CHAR(10) &amp;
  _xlpm.vanillaPrefix &amp; "Spell = " &amp; _xlpm.spell &amp; "|" &amp; B122
  )
)</f>
        <v>;Argonian
;Keyword = Uvi_Wig_Distr_KYWD|TreasCorpseCommonerArgonianFemale
;Spell = No Spell for Hairstyle|TreasCorpseCommonerArgonianFemale</v>
      </c>
    </row>
    <row r="123" ht="12.75" customHeight="1">
      <c r="A123" s="5" t="s">
        <v>1742</v>
      </c>
      <c r="B123" s="5" t="s">
        <v>1743</v>
      </c>
      <c r="C123" s="5" t="s">
        <v>10</v>
      </c>
      <c r="D123" s="5" t="s">
        <v>10</v>
      </c>
      <c r="E123" s="5" t="s">
        <v>233</v>
      </c>
      <c r="F123" s="4" t="s">
        <v>1741</v>
      </c>
      <c r="G123" s="14" t="str">
        <f t="array" ref="G123">IF(B123="", "",
  LET(_xlpm.spell, IFERROR(IF(F123="", "", INDEX(_xlws.FILTER(Hairstyles!$F:$F, ISNUMBER(SEARCH(F123, Hairstyles!$B:$B))), 1)), "No Spell for Hairstyle"),
  _xlpm.vanillaPrefix, IF(LEFT(_xlpm.spell, 7)="Uvi_Wig", "", ";"),
  ";" &amp; IF(C123="", B123, C123) &amp; IF(M123="", "", " ("&amp;M123&amp;")") &amp; CHAR(10) &amp;
  _xlpm.vanillaPrefix &amp; "Keyword = Uvi_Wig_Distr_KYWD|" &amp; B123 &amp; CHAR(10) &amp;
  _xlpm.vanillaPrefix &amp; "Spell = " &amp; _xlpm.spell &amp; "|" &amp; B123
  )
)</f>
        <v>;Argonian
;Keyword = Uvi_Wig_Distr_KYWD|TreasCorpseCommonerArgonianMale
;Spell = No Spell for Hairstyle|TreasCorpseCommonerArgonianMale</v>
      </c>
    </row>
    <row r="124" ht="12.75" customHeight="1">
      <c r="A124" s="15" t="s">
        <v>1744</v>
      </c>
      <c r="B124" s="5" t="s">
        <v>1745</v>
      </c>
      <c r="C124" s="5" t="s">
        <v>10</v>
      </c>
      <c r="D124" s="5" t="s">
        <v>10</v>
      </c>
      <c r="E124" s="5" t="s">
        <v>233</v>
      </c>
      <c r="F124" s="5" t="s">
        <v>1746</v>
      </c>
      <c r="G124" s="14" t="str">
        <f t="array" ref="G124">IF(B124="", "",
  LET(_xlpm.spell, IFERROR(IF(F124="", "", INDEX(_xlws.FILTER(Hairstyles!$F:$F, ISNUMBER(SEARCH(F124, Hairstyles!$B:$B))), 1)), "No Spell for Hairstyle"),
  _xlpm.vanillaPrefix, IF(LEFT(_xlpm.spell, 7)="Uvi_Wig", "", ";"),
  ";" &amp; IF(C124="", B124, C124) &amp; IF(M124="", "", " ("&amp;M124&amp;")") &amp; CHAR(10) &amp;
  _xlpm.vanillaPrefix &amp; "Keyword = Uvi_Wig_Distr_KYWD|" &amp; B124 &amp; CHAR(10) &amp;
  _xlpm.vanillaPrefix &amp; "Spell = " &amp; _xlpm.spell &amp; "|" &amp; B124
  )
)</f>
        <v>;Argonian
;Keyword = Uvi_Wig_Distr_KYWD|WEAdventurerBrawlerArgonianM
;Spell = No Spell for Hairstyle|WEAdventurerBrawlerArgonianM</v>
      </c>
    </row>
    <row r="125" ht="12.75" customHeight="1">
      <c r="A125" s="15" t="s">
        <v>1747</v>
      </c>
      <c r="B125" s="5" t="s">
        <v>1748</v>
      </c>
      <c r="C125" s="5" t="s">
        <v>10</v>
      </c>
      <c r="D125" s="5" t="s">
        <v>10</v>
      </c>
      <c r="E125" s="5" t="s">
        <v>233</v>
      </c>
      <c r="F125" s="5" t="s">
        <v>1749</v>
      </c>
      <c r="G125" s="14" t="str">
        <f t="array" ref="G125">IF(B125="", "",
  LET(_xlpm.spell, IFERROR(IF(F125="", "", INDEX(_xlws.FILTER(Hairstyles!$F:$F, ISNUMBER(SEARCH(F125, Hairstyles!$B:$B))), 1)), "No Spell for Hairstyle"),
  _xlpm.vanillaPrefix, IF(LEFT(_xlpm.spell, 7)="Uvi_Wig", "", ";"),
  ";" &amp; IF(C125="", B125, C125) &amp; IF(M125="", "", " ("&amp;M125&amp;")") &amp; CHAR(10) &amp;
  _xlpm.vanillaPrefix &amp; "Keyword = Uvi_Wig_Distr_KYWD|" &amp; B125 &amp; CHAR(10) &amp;
  _xlpm.vanillaPrefix &amp; "Spell = " &amp; _xlpm.spell &amp; "|" &amp; B125
  )
)</f>
        <v>;Argonian
;Keyword = Uvi_Wig_Distr_KYWD|WEAdventurerDualPoisonerArgonianM
;Spell = No Spell for Hairstyle|WEAdventurerDualPoisonerArgonianM</v>
      </c>
    </row>
    <row r="126" ht="12.75" customHeight="1">
      <c r="A126" s="15" t="s">
        <v>1750</v>
      </c>
      <c r="B126" s="5" t="s">
        <v>1751</v>
      </c>
      <c r="C126" s="5" t="s">
        <v>10</v>
      </c>
      <c r="D126" s="5" t="s">
        <v>10</v>
      </c>
      <c r="E126" s="5" t="s">
        <v>233</v>
      </c>
      <c r="F126" s="5" t="s">
        <v>1752</v>
      </c>
      <c r="G126" s="14" t="str">
        <f t="array" ref="G126">IF(B126="", "",
  LET(_xlpm.spell, IFERROR(IF(F126="", "", INDEX(_xlws.FILTER(Hairstyles!$F:$F, ISNUMBER(SEARCH(F126, Hairstyles!$B:$B))), 1)), "No Spell for Hairstyle"),
  _xlpm.vanillaPrefix, IF(LEFT(_xlpm.spell, 7)="Uvi_Wig", "", ";"),
  ";" &amp; IF(C126="", B126, C126) &amp; IF(M126="", "", " ("&amp;M126&amp;")") &amp; CHAR(10) &amp;
  _xlpm.vanillaPrefix &amp; "Keyword = Uvi_Wig_Distr_KYWD|" &amp; B126 &amp; CHAR(10) &amp;
  _xlpm.vanillaPrefix &amp; "Spell = " &amp; _xlpm.spell &amp; "|" &amp; B126
  )
)</f>
        <v>;Argonian
;Keyword = Uvi_Wig_Distr_KYWD|WEAdventurerMageShieldStaffArgonianM
;Spell = No Spell for Hairstyle|WEAdventurerMageShieldStaffArgonianM</v>
      </c>
    </row>
    <row r="127" ht="12.75" customHeight="1">
      <c r="A127" s="15" t="s">
        <v>1753</v>
      </c>
      <c r="B127" s="5" t="s">
        <v>1754</v>
      </c>
      <c r="C127" s="5" t="s">
        <v>10</v>
      </c>
      <c r="D127" s="5" t="s">
        <v>10</v>
      </c>
      <c r="E127" s="5" t="s">
        <v>233</v>
      </c>
      <c r="F127" s="5" t="s">
        <v>1755</v>
      </c>
      <c r="G127" s="14" t="str">
        <f t="array" ref="G127">IF(B127="", "",
  LET(_xlpm.spell, IFERROR(IF(F127="", "", INDEX(_xlws.FILTER(Hairstyles!$F:$F, ISNUMBER(SEARCH(F127, Hairstyles!$B:$B))), 1)), "No Spell for Hairstyle"),
  _xlpm.vanillaPrefix, IF(LEFT(_xlpm.spell, 7)="Uvi_Wig", "", ";"),
  ";" &amp; IF(C127="", B127, C127) &amp; IF(M127="", "", " ("&amp;M127&amp;")") &amp; CHAR(10) &amp;
  _xlpm.vanillaPrefix &amp; "Keyword = Uvi_Wig_Distr_KYWD|" &amp; B127 &amp; CHAR(10) &amp;
  _xlpm.vanillaPrefix &amp; "Spell = " &amp; _xlpm.spell &amp; "|" &amp; B127
  )
)</f>
        <v>;Argonian
;Keyword = Uvi_Wig_Distr_KYWD|WEAdventurerWarriorDualArgonianM
;Spell = No Spell for Hairstyle|WEAdventurerWarriorDualArgonianM</v>
      </c>
    </row>
    <row r="128" ht="12.75" customHeight="1">
      <c r="A128" s="5" t="s">
        <v>1756</v>
      </c>
      <c r="B128" s="5" t="s">
        <v>1757</v>
      </c>
      <c r="C128" s="5" t="s">
        <v>1758</v>
      </c>
      <c r="D128" s="5" t="s">
        <v>38</v>
      </c>
      <c r="E128" s="5" t="s">
        <v>41</v>
      </c>
      <c r="F128" s="5" t="s">
        <v>1759</v>
      </c>
      <c r="G128" s="14" t="str">
        <f t="array" ref="G128">IF(B128="", "",
  LET(_xlpm.spell, IFERROR(IF(F128="", "", INDEX(_xlws.FILTER(Hairstyles!$F:$F, ISNUMBER(SEARCH(F128, Hairstyles!$B:$B))), 1)), "No Spell for Hairstyle"),
  _xlpm.vanillaPrefix, IF(LEFT(_xlpm.spell, 7)="Uvi_Wig", "", ";"),
  ";" &amp; IF(C128="", B128, C128) &amp; IF(M128="", "", " ("&amp;M128&amp;")") &amp; CHAR(10) &amp;
  _xlpm.vanillaPrefix &amp; "Keyword = Uvi_Wig_Distr_KYWD|" &amp; B128 &amp; CHAR(10) &amp;
  _xlpm.vanillaPrefix &amp; "Spell = " &amp; _xlpm.spell &amp; "|" &amp; B128
  )
)</f>
        <v>;Ari
;Keyword = Uvi_Wig_Distr_KYWD|dunMossMotherHunter01
;Spell = No Spell for Hairstyle|dunMossMotherHunter01</v>
      </c>
    </row>
    <row r="129" ht="12.75" customHeight="1">
      <c r="A129" s="5" t="s">
        <v>1760</v>
      </c>
      <c r="B129" s="5" t="s">
        <v>1761</v>
      </c>
      <c r="C129" s="5" t="s">
        <v>1761</v>
      </c>
      <c r="D129" s="5" t="s">
        <v>57</v>
      </c>
      <c r="E129" s="5" t="s">
        <v>233</v>
      </c>
      <c r="F129" s="5" t="s">
        <v>543</v>
      </c>
      <c r="G129" s="14" t="str">
        <f t="array" ref="G129">IF(B129="", "",
  LET(_xlpm.spell, IFERROR(IF(F129="", "", INDEX(_xlws.FILTER(Hairstyles!$F:$F, ISNUMBER(SEARCH(F129, Hairstyles!$B:$B))), 1)), "No Spell for Hairstyle"),
  _xlpm.vanillaPrefix, IF(LEFT(_xlpm.spell, 7)="Uvi_Wig", "", ";"),
  ";" &amp; IF(C129="", B129, C129) &amp; IF(M129="", "", " ("&amp;M129&amp;")") &amp; CHAR(10) &amp;
  _xlpm.vanillaPrefix &amp; "Keyword = Uvi_Wig_Distr_KYWD|" &amp; B129 &amp; CHAR(10) &amp;
  _xlpm.vanillaPrefix &amp; "Spell = " &amp; _xlpm.spell &amp; "|" &amp; B129
  )
)</f>
        <v>;Aringoth
;Keyword = Uvi_Wig_Distr_KYWD|Aringoth
;Spell = No Spell for Hairstyle|Aringoth</v>
      </c>
    </row>
    <row r="130" ht="12.75" customHeight="1">
      <c r="A130" s="15" t="s">
        <v>1762</v>
      </c>
      <c r="B130" s="5" t="s">
        <v>1763</v>
      </c>
      <c r="C130" s="5" t="s">
        <v>1763</v>
      </c>
      <c r="D130" s="5" t="s">
        <v>57</v>
      </c>
      <c r="E130" s="5" t="s">
        <v>41</v>
      </c>
      <c r="F130" s="5" t="s">
        <v>491</v>
      </c>
      <c r="G130" s="14" t="str">
        <f t="array" ref="G130">IF(B130="", "",
  LET(_xlpm.spell, IFERROR(IF(F130="", "", INDEX(_xlws.FILTER(Hairstyles!$F:$F, ISNUMBER(SEARCH(F130, Hairstyles!$B:$B))), 1)), "No Spell for Hairstyle"),
  _xlpm.vanillaPrefix, IF(LEFT(_xlpm.spell, 7)="Uvi_Wig", "", ";"),
  ";" &amp; IF(C130="", B130, C130) &amp; IF(M130="", "", " ("&amp;M130&amp;")") &amp; CHAR(10) &amp;
  _xlpm.vanillaPrefix &amp; "Keyword = Uvi_Wig_Distr_KYWD|" &amp; B130 &amp; CHAR(10) &amp;
  _xlpm.vanillaPrefix &amp; "Spell = " &amp; _xlpm.spell &amp; "|" &amp; B130
  )
)</f>
        <v>;Arivanya
;Keyword = Uvi_Wig_Distr_KYWD|Arivanya
;Spell = No Spell for Hairstyle|Arivanya</v>
      </c>
    </row>
    <row r="131" ht="12.75" customHeight="1">
      <c r="A131" s="5" t="s">
        <v>1764</v>
      </c>
      <c r="B131" s="5" t="s">
        <v>1765</v>
      </c>
      <c r="C131" s="5" t="s">
        <v>1765</v>
      </c>
      <c r="D131" s="5" t="s">
        <v>38</v>
      </c>
      <c r="E131" s="5" t="s">
        <v>233</v>
      </c>
      <c r="F131" s="5" t="s">
        <v>1566</v>
      </c>
      <c r="G131" s="14" t="str">
        <f t="array" ref="G131">IF(B131="", "",
  LET(_xlpm.spell, IFERROR(IF(F131="", "", INDEX(_xlws.FILTER(Hairstyles!$F:$F, ISNUMBER(SEARCH(F131, Hairstyles!$B:$B))), 1)), "No Spell for Hairstyle"),
  _xlpm.vanillaPrefix, IF(LEFT(_xlpm.spell, 7)="Uvi_Wig", "", ";"),
  ";" &amp; IF(C131="", B131, C131) &amp; IF(M131="", "", " ("&amp;M131&amp;")") &amp; CHAR(10) &amp;
  _xlpm.vanillaPrefix &amp; "Keyword = Uvi_Wig_Distr_KYWD|" &amp; B131 &amp; CHAR(10) &amp;
  _xlpm.vanillaPrefix &amp; "Spell = " &amp; _xlpm.spell &amp; "|" &amp; B131
  )
)</f>
        <v>;Arnbjorn
;Keyword = Uvi_Wig_Distr_KYWD|Arnbjorn
;Spell = No Spell for Hairstyle|Arnbjorn</v>
      </c>
    </row>
    <row r="132" ht="12.75" customHeight="1">
      <c r="A132" s="5" t="s">
        <v>1766</v>
      </c>
      <c r="B132" s="5" t="s">
        <v>1767</v>
      </c>
      <c r="C132" s="5" t="s">
        <v>1767</v>
      </c>
      <c r="D132" s="5" t="s">
        <v>51</v>
      </c>
      <c r="E132" s="5" t="s">
        <v>233</v>
      </c>
      <c r="F132" s="5" t="s">
        <v>1566</v>
      </c>
      <c r="G132" s="14" t="str">
        <f t="array" ref="G132">IF(B132="", "",
  LET(_xlpm.spell, IFERROR(IF(F132="", "", INDEX(_xlws.FILTER(Hairstyles!$F:$F, ISNUMBER(SEARCH(F132, Hairstyles!$B:$B))), 1)), "No Spell for Hairstyle"),
  _xlpm.vanillaPrefix, IF(LEFT(_xlpm.spell, 7)="Uvi_Wig", "", ";"),
  ";" &amp; IF(C132="", B132, C132) &amp; IF(M132="", "", " ("&amp;M132&amp;")") &amp; CHAR(10) &amp;
  _xlpm.vanillaPrefix &amp; "Keyword = Uvi_Wig_Distr_KYWD|" &amp; B132 &amp; CHAR(10) &amp;
  _xlpm.vanillaPrefix &amp; "Spell = " &amp; _xlpm.spell &amp; "|" &amp; B132
  )
)</f>
        <v>;Arngeir
;Keyword = Uvi_Wig_Distr_KYWD|Arngeir
;Spell = No Spell for Hairstyle|Arngeir</v>
      </c>
    </row>
    <row r="133" ht="12.75" customHeight="1">
      <c r="A133" s="5" t="s">
        <v>1768</v>
      </c>
      <c r="B133" s="5" t="s">
        <v>1769</v>
      </c>
      <c r="C133" s="5" t="s">
        <v>1770</v>
      </c>
      <c r="D133" s="5" t="s">
        <v>16</v>
      </c>
      <c r="E133" s="5" t="s">
        <v>233</v>
      </c>
      <c r="F133" s="5" t="s">
        <v>218</v>
      </c>
      <c r="G133" s="14" t="str">
        <f t="array" ref="G133">IF(B133="", "",
  LET(_xlpm.spell, IFERROR(IF(F133="", "", INDEX(_xlws.FILTER(Hairstyles!$F:$F, ISNUMBER(SEARCH(F133, Hairstyles!$B:$B))), 1)), "No Spell for Hairstyle"),
  _xlpm.vanillaPrefix, IF(LEFT(_xlpm.spell, 7)="Uvi_Wig", "", ";"),
  ";" &amp; IF(C133="", B133, C133) &amp; IF(M133="", "", " ("&amp;M133&amp;")") &amp; CHAR(10) &amp;
  _xlpm.vanillaPrefix &amp; "Keyword = Uvi_Wig_Distr_KYWD|" &amp; B133 &amp; CHAR(10) &amp;
  _xlpm.vanillaPrefix &amp; "Spell = " &amp; _xlpm.spell &amp; "|" &amp; B133
  )
)</f>
        <v>;Arniel Gane
;Keyword = Uvi_Wig_Distr_KYWD|ArnielGane
;Spell = No Spell for Hairstyle|ArnielGane</v>
      </c>
    </row>
    <row r="134" ht="12.75" customHeight="1">
      <c r="A134" s="5" t="s">
        <v>1771</v>
      </c>
      <c r="B134" s="5" t="s">
        <v>1772</v>
      </c>
      <c r="C134" s="5" t="s">
        <v>1773</v>
      </c>
      <c r="D134" s="5" t="s">
        <v>16</v>
      </c>
      <c r="E134" s="5" t="s">
        <v>233</v>
      </c>
      <c r="F134" s="5" t="s">
        <v>218</v>
      </c>
      <c r="G134" s="14" t="str">
        <f t="array" ref="G134">IF(B134="", "",
  LET(_xlpm.spell, IFERROR(IF(F134="", "", INDEX(_xlws.FILTER(Hairstyles!$F:$F, ISNUMBER(SEARCH(F134, Hairstyles!$B:$B))), 1)), "No Spell for Hairstyle"),
  _xlpm.vanillaPrefix, IF(LEFT(_xlpm.spell, 7)="Uvi_Wig", "", ";"),
  ";" &amp; IF(C134="", B134, C134) &amp; IF(M134="", "", " ("&amp;M134&amp;")") &amp; CHAR(10) &amp;
  _xlpm.vanillaPrefix &amp; "Keyword = Uvi_Wig_Distr_KYWD|" &amp; B134 &amp; CHAR(10) &amp;
  _xlpm.vanillaPrefix &amp; "Spell = " &amp; _xlpm.spell &amp; "|" &amp; B134
  )
)</f>
        <v>;Arniel's Shade
;Keyword = Uvi_Wig_Distr_KYWD|MGArnielSummon
;Spell = No Spell for Hairstyle|MGArnielSummon</v>
      </c>
    </row>
    <row r="135" ht="12.75" customHeight="1">
      <c r="A135" s="5" t="s">
        <v>1774</v>
      </c>
      <c r="B135" s="5" t="s">
        <v>1775</v>
      </c>
      <c r="C135" s="5" t="s">
        <v>1776</v>
      </c>
      <c r="D135" s="5" t="s">
        <v>38</v>
      </c>
      <c r="E135" s="5" t="s">
        <v>233</v>
      </c>
      <c r="F135" s="5" t="s">
        <v>218</v>
      </c>
      <c r="G135" s="14" t="str">
        <f t="array" ref="G135">IF(B135="", "",
  LET(_xlpm.spell, IFERROR(IF(F135="", "", INDEX(_xlws.FILTER(Hairstyles!$F:$F, ISNUMBER(SEARCH(F135, Hairstyles!$B:$B))), 1)), "No Spell for Hairstyle"),
  _xlpm.vanillaPrefix, IF(LEFT(_xlpm.spell, 7)="Uvi_Wig", "", ";"),
  ";" &amp; IF(C135="", B135, C135) &amp; IF(M135="", "", " ("&amp;M135&amp;")") &amp; CHAR(10) &amp;
  _xlpm.vanillaPrefix &amp; "Keyword = Uvi_Wig_Distr_KYWD|" &amp; B135 &amp; CHAR(10) &amp;
  _xlpm.vanillaPrefix &amp; "Spell = " &amp; _xlpm.spell &amp; "|" &amp; B135
  )
)</f>
        <v>;Arnskar Ember-Master
;Keyword = Uvi_Wig_Distr_KYWD|Arnskar
;Spell = No Spell for Hairstyle|Arnskar</v>
      </c>
    </row>
    <row r="136" ht="12.75" customHeight="1">
      <c r="A136" s="5" t="s">
        <v>1777</v>
      </c>
      <c r="B136" s="5" t="s">
        <v>1778</v>
      </c>
      <c r="C136" s="5" t="s">
        <v>1778</v>
      </c>
      <c r="D136" s="5" t="s">
        <v>80</v>
      </c>
      <c r="E136" s="5" t="s">
        <v>41</v>
      </c>
      <c r="F136" s="5" t="s">
        <v>522</v>
      </c>
      <c r="G136" s="14" t="str">
        <f t="array" ref="G136">IF(B136="", "",
  LET(_xlpm.spell, IFERROR(IF(F136="", "", INDEX(_xlws.FILTER(Hairstyles!$F:$F, ISNUMBER(SEARCH(F136, Hairstyles!$B:$B))), 1)), "No Spell for Hairstyle"),
  _xlpm.vanillaPrefix, IF(LEFT(_xlpm.spell, 7)="Uvi_Wig", "", ";"),
  ";" &amp; IF(C136="", B136, C136) &amp; IF(M136="", "", " ("&amp;M136&amp;")") &amp; CHAR(10) &amp;
  _xlpm.vanillaPrefix &amp; "Keyword = Uvi_Wig_Distr_KYWD|" &amp; B136 &amp; CHAR(10) &amp;
  _xlpm.vanillaPrefix &amp; "Spell = " &amp; _xlpm.spell &amp; "|" &amp; B136
  )
)</f>
        <v>;Arob
;Keyword = Uvi_Wig_Distr_KYWD|Arob
;Spell = No Spell for Hairstyle|Arob</v>
      </c>
    </row>
    <row r="137" ht="12.75" customHeight="1">
      <c r="A137" s="15" t="s">
        <v>1779</v>
      </c>
      <c r="B137" s="5" t="s">
        <v>1780</v>
      </c>
      <c r="C137" s="5" t="s">
        <v>1781</v>
      </c>
      <c r="D137" s="5" t="s">
        <v>38</v>
      </c>
      <c r="E137" s="5" t="s">
        <v>233</v>
      </c>
      <c r="F137" s="5" t="s">
        <v>209</v>
      </c>
      <c r="G137" s="14" t="str">
        <f t="array" ref="G137">IF(B137="", "",
  LET(_xlpm.spell, IFERROR(IF(F137="", "", INDEX(_xlws.FILTER(Hairstyles!$F:$F, ISNUMBER(SEARCH(F137, Hairstyles!$B:$B))), 1)), "No Spell for Hairstyle"),
  _xlpm.vanillaPrefix, IF(LEFT(_xlpm.spell, 7)="Uvi_Wig", "", ";"),
  ";" &amp; IF(C137="", B137, C137) &amp; IF(M137="", "", " ("&amp;M137&amp;")") &amp; CHAR(10) &amp;
  _xlpm.vanillaPrefix &amp; "Keyword = Uvi_Wig_Distr_KYWD|" &amp; B137 &amp; CHAR(10) &amp;
  _xlpm.vanillaPrefix &amp; "Spell = " &amp; _xlpm.spell &amp; "|" &amp; B137
  )
)</f>
        <v>;Arrald Frozen-Heart
;Keyword = Uvi_Wig_Distr_KYWD|CWFieldCOSonsHjaalmarch
;Spell = No Spell for Hairstyle|CWFieldCOSonsHjaalmarch</v>
      </c>
    </row>
    <row r="138" ht="12.75" customHeight="1">
      <c r="A138" s="15" t="s">
        <v>1782</v>
      </c>
      <c r="B138" s="5" t="s">
        <v>1783</v>
      </c>
      <c r="C138" s="5" t="s">
        <v>1784</v>
      </c>
      <c r="D138" s="5" t="s">
        <v>45</v>
      </c>
      <c r="E138" s="5" t="s">
        <v>233</v>
      </c>
      <c r="F138" s="5" t="s">
        <v>47</v>
      </c>
      <c r="G138" s="14" t="str">
        <f t="array" ref="G138">IF(B138="", "",
  LET(_xlpm.spell, IFERROR(IF(F138="", "", INDEX(_xlws.FILTER(Hairstyles!$F:$F, ISNUMBER(SEARCH(F138, Hairstyles!$B:$B))), 1)), "No Spell for Hairstyle"),
  _xlpm.vanillaPrefix, IF(LEFT(_xlpm.spell, 7)="Uvi_Wig", "", ";"),
  ";" &amp; IF(C138="", B138, C138) &amp; IF(M138="", "", " ("&amp;M138&amp;")") &amp; CHAR(10) &amp;
  _xlpm.vanillaPrefix &amp; "Keyword = Uvi_Wig_Distr_KYWD|" &amp; B138 &amp; CHAR(10) &amp;
  _xlpm.vanillaPrefix &amp; "Spell = " &amp; _xlpm.spell &amp; "|" &amp; B138
  )
)</f>
        <v>;Arvel the Swift
;Keyword = Uvi_Wig_Distr_KYWD|e3DemoArvel
;Spell = No Spell for Hairstyle|e3DemoArvel</v>
      </c>
    </row>
    <row r="139" ht="12.75" customHeight="1">
      <c r="A139" s="15" t="s">
        <v>1785</v>
      </c>
      <c r="B139" s="5" t="s">
        <v>1786</v>
      </c>
      <c r="C139" s="5" t="s">
        <v>1784</v>
      </c>
      <c r="D139" s="5" t="s">
        <v>45</v>
      </c>
      <c r="E139" s="5" t="s">
        <v>233</v>
      </c>
      <c r="F139" s="5" t="s">
        <v>1787</v>
      </c>
      <c r="G139" s="14" t="str">
        <f t="array" ref="G139">IF(B139="", "",
  LET(_xlpm.spell, IFERROR(IF(F139="", "", INDEX(_xlws.FILTER(Hairstyles!$F:$F, ISNUMBER(SEARCH(F139, Hairstyles!$B:$B))), 1)), "No Spell for Hairstyle"),
  _xlpm.vanillaPrefix, IF(LEFT(_xlpm.spell, 7)="Uvi_Wig", "", ";"),
  ";" &amp; IF(C139="", B139, C139) &amp; IF(M139="", "", " ("&amp;M139&amp;")") &amp; CHAR(10) &amp;
  _xlpm.vanillaPrefix &amp; "Keyword = Uvi_Wig_Distr_KYWD|" &amp; B139 &amp; CHAR(10) &amp;
  _xlpm.vanillaPrefix &amp; "Spell = " &amp; _xlpm.spell &amp; "|" &amp; B139
  )
)</f>
        <v>;Arvel the Swift
;Keyword = Uvi_Wig_Distr_KYWD|MS13Arvel
;Spell = No Spell for Hairstyle|MS13Arvel</v>
      </c>
    </row>
    <row r="140" ht="12.75" customHeight="1">
      <c r="A140" s="5" t="s">
        <v>1788</v>
      </c>
      <c r="B140" s="5" t="s">
        <v>1789</v>
      </c>
      <c r="C140" s="5" t="s">
        <v>1790</v>
      </c>
      <c r="D140" s="5" t="s">
        <v>38</v>
      </c>
      <c r="E140" s="5" t="s">
        <v>233</v>
      </c>
      <c r="F140" s="5" t="s">
        <v>1622</v>
      </c>
      <c r="G140" s="14" t="str">
        <f t="array" ref="G140">IF(B140="", "",
  LET(_xlpm.spell, IFERROR(IF(F140="", "", INDEX(_xlws.FILTER(Hairstyles!$F:$F, ISNUMBER(SEARCH(F140, Hairstyles!$B:$B))), 1)), "No Spell for Hairstyle"),
  _xlpm.vanillaPrefix, IF(LEFT(_xlpm.spell, 7)="Uvi_Wig", "", ";"),
  ";" &amp; IF(C140="", B140, C140) &amp; IF(M140="", "", " ("&amp;M140&amp;")") &amp; CHAR(10) &amp;
  _xlpm.vanillaPrefix &amp; "Keyword = Uvi_Wig_Distr_KYWD|" &amp; B140 &amp; CHAR(10) &amp;
  _xlpm.vanillaPrefix &amp; "Spell = " &amp; _xlpm.spell &amp; "|" &amp; B140
  )
)</f>
        <v>;Asbjorn Fire-Tamer
;Keyword = Uvi_Wig_Distr_KYWD|Asbjorn
;Spell = No Spell for Hairstyle|Asbjorn</v>
      </c>
    </row>
    <row r="141" ht="12.75" customHeight="1">
      <c r="A141" s="5" t="s">
        <v>1791</v>
      </c>
      <c r="B141" s="5" t="s">
        <v>1792</v>
      </c>
      <c r="C141" s="5" t="s">
        <v>1793</v>
      </c>
      <c r="D141" s="5" t="s">
        <v>16</v>
      </c>
      <c r="E141" s="5" t="s">
        <v>233</v>
      </c>
      <c r="F141" s="5" t="s">
        <v>234</v>
      </c>
      <c r="G141" s="14" t="str">
        <f t="array" ref="G141">IF(B141="", "",
  LET(_xlpm.spell, IFERROR(IF(F141="", "", INDEX(_xlws.FILTER(Hairstyles!$F:$F, ISNUMBER(SEARCH(F141, Hairstyles!$B:$B))), 1)), "No Spell for Hairstyle"),
  _xlpm.vanillaPrefix, IF(LEFT(_xlpm.spell, 7)="Uvi_Wig", "", ";"),
  ";" &amp; IF(C141="", B141, C141) &amp; IF(M141="", "", " ("&amp;M141&amp;")") &amp; CHAR(10) &amp;
  _xlpm.vanillaPrefix &amp; "Keyword = Uvi_Wig_Distr_KYWD|" &amp; B141 &amp; CHAR(10) &amp;
  _xlpm.vanillaPrefix &amp; "Spell = " &amp; _xlpm.spell &amp; "|" &amp; B141
  )
)</f>
        <v>;Ascendant Conjurer
;Keyword = Uvi_Wig_Distr_KYWD|EncWarlock05TemplateBossConjurer
;Spell = No Spell for Hairstyle|EncWarlock05TemplateBossConjurer</v>
      </c>
    </row>
    <row r="142" ht="12.75" customHeight="1">
      <c r="A142" s="5" t="s">
        <v>1794</v>
      </c>
      <c r="B142" s="5" t="s">
        <v>1795</v>
      </c>
      <c r="C142" s="5" t="s">
        <v>1793</v>
      </c>
      <c r="D142" s="5" t="s">
        <v>16</v>
      </c>
      <c r="E142" s="5" t="s">
        <v>233</v>
      </c>
      <c r="F142" s="5" t="s">
        <v>1622</v>
      </c>
      <c r="G142" s="14" t="str">
        <f t="array" ref="G142">IF(B142="", "",
  LET(_xlpm.spell, IFERROR(IF(F142="", "", INDEX(_xlws.FILTER(Hairstyles!$F:$F, ISNUMBER(SEARCH(F142, Hairstyles!$B:$B))), 1)), "No Spell for Hairstyle"),
  _xlpm.vanillaPrefix, IF(LEFT(_xlpm.spell, 7)="Uvi_Wig", "", ";"),
  ";" &amp; IF(C142="", B142, C142) &amp; IF(M142="", "", " ("&amp;M142&amp;")") &amp; CHAR(10) &amp;
  _xlpm.vanillaPrefix &amp; "Keyword = Uvi_Wig_Distr_KYWD|" &amp; B142 &amp; CHAR(10) &amp;
  _xlpm.vanillaPrefix &amp; "Spell = " &amp; _xlpm.spell &amp; "|" &amp; B142
  )
)</f>
        <v>;Ascendant Conjurer
;Keyword = Uvi_Wig_Distr_KYWD|EncWarlock05TemplateConjurer
;Spell = No Spell for Hairstyle|EncWarlock05TemplateConjurer</v>
      </c>
    </row>
    <row r="143" ht="12.75" customHeight="1">
      <c r="A143" s="5" t="s">
        <v>1796</v>
      </c>
      <c r="B143" s="5" t="s">
        <v>1797</v>
      </c>
      <c r="C143" s="5" t="s">
        <v>1798</v>
      </c>
      <c r="D143" s="5" t="s">
        <v>38</v>
      </c>
      <c r="E143" s="5" t="s">
        <v>233</v>
      </c>
      <c r="F143" s="5" t="s">
        <v>1622</v>
      </c>
      <c r="G143" s="14" t="str">
        <f t="array" ref="G143">IF(B143="", "",
  LET(_xlpm.spell, IFERROR(IF(F143="", "", INDEX(_xlws.FILTER(Hairstyles!$F:$F, ISNUMBER(SEARCH(F143, Hairstyles!$B:$B))), 1)), "No Spell for Hairstyle"),
  _xlpm.vanillaPrefix, IF(LEFT(_xlpm.spell, 7)="Uvi_Wig", "", ";"),
  ";" &amp; IF(C143="", B143, C143) &amp; IF(M143="", "", " ("&amp;M143&amp;")") &amp; CHAR(10) &amp;
  _xlpm.vanillaPrefix &amp; "Keyword = Uvi_Wig_Distr_KYWD|" &amp; B143 &amp; CHAR(10) &amp;
  _xlpm.vanillaPrefix &amp; "Spell = " &amp; _xlpm.spell &amp; "|" &amp; B143
  )
)</f>
        <v>;Ascendant Cultist
;Keyword = Uvi_Wig_Distr_KYWD|DLC2EncCultist05Template
;Spell = No Spell for Hairstyle|DLC2EncCultist05Template</v>
      </c>
    </row>
    <row r="144" ht="12.75" customHeight="1">
      <c r="A144" s="5" t="s">
        <v>1799</v>
      </c>
      <c r="B144" s="5" t="s">
        <v>1800</v>
      </c>
      <c r="C144" s="5" t="s">
        <v>1801</v>
      </c>
      <c r="D144" s="5" t="s">
        <v>16</v>
      </c>
      <c r="E144" s="5" t="s">
        <v>233</v>
      </c>
      <c r="F144" s="5" t="s">
        <v>234</v>
      </c>
      <c r="G144" s="14" t="str">
        <f t="array" ref="G144">IF(B144="", "",
  LET(_xlpm.spell, IFERROR(IF(F144="", "", INDEX(_xlws.FILTER(Hairstyles!$F:$F, ISNUMBER(SEARCH(F144, Hairstyles!$B:$B))), 1)), "No Spell for Hairstyle"),
  _xlpm.vanillaPrefix, IF(LEFT(_xlpm.spell, 7)="Uvi_Wig", "", ";"),
  ";" &amp; IF(C144="", B144, C144) &amp; IF(M144="", "", " ("&amp;M144&amp;")") &amp; CHAR(10) &amp;
  _xlpm.vanillaPrefix &amp; "Keyword = Uvi_Wig_Distr_KYWD|" &amp; B144 &amp; CHAR(10) &amp;
  _xlpm.vanillaPrefix &amp; "Spell = " &amp; _xlpm.spell &amp; "|" &amp; B144
  )
)</f>
        <v>;Ascendant Necromancer
;Keyword = Uvi_Wig_Distr_KYWD|EncWarlock05TemplateBossNecro
;Spell = No Spell for Hairstyle|EncWarlock05TemplateBossNecro</v>
      </c>
    </row>
    <row r="145" ht="12.75" customHeight="1">
      <c r="A145" s="5" t="s">
        <v>1802</v>
      </c>
      <c r="B145" s="5" t="s">
        <v>1803</v>
      </c>
      <c r="C145" s="5" t="s">
        <v>1801</v>
      </c>
      <c r="D145" s="5" t="s">
        <v>16</v>
      </c>
      <c r="E145" s="5" t="s">
        <v>233</v>
      </c>
      <c r="F145" s="5" t="s">
        <v>346</v>
      </c>
      <c r="G145" s="14" t="str">
        <f t="array" ref="G145">IF(B145="", "",
  LET(_xlpm.spell, IFERROR(IF(F145="", "", INDEX(_xlws.FILTER(Hairstyles!$F:$F, ISNUMBER(SEARCH(F145, Hairstyles!$B:$B))), 1)), "No Spell for Hairstyle"),
  _xlpm.vanillaPrefix, IF(LEFT(_xlpm.spell, 7)="Uvi_Wig", "", ";"),
  ";" &amp; IF(C145="", B145, C145) &amp; IF(M145="", "", " ("&amp;M145&amp;")") &amp; CHAR(10) &amp;
  _xlpm.vanillaPrefix &amp; "Keyword = Uvi_Wig_Distr_KYWD|" &amp; B145 &amp; CHAR(10) &amp;
  _xlpm.vanillaPrefix &amp; "Spell = " &amp; _xlpm.spell &amp; "|" &amp; B145
  )
)</f>
        <v>;Ascendant Necromancer
;Keyword = Uvi_Wig_Distr_KYWD|EncWarlock05TemplateNecro
;Spell = No Spell for Hairstyle|EncWarlock05TemplateNecro</v>
      </c>
    </row>
    <row r="146" ht="12.75" customHeight="1">
      <c r="A146" s="5" t="s">
        <v>1804</v>
      </c>
      <c r="B146" s="5" t="s">
        <v>1805</v>
      </c>
      <c r="C146" s="5" t="s">
        <v>1806</v>
      </c>
      <c r="D146" s="5" t="s">
        <v>38</v>
      </c>
      <c r="E146" s="5" t="s">
        <v>233</v>
      </c>
      <c r="F146" s="5" t="s">
        <v>990</v>
      </c>
      <c r="G146" s="14" t="str">
        <f t="array" ref="G146">IF(B146="", "",
  LET(_xlpm.spell, IFERROR(IF(F146="", "", INDEX(_xlws.FILTER(Hairstyles!$F:$F, ISNUMBER(SEARCH(F146, Hairstyles!$B:$B))), 1)), "No Spell for Hairstyle"),
  _xlpm.vanillaPrefix, IF(LEFT(_xlpm.spell, 7)="Uvi_Wig", "", ";"),
  ";" &amp; IF(C146="", B146, C146) &amp; IF(M146="", "", " ("&amp;M146&amp;")") &amp; CHAR(10) &amp;
  _xlpm.vanillaPrefix &amp; "Keyword = Uvi_Wig_Distr_KYWD|" &amp; B146 &amp; CHAR(10) &amp;
  _xlpm.vanillaPrefix &amp; "Spell = " &amp; _xlpm.spell &amp; "|" &amp; B146
  )
)</f>
        <v>;Asgeir Snow-Shod
;Keyword = Uvi_Wig_Distr_KYWD|Asgeir
;Spell = No Spell for Hairstyle|Asgeir</v>
      </c>
    </row>
    <row r="147" ht="12.75" customHeight="1">
      <c r="A147" s="15" t="s">
        <v>1807</v>
      </c>
      <c r="B147" s="5" t="s">
        <v>1808</v>
      </c>
      <c r="C147" s="5" t="s">
        <v>1808</v>
      </c>
      <c r="D147" s="5" t="s">
        <v>38</v>
      </c>
      <c r="E147" s="5" t="s">
        <v>233</v>
      </c>
      <c r="F147" s="5" t="s">
        <v>1678</v>
      </c>
      <c r="G147" s="14" t="str">
        <f t="array" ref="G147">IF(B147="", "",
  LET(_xlpm.spell, IFERROR(IF(F147="", "", INDEX(_xlws.FILTER(Hairstyles!$F:$F, ISNUMBER(SEARCH(F147, Hairstyles!$B:$B))), 1)), "No Spell for Hairstyle"),
  _xlpm.vanillaPrefix, IF(LEFT(_xlpm.spell, 7)="Uvi_Wig", "", ";"),
  ";" &amp; IF(C147="", B147, C147) &amp; IF(M147="", "", " ("&amp;M147&amp;")") &amp; CHAR(10) &amp;
  _xlpm.vanillaPrefix &amp; "Keyword = Uvi_Wig_Distr_KYWD|" &amp; B147 &amp; CHAR(10) &amp;
  _xlpm.vanillaPrefix &amp; "Spell = " &amp; _xlpm.spell &amp; "|" &amp; B147
  )
)</f>
        <v>;Aslfur
;Keyword = Uvi_Wig_Distr_KYWD|Aslfur
;Spell = No Spell for Hairstyle|Aslfur</v>
      </c>
    </row>
    <row r="148" ht="12.75" customHeight="1">
      <c r="A148" s="5" t="s">
        <v>1809</v>
      </c>
      <c r="B148" s="5" t="s">
        <v>1810</v>
      </c>
      <c r="C148" s="5" t="s">
        <v>1811</v>
      </c>
      <c r="D148" s="5" t="s">
        <v>38</v>
      </c>
      <c r="E148" s="5" t="s">
        <v>233</v>
      </c>
      <c r="F148" s="5" t="s">
        <v>346</v>
      </c>
      <c r="G148" s="14" t="str">
        <f t="array" ref="G148">IF(B148="", "",
  LET(_xlpm.spell, IFERROR(IF(F148="", "", INDEX(_xlws.FILTER(Hairstyles!$F:$F, ISNUMBER(SEARCH(F148, Hairstyles!$B:$B))), 1)), "No Spell for Hairstyle"),
  _xlpm.vanillaPrefix, IF(LEFT(_xlpm.spell, 7)="Uvi_Wig", "", ";"),
  ";" &amp; IF(C148="", B148, C148) &amp; IF(M148="", "", " ("&amp;M148&amp;")") &amp; CHAR(10) &amp;
  _xlpm.vanillaPrefix &amp; "Keyword = Uvi_Wig_Distr_KYWD|" &amp; B148 &amp; CHAR(10) &amp;
  _xlpm.vanillaPrefix &amp; "Spell = " &amp; _xlpm.spell &amp; "|" &amp; B148
  )
)</f>
        <v>;Aspiring Mage
;Keyword = Uvi_Wig_Distr_KYWD|WE31Mage
;Spell = No Spell for Hairstyle|WE31Mage</v>
      </c>
    </row>
    <row r="149" ht="12.75" customHeight="1">
      <c r="A149" s="5" t="s">
        <v>1812</v>
      </c>
      <c r="B149" s="5" t="s">
        <v>1813</v>
      </c>
      <c r="C149" s="5" t="s">
        <v>1814</v>
      </c>
      <c r="D149" s="5" t="s">
        <v>38</v>
      </c>
      <c r="E149" s="5" t="s">
        <v>233</v>
      </c>
      <c r="F149" s="5" t="s">
        <v>68</v>
      </c>
      <c r="G149" s="14" t="str">
        <f t="array" ref="G149">IF(B149="", "",
  LET(_xlpm.spell, IFERROR(IF(F149="", "", INDEX(_xlws.FILTER(Hairstyles!$F:$F, ISNUMBER(SEARCH(F149, Hairstyles!$B:$B))), 1)), "No Spell for Hairstyle"),
  _xlpm.vanillaPrefix, IF(LEFT(_xlpm.spell, 7)="Uvi_Wig", "", ";"),
  ";" &amp; IF(C149="", B149, C149) &amp; IF(M149="", "", " ("&amp;M149&amp;")") &amp; CHAR(10) &amp;
  _xlpm.vanillaPrefix &amp; "Keyword = Uvi_Wig_Distr_KYWD|" &amp; B149 &amp; CHAR(10) &amp;
  _xlpm.vanillaPrefix &amp; "Spell = " &amp; _xlpm.spell &amp; "|" &amp; B149
  )
)</f>
        <v>;Assassin
;Keyword = Uvi_Wig_Distr_KYWD|WEAssassinTemplate
;Spell = No Spell for Hairstyle|WEAssassinTemplate</v>
      </c>
    </row>
    <row r="150" ht="12.75" customHeight="1">
      <c r="A150" s="5" t="s">
        <v>1815</v>
      </c>
      <c r="B150" s="5" t="s">
        <v>1816</v>
      </c>
      <c r="C150" s="5" t="s">
        <v>1816</v>
      </c>
      <c r="D150" s="5" t="s">
        <v>74</v>
      </c>
      <c r="E150" s="5" t="s">
        <v>233</v>
      </c>
      <c r="F150" s="5" t="s">
        <v>27</v>
      </c>
      <c r="G150" s="14" t="str">
        <f t="array" ref="G150">IF(B150="", "",
  LET(_xlpm.spell, IFERROR(IF(F150="", "", INDEX(_xlws.FILTER(Hairstyles!$F:$F, ISNUMBER(SEARCH(F150, Hairstyles!$B:$B))), 1)), "No Spell for Hairstyle"),
  _xlpm.vanillaPrefix, IF(LEFT(_xlpm.spell, 7)="Uvi_Wig", "", ";"),
  ";" &amp; IF(C150="", B150, C150) &amp; IF(M150="", "", " ("&amp;M150&amp;")") &amp; CHAR(10) &amp;
  _xlpm.vanillaPrefix &amp; "Keyword = Uvi_Wig_Distr_KYWD|" &amp; B150 &amp; CHAR(10) &amp;
  _xlpm.vanillaPrefix &amp; "Spell = " &amp; _xlpm.spell &amp; "|" &amp; B150
  )
)</f>
        <v>;Assur
;Keyword = Uvi_Wig_Distr_KYWD|Assur
;Spell = No Spell for Hairstyle|Assur</v>
      </c>
    </row>
    <row r="151" ht="12.75" customHeight="1">
      <c r="A151" s="5" t="s">
        <v>1817</v>
      </c>
      <c r="B151" s="5" t="s">
        <v>1818</v>
      </c>
      <c r="C151" s="5" t="s">
        <v>1819</v>
      </c>
      <c r="D151" s="5" t="s">
        <v>38</v>
      </c>
      <c r="E151" s="5" t="s">
        <v>41</v>
      </c>
      <c r="F151" s="5" t="s">
        <v>22</v>
      </c>
      <c r="G151" s="14" t="str">
        <f t="array" ref="G151">IF(B151="", "",
  LET(_xlpm.spell, IFERROR(IF(F151="", "", INDEX(_xlws.FILTER(Hairstyles!$F:$F, ISNUMBER(SEARCH(F151, Hairstyles!$B:$B))), 1)), "No Spell for Hairstyle"),
  _xlpm.vanillaPrefix, IF(LEFT(_xlpm.spell, 7)="Uvi_Wig", "", ";"),
  ";" &amp; IF(C151="", B151, C151) &amp; IF(M151="", "", " ("&amp;M151&amp;")") &amp; CHAR(10) &amp;
  _xlpm.vanillaPrefix &amp; "Keyword = Uvi_Wig_Distr_KYWD|" &amp; B151 &amp; CHAR(10) &amp;
  _xlpm.vanillaPrefix &amp; "Spell = " &amp; _xlpm.spell &amp; "|" &amp; B151
  )
)</f>
        <v>;Asta
;Keyword = Uvi_Wig_Distr_KYWD|dunEldergleamPilgrimNordF
;Spell = No Spell for Hairstyle|dunEldergleamPilgrimNordF</v>
      </c>
    </row>
    <row r="152" ht="12.75" customHeight="1">
      <c r="A152" s="5" t="s">
        <v>1820</v>
      </c>
      <c r="B152" s="5" t="s">
        <v>1821</v>
      </c>
      <c r="C152" s="5" t="s">
        <v>1821</v>
      </c>
      <c r="D152" s="5" t="s">
        <v>38</v>
      </c>
      <c r="E152" s="5" t="s">
        <v>41</v>
      </c>
      <c r="F152" s="5" t="s">
        <v>1822</v>
      </c>
      <c r="G152" s="14" t="str">
        <f t="array" ref="G152">IF(B152="", "",
  LET(_xlpm.spell, IFERROR(IF(F152="", "", INDEX(_xlws.FILTER(Hairstyles!$F:$F, ISNUMBER(SEARCH(F152, Hairstyles!$B:$B))), 1)), "No Spell for Hairstyle"),
  _xlpm.vanillaPrefix, IF(LEFT(_xlpm.spell, 7)="Uvi_Wig", "", ";"),
  ";" &amp; IF(C152="", B152, C152) &amp; IF(M152="", "", " ("&amp;M152&amp;")") &amp; CHAR(10) &amp;
  _xlpm.vanillaPrefix &amp; "Keyword = Uvi_Wig_Distr_KYWD|" &amp; B152 &amp; CHAR(10) &amp;
  _xlpm.vanillaPrefix &amp; "Spell = " &amp; _xlpm.spell &amp; "|" &amp; B152
  )
)</f>
        <v>;Astrid
;Keyword = Uvi_Wig_Distr_KYWD|Astrid
;Spell = No Spell for Hairstyle|Astrid</v>
      </c>
    </row>
    <row r="153" ht="12.75" customHeight="1">
      <c r="A153" s="5" t="s">
        <v>1823</v>
      </c>
      <c r="B153" s="5" t="s">
        <v>1824</v>
      </c>
      <c r="C153" s="5" t="s">
        <v>1821</v>
      </c>
      <c r="D153" s="5" t="s">
        <v>71</v>
      </c>
      <c r="E153" s="5" t="s">
        <v>41</v>
      </c>
      <c r="F153" s="5" t="s">
        <v>22</v>
      </c>
      <c r="G153" s="14" t="str">
        <f t="array" ref="G153">IF(B153="", "",
  LET(_xlpm.spell, IFERROR(IF(F153="", "", INDEX(_xlws.FILTER(Hairstyles!$F:$F, ISNUMBER(SEARCH(F153, Hairstyles!$B:$B))), 1)), "No Spell for Hairstyle"),
  _xlpm.vanillaPrefix, IF(LEFT(_xlpm.spell, 7)="Uvi_Wig", "", ";"),
  ";" &amp; IF(C153="", B153, C153) &amp; IF(M153="", "", " ("&amp;M153&amp;")") &amp; CHAR(10) &amp;
  _xlpm.vanillaPrefix &amp; "Keyword = Uvi_Wig_Distr_KYWD|" &amp; B153 &amp; CHAR(10) &amp;
  _xlpm.vanillaPrefix &amp; "Spell = " &amp; _xlpm.spell &amp; "|" &amp; B153
  )
)</f>
        <v>;Astrid
;Keyword = Uvi_Wig_Distr_KYWD|AstridEnd
;Spell = No Spell for Hairstyle|AstridEnd</v>
      </c>
    </row>
    <row r="154" ht="12.75" customHeight="1">
      <c r="A154" s="15" t="s">
        <v>1825</v>
      </c>
      <c r="B154" s="5" t="s">
        <v>1826</v>
      </c>
      <c r="C154" s="5" t="s">
        <v>1827</v>
      </c>
      <c r="D154" s="5" t="s">
        <v>83</v>
      </c>
      <c r="E154" s="5" t="s">
        <v>233</v>
      </c>
      <c r="F154" s="5" t="s">
        <v>174</v>
      </c>
      <c r="G154" s="14" t="str">
        <f t="array" ref="G154">IF(B154="", "",
  LET(_xlpm.spell, IFERROR(IF(F154="", "", INDEX(_xlws.FILTER(Hairstyles!$F:$F, ISNUMBER(SEARCH(F154, Hairstyles!$B:$B))), 1)), "No Spell for Hairstyle"),
  _xlpm.vanillaPrefix, IF(LEFT(_xlpm.spell, 7)="Uvi_Wig", "", ";"),
  ";" &amp; IF(C154="", B154, C154) &amp; IF(M154="", "", " ("&amp;M154&amp;")") &amp; CHAR(10) &amp;
  _xlpm.vanillaPrefix &amp; "Keyword = Uvi_Wig_Distr_KYWD|" &amp; B154 &amp; CHAR(10) &amp;
  _xlpm.vanillaPrefix &amp; "Spell = " &amp; _xlpm.spell &amp; "|" &amp; B154
  )
)</f>
        <v>;Ataf
;Keyword = Uvi_Wig_Distr_KYWD|AtAfAlan
;Spell = No Spell for Hairstyle|AtAfAlan</v>
      </c>
    </row>
    <row r="155" ht="12.75" customHeight="1">
      <c r="A155" s="5" t="s">
        <v>1828</v>
      </c>
      <c r="B155" s="5" t="s">
        <v>1829</v>
      </c>
      <c r="C155" s="5" t="s">
        <v>1830</v>
      </c>
      <c r="D155" s="5" t="s">
        <v>65</v>
      </c>
      <c r="E155" s="5" t="s">
        <v>41</v>
      </c>
      <c r="F155" s="5" t="s">
        <v>1831</v>
      </c>
      <c r="G155" s="14" t="str">
        <f t="array" ref="G155">IF(B155="", "",
  LET(_xlpm.spell, IFERROR(IF(F155="", "", INDEX(_xlws.FILTER(Hairstyles!$F:$F, ISNUMBER(SEARCH(F155, Hairstyles!$B:$B))), 1)), "No Spell for Hairstyle"),
  _xlpm.vanillaPrefix, IF(LEFT(_xlpm.spell, 7)="Uvi_Wig", "", ";"),
  ";" &amp; IF(C155="", B155, C155) &amp; IF(M155="", "", " ("&amp;M155&amp;")") &amp; CHAR(10) &amp;
  _xlpm.vanillaPrefix &amp; "Keyword = Uvi_Wig_Distr_KYWD|" &amp; B155 &amp; CHAR(10) &amp;
  _xlpm.vanillaPrefix &amp; "Spell = " &amp; _xlpm.spell &amp; "|" &amp; B155
  )
)</f>
        <v>;Atahbah
;Keyword = Uvi_Wig_Distr_KYWD|Atahba
;Spell = No Spell for Hairstyle|Atahba</v>
      </c>
    </row>
    <row r="156" ht="12.75" customHeight="1">
      <c r="A156" s="15" t="s">
        <v>1832</v>
      </c>
      <c r="B156" s="5" t="s">
        <v>1833</v>
      </c>
      <c r="C156" s="5" t="s">
        <v>1833</v>
      </c>
      <c r="D156" s="5" t="s">
        <v>38</v>
      </c>
      <c r="E156" s="5" t="s">
        <v>233</v>
      </c>
      <c r="F156" s="5" t="s">
        <v>84</v>
      </c>
      <c r="G156" s="14" t="str">
        <f t="array" ref="G156">IF(B156="", "",
  LET(_xlpm.spell, IFERROR(IF(F156="", "", INDEX(_xlws.FILTER(Hairstyles!$F:$F, ISNUMBER(SEARCH(F156, Hairstyles!$B:$B))), 1)), "No Spell for Hairstyle"),
  _xlpm.vanillaPrefix, IF(LEFT(_xlpm.spell, 7)="Uvi_Wig", "", ";"),
  ";" &amp; IF(C156="", B156, C156) &amp; IF(M156="", "", " ("&amp;M156&amp;")") &amp; CHAR(10) &amp;
  _xlpm.vanillaPrefix &amp; "Keyword = Uvi_Wig_Distr_KYWD|" &amp; B156 &amp; CHAR(10) &amp;
  _xlpm.vanillaPrefix &amp; "Spell = " &amp; _xlpm.spell &amp; "|" &amp; B156
  )
)</f>
        <v>;Atar
;Keyword = Uvi_Wig_Distr_KYWD|Atar
;Spell = No Spell for Hairstyle|Atar</v>
      </c>
    </row>
    <row r="157" ht="12.75" customHeight="1">
      <c r="A157" s="5" t="s">
        <v>1834</v>
      </c>
      <c r="B157" s="5" t="s">
        <v>1835</v>
      </c>
      <c r="C157" s="5" t="s">
        <v>1835</v>
      </c>
      <c r="D157" s="5" t="s">
        <v>45</v>
      </c>
      <c r="E157" s="5" t="s">
        <v>233</v>
      </c>
      <c r="F157" s="5" t="s">
        <v>525</v>
      </c>
      <c r="G157" s="14" t="str">
        <f t="array" ref="G157">IF(B157="", "",
  LET(_xlpm.spell, IFERROR(IF(F157="", "", INDEX(_xlws.FILTER(Hairstyles!$F:$F, ISNUMBER(SEARCH(F157, Hairstyles!$B:$B))), 1)), "No Spell for Hairstyle"),
  _xlpm.vanillaPrefix, IF(LEFT(_xlpm.spell, 7)="Uvi_Wig", "", ";"),
  ";" &amp; IF(C157="", B157, C157) &amp; IF(M157="", "", " ("&amp;M157&amp;")") &amp; CHAR(10) &amp;
  _xlpm.vanillaPrefix &amp; "Keyword = Uvi_Wig_Distr_KYWD|" &amp; B157 &amp; CHAR(10) &amp;
  _xlpm.vanillaPrefix &amp; "Spell = " &amp; _xlpm.spell &amp; "|" &amp; B157
  )
)</f>
        <v>;Athis
;Keyword = Uvi_Wig_Distr_KYWD|Athis
;Spell = No Spell for Hairstyle|Athis</v>
      </c>
    </row>
    <row r="158" ht="12.75" customHeight="1">
      <c r="A158" s="5" t="s">
        <v>1836</v>
      </c>
      <c r="B158" s="5" t="s">
        <v>1837</v>
      </c>
      <c r="C158" s="5" t="s">
        <v>1838</v>
      </c>
      <c r="D158" s="5" t="s">
        <v>83</v>
      </c>
      <c r="E158" s="5" t="s">
        <v>41</v>
      </c>
      <c r="F158" s="5" t="s">
        <v>42</v>
      </c>
      <c r="G158" s="14" t="str">
        <f t="array" ref="G158">IF(B158="", "",
  LET(_xlpm.spell, IFERROR(IF(F158="", "", INDEX(_xlws.FILTER(Hairstyles!$F:$F, ISNUMBER(SEARCH(F158, Hairstyles!$B:$B))), 1)), "No Spell for Hairstyle"),
  _xlpm.vanillaPrefix, IF(LEFT(_xlpm.spell, 7)="Uvi_Wig", "", ";"),
  ";" &amp; IF(C158="", B158, C158) &amp; IF(M158="", "", " ("&amp;M158&amp;")") &amp; CHAR(10) &amp;
  _xlpm.vanillaPrefix &amp; "Keyword = Uvi_Wig_Distr_KYWD|" &amp; B158 &amp; CHAR(10) &amp;
  _xlpm.vanillaPrefix &amp; "Spell = " &amp; _xlpm.spell &amp; "|" &amp; B158
  )
)</f>
        <v>;Atmah
;Keyword = Uvi_Wig_Distr_KYWD|MG07AtmahGhost
;Spell = No Spell for Hairstyle|MG07AtmahGhost</v>
      </c>
    </row>
    <row r="159" ht="12.75" customHeight="1">
      <c r="A159" s="15" t="s">
        <v>1839</v>
      </c>
      <c r="B159" s="5" t="s">
        <v>1840</v>
      </c>
      <c r="C159" s="5" t="s">
        <v>1840</v>
      </c>
      <c r="D159" s="5" t="s">
        <v>80</v>
      </c>
      <c r="E159" s="5" t="s">
        <v>41</v>
      </c>
      <c r="F159" s="5" t="s">
        <v>1841</v>
      </c>
      <c r="G159" s="14" t="str">
        <f t="array" ref="G159">IF(B159="", "",
  LET(_xlpm.spell, IFERROR(IF(F159="", "", INDEX(_xlws.FILTER(Hairstyles!$F:$F, ISNUMBER(SEARCH(F159, Hairstyles!$B:$B))), 1)), "No Spell for Hairstyle"),
  _xlpm.vanillaPrefix, IF(LEFT(_xlpm.spell, 7)="Uvi_Wig", "", ";"),
  ";" &amp; IF(C159="", B159, C159) &amp; IF(M159="", "", " ("&amp;M159&amp;")") &amp; CHAR(10) &amp;
  _xlpm.vanillaPrefix &amp; "Keyword = Uvi_Wig_Distr_KYWD|" &amp; B159 &amp; CHAR(10) &amp;
  _xlpm.vanillaPrefix &amp; "Spell = " &amp; _xlpm.spell &amp; "|" &amp; B159
  )
)</f>
        <v>;Atub
;Keyword = Uvi_Wig_Distr_KYWD|Atub
;Spell = No Spell for Hairstyle|Atub</v>
      </c>
    </row>
    <row r="160" ht="12.75" customHeight="1">
      <c r="A160" s="5" t="s">
        <v>1842</v>
      </c>
      <c r="B160" s="5" t="s">
        <v>1843</v>
      </c>
      <c r="C160" s="5" t="s">
        <v>1844</v>
      </c>
      <c r="D160" s="5" t="s">
        <v>16</v>
      </c>
      <c r="E160" s="5" t="s">
        <v>233</v>
      </c>
      <c r="F160" s="5" t="s">
        <v>1700</v>
      </c>
      <c r="G160" s="14" t="str">
        <f t="array" ref="G160">IF(B160="", "",
  LET(_xlpm.spell, IFERROR(IF(F160="", "", INDEX(_xlws.FILTER(Hairstyles!$F:$F, ISNUMBER(SEARCH(F160, Hairstyles!$B:$B))), 1)), "No Spell for Hairstyle"),
  _xlpm.vanillaPrefix, IF(LEFT(_xlpm.spell, 7)="Uvi_Wig", "", ";"),
  ";" &amp; IF(C160="", B160, C160) &amp; IF(M160="", "", " ("&amp;M160&amp;")") &amp; CHAR(10) &amp;
  _xlpm.vanillaPrefix &amp; "Keyword = Uvi_Wig_Distr_KYWD|" &amp; B160 &amp; CHAR(10) &amp;
  _xlpm.vanillaPrefix &amp; "Spell = " &amp; _xlpm.spell &amp; "|" &amp; B160
  )
)</f>
        <v>;Augur of Dunlain
;Keyword = Uvi_Wig_Distr_KYWD|MG04Augur
;Spell = No Spell for Hairstyle|MG04Augur</v>
      </c>
    </row>
    <row r="161" ht="12.75" customHeight="1">
      <c r="A161" s="15" t="s">
        <v>1845</v>
      </c>
      <c r="B161" s="5" t="s">
        <v>1846</v>
      </c>
      <c r="C161" s="5" t="s">
        <v>1847</v>
      </c>
      <c r="D161" s="5" t="s">
        <v>45</v>
      </c>
      <c r="E161" s="5" t="s">
        <v>233</v>
      </c>
      <c r="F161" s="5" t="s">
        <v>534</v>
      </c>
      <c r="G161" s="14" t="str">
        <f t="array" ref="G161">IF(B161="", "",
  LET(_xlpm.spell, IFERROR(IF(F161="", "", INDEX(_xlws.FILTER(Hairstyles!$F:$F, ISNUMBER(SEARCH(F161, Hairstyles!$B:$B))), 1)), "No Spell for Hairstyle"),
  _xlpm.vanillaPrefix, IF(LEFT(_xlpm.spell, 7)="Uvi_Wig", "", ";"),
  ";" &amp; IF(C161="", B161, C161) &amp; IF(M161="", "", " ("&amp;M161&amp;")") &amp; CHAR(10) &amp;
  _xlpm.vanillaPrefix &amp; "Keyword = Uvi_Wig_Distr_KYWD|" &amp; B161 &amp; CHAR(10) &amp;
  _xlpm.vanillaPrefix &amp; "Spell = " &amp; _xlpm.spell &amp; "|" &amp; B161
  )
)</f>
        <v>;Aval Atheron
;Keyword = Uvi_Wig_Distr_KYWD|AvalAtheron
;Spell = No Spell for Hairstyle|AvalAtheron</v>
      </c>
    </row>
    <row r="162" ht="12.75" customHeight="1">
      <c r="A162" s="15" t="s">
        <v>1848</v>
      </c>
      <c r="B162" s="5" t="s">
        <v>1849</v>
      </c>
      <c r="C162" s="5" t="s">
        <v>1850</v>
      </c>
      <c r="D162" s="5" t="s">
        <v>74</v>
      </c>
      <c r="E162" s="5" t="s">
        <v>233</v>
      </c>
      <c r="F162" s="5" t="s">
        <v>27</v>
      </c>
      <c r="G162" s="14" t="str">
        <f t="array" ref="G162">IF(B162="", "",
  LET(_xlpm.spell, IFERROR(IF(F162="", "", INDEX(_xlws.FILTER(Hairstyles!$F:$F, ISNUMBER(SEARCH(F162, Hairstyles!$B:$B))), 1)), "No Spell for Hairstyle"),
  _xlpm.vanillaPrefix, IF(LEFT(_xlpm.spell, 7)="Uvi_Wig", "", ";"),
  ";" &amp; IF(C162="", B162, C162) &amp; IF(M162="", "", " ("&amp;M162&amp;")") &amp; CHAR(10) &amp;
  _xlpm.vanillaPrefix &amp; "Keyword = Uvi_Wig_Distr_KYWD|" &amp; B162 &amp; CHAR(10) &amp;
  _xlpm.vanillaPrefix &amp; "Spell = " &amp; _xlpm.spell &amp; "|" &amp; B162
  )
)</f>
        <v>;Aventus Aretino
;Keyword = Uvi_Wig_Distr_KYWD|AventusAretino
;Spell = No Spell for Hairstyle|AventusAretino</v>
      </c>
    </row>
    <row r="163" ht="12.75" customHeight="1">
      <c r="A163" s="5" t="s">
        <v>1851</v>
      </c>
      <c r="B163" s="5" t="s">
        <v>1852</v>
      </c>
      <c r="C163" s="5" t="s">
        <v>1853</v>
      </c>
      <c r="D163" s="5" t="s">
        <v>45</v>
      </c>
      <c r="E163" s="5" t="s">
        <v>41</v>
      </c>
      <c r="F163" s="5" t="s">
        <v>1854</v>
      </c>
      <c r="G163" s="14" t="str">
        <f t="array" ref="G163">IF(B163="", "",
  LET(_xlpm.spell, IFERROR(IF(F163="", "", INDEX(_xlws.FILTER(Hairstyles!$F:$F, ISNUMBER(SEARCH(F163, Hairstyles!$B:$B))), 1)), "No Spell for Hairstyle"),
  _xlpm.vanillaPrefix, IF(LEFT(_xlpm.spell, 7)="Uvi_Wig", "", ";"),
  ";" &amp; IF(C163="", B163, C163) &amp; IF(M163="", "", " ("&amp;M163&amp;")") &amp; CHAR(10) &amp;
  _xlpm.vanillaPrefix &amp; "Keyword = Uvi_Wig_Distr_KYWD|" &amp; B163 &amp; CHAR(10) &amp;
  _xlpm.vanillaPrefix &amp; "Spell = " &amp; _xlpm.spell &amp; "|" &amp; B163
  )
)</f>
        <v>;Avrusa Sarethi
;Keyword = Uvi_Wig_Distr_KYWD|AvrusaSarethi
;Spell = No Spell for Hairstyle|AvrusaSarethi</v>
      </c>
    </row>
    <row r="164" ht="12.75" customHeight="1">
      <c r="A164" s="5" t="s">
        <v>1855</v>
      </c>
      <c r="B164" s="5" t="s">
        <v>1856</v>
      </c>
      <c r="C164" s="5" t="s">
        <v>1857</v>
      </c>
      <c r="D164" s="5" t="s">
        <v>38</v>
      </c>
      <c r="E164" s="5" t="s">
        <v>233</v>
      </c>
      <c r="F164" s="5" t="s">
        <v>346</v>
      </c>
      <c r="G164" s="14" t="str">
        <f t="array" ref="G164">IF(B164="", "",
  LET(_xlpm.spell, IFERROR(IF(F164="", "", INDEX(_xlws.FILTER(Hairstyles!$F:$F, ISNUMBER(SEARCH(F164, Hairstyles!$B:$B))), 1)), "No Spell for Hairstyle"),
  _xlpm.vanillaPrefix, IF(LEFT(_xlpm.spell, 7)="Uvi_Wig", "", ";"),
  ";" &amp; IF(C164="", B164, C164) &amp; IF(M164="", "", " ("&amp;M164&amp;")") &amp; CHAR(10) &amp;
  _xlpm.vanillaPrefix &amp; "Keyword = Uvi_Wig_Distr_KYWD|" &amp; B164 &amp; CHAR(10) &amp;
  _xlpm.vanillaPrefix &amp; "Spell = " &amp; _xlpm.spell &amp; "|" &amp; B164
  )
)</f>
        <v>;Avulstein Gray-Mane
;Keyword = Uvi_Wig_Distr_KYWD|AvulsteinGrayMane
;Spell = No Spell for Hairstyle|AvulsteinGrayMane</v>
      </c>
    </row>
    <row r="165" ht="12.75" customHeight="1">
      <c r="A165" s="5" t="s">
        <v>1858</v>
      </c>
      <c r="B165" s="5" t="s">
        <v>1859</v>
      </c>
      <c r="C165" s="5" t="s">
        <v>1860</v>
      </c>
      <c r="D165" s="5" t="s">
        <v>45</v>
      </c>
      <c r="E165" s="5" t="s">
        <v>41</v>
      </c>
      <c r="F165" s="5" t="s">
        <v>48</v>
      </c>
      <c r="G165" s="14" t="str">
        <f t="array" ref="G165">IF(B165="", "",
  LET(_xlpm.spell, IFERROR(IF(F165="", "", INDEX(_xlws.FILTER(Hairstyles!$F:$F, ISNUMBER(SEARCH(F165, Hairstyles!$B:$B))), 1)), "No Spell for Hairstyle"),
  _xlpm.vanillaPrefix, IF(LEFT(_xlpm.spell, 7)="Uvi_Wig", "", ";"),
  ";" &amp; IF(C165="", B165, C165) &amp; IF(M165="", "", " ("&amp;M165&amp;")") &amp; CHAR(10) &amp;
  _xlpm.vanillaPrefix &amp; "Keyword = Uvi_Wig_Distr_KYWD|" &amp; B165 &amp; CHAR(10) &amp;
  _xlpm.vanillaPrefix &amp; "Spell = " &amp; _xlpm.spell &amp; "|" &amp; B165
  )
)</f>
        <v>;Azura
;Keyword = Uvi_Wig_Distr_KYWD|DA01AzuraVoice
;Spell = No Spell for Hairstyle|DA01AzuraVoice</v>
      </c>
    </row>
    <row r="166" ht="12.75" customHeight="1">
      <c r="A166" s="5" t="s">
        <v>1861</v>
      </c>
      <c r="B166" s="5" t="s">
        <v>1862</v>
      </c>
      <c r="C166" s="5" t="s">
        <v>1863</v>
      </c>
      <c r="D166" s="5" t="s">
        <v>83</v>
      </c>
      <c r="E166" s="5" t="s">
        <v>233</v>
      </c>
      <c r="F166" s="5" t="s">
        <v>174</v>
      </c>
      <c r="G166" s="14" t="str">
        <f t="array" ref="G166">IF(B166="", "",
  LET(_xlpm.spell, IFERROR(IF(F166="", "", INDEX(_xlws.FILTER(Hairstyles!$F:$F, ISNUMBER(SEARCH(F166, Hairstyles!$B:$B))), 1)), "No Spell for Hairstyle"),
  _xlpm.vanillaPrefix, IF(LEFT(_xlpm.spell, 7)="Uvi_Wig", "", ";"),
  ";" &amp; IF(C166="", B166, C166) &amp; IF(M166="", "", " ("&amp;M166&amp;")") &amp; CHAR(10) &amp;
  _xlpm.vanillaPrefix &amp; "Keyword = Uvi_Wig_Distr_KYWD|" &amp; B166 &amp; CHAR(10) &amp;
  _xlpm.vanillaPrefix &amp; "Spell = " &amp; _xlpm.spell &amp; "|" &amp; B166
  )
)</f>
        <v>;Azzada Lylvieve
;Keyword = Uvi_Wig_Distr_KYWD|AzzadaLylvieve
;Spell = No Spell for Hairstyle|AzzadaLylvieve</v>
      </c>
    </row>
    <row r="167" ht="12.75" customHeight="1">
      <c r="A167" s="5" t="s">
        <v>1864</v>
      </c>
      <c r="B167" s="5" t="s">
        <v>1865</v>
      </c>
      <c r="C167" s="5" t="s">
        <v>1866</v>
      </c>
      <c r="D167" s="5" t="s">
        <v>83</v>
      </c>
      <c r="E167" s="5" t="s">
        <v>233</v>
      </c>
      <c r="F167" s="5" t="s">
        <v>84</v>
      </c>
      <c r="G167" s="14" t="str">
        <f t="array" ref="G167">IF(B167="", "",
  LET(_xlpm.spell, IFERROR(IF(F167="", "", INDEX(_xlws.FILTER(Hairstyles!$F:$F, ISNUMBER(SEARCH(F167, Hairstyles!$B:$B))), 1)), "No Spell for Hairstyle"),
  _xlpm.vanillaPrefix, IF(LEFT(_xlpm.spell, 7)="Uvi_Wig", "", ";"),
  ";" &amp; IF(C167="", B167, C167) &amp; IF(M167="", "", " ("&amp;M167&amp;")") &amp; CHAR(10) &amp;
  _xlpm.vanillaPrefix &amp; "Keyword = Uvi_Wig_Distr_KYWD|" &amp; B167 &amp; CHAR(10) &amp;
  _xlpm.vanillaPrefix &amp; "Spell = " &amp; _xlpm.spell &amp; "|" &amp; B167
  )
)</f>
        <v>;Azzadal
;Keyword = Uvi_Wig_Distr_KYWD|dunBardsLeapSummitGhost
;Spell = No Spell for Hairstyle|dunBardsLeapSummitGhost</v>
      </c>
    </row>
    <row r="168" ht="12.75" customHeight="1">
      <c r="A168" s="5" t="s">
        <v>1867</v>
      </c>
      <c r="B168" s="5" t="s">
        <v>1868</v>
      </c>
      <c r="C168" s="5" t="s">
        <v>1868</v>
      </c>
      <c r="D168" s="5" t="s">
        <v>30</v>
      </c>
      <c r="E168" s="5" t="s">
        <v>41</v>
      </c>
      <c r="F168" s="5" t="s">
        <v>28</v>
      </c>
      <c r="G168" s="14" t="str">
        <f t="array" ref="G168">IF(B168="", "",
  LET(_xlpm.spell, IFERROR(IF(F168="", "", INDEX(_xlws.FILTER(Hairstyles!$F:$F, ISNUMBER(SEARCH(F168, Hairstyles!$B:$B))), 1)), "No Spell for Hairstyle"),
  _xlpm.vanillaPrefix, IF(LEFT(_xlpm.spell, 7)="Uvi_Wig", "", ";"),
  ";" &amp; IF(C168="", B168, C168) &amp; IF(M168="", "", " ("&amp;M168&amp;")") &amp; CHAR(10) &amp;
  _xlpm.vanillaPrefix &amp; "Keyword = Uvi_Wig_Distr_KYWD|" &amp; B168 &amp; CHAR(10) &amp;
  _xlpm.vanillaPrefix &amp; "Spell = " &amp; _xlpm.spell &amp; "|" &amp; B168
  )
)</f>
        <v>;Babette
;Keyword = Uvi_Wig_Distr_KYWD|Babette
;Spell = No Spell for Hairstyle|Babette</v>
      </c>
    </row>
    <row r="169" ht="12.75" customHeight="1">
      <c r="A169" s="5" t="s">
        <v>1869</v>
      </c>
      <c r="B169" s="5" t="s">
        <v>1870</v>
      </c>
      <c r="C169" s="5" t="s">
        <v>1870</v>
      </c>
      <c r="D169" s="5" t="s">
        <v>38</v>
      </c>
      <c r="E169" s="5" t="s">
        <v>233</v>
      </c>
      <c r="F169" s="5" t="s">
        <v>40</v>
      </c>
      <c r="G169" s="14" t="str">
        <f t="array" ref="G169">IF(B169="", "",
  LET(_xlpm.spell, IFERROR(IF(F169="", "", INDEX(_xlws.FILTER(Hairstyles!$F:$F, ISNUMBER(SEARCH(F169, Hairstyles!$B:$B))), 1)), "No Spell for Hairstyle"),
  _xlpm.vanillaPrefix, IF(LEFT(_xlpm.spell, 7)="Uvi_Wig", "", ";"),
  ";" &amp; IF(C169="", B169, C169) &amp; IF(M169="", "", " ("&amp;M169&amp;")") &amp; CHAR(10) &amp;
  _xlpm.vanillaPrefix &amp; "Keyword = Uvi_Wig_Distr_KYWD|" &amp; B169 &amp; CHAR(10) &amp;
  _xlpm.vanillaPrefix &amp; "Spell = " &amp; _xlpm.spell &amp; "|" &amp; B169
  )
)</f>
        <v>;Badnir
;Keyword = Uvi_Wig_Distr_KYWD|Badnir
;Spell = No Spell for Hairstyle|Badnir</v>
      </c>
    </row>
    <row r="170" ht="12.75" customHeight="1">
      <c r="A170" s="15" t="s">
        <v>1871</v>
      </c>
      <c r="B170" s="5" t="s">
        <v>1872</v>
      </c>
      <c r="C170" s="5" t="s">
        <v>1872</v>
      </c>
      <c r="D170" s="5" t="s">
        <v>80</v>
      </c>
      <c r="E170" s="5" t="s">
        <v>41</v>
      </c>
      <c r="F170" s="5" t="s">
        <v>399</v>
      </c>
      <c r="G170" s="14" t="str">
        <f t="array" ref="G170">IF(B170="", "",
  LET(_xlpm.spell, IFERROR(IF(F170="", "", INDEX(_xlws.FILTER(Hairstyles!$F:$F, ISNUMBER(SEARCH(F170, Hairstyles!$B:$B))), 1)), "No Spell for Hairstyle"),
  _xlpm.vanillaPrefix, IF(LEFT(_xlpm.spell, 7)="Uvi_Wig", "", ";"),
  ";" &amp; IF(C170="", B170, C170) &amp; IF(M170="", "", " ("&amp;M170&amp;")") &amp; CHAR(10) &amp;
  _xlpm.vanillaPrefix &amp; "Keyword = Uvi_Wig_Distr_KYWD|" &amp; B170 &amp; CHAR(10) &amp;
  _xlpm.vanillaPrefix &amp; "Spell = " &amp; _xlpm.spell &amp; "|" &amp; B170
  )
)</f>
        <v>;Bagrak
;Keyword = Uvi_Wig_Distr_KYWD|Bagrak
;Spell = No Spell for Hairstyle|Bagrak</v>
      </c>
    </row>
    <row r="171" ht="12.75" customHeight="1">
      <c r="A171" s="5" t="s">
        <v>1873</v>
      </c>
      <c r="B171" s="5" t="s">
        <v>1874</v>
      </c>
      <c r="C171" s="5" t="s">
        <v>1875</v>
      </c>
      <c r="D171" s="5" t="s">
        <v>80</v>
      </c>
      <c r="E171" s="5" t="s">
        <v>233</v>
      </c>
      <c r="F171" s="5" t="s">
        <v>1876</v>
      </c>
      <c r="G171" s="14" t="str">
        <f t="array" ref="G171">IF(B171="", "",
  LET(_xlpm.spell, IFERROR(IF(F171="", "", INDEX(_xlws.FILTER(Hairstyles!$F:$F, ISNUMBER(SEARCH(F171, Hairstyles!$B:$B))), 1)), "No Spell for Hairstyle"),
  _xlpm.vanillaPrefix, IF(LEFT(_xlpm.spell, 7)="Uvi_Wig", "", ";"),
  ";" &amp; IF(C171="", B171, C171) &amp; IF(M171="", "", " ("&amp;M171&amp;")") &amp; CHAR(10) &amp;
  _xlpm.vanillaPrefix &amp; "Keyword = Uvi_Wig_Distr_KYWD|" &amp; B171 &amp; CHAR(10) &amp;
  _xlpm.vanillaPrefix &amp; "Spell = " &amp; _xlpm.spell &amp; "|" &amp; B171
  )
)</f>
        <v>;Balagog gro-Nolob
;Keyword = Uvi_Wig_Distr_KYWD|BalagogGroNolob
;Spell = No Spell for Hairstyle|BalagogGroNolob</v>
      </c>
    </row>
    <row r="172" ht="12.75" customHeight="1">
      <c r="A172" s="5" t="s">
        <v>1877</v>
      </c>
      <c r="B172" s="5" t="s">
        <v>1878</v>
      </c>
      <c r="C172" s="5" t="s">
        <v>1879</v>
      </c>
      <c r="D172" s="5" t="s">
        <v>38</v>
      </c>
      <c r="E172" s="5" t="s">
        <v>233</v>
      </c>
      <c r="F172" s="5" t="s">
        <v>234</v>
      </c>
      <c r="G172" s="14" t="str">
        <f t="array" ref="G172">IF(B172="", "",
  LET(_xlpm.spell, IFERROR(IF(F172="", "", INDEX(_xlws.FILTER(Hairstyles!$F:$F, ISNUMBER(SEARCH(F172, Hairstyles!$B:$B))), 1)), "No Spell for Hairstyle"),
  _xlpm.vanillaPrefix, IF(LEFT(_xlpm.spell, 7)="Uvi_Wig", "", ";"),
  ";" &amp; IF(C172="", B172, C172) &amp; IF(M172="", "", " ("&amp;M172&amp;")") &amp; CHAR(10) &amp;
  _xlpm.vanillaPrefix &amp; "Keyword = Uvi_Wig_Distr_KYWD|" &amp; B172 &amp; CHAR(10) &amp;
  _xlpm.vanillaPrefix &amp; "Spell = " &amp; _xlpm.spell &amp; "|" &amp; B172
  )
)</f>
        <v>;Balbus
;Keyword = Uvi_Wig_Distr_KYWD|WEJS02Balbus
;Spell = No Spell for Hairstyle|WEJS02Balbus</v>
      </c>
    </row>
    <row r="173" ht="12.75" customHeight="1">
      <c r="A173" s="5" t="s">
        <v>1880</v>
      </c>
      <c r="B173" s="5" t="s">
        <v>1881</v>
      </c>
      <c r="C173" s="5" t="s">
        <v>1882</v>
      </c>
      <c r="D173" s="5" t="s">
        <v>38</v>
      </c>
      <c r="E173" s="5" t="s">
        <v>233</v>
      </c>
      <c r="F173" s="5" t="s">
        <v>218</v>
      </c>
      <c r="G173" s="14" t="str">
        <f t="array" ref="G173">IF(B173="", "",
  LET(_xlpm.spell, IFERROR(IF(F173="", "", INDEX(_xlws.FILTER(Hairstyles!$F:$F, ISNUMBER(SEARCH(F173, Hairstyles!$B:$B))), 1)), "No Spell for Hairstyle"),
  _xlpm.vanillaPrefix, IF(LEFT(_xlpm.spell, 7)="Uvi_Wig", "", ";"),
  ";" &amp; IF(C173="", B173, C173) &amp; IF(M173="", "", " ("&amp;M173&amp;")") &amp; CHAR(10) &amp;
  _xlpm.vanillaPrefix &amp; "Keyword = Uvi_Wig_Distr_KYWD|" &amp; B173 &amp; CHAR(10) &amp;
  _xlpm.vanillaPrefix &amp; "Spell = " &amp; _xlpm.spell &amp; "|" &amp; B173
  )
)</f>
        <v>;Baldor Iron-Shaper
;Keyword = Uvi_Wig_Distr_KYWD|DLC2SVBaldorIronShaper
;Spell = No Spell for Hairstyle|DLC2SVBaldorIronShaper</v>
      </c>
    </row>
    <row r="174" ht="12.75" customHeight="1">
      <c r="A174" s="5" t="s">
        <v>1883</v>
      </c>
      <c r="B174" s="5" t="s">
        <v>1884</v>
      </c>
      <c r="C174" s="5" t="s">
        <v>1885</v>
      </c>
      <c r="D174" s="5" t="s">
        <v>38</v>
      </c>
      <c r="E174" s="5" t="s">
        <v>233</v>
      </c>
      <c r="F174" s="5" t="s">
        <v>1678</v>
      </c>
      <c r="G174" s="14" t="str">
        <f t="array" ref="G174">IF(B174="", "",
  LET(_xlpm.spell, IFERROR(IF(F174="", "", INDEX(_xlws.FILTER(Hairstyles!$F:$F, ISNUMBER(SEARCH(F174, Hairstyles!$B:$B))), 1)), "No Spell for Hairstyle"),
  _xlpm.vanillaPrefix, IF(LEFT(_xlpm.spell, 7)="Uvi_Wig", "", ";"),
  ";" &amp; IF(C174="", B174, C174) &amp; IF(M174="", "", " ("&amp;M174&amp;")") &amp; CHAR(10) &amp;
  _xlpm.vanillaPrefix &amp; "Keyword = Uvi_Wig_Distr_KYWD|" &amp; B174 &amp; CHAR(10) &amp;
  _xlpm.vanillaPrefix &amp; "Spell = " &amp; _xlpm.spell &amp; "|" &amp; B174
  )
)</f>
        <v>;Balgruuf the Greater
;Keyword = Uvi_Wig_Distr_KYWD|BalgruuftheGreater
;Spell = No Spell for Hairstyle|BalgruuftheGreater</v>
      </c>
    </row>
    <row r="175" ht="12.75" customHeight="1">
      <c r="A175" s="5" t="s">
        <v>1886</v>
      </c>
      <c r="B175" s="5" t="s">
        <v>1887</v>
      </c>
      <c r="C175" s="5" t="s">
        <v>1887</v>
      </c>
      <c r="D175" s="5" t="s">
        <v>38</v>
      </c>
      <c r="E175" s="5" t="s">
        <v>233</v>
      </c>
      <c r="F175" s="5" t="s">
        <v>762</v>
      </c>
      <c r="G175" s="14" t="str">
        <f t="array" ref="G175">IF(B175="", "",
  LET(_xlpm.spell, IFERROR(IF(F175="", "", INDEX(_xlws.FILTER(Hairstyles!$F:$F, ISNUMBER(SEARCH(F175, Hairstyles!$B:$B))), 1)), "No Spell for Hairstyle"),
  _xlpm.vanillaPrefix, IF(LEFT(_xlpm.spell, 7)="Uvi_Wig", "", ";"),
  ";" &amp; IF(C175="", B175, C175) &amp; IF(M175="", "", " ("&amp;M175&amp;")") &amp; CHAR(10) &amp;
  _xlpm.vanillaPrefix &amp; "Keyword = Uvi_Wig_Distr_KYWD|" &amp; B175 &amp; CHAR(10) &amp;
  _xlpm.vanillaPrefix &amp; "Spell = " &amp; _xlpm.spell &amp; "|" &amp; B175
  )
)</f>
        <v>;Balimund
;Keyword = Uvi_Wig_Distr_KYWD|Balimund
;Spell = No Spell for Hairstyle|Balimund</v>
      </c>
    </row>
    <row r="176" ht="12.75" customHeight="1">
      <c r="A176" s="5" t="s">
        <v>1888</v>
      </c>
      <c r="B176" s="5" t="s">
        <v>1889</v>
      </c>
      <c r="C176" s="5" t="s">
        <v>1890</v>
      </c>
      <c r="D176" s="5" t="s">
        <v>38</v>
      </c>
      <c r="E176" s="5" t="s">
        <v>233</v>
      </c>
      <c r="F176" s="5" t="s">
        <v>1622</v>
      </c>
      <c r="G176" s="14" t="str">
        <f t="array" ref="G176">IF(B176="", "",
  LET(_xlpm.spell, IFERROR(IF(F176="", "", INDEX(_xlws.FILTER(Hairstyles!$F:$F, ISNUMBER(SEARCH(F176, Hairstyles!$B:$B))), 1)), "No Spell for Hairstyle"),
  _xlpm.vanillaPrefix, IF(LEFT(_xlpm.spell, 7)="Uvi_Wig", "", ";"),
  ";" &amp; IF(C176="", B176, C176) &amp; IF(M176="", "", " ("&amp;M176&amp;")") &amp; CHAR(10) &amp;
  _xlpm.vanillaPrefix &amp; "Keyword = Uvi_Wig_Distr_KYWD|" &amp; B176 &amp; CHAR(10) &amp;
  _xlpm.vanillaPrefix &amp; "Spell = " &amp; _xlpm.spell &amp; "|" &amp; B176
  )
)</f>
        <v>;Bandit
;Keyword = Uvi_Wig_Distr_KYWD|EncBandit00Template
;Spell = No Spell for Hairstyle|EncBandit00Template</v>
      </c>
    </row>
    <row r="177" ht="12.75" customHeight="1">
      <c r="A177" s="5" t="s">
        <v>1891</v>
      </c>
      <c r="B177" s="5" t="s">
        <v>1892</v>
      </c>
      <c r="C177" s="5" t="s">
        <v>1893</v>
      </c>
      <c r="D177" s="5" t="s">
        <v>38</v>
      </c>
      <c r="E177" s="5" t="s">
        <v>233</v>
      </c>
      <c r="F177" s="5" t="s">
        <v>1894</v>
      </c>
      <c r="G177" s="14" t="str">
        <f t="array" ref="G177">IF(B177="", "",
  LET(_xlpm.spell, IFERROR(IF(F177="", "", INDEX(_xlws.FILTER(Hairstyles!$F:$F, ISNUMBER(SEARCH(F177, Hairstyles!$B:$B))), 1)), "No Spell for Hairstyle"),
  _xlpm.vanillaPrefix, IF(LEFT(_xlpm.spell, 7)="Uvi_Wig", "", ";"),
  ";" &amp; IF(C177="", B177, C177) &amp; IF(M177="", "", " ("&amp;M177&amp;")") &amp; CHAR(10) &amp;
  _xlpm.vanillaPrefix &amp; "Keyword = Uvi_Wig_Distr_KYWD|" &amp; B177 &amp; CHAR(10) &amp;
  _xlpm.vanillaPrefix &amp; "Spell = " &amp; _xlpm.spell &amp; "|" &amp; B177
  )
)</f>
        <v>;Bandit Highwayman
;Keyword = Uvi_Wig_Distr_KYWD|EncBandit04TemplateMagic
;Spell = No Spell for Hairstyle|EncBandit04TemplateMagic</v>
      </c>
    </row>
    <row r="178" ht="12.75" customHeight="1">
      <c r="A178" s="5" t="s">
        <v>1895</v>
      </c>
      <c r="B178" s="5" t="s">
        <v>1896</v>
      </c>
      <c r="C178" s="5" t="s">
        <v>1893</v>
      </c>
      <c r="D178" s="5" t="s">
        <v>38</v>
      </c>
      <c r="E178" s="5" t="s">
        <v>233</v>
      </c>
      <c r="F178" s="5" t="s">
        <v>1553</v>
      </c>
      <c r="G178" s="14" t="str">
        <f t="array" ref="G178">IF(B178="", "",
  LET(_xlpm.spell, IFERROR(IF(F178="", "", INDEX(_xlws.FILTER(Hairstyles!$F:$F, ISNUMBER(SEARCH(F178, Hairstyles!$B:$B))), 1)), "No Spell for Hairstyle"),
  _xlpm.vanillaPrefix, IF(LEFT(_xlpm.spell, 7)="Uvi_Wig", "", ";"),
  ";" &amp; IF(C178="", B178, C178) &amp; IF(M178="", "", " ("&amp;M178&amp;")") &amp; CHAR(10) &amp;
  _xlpm.vanillaPrefix &amp; "Keyword = Uvi_Wig_Distr_KYWD|" &amp; B178 &amp; CHAR(10) &amp;
  _xlpm.vanillaPrefix &amp; "Spell = " &amp; _xlpm.spell &amp; "|" &amp; B178
  )
)</f>
        <v>;Bandit Highwayman
;Keyword = Uvi_Wig_Distr_KYWD|EncBandit04TemplateMelee
;Spell = No Spell for Hairstyle|EncBandit04TemplateMelee</v>
      </c>
    </row>
    <row r="179" ht="12.75" customHeight="1">
      <c r="A179" s="5" t="s">
        <v>1897</v>
      </c>
      <c r="B179" s="5" t="s">
        <v>1898</v>
      </c>
      <c r="C179" s="5" t="s">
        <v>1893</v>
      </c>
      <c r="D179" s="5" t="s">
        <v>38</v>
      </c>
      <c r="E179" s="5" t="s">
        <v>233</v>
      </c>
      <c r="F179" s="5" t="s">
        <v>762</v>
      </c>
      <c r="G179" s="14" t="str">
        <f t="array" ref="G179">IF(B179="", "",
  LET(_xlpm.spell, IFERROR(IF(F179="", "", INDEX(_xlws.FILTER(Hairstyles!$F:$F, ISNUMBER(SEARCH(F179, Hairstyles!$B:$B))), 1)), "No Spell for Hairstyle"),
  _xlpm.vanillaPrefix, IF(LEFT(_xlpm.spell, 7)="Uvi_Wig", "", ";"),
  ";" &amp; IF(C179="", B179, C179) &amp; IF(M179="", "", " ("&amp;M179&amp;")") &amp; CHAR(10) &amp;
  _xlpm.vanillaPrefix &amp; "Keyword = Uvi_Wig_Distr_KYWD|" &amp; B179 &amp; CHAR(10) &amp;
  _xlpm.vanillaPrefix &amp; "Spell = " &amp; _xlpm.spell &amp; "|" &amp; B179
  )
)</f>
        <v>;Bandit Highwayman
;Keyword = Uvi_Wig_Distr_KYWD|EncBandit04TemplateMissile
;Spell = No Spell for Hairstyle|EncBandit04TemplateMissile</v>
      </c>
    </row>
    <row r="180" ht="12.75" customHeight="1">
      <c r="A180" s="5" t="s">
        <v>1899</v>
      </c>
      <c r="B180" s="5" t="s">
        <v>1900</v>
      </c>
      <c r="C180" s="5" t="s">
        <v>1901</v>
      </c>
      <c r="D180" s="5" t="s">
        <v>38</v>
      </c>
      <c r="E180" s="5" t="s">
        <v>233</v>
      </c>
      <c r="F180" s="5" t="s">
        <v>990</v>
      </c>
      <c r="G180" s="14" t="str">
        <f t="array" ref="G180">IF(B180="", "",
  LET(_xlpm.spell, IFERROR(IF(F180="", "", INDEX(_xlws.FILTER(Hairstyles!$F:$F, ISNUMBER(SEARCH(F180, Hairstyles!$B:$B))), 1)), "No Spell for Hairstyle"),
  _xlpm.vanillaPrefix, IF(LEFT(_xlpm.spell, 7)="Uvi_Wig", "", ";"),
  ";" &amp; IF(C180="", B180, C180) &amp; IF(M180="", "", " ("&amp;M180&amp;")") &amp; CHAR(10) &amp;
  _xlpm.vanillaPrefix &amp; "Keyword = Uvi_Wig_Distr_KYWD|" &amp; B180 &amp; CHAR(10) &amp;
  _xlpm.vanillaPrefix &amp; "Spell = " &amp; _xlpm.spell &amp; "|" &amp; B180
  )
)</f>
        <v>;Bandit Marauder
;Keyword = Uvi_Wig_Distr_KYWD|EncBandit06TemplateMagic
;Spell = No Spell for Hairstyle|EncBandit06TemplateMagic</v>
      </c>
    </row>
    <row r="181" ht="12.75" customHeight="1">
      <c r="A181" s="5" t="s">
        <v>1902</v>
      </c>
      <c r="B181" s="5" t="s">
        <v>1903</v>
      </c>
      <c r="C181" s="5" t="s">
        <v>1901</v>
      </c>
      <c r="D181" s="5" t="s">
        <v>38</v>
      </c>
      <c r="E181" s="5" t="s">
        <v>233</v>
      </c>
      <c r="F181" s="5" t="s">
        <v>68</v>
      </c>
      <c r="G181" s="14" t="str">
        <f t="array" ref="G181">IF(B181="", "",
  LET(_xlpm.spell, IFERROR(IF(F181="", "", INDEX(_xlws.FILTER(Hairstyles!$F:$F, ISNUMBER(SEARCH(F181, Hairstyles!$B:$B))), 1)), "No Spell for Hairstyle"),
  _xlpm.vanillaPrefix, IF(LEFT(_xlpm.spell, 7)="Uvi_Wig", "", ";"),
  ";" &amp; IF(C181="", B181, C181) &amp; IF(M181="", "", " ("&amp;M181&amp;")") &amp; CHAR(10) &amp;
  _xlpm.vanillaPrefix &amp; "Keyword = Uvi_Wig_Distr_KYWD|" &amp; B181 &amp; CHAR(10) &amp;
  _xlpm.vanillaPrefix &amp; "Spell = " &amp; _xlpm.spell &amp; "|" &amp; B181
  )
)</f>
        <v>;Bandit Marauder
;Keyword = Uvi_Wig_Distr_KYWD|EncBandit06TemplateMelee
;Spell = No Spell for Hairstyle|EncBandit06TemplateMelee</v>
      </c>
    </row>
    <row r="182" ht="12.75" customHeight="1">
      <c r="A182" s="5" t="s">
        <v>1904</v>
      </c>
      <c r="B182" s="5" t="s">
        <v>1905</v>
      </c>
      <c r="C182" s="5" t="s">
        <v>1901</v>
      </c>
      <c r="D182" s="5" t="s">
        <v>38</v>
      </c>
      <c r="E182" s="5" t="s">
        <v>233</v>
      </c>
      <c r="F182" s="5" t="s">
        <v>1906</v>
      </c>
      <c r="G182" s="14" t="str">
        <f t="array" ref="G182">IF(B182="", "",
  LET(_xlpm.spell, IFERROR(IF(F182="", "", INDEX(_xlws.FILTER(Hairstyles!$F:$F, ISNUMBER(SEARCH(F182, Hairstyles!$B:$B))), 1)), "No Spell for Hairstyle"),
  _xlpm.vanillaPrefix, IF(LEFT(_xlpm.spell, 7)="Uvi_Wig", "", ";"),
  ";" &amp; IF(C182="", B182, C182) &amp; IF(M182="", "", " ("&amp;M182&amp;")") &amp; CHAR(10) &amp;
  _xlpm.vanillaPrefix &amp; "Keyword = Uvi_Wig_Distr_KYWD|" &amp; B182 &amp; CHAR(10) &amp;
  _xlpm.vanillaPrefix &amp; "Spell = " &amp; _xlpm.spell &amp; "|" &amp; B182
  )
)</f>
        <v>;Bandit Marauder
;Keyword = Uvi_Wig_Distr_KYWD|EncBandit06TemplateMissile
;Spell = No Spell for Hairstyle|EncBandit06TemplateMissile</v>
      </c>
    </row>
    <row r="183" ht="12.75" customHeight="1">
      <c r="A183" s="5" t="s">
        <v>1907</v>
      </c>
      <c r="B183" s="5" t="s">
        <v>1908</v>
      </c>
      <c r="C183" s="5" t="s">
        <v>1909</v>
      </c>
      <c r="D183" s="5" t="s">
        <v>38</v>
      </c>
      <c r="E183" s="5" t="s">
        <v>233</v>
      </c>
      <c r="F183" s="5" t="s">
        <v>1906</v>
      </c>
      <c r="G183" s="14" t="str">
        <f t="array" ref="G183">IF(B183="", "",
  LET(_xlpm.spell, IFERROR(IF(F183="", "", INDEX(_xlws.FILTER(Hairstyles!$F:$F, ISNUMBER(SEARCH(F183, Hairstyles!$B:$B))), 1)), "No Spell for Hairstyle"),
  _xlpm.vanillaPrefix, IF(LEFT(_xlpm.spell, 7)="Uvi_Wig", "", ";"),
  ";" &amp; IF(C183="", B183, C183) &amp; IF(M183="", "", " ("&amp;M183&amp;")") &amp; CHAR(10) &amp;
  _xlpm.vanillaPrefix &amp; "Keyword = Uvi_Wig_Distr_KYWD|" &amp; B183 &amp; CHAR(10) &amp;
  _xlpm.vanillaPrefix &amp; "Spell = " &amp; _xlpm.spell &amp; "|" &amp; B183
  )
)</f>
        <v>;Bandit Outlaw
;Keyword = Uvi_Wig_Distr_KYWD|EncBandit02TemplateMagic
;Spell = No Spell for Hairstyle|EncBandit02TemplateMagic</v>
      </c>
    </row>
    <row r="184" ht="12.75" customHeight="1">
      <c r="A184" s="5" t="s">
        <v>1910</v>
      </c>
      <c r="B184" s="5" t="s">
        <v>1911</v>
      </c>
      <c r="C184" s="5" t="s">
        <v>1909</v>
      </c>
      <c r="D184" s="5" t="s">
        <v>38</v>
      </c>
      <c r="E184" s="5" t="s">
        <v>233</v>
      </c>
      <c r="F184" s="5" t="s">
        <v>475</v>
      </c>
      <c r="G184" s="14" t="str">
        <f t="array" ref="G184">IF(B184="", "",
  LET(_xlpm.spell, IFERROR(IF(F184="", "", INDEX(_xlws.FILTER(Hairstyles!$F:$F, ISNUMBER(SEARCH(F184, Hairstyles!$B:$B))), 1)), "No Spell for Hairstyle"),
  _xlpm.vanillaPrefix, IF(LEFT(_xlpm.spell, 7)="Uvi_Wig", "", ";"),
  ";" &amp; IF(C184="", B184, C184) &amp; IF(M184="", "", " ("&amp;M184&amp;")") &amp; CHAR(10) &amp;
  _xlpm.vanillaPrefix &amp; "Keyword = Uvi_Wig_Distr_KYWD|" &amp; B184 &amp; CHAR(10) &amp;
  _xlpm.vanillaPrefix &amp; "Spell = " &amp; _xlpm.spell &amp; "|" &amp; B184
  )
)</f>
        <v>;Bandit Outlaw
;Keyword = Uvi_Wig_Distr_KYWD|EncBandit02TemplateMelee
;Spell = No Spell for Hairstyle|EncBandit02TemplateMelee</v>
      </c>
    </row>
    <row r="185" ht="12.75" customHeight="1">
      <c r="A185" s="5" t="s">
        <v>1912</v>
      </c>
      <c r="B185" s="5" t="s">
        <v>1913</v>
      </c>
      <c r="C185" s="5" t="s">
        <v>1909</v>
      </c>
      <c r="D185" s="5" t="s">
        <v>38</v>
      </c>
      <c r="E185" s="5" t="s">
        <v>233</v>
      </c>
      <c r="F185" s="5" t="s">
        <v>762</v>
      </c>
      <c r="G185" s="14" t="str">
        <f t="array" ref="G185">IF(B185="", "",
  LET(_xlpm.spell, IFERROR(IF(F185="", "", INDEX(_xlws.FILTER(Hairstyles!$F:$F, ISNUMBER(SEARCH(F185, Hairstyles!$B:$B))), 1)), "No Spell for Hairstyle"),
  _xlpm.vanillaPrefix, IF(LEFT(_xlpm.spell, 7)="Uvi_Wig", "", ";"),
  ";" &amp; IF(C185="", B185, C185) &amp; IF(M185="", "", " ("&amp;M185&amp;")") &amp; CHAR(10) &amp;
  _xlpm.vanillaPrefix &amp; "Keyword = Uvi_Wig_Distr_KYWD|" &amp; B185 &amp; CHAR(10) &amp;
  _xlpm.vanillaPrefix &amp; "Spell = " &amp; _xlpm.spell &amp; "|" &amp; B185
  )
)</f>
        <v>;Bandit Outlaw
;Keyword = Uvi_Wig_Distr_KYWD|EncBandit02TemplateMissile
;Spell = No Spell for Hairstyle|EncBandit02TemplateMissile</v>
      </c>
    </row>
    <row r="186" ht="12.75" customHeight="1">
      <c r="A186" s="5" t="s">
        <v>1914</v>
      </c>
      <c r="B186" s="5" t="s">
        <v>1915</v>
      </c>
      <c r="C186" s="5" t="s">
        <v>1916</v>
      </c>
      <c r="D186" s="5" t="s">
        <v>38</v>
      </c>
      <c r="E186" s="5" t="s">
        <v>233</v>
      </c>
      <c r="F186" s="5" t="s">
        <v>1906</v>
      </c>
      <c r="G186" s="14" t="str">
        <f t="array" ref="G186">IF(B186="", "",
  LET(_xlpm.spell, IFERROR(IF(F186="", "", INDEX(_xlws.FILTER(Hairstyles!$F:$F, ISNUMBER(SEARCH(F186, Hairstyles!$B:$B))), 1)), "No Spell for Hairstyle"),
  _xlpm.vanillaPrefix, IF(LEFT(_xlpm.spell, 7)="Uvi_Wig", "", ";"),
  ";" &amp; IF(C186="", B186, C186) &amp; IF(M186="", "", " ("&amp;M186&amp;")") &amp; CHAR(10) &amp;
  _xlpm.vanillaPrefix &amp; "Keyword = Uvi_Wig_Distr_KYWD|" &amp; B186 &amp; CHAR(10) &amp;
  _xlpm.vanillaPrefix &amp; "Spell = " &amp; _xlpm.spell &amp; "|" &amp; B186
  )
)</f>
        <v>;Bandit Plunderer
;Keyword = Uvi_Wig_Distr_KYWD|EncBandit05TemplateMagic
;Spell = No Spell for Hairstyle|EncBandit05TemplateMagic</v>
      </c>
    </row>
    <row r="187" ht="12.75" customHeight="1">
      <c r="A187" s="5" t="s">
        <v>1917</v>
      </c>
      <c r="B187" s="5" t="s">
        <v>1918</v>
      </c>
      <c r="C187" s="5" t="s">
        <v>1916</v>
      </c>
      <c r="D187" s="5" t="s">
        <v>38</v>
      </c>
      <c r="E187" s="5" t="s">
        <v>233</v>
      </c>
      <c r="F187" s="5" t="s">
        <v>1919</v>
      </c>
      <c r="G187" s="14" t="str">
        <f t="array" ref="G187">IF(B187="", "",
  LET(_xlpm.spell, IFERROR(IF(F187="", "", INDEX(_xlws.FILTER(Hairstyles!$F:$F, ISNUMBER(SEARCH(F187, Hairstyles!$B:$B))), 1)), "No Spell for Hairstyle"),
  _xlpm.vanillaPrefix, IF(LEFT(_xlpm.spell, 7)="Uvi_Wig", "", ";"),
  ";" &amp; IF(C187="", B187, C187) &amp; IF(M187="", "", " ("&amp;M187&amp;")") &amp; CHAR(10) &amp;
  _xlpm.vanillaPrefix &amp; "Keyword = Uvi_Wig_Distr_KYWD|" &amp; B187 &amp; CHAR(10) &amp;
  _xlpm.vanillaPrefix &amp; "Spell = " &amp; _xlpm.spell &amp; "|" &amp; B187
  )
)</f>
        <v>;Bandit Plunderer
;Keyword = Uvi_Wig_Distr_KYWD|EncBandit05TemplateMelee
;Spell = No Spell for Hairstyle|EncBandit05TemplateMelee</v>
      </c>
    </row>
    <row r="188" ht="12.75" customHeight="1">
      <c r="A188" s="5" t="s">
        <v>1920</v>
      </c>
      <c r="B188" s="5" t="s">
        <v>1921</v>
      </c>
      <c r="C188" s="5" t="s">
        <v>1916</v>
      </c>
      <c r="D188" s="5" t="s">
        <v>38</v>
      </c>
      <c r="E188" s="5" t="s">
        <v>233</v>
      </c>
      <c r="F188" s="5" t="s">
        <v>215</v>
      </c>
      <c r="G188" s="14" t="str">
        <f t="array" ref="G188">IF(B188="", "",
  LET(_xlpm.spell, IFERROR(IF(F188="", "", INDEX(_xlws.FILTER(Hairstyles!$F:$F, ISNUMBER(SEARCH(F188, Hairstyles!$B:$B))), 1)), "No Spell for Hairstyle"),
  _xlpm.vanillaPrefix, IF(LEFT(_xlpm.spell, 7)="Uvi_Wig", "", ";"),
  ";" &amp; IF(C188="", B188, C188) &amp; IF(M188="", "", " ("&amp;M188&amp;")") &amp; CHAR(10) &amp;
  _xlpm.vanillaPrefix &amp; "Keyword = Uvi_Wig_Distr_KYWD|" &amp; B188 &amp; CHAR(10) &amp;
  _xlpm.vanillaPrefix &amp; "Spell = " &amp; _xlpm.spell &amp; "|" &amp; B188
  )
)</f>
        <v>;Bandit Plunderer
;Keyword = Uvi_Wig_Distr_KYWD|EncBandit05TemplateMissile
;Spell = No Spell for Hairstyle|EncBandit05TemplateMissile</v>
      </c>
    </row>
    <row r="189" ht="12.75" customHeight="1">
      <c r="A189" s="5" t="s">
        <v>1922</v>
      </c>
      <c r="B189" s="5" t="s">
        <v>1923</v>
      </c>
      <c r="C189" s="5" t="s">
        <v>1924</v>
      </c>
      <c r="D189" s="5" t="s">
        <v>38</v>
      </c>
      <c r="E189" s="5" t="s">
        <v>233</v>
      </c>
      <c r="F189" s="5" t="s">
        <v>1622</v>
      </c>
      <c r="G189" s="14" t="str">
        <f t="array" ref="G189">IF(B189="", "",
  LET(_xlpm.spell, IFERROR(IF(F189="", "", INDEX(_xlws.FILTER(Hairstyles!$F:$F, ISNUMBER(SEARCH(F189, Hairstyles!$B:$B))), 1)), "No Spell for Hairstyle"),
  _xlpm.vanillaPrefix, IF(LEFT(_xlpm.spell, 7)="Uvi_Wig", "", ";"),
  ";" &amp; IF(C189="", B189, C189) &amp; IF(M189="", "", " ("&amp;M189&amp;")") &amp; CHAR(10) &amp;
  _xlpm.vanillaPrefix &amp; "Keyword = Uvi_Wig_Distr_KYWD|" &amp; B189 &amp; CHAR(10) &amp;
  _xlpm.vanillaPrefix &amp; "Spell = " &amp; _xlpm.spell &amp; "|" &amp; B189
  )
)</f>
        <v>;Bandit Thug
;Keyword = Uvi_Wig_Distr_KYWD|EncBandit03TemplateMagic
;Spell = No Spell for Hairstyle|EncBandit03TemplateMagic</v>
      </c>
    </row>
    <row r="190" ht="12.75" customHeight="1">
      <c r="A190" s="5" t="s">
        <v>1925</v>
      </c>
      <c r="B190" s="5" t="s">
        <v>1926</v>
      </c>
      <c r="C190" s="5" t="s">
        <v>1924</v>
      </c>
      <c r="D190" s="5" t="s">
        <v>38</v>
      </c>
      <c r="E190" s="5" t="s">
        <v>233</v>
      </c>
      <c r="F190" s="5" t="s">
        <v>1700</v>
      </c>
      <c r="G190" s="14" t="str">
        <f t="array" ref="G190">IF(B190="", "",
  LET(_xlpm.spell, IFERROR(IF(F190="", "", INDEX(_xlws.FILTER(Hairstyles!$F:$F, ISNUMBER(SEARCH(F190, Hairstyles!$B:$B))), 1)), "No Spell for Hairstyle"),
  _xlpm.vanillaPrefix, IF(LEFT(_xlpm.spell, 7)="Uvi_Wig", "", ";"),
  ";" &amp; IF(C190="", B190, C190) &amp; IF(M190="", "", " ("&amp;M190&amp;")") &amp; CHAR(10) &amp;
  _xlpm.vanillaPrefix &amp; "Keyword = Uvi_Wig_Distr_KYWD|" &amp; B190 &amp; CHAR(10) &amp;
  _xlpm.vanillaPrefix &amp; "Spell = " &amp; _xlpm.spell &amp; "|" &amp; B190
  )
)</f>
        <v>;Bandit Thug
;Keyword = Uvi_Wig_Distr_KYWD|EncBandit03TemplateMelee
;Spell = No Spell for Hairstyle|EncBandit03TemplateMelee</v>
      </c>
    </row>
    <row r="191" ht="12.75" customHeight="1">
      <c r="A191" s="5" t="s">
        <v>1927</v>
      </c>
      <c r="B191" s="5" t="s">
        <v>1928</v>
      </c>
      <c r="C191" s="5" t="s">
        <v>1924</v>
      </c>
      <c r="D191" s="5" t="s">
        <v>38</v>
      </c>
      <c r="E191" s="5" t="s">
        <v>233</v>
      </c>
      <c r="F191" s="5" t="s">
        <v>990</v>
      </c>
      <c r="G191" s="14" t="str">
        <f t="array" ref="G191">IF(B191="", "",
  LET(_xlpm.spell, IFERROR(IF(F191="", "", INDEX(_xlws.FILTER(Hairstyles!$F:$F, ISNUMBER(SEARCH(F191, Hairstyles!$B:$B))), 1)), "No Spell for Hairstyle"),
  _xlpm.vanillaPrefix, IF(LEFT(_xlpm.spell, 7)="Uvi_Wig", "", ";"),
  ";" &amp; IF(C191="", B191, C191) &amp; IF(M191="", "", " ("&amp;M191&amp;")") &amp; CHAR(10) &amp;
  _xlpm.vanillaPrefix &amp; "Keyword = Uvi_Wig_Distr_KYWD|" &amp; B191 &amp; CHAR(10) &amp;
  _xlpm.vanillaPrefix &amp; "Spell = " &amp; _xlpm.spell &amp; "|" &amp; B191
  )
)</f>
        <v>;Bandit Thug
;Keyword = Uvi_Wig_Distr_KYWD|EncBandit03TemplateMissile
;Spell = No Spell for Hairstyle|EncBandit03TemplateMissile</v>
      </c>
    </row>
    <row r="192" ht="12.75" customHeight="1">
      <c r="A192" s="5" t="s">
        <v>1929</v>
      </c>
      <c r="B192" s="5" t="s">
        <v>1930</v>
      </c>
      <c r="C192" s="5" t="s">
        <v>1930</v>
      </c>
      <c r="D192" s="5" t="s">
        <v>16</v>
      </c>
      <c r="E192" s="5" t="s">
        <v>233</v>
      </c>
      <c r="F192" s="5" t="s">
        <v>1906</v>
      </c>
      <c r="G192" s="14" t="str">
        <f t="array" ref="G192">IF(B192="", "",
  LET(_xlpm.spell, IFERROR(IF(F192="", "", INDEX(_xlws.FILTER(Hairstyles!$F:$F, ISNUMBER(SEARCH(F192, Hairstyles!$B:$B))), 1)), "No Spell for Hairstyle"),
  _xlpm.vanillaPrefix, IF(LEFT(_xlpm.spell, 7)="Uvi_Wig", "", ";"),
  ";" &amp; IF(C192="", B192, C192) &amp; IF(M192="", "", " ("&amp;M192&amp;")") &amp; CHAR(10) &amp;
  _xlpm.vanillaPrefix &amp; "Keyword = Uvi_Wig_Distr_KYWD|" &amp; B192 &amp; CHAR(10) &amp;
  _xlpm.vanillaPrefix &amp; "Spell = " &amp; _xlpm.spell &amp; "|" &amp; B192
  )
)</f>
        <v>;Banning
;Keyword = Uvi_Wig_Distr_KYWD|Banning
;Spell = No Spell for Hairstyle|Banning</v>
      </c>
    </row>
    <row r="193" ht="12.75" customHeight="1">
      <c r="A193" s="5" t="s">
        <v>1931</v>
      </c>
      <c r="B193" s="5" t="s">
        <v>1932</v>
      </c>
      <c r="C193" s="5" t="s">
        <v>1933</v>
      </c>
      <c r="D193" s="5" t="s">
        <v>83</v>
      </c>
      <c r="E193" s="5" t="s">
        <v>233</v>
      </c>
      <c r="F193" s="5" t="s">
        <v>762</v>
      </c>
      <c r="G193" s="14" t="str">
        <f t="array" ref="G193">IF(B193="", "",
  LET(_xlpm.spell, IFERROR(IF(F193="", "", INDEX(_xlws.FILTER(Hairstyles!$F:$F, ISNUMBER(SEARCH(F193, Hairstyles!$B:$B))), 1)), "No Spell for Hairstyle"),
  _xlpm.vanillaPrefix, IF(LEFT(_xlpm.spell, 7)="Uvi_Wig", "", ";"),
  ";" &amp; IF(C193="", B193, C193) &amp; IF(M193="", "", " ("&amp;M193&amp;")") &amp; CHAR(10) &amp;
  _xlpm.vanillaPrefix &amp; "Keyword = Uvi_Wig_Distr_KYWD|" &amp; B193 &amp; CHAR(10) &amp;
  _xlpm.vanillaPrefix &amp; "Spell = " &amp; _xlpm.spell &amp; "|" &amp; B193
  )
)</f>
        <v>;Baral Sendu
;Keyword = Uvi_Wig_Distr_KYWD|dunFortDunstadBarkeepCorpse
;Spell = No Spell for Hairstyle|dunFortDunstadBarkeepCorpse</v>
      </c>
    </row>
    <row r="194" ht="12.75" customHeight="1">
      <c r="A194" s="5" t="s">
        <v>1934</v>
      </c>
      <c r="B194" s="5" t="s">
        <v>1935</v>
      </c>
      <c r="C194" s="5" t="s">
        <v>1936</v>
      </c>
      <c r="D194" s="5" t="s">
        <v>45</v>
      </c>
      <c r="E194" s="5" t="s">
        <v>233</v>
      </c>
      <c r="F194" s="5" t="s">
        <v>1937</v>
      </c>
      <c r="G194" s="14" t="str">
        <f t="array" ref="G194">IF(B194="", "",
  LET(_xlpm.spell, IFERROR(IF(F194="", "", INDEX(_xlws.FILTER(Hairstyles!$F:$F, ISNUMBER(SEARCH(F194, Hairstyles!$B:$B))), 1)), "No Spell for Hairstyle"),
  _xlpm.vanillaPrefix, IF(LEFT(_xlpm.spell, 7)="Uvi_Wig", "", ";"),
  ";" &amp; IF(C194="", B194, C194) &amp; IF(M194="", "", " ("&amp;M194&amp;")") &amp; CHAR(10) &amp;
  _xlpm.vanillaPrefix &amp; "Keyword = Uvi_Wig_Distr_KYWD|" &amp; B194 &amp; CHAR(10) &amp;
  _xlpm.vanillaPrefix &amp; "Spell = " &amp; _xlpm.spell &amp; "|" &amp; B194
  )
)</f>
        <v>;Barkeep
;Keyword = Uvi_Wig_Distr_KYWD|dunCragslaneBartender
;Spell = No Spell for Hairstyle|dunCragslaneBartender</v>
      </c>
    </row>
    <row r="195" ht="12.75" customHeight="1">
      <c r="A195" s="5" t="s">
        <v>1938</v>
      </c>
      <c r="B195" s="5" t="s">
        <v>1939</v>
      </c>
      <c r="C195" s="5" t="s">
        <v>1940</v>
      </c>
      <c r="D195" s="5" t="s">
        <v>38</v>
      </c>
      <c r="E195" s="5" t="s">
        <v>233</v>
      </c>
      <c r="F195" s="5" t="s">
        <v>68</v>
      </c>
      <c r="G195" s="14" t="str">
        <f t="array" ref="G195">IF(B195="", "",
  LET(_xlpm.spell, IFERROR(IF(F195="", "", INDEX(_xlws.FILTER(Hairstyles!$F:$F, ISNUMBER(SEARCH(F195, Hairstyles!$B:$B))), 1)), "No Spell for Hairstyle"),
  _xlpm.vanillaPrefix, IF(LEFT(_xlpm.spell, 7)="Uvi_Wig", "", ";"),
  ";" &amp; IF(C195="", B195, C195) &amp; IF(M195="", "", " ("&amp;M195&amp;")") &amp; CHAR(10) &amp;
  _xlpm.vanillaPrefix &amp; "Keyword = Uvi_Wig_Distr_KYWD|" &amp; B195 &amp; CHAR(10) &amp;
  _xlpm.vanillaPrefix &amp; "Spell = " &amp; _xlpm.spell &amp; "|" &amp; B195
  )
)</f>
        <v>;Barknar
;Keyword = Uvi_Wig_Distr_KYWD|DLC1RefugeeBarknar
;Spell = No Spell for Hairstyle|DLC1RefugeeBarknar</v>
      </c>
    </row>
    <row r="196" ht="12.75" customHeight="1">
      <c r="A196" s="5" t="s">
        <v>1941</v>
      </c>
      <c r="B196" s="5" t="s">
        <v>1942</v>
      </c>
      <c r="C196" s="5" t="s">
        <v>1940</v>
      </c>
      <c r="D196" s="5" t="s">
        <v>38</v>
      </c>
      <c r="E196" s="5" t="s">
        <v>233</v>
      </c>
      <c r="F196" s="5" t="s">
        <v>346</v>
      </c>
      <c r="G196" s="14" t="str">
        <f t="array" ref="G196">IF(B196="", "",
  LET(_xlpm.spell, IFERROR(IF(F196="", "", INDEX(_xlws.FILTER(Hairstyles!$F:$F, ISNUMBER(SEARCH(F196, Hairstyles!$B:$B))), 1)), "No Spell for Hairstyle"),
  _xlpm.vanillaPrefix, IF(LEFT(_xlpm.spell, 7)="Uvi_Wig", "", ";"),
  ";" &amp; IF(C196="", B196, C196) &amp; IF(M196="", "", " ("&amp;M196&amp;")") &amp; CHAR(10) &amp;
  _xlpm.vanillaPrefix &amp; "Keyword = Uvi_Wig_Distr_KYWD|" &amp; B196 &amp; CHAR(10) &amp;
  _xlpm.vanillaPrefix &amp; "Spell = " &amp; _xlpm.spell &amp; "|" &amp; B196
  )
)</f>
        <v>;Barknar
;Keyword = Uvi_Wig_Distr_KYWD|HHpilgrim01
;Spell = No Spell for Hairstyle|HHpilgrim01</v>
      </c>
    </row>
    <row r="197" ht="12.75" customHeight="1">
      <c r="A197" s="5" t="s">
        <v>1943</v>
      </c>
      <c r="B197" s="5" t="s">
        <v>1944</v>
      </c>
      <c r="C197" s="5" t="s">
        <v>1945</v>
      </c>
      <c r="D197" s="5" t="s">
        <v>38</v>
      </c>
      <c r="E197" s="5" t="s">
        <v>233</v>
      </c>
      <c r="F197" s="5" t="s">
        <v>1566</v>
      </c>
      <c r="G197" s="14" t="str">
        <f t="array" ref="G197">IF(B197="", "",
  LET(_xlpm.spell, IFERROR(IF(F197="", "", INDEX(_xlws.FILTER(Hairstyles!$F:$F, ISNUMBER(SEARCH(F197, Hairstyles!$B:$B))), 1)), "No Spell for Hairstyle"),
  _xlpm.vanillaPrefix, IF(LEFT(_xlpm.spell, 7)="Uvi_Wig", "", ";"),
  ";" &amp; IF(C197="", B197, C197) &amp; IF(M197="", "", " ("&amp;M197&amp;")") &amp; CHAR(10) &amp;
  _xlpm.vanillaPrefix &amp; "Keyword = Uvi_Wig_Distr_KYWD|" &amp; B197 &amp; CHAR(10) &amp;
  _xlpm.vanillaPrefix &amp; "Spell = " &amp; _xlpm.spell &amp; "|" &amp; B197
  )
)</f>
        <v>;Bassianus Axius
;Keyword = Uvi_Wig_Distr_KYWD|BassianusAxius
;Spell = No Spell for Hairstyle|BassianusAxius</v>
      </c>
    </row>
    <row r="198" ht="12.75" customHeight="1">
      <c r="A198" s="5" t="s">
        <v>1946</v>
      </c>
      <c r="B198" s="5" t="s">
        <v>1947</v>
      </c>
      <c r="C198" s="5" t="s">
        <v>1948</v>
      </c>
      <c r="D198" s="5" t="s">
        <v>80</v>
      </c>
      <c r="E198" s="5" t="s">
        <v>41</v>
      </c>
      <c r="F198" s="5" t="s">
        <v>522</v>
      </c>
      <c r="G198" s="14" t="str">
        <f t="array" ref="G198">IF(B198="", "",
  LET(_xlpm.spell, IFERROR(IF(F198="", "", INDEX(_xlws.FILTER(Hairstyles!$F:$F, ISNUMBER(SEARCH(F198, Hairstyles!$B:$B))), 1)), "No Spell for Hairstyle"),
  _xlpm.vanillaPrefix, IF(LEFT(_xlpm.spell, 7)="Uvi_Wig", "", ";"),
  ";" &amp; IF(C198="", B198, C198) &amp; IF(M198="", "", " ("&amp;M198&amp;")") &amp; CHAR(10) &amp;
  _xlpm.vanillaPrefix &amp; "Keyword = Uvi_Wig_Distr_KYWD|" &amp; B198 &amp; CHAR(10) &amp;
  _xlpm.vanillaPrefix &amp; "Spell = " &amp; _xlpm.spell &amp; "|" &amp; B198
  )
)</f>
        <v>;Batum gra-Bar
;Keyword = Uvi_Wig_Distr_KYWD|DA05Hunter16_01DeadMissile_Batum
;Spell = No Spell for Hairstyle|DA05Hunter16_01DeadMissile_Batum</v>
      </c>
    </row>
    <row r="199" ht="12.75" customHeight="1">
      <c r="A199" s="5" t="s">
        <v>1949</v>
      </c>
      <c r="B199" s="5" t="s">
        <v>1950</v>
      </c>
      <c r="C199" s="5" t="s">
        <v>1951</v>
      </c>
      <c r="D199" s="5" t="s">
        <v>38</v>
      </c>
      <c r="E199" s="5" t="s">
        <v>41</v>
      </c>
      <c r="F199" s="5" t="s">
        <v>22</v>
      </c>
      <c r="G199" s="14" t="str">
        <f t="array" ref="G199">IF(B199="", "",
  LET(_xlpm.spell, IFERROR(IF(F199="", "", INDEX(_xlws.FILTER(Hairstyles!$F:$F, ISNUMBER(SEARCH(F199, Hairstyles!$B:$B))), 1)), "No Spell for Hairstyle"),
  _xlpm.vanillaPrefix, IF(LEFT(_xlpm.spell, 7)="Uvi_Wig", "", ";"),
  ";" &amp; IF(C199="", B199, C199) &amp; IF(M199="", "", " ("&amp;M199&amp;")") &amp; CHAR(10) &amp;
  _xlpm.vanillaPrefix &amp; "Keyword = Uvi_Wig_Distr_KYWD|" &amp; B199 &amp; CHAR(10) &amp;
  _xlpm.vanillaPrefix &amp; "Spell = " &amp; _xlpm.spell &amp; "|" &amp; B199
  )
)</f>
        <v>;Beautiful Barbarian
;Keyword = Uvi_Wig_Distr_KYWD|DBRecurringTarget10GraniteHill
;Spell = No Spell for Hairstyle|DBRecurringTarget10GraniteHill</v>
      </c>
    </row>
    <row r="200" ht="12.75" customHeight="1">
      <c r="A200" s="5" t="s">
        <v>1952</v>
      </c>
      <c r="B200" s="5" t="s">
        <v>1953</v>
      </c>
      <c r="C200" s="5" t="s">
        <v>1954</v>
      </c>
      <c r="D200" s="5" t="s">
        <v>10</v>
      </c>
      <c r="E200" s="5" t="s">
        <v>233</v>
      </c>
      <c r="F200" s="5" t="s">
        <v>1955</v>
      </c>
      <c r="G200" s="14" t="str">
        <f t="array" ref="G200">IF(B200="", "",
  LET(_xlpm.spell, IFERROR(IF(F200="", "", INDEX(_xlws.FILTER(Hairstyles!$F:$F, ISNUMBER(SEARCH(F200, Hairstyles!$B:$B))), 1)), "No Spell for Hairstyle"),
  _xlpm.vanillaPrefix, IF(LEFT(_xlpm.spell, 7)="Uvi_Wig", "", ";"),
  ";" &amp; IF(C200="", B200, C200) &amp; IF(M200="", "", " ("&amp;M200&amp;")") &amp; CHAR(10) &amp;
  _xlpm.vanillaPrefix &amp; "Keyword = Uvi_Wig_Distr_KYWD|" &amp; B200 &amp; CHAR(10) &amp;
  _xlpm.vanillaPrefix &amp; "Spell = " &amp; _xlpm.spell &amp; "|" &amp; B200
  )
)</f>
        <v>;Beem-Ja
;Keyword = Uvi_Wig_Distr_KYWD|dunIronbindBeemJa
;Spell = No Spell for Hairstyle|dunIronbindBeemJa</v>
      </c>
    </row>
    <row r="201" ht="12.75" customHeight="1">
      <c r="A201" s="15" t="s">
        <v>1956</v>
      </c>
      <c r="B201" s="5" t="s">
        <v>1957</v>
      </c>
      <c r="C201" s="5" t="s">
        <v>1957</v>
      </c>
      <c r="D201" s="5" t="s">
        <v>38</v>
      </c>
      <c r="E201" s="5" t="s">
        <v>233</v>
      </c>
      <c r="F201" s="5" t="s">
        <v>218</v>
      </c>
      <c r="G201" s="14" t="str">
        <f t="array" ref="G201">IF(B201="", "",
  LET(_xlpm.spell, IFERROR(IF(F201="", "", INDEX(_xlws.FILTER(Hairstyles!$F:$F, ISNUMBER(SEARCH(F201, Hairstyles!$B:$B))), 1)), "No Spell for Hairstyle"),
  _xlpm.vanillaPrefix, IF(LEFT(_xlpm.spell, 7)="Uvi_Wig", "", ";"),
  ";" &amp; IF(C201="", B201, C201) &amp; IF(M201="", "", " ("&amp;M201&amp;")") &amp; CHAR(10) &amp;
  _xlpm.vanillaPrefix &amp; "Keyword = Uvi_Wig_Distr_KYWD|" &amp; B201 &amp; CHAR(10) &amp;
  _xlpm.vanillaPrefix &amp; "Spell = " &amp; _xlpm.spell &amp; "|" &amp; B201
  )
)</f>
        <v>;Beirand
;Keyword = Uvi_Wig_Distr_KYWD|Beirand
;Spell = No Spell for Hairstyle|Beirand</v>
      </c>
    </row>
    <row r="202" ht="12.75" customHeight="1">
      <c r="A202" s="15" t="s">
        <v>1958</v>
      </c>
      <c r="B202" s="5" t="s">
        <v>1959</v>
      </c>
      <c r="C202" s="5" t="s">
        <v>1959</v>
      </c>
      <c r="D202" s="5" t="s">
        <v>38</v>
      </c>
      <c r="E202" s="5" t="s">
        <v>41</v>
      </c>
      <c r="F202" s="5" t="s">
        <v>22</v>
      </c>
      <c r="G202" s="14" t="str">
        <f t="array" ref="G202">IF(B202="", "",
  LET(_xlpm.spell, IFERROR(IF(F202="", "", INDEX(_xlws.FILTER(Hairstyles!$F:$F, ISNUMBER(SEARCH(F202, Hairstyles!$B:$B))), 1)), "No Spell for Hairstyle"),
  _xlpm.vanillaPrefix, IF(LEFT(_xlpm.spell, 7)="Uvi_Wig", "", ";"),
  ";" &amp; IF(C202="", B202, C202) &amp; IF(M202="", "", " ("&amp;M202&amp;")") &amp; CHAR(10) &amp;
  _xlpm.vanillaPrefix &amp; "Keyword = Uvi_Wig_Distr_KYWD|" &amp; B202 &amp; CHAR(10) &amp;
  _xlpm.vanillaPrefix &amp; "Spell = " &amp; _xlpm.spell &amp; "|" &amp; B202
  )
)</f>
        <v>;Beitild
;Keyword = Uvi_Wig_Distr_KYWD|Beitild
;Spell = No Spell for Hairstyle|Beitild</v>
      </c>
    </row>
    <row r="203" ht="12.75" customHeight="1">
      <c r="A203" s="5" t="s">
        <v>1960</v>
      </c>
      <c r="B203" s="5" t="s">
        <v>1961</v>
      </c>
      <c r="C203" s="5" t="s">
        <v>1961</v>
      </c>
      <c r="D203" s="5" t="s">
        <v>16</v>
      </c>
      <c r="E203" s="5" t="s">
        <v>233</v>
      </c>
      <c r="F203" s="5" t="s">
        <v>762</v>
      </c>
      <c r="G203" s="14" t="str">
        <f t="array" ref="G203">IF(B203="", "",
  LET(_xlpm.spell, IFERROR(IF(F203="", "", INDEX(_xlws.FILTER(Hairstyles!$F:$F, ISNUMBER(SEARCH(F203, Hairstyles!$B:$B))), 1)), "No Spell for Hairstyle"),
  _xlpm.vanillaPrefix, IF(LEFT(_xlpm.spell, 7)="Uvi_Wig", "", ";"),
  ";" &amp; IF(C203="", B203, C203) &amp; IF(M203="", "", " ("&amp;M203&amp;")") &amp; CHAR(10) &amp;
  _xlpm.vanillaPrefix &amp; "Keyword = Uvi_Wig_Distr_KYWD|" &amp; B203 &amp; CHAR(10) &amp;
  _xlpm.vanillaPrefix &amp; "Spell = " &amp; _xlpm.spell &amp; "|" &amp; B203
  )
)</f>
        <v>;Belchimac
;Keyword = Uvi_Wig_Distr_KYWD|Belchimac
;Spell = No Spell for Hairstyle|Belchimac</v>
      </c>
    </row>
    <row r="204" ht="12.75" customHeight="1">
      <c r="A204" s="5" t="s">
        <v>1962</v>
      </c>
      <c r="B204" s="5" t="s">
        <v>1963</v>
      </c>
      <c r="C204" s="5" t="s">
        <v>1963</v>
      </c>
      <c r="D204" s="5" t="s">
        <v>16</v>
      </c>
      <c r="E204" s="5" t="s">
        <v>233</v>
      </c>
      <c r="F204" s="5" t="s">
        <v>990</v>
      </c>
      <c r="G204" s="14" t="str">
        <f t="array" ref="G204">IF(B204="", "",
  LET(_xlpm.spell, IFERROR(IF(F204="", "", INDEX(_xlws.FILTER(Hairstyles!$F:$F, ISNUMBER(SEARCH(F204, Hairstyles!$B:$B))), 1)), "No Spell for Hairstyle"),
  _xlpm.vanillaPrefix, IF(LEFT(_xlpm.spell, 7)="Uvi_Wig", "", ";"),
  ";" &amp; IF(C204="", B204, C204) &amp; IF(M204="", "", " ("&amp;M204&amp;")") &amp; CHAR(10) &amp;
  _xlpm.vanillaPrefix &amp; "Keyword = Uvi_Wig_Distr_KYWD|" &amp; B204 &amp; CHAR(10) &amp;
  _xlpm.vanillaPrefix &amp; "Spell = " &amp; _xlpm.spell &amp; "|" &amp; B204
  )
)</f>
        <v>;Belethor
;Keyword = Uvi_Wig_Distr_KYWD|Belethor
;Spell = No Spell for Hairstyle|Belethor</v>
      </c>
    </row>
    <row r="205" ht="12.75" customHeight="1">
      <c r="A205" s="5" t="s">
        <v>1964</v>
      </c>
      <c r="B205" s="5" t="s">
        <v>1965</v>
      </c>
      <c r="C205" s="5" t="s">
        <v>1966</v>
      </c>
      <c r="D205" s="5" t="s">
        <v>90</v>
      </c>
      <c r="E205" s="5" t="s">
        <v>41</v>
      </c>
      <c r="F205" s="5" t="s">
        <v>1967</v>
      </c>
      <c r="G205" s="14" t="str">
        <f t="array" ref="G205">IF(B205="", "",
  LET(_xlpm.spell, IFERROR(IF(F205="", "", INDEX(_xlws.FILTER(Hairstyles!$F:$F, ISNUMBER(SEARCH(F205, Hairstyles!$B:$B))), 1)), "No Spell for Hairstyle"),
  _xlpm.vanillaPrefix, IF(LEFT(_xlpm.spell, 7)="Uvi_Wig", "", ";"),
  ";" &amp; IF(C205="", B205, C205) &amp; IF(M205="", "", " ("&amp;M205&amp;")") &amp; CHAR(10) &amp;
  _xlpm.vanillaPrefix &amp; "Keyword = Uvi_Wig_Distr_KYWD|" &amp; B205 &amp; CHAR(10) &amp;
  _xlpm.vanillaPrefix &amp; "Spell = " &amp; _xlpm.spell &amp; "|" &amp; B205
  )
)</f>
        <v>;Beleval
;Keyword = Uvi_Wig_Distr_KYWD|DLC1Beleval
;Spell = No Spell for Hairstyle|DLC1Beleval</v>
      </c>
    </row>
    <row r="206" ht="12.75" customHeight="1">
      <c r="A206" s="5" t="s">
        <v>1968</v>
      </c>
      <c r="B206" s="5" t="s">
        <v>1969</v>
      </c>
      <c r="C206" s="5" t="s">
        <v>1970</v>
      </c>
      <c r="D206" s="5" t="s">
        <v>38</v>
      </c>
      <c r="E206" s="5" t="s">
        <v>233</v>
      </c>
      <c r="F206" s="5" t="s">
        <v>1700</v>
      </c>
      <c r="G206" s="14" t="str">
        <f t="array" ref="G206">IF(B206="", "",
  LET(_xlpm.spell, IFERROR(IF(F206="", "", INDEX(_xlws.FILTER(Hairstyles!$F:$F, ISNUMBER(SEARCH(F206, Hairstyles!$B:$B))), 1)), "No Spell for Hairstyle"),
  _xlpm.vanillaPrefix, IF(LEFT(_xlpm.spell, 7)="Uvi_Wig", "", ";"),
  ";" &amp; IF(C206="", B206, C206) &amp; IF(M206="", "", " ("&amp;M206&amp;")") &amp; CHAR(10) &amp;
  _xlpm.vanillaPrefix &amp; "Keyword = Uvi_Wig_Distr_KYWD|" &amp; B206 &amp; CHAR(10) &amp;
  _xlpm.vanillaPrefix &amp; "Spell = " &amp; _xlpm.spell &amp; "|" &amp; B206
  )
)</f>
        <v>;Belrand
;Keyword = Uvi_Wig_Distr_KYWD|HirelingBelrand
;Spell = No Spell for Hairstyle|HirelingBelrand</v>
      </c>
    </row>
    <row r="207" ht="12.75" customHeight="1">
      <c r="A207" s="15" t="s">
        <v>1971</v>
      </c>
      <c r="B207" s="5" t="s">
        <v>1972</v>
      </c>
      <c r="C207" s="5" t="s">
        <v>1973</v>
      </c>
      <c r="D207" s="5" t="s">
        <v>45</v>
      </c>
      <c r="E207" s="5" t="s">
        <v>233</v>
      </c>
      <c r="F207" s="5" t="s">
        <v>534</v>
      </c>
      <c r="G207" s="14" t="str">
        <f t="array" ref="G207">IF(B207="", "",
  LET(_xlpm.spell, IFERROR(IF(F207="", "", INDEX(_xlws.FILTER(Hairstyles!$F:$F, ISNUMBER(SEARCH(F207, Hairstyles!$B:$B))), 1)), "No Spell for Hairstyle"),
  _xlpm.vanillaPrefix, IF(LEFT(_xlpm.spell, 7)="Uvi_Wig", "", ";"),
  ";" &amp; IF(C207="", B207, C207) &amp; IF(M207="", "", " ("&amp;M207&amp;")") &amp; CHAR(10) &amp;
  _xlpm.vanillaPrefix &amp; "Keyword = Uvi_Wig_Distr_KYWD|" &amp; B207 &amp; CHAR(10) &amp;
  _xlpm.vanillaPrefix &amp; "Spell = " &amp; _xlpm.spell &amp; "|" &amp; B207
  )
)</f>
        <v>;Belyn Hlaalu
;Keyword = Uvi_Wig_Distr_KYWD|BelynHlaalu
;Spell = No Spell for Hairstyle|BelynHlaalu</v>
      </c>
    </row>
    <row r="208" ht="12.75" customHeight="1">
      <c r="A208" s="5" t="s">
        <v>1974</v>
      </c>
      <c r="B208" s="5" t="s">
        <v>1975</v>
      </c>
      <c r="C208" s="5" t="s">
        <v>1975</v>
      </c>
      <c r="D208" s="5" t="s">
        <v>51</v>
      </c>
      <c r="E208" s="5" t="s">
        <v>233</v>
      </c>
      <c r="F208" s="5" t="s">
        <v>1622</v>
      </c>
      <c r="G208" s="14" t="str">
        <f t="array" ref="G208">IF(B208="", "",
  LET(_xlpm.spell, IFERROR(IF(F208="", "", INDEX(_xlws.FILTER(Hairstyles!$F:$F, ISNUMBER(SEARCH(F208, Hairstyles!$B:$B))), 1)), "No Spell for Hairstyle"),
  _xlpm.vanillaPrefix, IF(LEFT(_xlpm.spell, 7)="Uvi_Wig", "", ";"),
  ";" &amp; IF(C208="", B208, C208) &amp; IF(M208="", "", " ("&amp;M208&amp;")") &amp; CHAR(10) &amp;
  _xlpm.vanillaPrefix &amp; "Keyword = Uvi_Wig_Distr_KYWD|" &amp; B208 &amp; CHAR(10) &amp;
  _xlpm.vanillaPrefix &amp; "Spell = " &amp; _xlpm.spell &amp; "|" &amp; B208
  )
)</f>
        <v>;Bendt
;Keyword = Uvi_Wig_Distr_KYWD|Bendt
;Spell = No Spell for Hairstyle|Bendt</v>
      </c>
    </row>
    <row r="209" ht="12.75" customHeight="1">
      <c r="A209" s="5" t="s">
        <v>1976</v>
      </c>
      <c r="B209" s="5" t="s">
        <v>1977</v>
      </c>
      <c r="C209" s="5" t="s">
        <v>1977</v>
      </c>
      <c r="D209" s="5" t="s">
        <v>38</v>
      </c>
      <c r="E209" s="5" t="s">
        <v>233</v>
      </c>
      <c r="F209" s="5" t="s">
        <v>990</v>
      </c>
      <c r="G209" s="14" t="str">
        <f t="array" ref="G209">IF(B209="", "",
  LET(_xlpm.spell, IFERROR(IF(F209="", "", INDEX(_xlws.FILTER(Hairstyles!$F:$F, ISNUMBER(SEARCH(F209, Hairstyles!$B:$B))), 1)), "No Spell for Hairstyle"),
  _xlpm.vanillaPrefix, IF(LEFT(_xlpm.spell, 7)="Uvi_Wig", "", ";"),
  ";" &amp; IF(C209="", B209, C209) &amp; IF(M209="", "", " ("&amp;M209&amp;")") &amp; CHAR(10) &amp;
  _xlpm.vanillaPrefix &amp; "Keyword = Uvi_Wig_Distr_KYWD|" &amp; B209 &amp; CHAR(10) &amp;
  _xlpm.vanillaPrefix &amp; "Spell = " &amp; _xlpm.spell &amp; "|" &amp; B209
  )
)</f>
        <v>;Benkum
;Keyword = Uvi_Wig_Distr_KYWD|Benkum
;Spell = No Spell for Hairstyle|Benkum</v>
      </c>
    </row>
    <row r="210" ht="12.75" customHeight="1">
      <c r="A210" s="15" t="s">
        <v>1978</v>
      </c>
      <c r="B210" s="5" t="s">
        <v>1979</v>
      </c>
      <c r="C210" s="5" t="s">
        <v>1977</v>
      </c>
      <c r="D210" s="5" t="s">
        <v>38</v>
      </c>
      <c r="E210" s="5" t="s">
        <v>233</v>
      </c>
      <c r="F210" s="5" t="s">
        <v>209</v>
      </c>
      <c r="G210" s="14" t="str">
        <f t="array" ref="G210">IF(B210="", "",
  LET(_xlpm.spell, IFERROR(IF(F210="", "", INDEX(_xlws.FILTER(Hairstyles!$F:$F, ISNUMBER(SEARCH(F210, Hairstyles!$B:$B))), 1)), "No Spell for Hairstyle"),
  _xlpm.vanillaPrefix, IF(LEFT(_xlpm.spell, 7)="Uvi_Wig", "", ";"),
  ";" &amp; IF(C210="", B210, C210) &amp; IF(M210="", "", " ("&amp;M210&amp;")") &amp; CHAR(10) &amp;
  _xlpm.vanillaPrefix &amp; "Keyword = Uvi_Wig_Distr_KYWD|" &amp; B210 &amp; CHAR(10) &amp;
  _xlpm.vanillaPrefix &amp; "Spell = " &amp; _xlpm.spell &amp; "|" &amp; B210
  )
)</f>
        <v>;Benkum
;Keyword = Uvi_Wig_Distr_KYWD|DLC2WaterStoneSailor2
;Spell = No Spell for Hairstyle|DLC2WaterStoneSailor2</v>
      </c>
    </row>
    <row r="211" ht="12.75" customHeight="1">
      <c r="A211" s="15" t="s">
        <v>1980</v>
      </c>
      <c r="B211" s="5" t="s">
        <v>1981</v>
      </c>
      <c r="C211" s="5" t="s">
        <v>1981</v>
      </c>
      <c r="D211" s="5" t="s">
        <v>38</v>
      </c>
      <c r="E211" s="5" t="s">
        <v>233</v>
      </c>
      <c r="F211" s="5" t="s">
        <v>68</v>
      </c>
      <c r="G211" s="14" t="str">
        <f t="array" ref="G211">IF(B211="", "",
  LET(_xlpm.spell, IFERROR(IF(F211="", "", INDEX(_xlws.FILTER(Hairstyles!$F:$F, ISNUMBER(SEARCH(F211, Hairstyles!$B:$B))), 1)), "No Spell for Hairstyle"),
  _xlpm.vanillaPrefix, IF(LEFT(_xlpm.spell, 7)="Uvi_Wig", "", ";"),
  ";" &amp; IF(C211="", B211, C211) &amp; IF(M211="", "", " ("&amp;M211&amp;")") &amp; CHAR(10) &amp;
  _xlpm.vanillaPrefix &amp; "Keyword = Uvi_Wig_Distr_KYWD|" &amp; B211 &amp; CHAR(10) &amp;
  _xlpm.vanillaPrefix &amp; "Spell = " &amp; _xlpm.spell &amp; "|" &amp; B211
  )
)</f>
        <v>;Benor
;Keyword = Uvi_Wig_Distr_KYWD|Benor
;Spell = No Spell for Hairstyle|Benor</v>
      </c>
    </row>
    <row r="212" ht="12.75" customHeight="1">
      <c r="A212" s="5" t="s">
        <v>1982</v>
      </c>
      <c r="B212" s="5" t="s">
        <v>1983</v>
      </c>
      <c r="C212" s="5" t="s">
        <v>1984</v>
      </c>
      <c r="D212" s="5" t="s">
        <v>51</v>
      </c>
      <c r="E212" s="5" t="s">
        <v>41</v>
      </c>
      <c r="F212" s="5" t="s">
        <v>862</v>
      </c>
      <c r="G212" s="14" t="str">
        <f t="array" ref="G212">IF(B212="", "",
  LET(_xlpm.spell, IFERROR(IF(F212="", "", INDEX(_xlws.FILTER(Hairstyles!$F:$F, ISNUMBER(SEARCH(F212, Hairstyles!$B:$B))), 1)), "No Spell for Hairstyle"),
  _xlpm.vanillaPrefix, IF(LEFT(_xlpm.spell, 7)="Uvi_Wig", "", ";"),
  ";" &amp; IF(C212="", B212, C212) &amp; IF(M212="", "", " ("&amp;M212&amp;")") &amp; CHAR(10) &amp;
  _xlpm.vanillaPrefix &amp; "Keyword = Uvi_Wig_Distr_KYWD|" &amp; B212 &amp; CHAR(10) &amp;
  _xlpm.vanillaPrefix &amp; "Spell = " &amp; _xlpm.spell &amp; "|" &amp; B212
  )
)</f>
        <v>;Bergritte Battle-Born
;Keyword = Uvi_Wig_Distr_KYWD|BergritteBattleBorn
;Spell = No Spell for Hairstyle|BergritteBattleBorn</v>
      </c>
    </row>
    <row r="213" ht="12.75" customHeight="1">
      <c r="A213" s="5" t="s">
        <v>1985</v>
      </c>
      <c r="B213" s="5" t="s">
        <v>1986</v>
      </c>
      <c r="C213" s="5" t="s">
        <v>1987</v>
      </c>
      <c r="D213" s="5" t="s">
        <v>38</v>
      </c>
      <c r="E213" s="5" t="s">
        <v>233</v>
      </c>
      <c r="F213" s="5" t="s">
        <v>235</v>
      </c>
      <c r="G213" s="14" t="str">
        <f t="array" ref="G213">IF(B213="", "",
  LET(_xlpm.spell, IFERROR(IF(F213="", "", INDEX(_xlws.FILTER(Hairstyles!$F:$F, ISNUMBER(SEARCH(F213, Hairstyles!$B:$B))), 1)), "No Spell for Hairstyle"),
  _xlpm.vanillaPrefix, IF(LEFT(_xlpm.spell, 7)="Uvi_Wig", "", ";"),
  ";" &amp; IF(C213="", B213, C213) &amp; IF(M213="", "", " ("&amp;M213&amp;")") &amp; CHAR(10) &amp;
  _xlpm.vanillaPrefix &amp; "Keyword = Uvi_Wig_Distr_KYWD|" &amp; B213 &amp; CHAR(10) &amp;
  _xlpm.vanillaPrefix &amp; "Spell = " &amp; _xlpm.spell &amp; "|" &amp; B213
  )
)</f>
        <v>;Bersi Honey-Hand
;Keyword = Uvi_Wig_Distr_KYWD|Bersi
;Spell = No Spell for Hairstyle|Bersi</v>
      </c>
    </row>
    <row r="214" ht="12.75" customHeight="1">
      <c r="A214" s="15" t="s">
        <v>1988</v>
      </c>
      <c r="B214" s="5" t="s">
        <v>1989</v>
      </c>
      <c r="C214" s="5" t="s">
        <v>1990</v>
      </c>
      <c r="D214" s="5" t="s">
        <v>38</v>
      </c>
      <c r="E214" s="5" t="s">
        <v>41</v>
      </c>
      <c r="F214" s="5" t="s">
        <v>1822</v>
      </c>
      <c r="G214" s="14" t="str">
        <f t="array" ref="G214">IF(B214="", "",
  LET(_xlpm.spell, IFERROR(IF(F214="", "", INDEX(_xlws.FILTER(Hairstyles!$F:$F, ISNUMBER(SEARCH(F214, Hairstyles!$B:$B))), 1)), "No Spell for Hairstyle"),
  _xlpm.vanillaPrefix, IF(LEFT(_xlpm.spell, 7)="Uvi_Wig", "", ";"),
  ";" &amp; IF(C214="", B214, C214) &amp; IF(M214="", "", " ("&amp;M214&amp;")") &amp; CHAR(10) &amp;
  _xlpm.vanillaPrefix &amp; "Keyword = Uvi_Wig_Distr_KYWD|" &amp; B214 &amp; CHAR(10) &amp;
  _xlpm.vanillaPrefix &amp; "Spell = " &amp; _xlpm.spell &amp; "|" &amp; B214
  )
)</f>
        <v>;Betrid Silver-Blood
;Keyword = Uvi_Wig_Distr_KYWD|Betrid
;Spell = No Spell for Hairstyle|Betrid</v>
      </c>
    </row>
    <row r="215" ht="12.75" customHeight="1">
      <c r="A215" s="5" t="s">
        <v>1991</v>
      </c>
      <c r="B215" s="5" t="s">
        <v>1992</v>
      </c>
      <c r="C215" s="5" t="s">
        <v>1993</v>
      </c>
      <c r="D215" s="5" t="s">
        <v>38</v>
      </c>
      <c r="E215" s="5" t="s">
        <v>233</v>
      </c>
      <c r="F215" s="5" t="s">
        <v>1709</v>
      </c>
      <c r="G215" s="14" t="str">
        <f t="array" ref="G215">IF(B215="", "",
  LET(_xlpm.spell, IFERROR(IF(F215="", "", INDEX(_xlws.FILTER(Hairstyles!$F:$F, ISNUMBER(SEARCH(F215, Hairstyles!$B:$B))), 1)), "No Spell for Hairstyle"),
  _xlpm.vanillaPrefix, IF(LEFT(_xlpm.spell, 7)="Uvi_Wig", "", ";"),
  ";" &amp; IF(C215="", B215, C215) &amp; IF(M215="", "", " ("&amp;M215&amp;")") &amp; CHAR(10) &amp;
  _xlpm.vanillaPrefix &amp; "Keyword = Uvi_Wig_Distr_KYWD|" &amp; B215 &amp; CHAR(10) &amp;
  _xlpm.vanillaPrefix &amp; "Spell = " &amp; _xlpm.spell &amp; "|" &amp; B215
  )
)</f>
        <v>;Big Laborer
;Keyword = Uvi_Wig_Distr_KYWD|DBRecurringTarget2KatlasFarm
;Spell = No Spell for Hairstyle|DBRecurringTarget2KatlasFarm</v>
      </c>
    </row>
    <row r="216" ht="12.75" customHeight="1">
      <c r="A216" s="5" t="s">
        <v>1994</v>
      </c>
      <c r="B216" s="5" t="s">
        <v>1995</v>
      </c>
      <c r="C216" s="5" t="s">
        <v>1995</v>
      </c>
      <c r="D216" s="5" t="s">
        <v>38</v>
      </c>
      <c r="E216" s="5" t="s">
        <v>41</v>
      </c>
      <c r="F216" s="5" t="s">
        <v>1996</v>
      </c>
      <c r="G216" s="14" t="str">
        <f t="array" ref="G216">IF(B216="", "",
  LET(_xlpm.spell, IFERROR(IF(F216="", "", INDEX(_xlws.FILTER(Hairstyles!$F:$F, ISNUMBER(SEARCH(F216, Hairstyles!$B:$B))), 1)), "No Spell for Hairstyle"),
  _xlpm.vanillaPrefix, IF(LEFT(_xlpm.spell, 7)="Uvi_Wig", "", ";"),
  ";" &amp; IF(C216="", B216, C216) &amp; IF(M216="", "", " ("&amp;M216&amp;")") &amp; CHAR(10) &amp;
  _xlpm.vanillaPrefix &amp; "Keyword = Uvi_Wig_Distr_KYWD|" &amp; B216 &amp; CHAR(10) &amp;
  _xlpm.vanillaPrefix &amp; "Spell = " &amp; _xlpm.spell &amp; "|" &amp; B216
  )
)</f>
        <v>;Birna
;Keyword = Uvi_Wig_Distr_KYWD|Birna
;Spell = No Spell for Hairstyle|Birna</v>
      </c>
    </row>
    <row r="217" ht="12.75" customHeight="1">
      <c r="A217" s="15" t="s">
        <v>1997</v>
      </c>
      <c r="B217" s="5" t="s">
        <v>1998</v>
      </c>
      <c r="C217" s="5" t="s">
        <v>1998</v>
      </c>
      <c r="D217" s="5" t="s">
        <v>38</v>
      </c>
      <c r="E217" s="5" t="s">
        <v>41</v>
      </c>
      <c r="F217" s="5" t="s">
        <v>42</v>
      </c>
      <c r="G217" s="14" t="str">
        <f t="array" ref="G217">IF(B217="", "",
  LET(_xlpm.spell, IFERROR(IF(F217="", "", INDEX(_xlws.FILTER(Hairstyles!$F:$F, ISNUMBER(SEARCH(F217, Hairstyles!$B:$B))), 1)), "No Spell for Hairstyle"),
  _xlpm.vanillaPrefix, IF(LEFT(_xlpm.spell, 7)="Uvi_Wig", "", ";"),
  ";" &amp; IF(C217="", B217, C217) &amp; IF(M217="", "", " ("&amp;M217&amp;")") &amp; CHAR(10) &amp;
  _xlpm.vanillaPrefix &amp; "Keyword = Uvi_Wig_Distr_KYWD|" &amp; B217 &amp; CHAR(10) &amp;
  _xlpm.vanillaPrefix &amp; "Spell = " &amp; _xlpm.spell &amp; "|" &amp; B217
  )
)</f>
        <v>;Bjartur
;Keyword = Uvi_Wig_Distr_KYWD|Bjartur
;Spell = No Spell for Hairstyle|Bjartur</v>
      </c>
    </row>
    <row r="218" ht="12.75" customHeight="1">
      <c r="A218" s="15" t="s">
        <v>1999</v>
      </c>
      <c r="B218" s="5" t="s">
        <v>2000</v>
      </c>
      <c r="C218" s="5" t="s">
        <v>2001</v>
      </c>
      <c r="D218" s="5" t="s">
        <v>38</v>
      </c>
      <c r="E218" s="5" t="s">
        <v>233</v>
      </c>
      <c r="F218" s="5" t="s">
        <v>521</v>
      </c>
      <c r="G218" s="14" t="str">
        <f t="array" ref="G218">IF(B218="", "",
  LET(_xlpm.spell, IFERROR(IF(F218="", "", INDEX(_xlws.FILTER(Hairstyles!$F:$F, ISNUMBER(SEARCH(F218, Hairstyles!$B:$B))), 1)), "No Spell for Hairstyle"),
  _xlpm.vanillaPrefix, IF(LEFT(_xlpm.spell, 7)="Uvi_Wig", "", ";"),
  ";" &amp; IF(C218="", B218, C218) &amp; IF(M218="", "", " ("&amp;M218&amp;")") &amp; CHAR(10) &amp;
  _xlpm.vanillaPrefix &amp; "Keyword = Uvi_Wig_Distr_KYWD|" &amp; B218 &amp; CHAR(10) &amp;
  _xlpm.vanillaPrefix &amp; "Spell = " &amp; _xlpm.spell &amp; "|" &amp; B218
  )
)</f>
        <v>;Bjorlam
;Keyword = Uvi_Wig_Distr_KYWD|CarriageDriverWhiterun
;Spell = No Spell for Hairstyle|CarriageDriverWhiterun</v>
      </c>
    </row>
    <row r="219" ht="12.75" customHeight="1">
      <c r="A219" s="5" t="s">
        <v>2002</v>
      </c>
      <c r="B219" s="5" t="s">
        <v>2003</v>
      </c>
      <c r="C219" s="5" t="s">
        <v>2004</v>
      </c>
      <c r="D219" s="5" t="s">
        <v>38</v>
      </c>
      <c r="E219" s="5" t="s">
        <v>233</v>
      </c>
      <c r="F219" s="5" t="s">
        <v>346</v>
      </c>
      <c r="G219" s="14" t="str">
        <f t="array" ref="G219">IF(B219="", "",
  LET(_xlpm.spell, IFERROR(IF(F219="", "", INDEX(_xlws.FILTER(Hairstyles!$F:$F, ISNUMBER(SEARCH(F219, Hairstyles!$B:$B))), 1)), "No Spell for Hairstyle"),
  _xlpm.vanillaPrefix, IF(LEFT(_xlpm.spell, 7)="Uvi_Wig", "", ";"),
  ";" &amp; IF(C219="", B219, C219) &amp; IF(M219="", "", " ("&amp;M219&amp;")") &amp; CHAR(10) &amp;
  _xlpm.vanillaPrefix &amp; "Keyword = Uvi_Wig_Distr_KYWD|" &amp; B219 &amp; CHAR(10) &amp;
  _xlpm.vanillaPrefix &amp; "Spell = " &amp; _xlpm.spell &amp; "|" &amp; B219
  )
)</f>
        <v>;Bjornolfr
;Keyword = Uvi_Wig_Distr_KYWD|DLC2BjornolfrCorpse
;Spell = No Spell for Hairstyle|DLC2BjornolfrCorpse</v>
      </c>
    </row>
    <row r="220" ht="12.75" customHeight="1">
      <c r="A220" s="5" t="s">
        <v>2005</v>
      </c>
      <c r="B220" s="5" t="s">
        <v>2006</v>
      </c>
      <c r="C220" s="5" t="s">
        <v>2007</v>
      </c>
      <c r="D220" s="5" t="s">
        <v>38</v>
      </c>
      <c r="E220" s="5" t="s">
        <v>233</v>
      </c>
      <c r="F220" s="5" t="s">
        <v>1622</v>
      </c>
      <c r="G220" s="14" t="str">
        <f t="array" ref="G220">IF(B220="", "",
  LET(_xlpm.spell, IFERROR(IF(F220="", "", INDEX(_xlws.FILTER(Hairstyles!$F:$F, ISNUMBER(SEARCH(F220, Hairstyles!$B:$B))), 1)), "No Spell for Hairstyle"),
  _xlpm.vanillaPrefix, IF(LEFT(_xlpm.spell, 7)="Uvi_Wig", "", ";"),
  ";" &amp; IF(C220="", B220, C220) &amp; IF(M220="", "", " ("&amp;M220&amp;")") &amp; CHAR(10) &amp;
  _xlpm.vanillaPrefix &amp; "Keyword = Uvi_Wig_Distr_KYWD|" &amp; B220 &amp; CHAR(10) &amp;
  _xlpm.vanillaPrefix &amp; "Spell = " &amp; _xlpm.spell &amp; "|" &amp; B220
  )
)</f>
        <v>;Blackblood Marauder
;Keyword = Uvi_Wig_Distr_KYWD|MS07LvlBlackbloodMeleeBerserkerCommonerM
;Spell = No Spell for Hairstyle|MS07LvlBlackbloodMeleeBerserkerCommonerM</v>
      </c>
    </row>
    <row r="221" ht="12.75" customHeight="1">
      <c r="A221" s="5" t="s">
        <v>2008</v>
      </c>
      <c r="B221" s="5" t="s">
        <v>2009</v>
      </c>
      <c r="C221" s="5" t="s">
        <v>2007</v>
      </c>
      <c r="D221" s="5" t="s">
        <v>38</v>
      </c>
      <c r="E221" s="5" t="s">
        <v>233</v>
      </c>
      <c r="F221" s="5" t="s">
        <v>1622</v>
      </c>
      <c r="G221" s="14" t="str">
        <f t="array" ref="G221">IF(B221="", "",
  LET(_xlpm.spell, IFERROR(IF(F221="", "", INDEX(_xlws.FILTER(Hairstyles!$F:$F, ISNUMBER(SEARCH(F221, Hairstyles!$B:$B))), 1)), "No Spell for Hairstyle"),
  _xlpm.vanillaPrefix, IF(LEFT(_xlpm.spell, 7)="Uvi_Wig", "", ";"),
  ";" &amp; IF(C221="", B221, C221) &amp; IF(M221="", "", " ("&amp;M221&amp;")") &amp; CHAR(10) &amp;
  _xlpm.vanillaPrefix &amp; "Keyword = Uvi_Wig_Distr_KYWD|" &amp; B221 &amp; CHAR(10) &amp;
  _xlpm.vanillaPrefix &amp; "Spell = " &amp; _xlpm.spell &amp; "|" &amp; B221
  )
)</f>
        <v>;Blackblood Marauder
;Keyword = Uvi_Wig_Distr_KYWD|MS07LvlBlackbloodMeleeTankEvenTonedM
;Spell = No Spell for Hairstyle|MS07LvlBlackbloodMeleeTankEvenTonedM</v>
      </c>
    </row>
    <row r="222" ht="12.75" customHeight="1">
      <c r="A222" s="5" t="s">
        <v>2010</v>
      </c>
      <c r="B222" s="5" t="s">
        <v>2011</v>
      </c>
      <c r="C222" s="5" t="s">
        <v>2007</v>
      </c>
      <c r="D222" s="5" t="s">
        <v>38</v>
      </c>
      <c r="E222" s="5" t="s">
        <v>233</v>
      </c>
      <c r="F222" s="5" t="s">
        <v>1622</v>
      </c>
      <c r="G222" s="14" t="str">
        <f t="array" ref="G222">IF(B222="", "",
  LET(_xlpm.spell, IFERROR(IF(F222="", "", INDEX(_xlws.FILTER(Hairstyles!$F:$F, ISNUMBER(SEARCH(F222, Hairstyles!$B:$B))), 1)), "No Spell for Hairstyle"),
  _xlpm.vanillaPrefix, IF(LEFT(_xlpm.spell, 7)="Uvi_Wig", "", ";"),
  ";" &amp; IF(C222="", B222, C222) &amp; IF(M222="", "", " ("&amp;M222&amp;")") &amp; CHAR(10) &amp;
  _xlpm.vanillaPrefix &amp; "Keyword = Uvi_Wig_Distr_KYWD|" &amp; B222 &amp; CHAR(10) &amp;
  _xlpm.vanillaPrefix &amp; "Spell = " &amp; _xlpm.spell &amp; "|" &amp; B222
  )
)</f>
        <v>;Blackblood Marauder
;Keyword = Uvi_Wig_Distr_KYWD|MS07LvlBlackbloodMissileNordM
;Spell = No Spell for Hairstyle|MS07LvlBlackbloodMissileNordM</v>
      </c>
    </row>
    <row r="223" ht="12.75" customHeight="1">
      <c r="A223" s="5" t="s">
        <v>2012</v>
      </c>
      <c r="B223" s="5" t="s">
        <v>2013</v>
      </c>
      <c r="C223" s="5" t="s">
        <v>2007</v>
      </c>
      <c r="D223" s="5" t="s">
        <v>38</v>
      </c>
      <c r="E223" s="5" t="s">
        <v>233</v>
      </c>
      <c r="F223" s="5" t="s">
        <v>1622</v>
      </c>
      <c r="G223" s="14" t="str">
        <f t="array" ref="G223">IF(B223="", "",
  LET(_xlpm.spell, IFERROR(IF(F223="", "", INDEX(_xlws.FILTER(Hairstyles!$F:$F, ISNUMBER(SEARCH(F223, Hairstyles!$B:$B))), 1)), "No Spell for Hairstyle"),
  _xlpm.vanillaPrefix, IF(LEFT(_xlpm.spell, 7)="Uvi_Wig", "", ";"),
  ";" &amp; IF(C223="", B223, C223) &amp; IF(M223="", "", " ("&amp;M223&amp;")") &amp; CHAR(10) &amp;
  _xlpm.vanillaPrefix &amp; "Keyword = Uvi_Wig_Distr_KYWD|" &amp; B223 &amp; CHAR(10) &amp;
  _xlpm.vanillaPrefix &amp; "Spell = " &amp; _xlpm.spell &amp; "|" &amp; B223
  )
)</f>
        <v>;Blackblood Marauder
;Keyword = Uvi_Wig_Distr_KYWD|MS07LvlBlackbloodWizardCondescendingM
;Spell = No Spell for Hairstyle|MS07LvlBlackbloodWizardCondescendingM</v>
      </c>
    </row>
    <row r="224" ht="12.75" customHeight="1">
      <c r="A224" s="5" t="s">
        <v>2014</v>
      </c>
      <c r="B224" s="5" t="s">
        <v>2015</v>
      </c>
      <c r="C224" s="5" t="s">
        <v>2007</v>
      </c>
      <c r="D224" s="5" t="s">
        <v>38</v>
      </c>
      <c r="E224" s="5" t="s">
        <v>233</v>
      </c>
      <c r="F224" s="5" t="s">
        <v>1622</v>
      </c>
      <c r="G224" s="14" t="str">
        <f t="array" ref="G224">IF(B224="", "",
  LET(_xlpm.spell, IFERROR(IF(F224="", "", INDEX(_xlws.FILTER(Hairstyles!$F:$F, ISNUMBER(SEARCH(F224, Hairstyles!$B:$B))), 1)), "No Spell for Hairstyle"),
  _xlpm.vanillaPrefix, IF(LEFT(_xlpm.spell, 7)="Uvi_Wig", "", ";"),
  ";" &amp; IF(C224="", B224, C224) &amp; IF(M224="", "", " ("&amp;M224&amp;")") &amp; CHAR(10) &amp;
  _xlpm.vanillaPrefix &amp; "Keyword = Uvi_Wig_Distr_KYWD|" &amp; B224 &amp; CHAR(10) &amp;
  _xlpm.vanillaPrefix &amp; "Spell = " &amp; _xlpm.spell &amp; "|" &amp; B224
  )
)</f>
        <v>;Blackblood Marauder
;Keyword = Uvi_Wig_Distr_KYWD|MS07LvlBlackbloodWizardNordM
;Spell = No Spell for Hairstyle|MS07LvlBlackbloodWizardNordM</v>
      </c>
    </row>
    <row r="225" ht="12.75" customHeight="1">
      <c r="A225" s="5" t="s">
        <v>2016</v>
      </c>
      <c r="B225" s="5" t="s">
        <v>2017</v>
      </c>
      <c r="C225" s="5" t="s">
        <v>2018</v>
      </c>
      <c r="D225" s="5" t="s">
        <v>23</v>
      </c>
      <c r="E225" s="5" t="s">
        <v>233</v>
      </c>
      <c r="F225" s="5" t="s">
        <v>27</v>
      </c>
      <c r="G225" s="14" t="str">
        <f t="array" ref="G225">IF(B225="", "",
  LET(_xlpm.spell, IFERROR(IF(F225="", "", INDEX(_xlws.FILTER(Hairstyles!$F:$F, ISNUMBER(SEARCH(F225, Hairstyles!$B:$B))), 1)), "No Spell for Hairstyle"),
  _xlpm.vanillaPrefix, IF(LEFT(_xlpm.spell, 7)="Uvi_Wig", "", ";"),
  ";" &amp; IF(C225="", B225, C225) &amp; IF(M225="", "", " ("&amp;M225&amp;")") &amp; CHAR(10) &amp;
  _xlpm.vanillaPrefix &amp; "Keyword = Uvi_Wig_Distr_KYWD|" &amp; B225 &amp; CHAR(10) &amp;
  _xlpm.vanillaPrefix &amp; "Spell = " &amp; _xlpm.spell &amp; "|" &amp; B225
  )
)</f>
        <v>;Blaise
;Keyword = Uvi_Wig_Distr_KYWD|BYOHUrchin_Blaise
;Spell = No Spell for Hairstyle|BYOHUrchin_Blaise</v>
      </c>
    </row>
    <row r="226" ht="12.75" customHeight="1">
      <c r="A226" s="5" t="s">
        <v>2019</v>
      </c>
      <c r="B226" s="5" t="s">
        <v>2020</v>
      </c>
      <c r="C226" s="5" t="s">
        <v>2021</v>
      </c>
      <c r="D226" s="5" t="s">
        <v>38</v>
      </c>
      <c r="E226" s="5" t="s">
        <v>233</v>
      </c>
      <c r="F226" s="5" t="s">
        <v>475</v>
      </c>
      <c r="G226" s="14" t="str">
        <f t="array" ref="G226">IF(B226="", "",
  LET(_xlpm.spell, IFERROR(IF(F226="", "", INDEX(_xlws.FILTER(Hairstyles!$F:$F, ISNUMBER(SEARCH(F226, Hairstyles!$B:$B))), 1)), "No Spell for Hairstyle"),
  _xlpm.vanillaPrefix, IF(LEFT(_xlpm.spell, 7)="Uvi_Wig", "", ";"),
  ";" &amp; IF(C226="", B226, C226) &amp; IF(M226="", "", " ("&amp;M226&amp;")") &amp; CHAR(10) &amp;
  _xlpm.vanillaPrefix &amp; "Keyword = Uvi_Wig_Distr_KYWD|" &amp; B226 &amp; CHAR(10) &amp;
  _xlpm.vanillaPrefix &amp; "Spell = " &amp; _xlpm.spell &amp; "|" &amp; B226
  )
)</f>
        <v>;Blasphemous Priest
;Keyword = Uvi_Wig_Distr_KYWD|DBRecurringContact6Whiterun
;Spell = No Spell for Hairstyle|DBRecurringContact6Whiterun</v>
      </c>
    </row>
    <row r="227" ht="12.75" customHeight="1">
      <c r="A227" s="5" t="s">
        <v>2022</v>
      </c>
      <c r="B227" s="5" t="s">
        <v>2023</v>
      </c>
      <c r="C227" s="5" t="s">
        <v>2024</v>
      </c>
      <c r="D227" s="5" t="s">
        <v>79</v>
      </c>
      <c r="E227" s="5" t="s">
        <v>41</v>
      </c>
      <c r="F227" s="5" t="s">
        <v>1557</v>
      </c>
      <c r="G227" s="14" t="str">
        <f t="array" ref="G227">IF(B227="", "",
  LET(_xlpm.spell, IFERROR(IF(F227="", "", INDEX(_xlws.FILTER(Hairstyles!$F:$F, ISNUMBER(SEARCH(F227, Hairstyles!$B:$B))), 1)), "No Spell for Hairstyle"),
  _xlpm.vanillaPrefix, IF(LEFT(_xlpm.spell, 7)="Uvi_Wig", "", ";"),
  ";" &amp; IF(C227="", B227, C227) &amp; IF(M227="", "", " ("&amp;M227&amp;")") &amp; CHAR(10) &amp;
  _xlpm.vanillaPrefix &amp; "Keyword = Uvi_Wig_Distr_KYWD|" &amp; B227 &amp; CHAR(10) &amp;
  _xlpm.vanillaPrefix &amp; "Spell = " &amp; _xlpm.spell &amp; "|" &amp; B227
  )
)</f>
        <v>;Blooded Vampire
;Keyword = Uvi_Wig_Distr_KYWD|EncVampire02Template
;Spell = No Spell for Hairstyle|EncVampire02Template</v>
      </c>
    </row>
    <row r="228" ht="12.75" customHeight="1">
      <c r="A228" s="5" t="s">
        <v>2025</v>
      </c>
      <c r="B228" s="5" t="s">
        <v>2026</v>
      </c>
      <c r="C228" s="5" t="s">
        <v>2026</v>
      </c>
      <c r="D228" s="5" t="s">
        <v>38</v>
      </c>
      <c r="E228" s="5" t="s">
        <v>41</v>
      </c>
      <c r="F228" s="5" t="s">
        <v>22</v>
      </c>
      <c r="G228" s="14" t="str">
        <f t="array" ref="G228">IF(B228="", "",
  LET(_xlpm.spell, IFERROR(IF(F228="", "", INDEX(_xlws.FILTER(Hairstyles!$F:$F, ISNUMBER(SEARCH(F228, Hairstyles!$B:$B))), 1)), "No Spell for Hairstyle"),
  _xlpm.vanillaPrefix, IF(LEFT(_xlpm.spell, 7)="Uvi_Wig", "", ";"),
  ";" &amp; IF(C228="", B228, C228) &amp; IF(M228="", "", " ("&amp;M228&amp;")") &amp; CHAR(10) &amp;
  _xlpm.vanillaPrefix &amp; "Keyword = Uvi_Wig_Distr_KYWD|" &amp; B228 &amp; CHAR(10) &amp;
  _xlpm.vanillaPrefix &amp; "Spell = " &amp; _xlpm.spell &amp; "|" &amp; B228
  )
)</f>
        <v>;Bodil
;Keyword = Uvi_Wig_Distr_KYWD|Bodil
;Spell = No Spell for Hairstyle|Bodil</v>
      </c>
    </row>
    <row r="229" ht="12.75" customHeight="1">
      <c r="A229" s="5" t="s">
        <v>2027</v>
      </c>
      <c r="B229" s="5" t="s">
        <v>2028</v>
      </c>
      <c r="C229" s="5" t="s">
        <v>2029</v>
      </c>
      <c r="D229" s="5" t="s">
        <v>38</v>
      </c>
      <c r="E229" s="5" t="s">
        <v>233</v>
      </c>
      <c r="F229" s="5" t="s">
        <v>2030</v>
      </c>
      <c r="G229" s="14" t="str">
        <f t="array" ref="G229">IF(B229="", "",
  LET(_xlpm.spell, IFERROR(IF(F229="", "", INDEX(_xlws.FILTER(Hairstyles!$F:$F, ISNUMBER(SEARCH(F229, Hairstyles!$B:$B))), 1)), "No Spell for Hairstyle"),
  _xlpm.vanillaPrefix, IF(LEFT(_xlpm.spell, 7)="Uvi_Wig", "", ";"),
  ";" &amp; IF(C229="", B229, C229) &amp; IF(M229="", "", " ("&amp;M229&amp;")") &amp; CHAR(10) &amp;
  _xlpm.vanillaPrefix &amp; "Keyword = Uvi_Wig_Distr_KYWD|" &amp; B229 &amp; CHAR(10) &amp;
  _xlpm.vanillaPrefix &amp; "Spell = " &amp; _xlpm.spell &amp; "|" &amp; B229
  )
)</f>
        <v>;Bodyguard
;Keyword = Uvi_Wig_Distr_KYWD|dunBluePalacePelagiusBodyguardDormant
;Spell = No Spell for Hairstyle|dunBluePalacePelagiusBodyguardDormant</v>
      </c>
    </row>
    <row r="230" ht="12.75" customHeight="1">
      <c r="A230" s="5" t="s">
        <v>2031</v>
      </c>
      <c r="B230" s="5" t="s">
        <v>2032</v>
      </c>
      <c r="C230" s="5" t="s">
        <v>2033</v>
      </c>
      <c r="D230" s="5" t="s">
        <v>45</v>
      </c>
      <c r="E230" s="5" t="s">
        <v>41</v>
      </c>
      <c r="F230" s="5" t="s">
        <v>2034</v>
      </c>
      <c r="G230" s="14" t="str">
        <f t="array" ref="G230">IF(B230="", "",
  LET(_xlpm.spell, IFERROR(IF(F230="", "", INDEX(_xlws.FILTER(Hairstyles!$F:$F, ISNUMBER(SEARCH(F230, Hairstyles!$B:$B))), 1)), "No Spell for Hairstyle"),
  _xlpm.vanillaPrefix, IF(LEFT(_xlpm.spell, 7)="Uvi_Wig", "", ";"),
  ";" &amp; IF(C230="", B230, C230) &amp; IF(M230="", "", " ("&amp;M230&amp;")") &amp; CHAR(10) &amp;
  _xlpm.vanillaPrefix &amp; "Keyword = Uvi_Wig_Distr_KYWD|" &amp; B230 &amp; CHAR(10) &amp;
  _xlpm.vanillaPrefix &amp; "Spell = " &amp; _xlpm.spell &amp; "|" &amp; B230
  )
)</f>
        <v>;Boethiah Cultist
;Keyword = Uvi_Wig_Distr_KYWD|DA02CultistF1
;Spell = No Spell for Hairstyle|DA02CultistF1</v>
      </c>
    </row>
    <row r="231" ht="12.75" customHeight="1">
      <c r="A231" s="5" t="s">
        <v>2035</v>
      </c>
      <c r="B231" s="5" t="s">
        <v>2036</v>
      </c>
      <c r="C231" s="5" t="s">
        <v>2033</v>
      </c>
      <c r="D231" s="5" t="s">
        <v>45</v>
      </c>
      <c r="E231" s="5" t="s">
        <v>41</v>
      </c>
      <c r="F231" s="5" t="s">
        <v>2034</v>
      </c>
      <c r="G231" s="14" t="str">
        <f t="array" ref="G231">IF(B231="", "",
  LET(_xlpm.spell, IFERROR(IF(F231="", "", INDEX(_xlws.FILTER(Hairstyles!$F:$F, ISNUMBER(SEARCH(F231, Hairstyles!$B:$B))), 1)), "No Spell for Hairstyle"),
  _xlpm.vanillaPrefix, IF(LEFT(_xlpm.spell, 7)="Uvi_Wig", "", ";"),
  ";" &amp; IF(C231="", B231, C231) &amp; IF(M231="", "", " ("&amp;M231&amp;")") &amp; CHAR(10) &amp;
  _xlpm.vanillaPrefix &amp; "Keyword = Uvi_Wig_Distr_KYWD|" &amp; B231 &amp; CHAR(10) &amp;
  _xlpm.vanillaPrefix &amp; "Spell = " &amp; _xlpm.spell &amp; "|" &amp; B231
  )
)</f>
        <v>;Boethiah Cultist
;Keyword = Uvi_Wig_Distr_KYWD|DA02CultistF2
;Spell = No Spell for Hairstyle|DA02CultistF2</v>
      </c>
    </row>
    <row r="232" ht="12.75" customHeight="1">
      <c r="A232" s="5" t="s">
        <v>2037</v>
      </c>
      <c r="B232" s="5" t="s">
        <v>2038</v>
      </c>
      <c r="C232" s="5" t="s">
        <v>2033</v>
      </c>
      <c r="D232" s="5" t="s">
        <v>83</v>
      </c>
      <c r="E232" s="5" t="s">
        <v>233</v>
      </c>
      <c r="F232" s="5" t="s">
        <v>84</v>
      </c>
      <c r="G232" s="14" t="str">
        <f t="array" ref="G232">IF(B232="", "",
  LET(_xlpm.spell, IFERROR(IF(F232="", "", INDEX(_xlws.FILTER(Hairstyles!$F:$F, ISNUMBER(SEARCH(F232, Hairstyles!$B:$B))), 1)), "No Spell for Hairstyle"),
  _xlpm.vanillaPrefix, IF(LEFT(_xlpm.spell, 7)="Uvi_Wig", "", ";"),
  ";" &amp; IF(C232="", B232, C232) &amp; IF(M232="", "", " ("&amp;M232&amp;")") &amp; CHAR(10) &amp;
  _xlpm.vanillaPrefix &amp; "Keyword = Uvi_Wig_Distr_KYWD|" &amp; B232 &amp; CHAR(10) &amp;
  _xlpm.vanillaPrefix &amp; "Spell = " &amp; _xlpm.spell &amp; "|" &amp; B232
  )
)</f>
        <v>;Boethiah Cultist
;Keyword = Uvi_Wig_Distr_KYWD|DA02CultistM1
;Spell = No Spell for Hairstyle|DA02CultistM1</v>
      </c>
    </row>
    <row r="233" ht="12.75" customHeight="1">
      <c r="A233" s="5" t="s">
        <v>2039</v>
      </c>
      <c r="B233" s="5" t="s">
        <v>2040</v>
      </c>
      <c r="C233" s="5" t="s">
        <v>2033</v>
      </c>
      <c r="D233" s="5" t="s">
        <v>16</v>
      </c>
      <c r="E233" s="5" t="s">
        <v>233</v>
      </c>
      <c r="F233" s="5" t="s">
        <v>1622</v>
      </c>
      <c r="G233" s="14" t="str">
        <f t="array" ref="G233">IF(B233="", "",
  LET(_xlpm.spell, IFERROR(IF(F233="", "", INDEX(_xlws.FILTER(Hairstyles!$F:$F, ISNUMBER(SEARCH(F233, Hairstyles!$B:$B))), 1)), "No Spell for Hairstyle"),
  _xlpm.vanillaPrefix, IF(LEFT(_xlpm.spell, 7)="Uvi_Wig", "", ";"),
  ";" &amp; IF(C233="", B233, C233) &amp; IF(M233="", "", " ("&amp;M233&amp;")") &amp; CHAR(10) &amp;
  _xlpm.vanillaPrefix &amp; "Keyword = Uvi_Wig_Distr_KYWD|" &amp; B233 &amp; CHAR(10) &amp;
  _xlpm.vanillaPrefix &amp; "Spell = " &amp; _xlpm.spell &amp; "|" &amp; B233
  )
)</f>
        <v>;Boethiah Cultist
;Keyword = Uvi_Wig_Distr_KYWD|DA02CultistM2
;Spell = No Spell for Hairstyle|DA02CultistM2</v>
      </c>
    </row>
    <row r="234" ht="12.75" customHeight="1">
      <c r="A234" s="5" t="s">
        <v>2041</v>
      </c>
      <c r="B234" s="5" t="s">
        <v>2042</v>
      </c>
      <c r="C234" s="5" t="s">
        <v>2033</v>
      </c>
      <c r="D234" s="5" t="s">
        <v>38</v>
      </c>
      <c r="E234" s="5" t="s">
        <v>233</v>
      </c>
      <c r="F234" s="5" t="s">
        <v>1622</v>
      </c>
      <c r="G234" s="14" t="str">
        <f t="array" ref="G234">IF(B234="", "",
  LET(_xlpm.spell, IFERROR(IF(F234="", "", INDEX(_xlws.FILTER(Hairstyles!$F:$F, ISNUMBER(SEARCH(F234, Hairstyles!$B:$B))), 1)), "No Spell for Hairstyle"),
  _xlpm.vanillaPrefix, IF(LEFT(_xlpm.spell, 7)="Uvi_Wig", "", ";"),
  ";" &amp; IF(C234="", B234, C234) &amp; IF(M234="", "", " ("&amp;M234&amp;")") &amp; CHAR(10) &amp;
  _xlpm.vanillaPrefix &amp; "Keyword = Uvi_Wig_Distr_KYWD|" &amp; B234 &amp; CHAR(10) &amp;
  _xlpm.vanillaPrefix &amp; "Spell = " &amp; _xlpm.spell &amp; "|" &amp; B234
  )
)</f>
        <v>;Boethiah Cultist
;Keyword = Uvi_Wig_Distr_KYWD|DA02CultistM3
;Spell = No Spell for Hairstyle|DA02CultistM3</v>
      </c>
    </row>
    <row r="235" ht="12.75" customHeight="1">
      <c r="A235" s="5" t="s">
        <v>2043</v>
      </c>
      <c r="B235" s="5" t="s">
        <v>2044</v>
      </c>
      <c r="C235" s="5" t="s">
        <v>2033</v>
      </c>
      <c r="D235" s="5" t="s">
        <v>45</v>
      </c>
      <c r="E235" s="5" t="s">
        <v>233</v>
      </c>
      <c r="F235" s="5" t="s">
        <v>47</v>
      </c>
      <c r="G235" s="14" t="str">
        <f t="array" ref="G235">IF(B235="", "",
  LET(_xlpm.spell, IFERROR(IF(F235="", "", INDEX(_xlws.FILTER(Hairstyles!$F:$F, ISNUMBER(SEARCH(F235, Hairstyles!$B:$B))), 1)), "No Spell for Hairstyle"),
  _xlpm.vanillaPrefix, IF(LEFT(_xlpm.spell, 7)="Uvi_Wig", "", ";"),
  ";" &amp; IF(C235="", B235, C235) &amp; IF(M235="", "", " ("&amp;M235&amp;")") &amp; CHAR(10) &amp;
  _xlpm.vanillaPrefix &amp; "Keyword = Uvi_Wig_Distr_KYWD|" &amp; B235 &amp; CHAR(10) &amp;
  _xlpm.vanillaPrefix &amp; "Spell = " &amp; _xlpm.spell &amp; "|" &amp; B235
  )
)</f>
        <v>;Boethiah Cultist
;Keyword = Uvi_Wig_Distr_KYWD|WEDA02Cultist
;Spell = No Spell for Hairstyle|WEDA02Cultist</v>
      </c>
    </row>
    <row r="236" ht="12.75" customHeight="1">
      <c r="A236" s="5" t="s">
        <v>2045</v>
      </c>
      <c r="B236" s="5" t="s">
        <v>2046</v>
      </c>
      <c r="C236" s="5" t="s">
        <v>2046</v>
      </c>
      <c r="D236" s="5" t="s">
        <v>80</v>
      </c>
      <c r="E236" s="5" t="s">
        <v>41</v>
      </c>
      <c r="F236" s="5" t="s">
        <v>449</v>
      </c>
      <c r="G236" s="14" t="str">
        <f t="array" ref="G236">IF(B236="", "",
  LET(_xlpm.spell, IFERROR(IF(F236="", "", INDEX(_xlws.FILTER(Hairstyles!$F:$F, ISNUMBER(SEARCH(F236, Hairstyles!$B:$B))), 1)), "No Spell for Hairstyle"),
  _xlpm.vanillaPrefix, IF(LEFT(_xlpm.spell, 7)="Uvi_Wig", "", ";"),
  ";" &amp; IF(C236="", B236, C236) &amp; IF(M236="", "", " ("&amp;M236&amp;")") &amp; CHAR(10) &amp;
  _xlpm.vanillaPrefix &amp; "Keyword = Uvi_Wig_Distr_KYWD|" &amp; B236 &amp; CHAR(10) &amp;
  _xlpm.vanillaPrefix &amp; "Spell = " &amp; _xlpm.spell &amp; "|" &amp; B236
  )
)</f>
        <v>;Bolar
;Keyword = Uvi_Wig_Distr_KYWD|Bolar
;Spell = No Spell for Hairstyle|Bolar</v>
      </c>
    </row>
    <row r="237" ht="12.75" customHeight="1">
      <c r="A237" s="15" t="s">
        <v>2047</v>
      </c>
      <c r="B237" s="5" t="s">
        <v>2048</v>
      </c>
      <c r="C237" s="5" t="s">
        <v>2049</v>
      </c>
      <c r="D237" s="5" t="s">
        <v>38</v>
      </c>
      <c r="E237" s="5" t="s">
        <v>41</v>
      </c>
      <c r="F237" s="5" t="s">
        <v>862</v>
      </c>
      <c r="G237" s="14" t="str">
        <f t="array" ref="G237">IF(B237="", "",
  LET(_xlpm.spell, IFERROR(IF(F237="", "", INDEX(_xlws.FILTER(Hairstyles!$F:$F, ISNUMBER(SEARCH(F237, Hairstyles!$B:$B))), 1)), "No Spell for Hairstyle"),
  _xlpm.vanillaPrefix, IF(LEFT(_xlpm.spell, 7)="Uvi_Wig", "", ";"),
  ";" &amp; IF(C237="", B237, C237) &amp; IF(M237="", "", " ("&amp;M237&amp;")") &amp; CHAR(10) &amp;
  _xlpm.vanillaPrefix &amp; "Keyword = Uvi_Wig_Distr_KYWD|" &amp; B237 &amp; CHAR(10) &amp;
  _xlpm.vanillaPrefix &amp; "Spell = " &amp; _xlpm.spell &amp; "|" &amp; B237
  )
)</f>
        <v>;Bolfrida Brandy-Mug
;Keyword = Uvi_Wig_Distr_KYWD|Bolfrida
;Spell = No Spell for Hairstyle|Bolfrida</v>
      </c>
    </row>
    <row r="238" ht="12.75" customHeight="1">
      <c r="A238" s="15" t="s">
        <v>2050</v>
      </c>
      <c r="B238" s="5" t="s">
        <v>2051</v>
      </c>
      <c r="C238" s="5" t="s">
        <v>2052</v>
      </c>
      <c r="D238" s="5" t="s">
        <v>38</v>
      </c>
      <c r="E238" s="5" t="s">
        <v>233</v>
      </c>
      <c r="F238" s="5" t="s">
        <v>2030</v>
      </c>
      <c r="G238" s="14" t="str">
        <f t="array" ref="G238">IF(B238="", "",
  LET(_xlpm.spell, IFERROR(IF(F238="", "", INDEX(_xlws.FILTER(Hairstyles!$F:$F, ISNUMBER(SEARCH(F238, Hairstyles!$B:$B))), 1)), "No Spell for Hairstyle"),
  _xlpm.vanillaPrefix, IF(LEFT(_xlpm.spell, 7)="Uvi_Wig", "", ";"),
  ";" &amp; IF(C238="", B238, C238) &amp; IF(M238="", "", " ("&amp;M238&amp;")") &amp; CHAR(10) &amp;
  _xlpm.vanillaPrefix &amp; "Keyword = Uvi_Wig_Distr_KYWD|" &amp; B238 &amp; CHAR(10) &amp;
  _xlpm.vanillaPrefix &amp; "Spell = " &amp; _xlpm.spell &amp; "|" &amp; B238
  )
)</f>
        <v>;Bolgeir Bearclaw
;Keyword = Uvi_Wig_Distr_KYWD|BolgeirBearclaw
;Spell = No Spell for Hairstyle|BolgeirBearclaw</v>
      </c>
    </row>
    <row r="239" ht="12.75" customHeight="1">
      <c r="A239" s="5" t="s">
        <v>2053</v>
      </c>
      <c r="B239" s="5" t="s">
        <v>2054</v>
      </c>
      <c r="C239" s="5" t="s">
        <v>2054</v>
      </c>
      <c r="D239" s="5" t="s">
        <v>38</v>
      </c>
      <c r="E239" s="5" t="s">
        <v>233</v>
      </c>
      <c r="F239" s="5" t="s">
        <v>1894</v>
      </c>
      <c r="G239" s="14" t="str">
        <f t="array" ref="G239">IF(B239="", "",
  LET(_xlpm.spell, IFERROR(IF(F239="", "", INDEX(_xlws.FILTER(Hairstyles!$F:$F, ISNUMBER(SEARCH(F239, Hairstyles!$B:$B))), 1)), "No Spell for Hairstyle"),
  _xlpm.vanillaPrefix, IF(LEFT(_xlpm.spell, 7)="Uvi_Wig", "", ";"),
  ";" &amp; IF(C239="", B239, C239) &amp; IF(M239="", "", " ("&amp;M239&amp;")") &amp; CHAR(10) &amp;
  _xlpm.vanillaPrefix &amp; "Keyword = Uvi_Wig_Distr_KYWD|" &amp; B239 &amp; CHAR(10) &amp;
  _xlpm.vanillaPrefix &amp; "Spell = " &amp; _xlpm.spell &amp; "|" &amp; B239
  )
)</f>
        <v>;Bolli
;Keyword = Uvi_Wig_Distr_KYWD|Bolli
;Spell = No Spell for Hairstyle|Bolli</v>
      </c>
    </row>
    <row r="240" ht="12.75" customHeight="1">
      <c r="A240" s="15" t="s">
        <v>2055</v>
      </c>
      <c r="B240" s="5" t="s">
        <v>2056</v>
      </c>
      <c r="C240" s="5" t="s">
        <v>2056</v>
      </c>
      <c r="D240" s="5" t="s">
        <v>38</v>
      </c>
      <c r="E240" s="5" t="s">
        <v>233</v>
      </c>
      <c r="F240" s="5" t="s">
        <v>762</v>
      </c>
      <c r="G240" s="14" t="str">
        <f t="array" ref="G240">IF(B240="", "",
  LET(_xlpm.spell, IFERROR(IF(F240="", "", INDEX(_xlws.FILTER(Hairstyles!$F:$F, ISNUMBER(SEARCH(F240, Hairstyles!$B:$B))), 1)), "No Spell for Hairstyle"),
  _xlpm.vanillaPrefix, IF(LEFT(_xlpm.spell, 7)="Uvi_Wig", "", ";"),
  ";" &amp; IF(C240="", B240, C240) &amp; IF(M240="", "", " ("&amp;M240&amp;")") &amp; CHAR(10) &amp;
  _xlpm.vanillaPrefix &amp; "Keyword = Uvi_Wig_Distr_KYWD|" &amp; B240 &amp; CHAR(10) &amp;
  _xlpm.vanillaPrefix &amp; "Spell = " &amp; _xlpm.spell &amp; "|" &amp; B240
  )
)</f>
        <v>;Bolund
;Keyword = Uvi_Wig_Distr_KYWD|Bolund
;Spell = No Spell for Hairstyle|Bolund</v>
      </c>
    </row>
    <row r="241" ht="12.75" customHeight="1">
      <c r="A241" s="5" t="s">
        <v>2057</v>
      </c>
      <c r="B241" s="5" t="s">
        <v>2058</v>
      </c>
      <c r="C241" s="5" t="s">
        <v>2058</v>
      </c>
      <c r="D241" s="5" t="s">
        <v>80</v>
      </c>
      <c r="E241" s="5" t="s">
        <v>41</v>
      </c>
      <c r="F241" s="5" t="s">
        <v>395</v>
      </c>
      <c r="G241" s="14" t="str">
        <f t="array" ref="G241">IF(B241="", "",
  LET(_xlpm.spell, IFERROR(IF(F241="", "", INDEX(_xlws.FILTER(Hairstyles!$F:$F, ISNUMBER(SEARCH(F241, Hairstyles!$B:$B))), 1)), "No Spell for Hairstyle"),
  _xlpm.vanillaPrefix, IF(LEFT(_xlpm.spell, 7)="Uvi_Wig", "", ";"),
  ";" &amp; IF(C241="", B241, C241) &amp; IF(M241="", "", " ("&amp;M241&amp;")") &amp; CHAR(10) &amp;
  _xlpm.vanillaPrefix &amp; "Keyword = Uvi_Wig_Distr_KYWD|" &amp; B241 &amp; CHAR(10) &amp;
  _xlpm.vanillaPrefix &amp; "Spell = " &amp; _xlpm.spell &amp; "|" &amp; B241
  )
)</f>
        <v>;Bor
;Keyword = Uvi_Wig_Distr_KYWD|Bor
;Spell = No Spell for Hairstyle|Bor</v>
      </c>
    </row>
    <row r="242" ht="12.75" customHeight="1">
      <c r="A242" s="15" t="s">
        <v>2059</v>
      </c>
      <c r="B242" s="5" t="s">
        <v>2060</v>
      </c>
      <c r="C242" s="5" t="s">
        <v>2061</v>
      </c>
      <c r="D242" s="5" t="s">
        <v>80</v>
      </c>
      <c r="E242" s="5" t="s">
        <v>41</v>
      </c>
      <c r="F242" s="5" t="s">
        <v>522</v>
      </c>
      <c r="G242" s="14" t="str">
        <f t="array" ref="G242">IF(B242="", "",
  LET(_xlpm.spell, IFERROR(IF(F242="", "", INDEX(_xlws.FILTER(Hairstyles!$F:$F, ISNUMBER(SEARCH(F242, Hairstyles!$B:$B))), 1)), "No Spell for Hairstyle"),
  _xlpm.vanillaPrefix, IF(LEFT(_xlpm.spell, 7)="Uvi_Wig", "", ";"),
  ";" &amp; IF(C242="", B242, C242) &amp; IF(M242="", "", " ("&amp;M242&amp;")") &amp; CHAR(10) &amp;
  _xlpm.vanillaPrefix &amp; "Keyword = Uvi_Wig_Distr_KYWD|" &amp; B242 &amp; CHAR(10) &amp;
  _xlpm.vanillaPrefix &amp; "Spell = " &amp; _xlpm.spell &amp; "|" &amp; B242
  )
)</f>
        <v>;Borgakh the Steel Heart
;Keyword = Uvi_Wig_Distr_KYWD|Borgakh
;Spell = No Spell for Hairstyle|Borgakh</v>
      </c>
    </row>
    <row r="243" ht="12.75" customHeight="1">
      <c r="A243" s="5" t="s">
        <v>2062</v>
      </c>
      <c r="B243" s="5" t="s">
        <v>2063</v>
      </c>
      <c r="C243" s="5" t="s">
        <v>2063</v>
      </c>
      <c r="D243" s="5" t="s">
        <v>38</v>
      </c>
      <c r="E243" s="5" t="s">
        <v>233</v>
      </c>
      <c r="F243" s="5" t="s">
        <v>762</v>
      </c>
      <c r="G243" s="14" t="str">
        <f t="array" ref="G243">IF(B243="", "",
  LET(_xlpm.spell, IFERROR(IF(F243="", "", INDEX(_xlws.FILTER(Hairstyles!$F:$F, ISNUMBER(SEARCH(F243, Hairstyles!$B:$B))), 1)), "No Spell for Hairstyle"),
  _xlpm.vanillaPrefix, IF(LEFT(_xlpm.spell, 7)="Uvi_Wig", "", ";"),
  ";" &amp; IF(C243="", B243, C243) &amp; IF(M243="", "", " ("&amp;M243&amp;")") &amp; CHAR(10) &amp;
  _xlpm.vanillaPrefix &amp; "Keyword = Uvi_Wig_Distr_KYWD|" &amp; B243 &amp; CHAR(10) &amp;
  _xlpm.vanillaPrefix &amp; "Spell = " &amp; _xlpm.spell &amp; "|" &amp; B243
  )
)</f>
        <v>;Borgny
;Keyword = Uvi_Wig_Distr_KYWD|Borgny
;Spell = No Spell for Hairstyle|Borgny</v>
      </c>
    </row>
    <row r="244" ht="12.75" customHeight="1">
      <c r="A244" s="5" t="s">
        <v>2064</v>
      </c>
      <c r="B244" s="5" t="s">
        <v>2065</v>
      </c>
      <c r="C244" s="5" t="s">
        <v>2066</v>
      </c>
      <c r="D244" s="5" t="s">
        <v>80</v>
      </c>
      <c r="E244" s="5" t="s">
        <v>233</v>
      </c>
      <c r="F244" s="5" t="s">
        <v>2067</v>
      </c>
      <c r="G244" s="14" t="str">
        <f t="array" ref="G244">IF(B244="", "",
  LET(_xlpm.spell, IFERROR(IF(F244="", "", INDEX(_xlws.FILTER(Hairstyles!$F:$F, ISNUMBER(SEARCH(F244, Hairstyles!$B:$B))), 1)), "No Spell for Hairstyle"),
  _xlpm.vanillaPrefix, IF(LEFT(_xlpm.spell, 7)="Uvi_Wig", "", ";"),
  ";" &amp; IF(C244="", B244, C244) &amp; IF(M244="", "", " ("&amp;M244&amp;")") &amp; CHAR(10) &amp;
  _xlpm.vanillaPrefix &amp; "Keyword = Uvi_Wig_Distr_KYWD|" &amp; B244 &amp; CHAR(10) &amp;
  _xlpm.vanillaPrefix &amp; "Spell = " &amp; _xlpm.spell &amp; "|" &amp; B244
  )
)</f>
        <v>;Borkul the Beast
;Keyword = Uvi_Wig_Distr_KYWD|Borkul
;Spell = No Spell for Hairstyle|Borkul</v>
      </c>
    </row>
    <row r="245" ht="12.75" customHeight="1">
      <c r="A245" s="5" t="s">
        <v>2068</v>
      </c>
      <c r="B245" s="5" t="s">
        <v>2069</v>
      </c>
      <c r="C245" s="5" t="s">
        <v>2069</v>
      </c>
      <c r="D245" s="5" t="s">
        <v>51</v>
      </c>
      <c r="E245" s="5" t="s">
        <v>233</v>
      </c>
      <c r="F245" s="5" t="s">
        <v>695</v>
      </c>
      <c r="G245" s="14" t="str">
        <f t="array" ref="G245">IF(B245="", "",
  LET(_xlpm.spell, IFERROR(IF(F245="", "", INDEX(_xlws.FILTER(Hairstyles!$F:$F, ISNUMBER(SEARCH(F245, Hairstyles!$B:$B))), 1)), "No Spell for Hairstyle"),
  _xlpm.vanillaPrefix, IF(LEFT(_xlpm.spell, 7)="Uvi_Wig", "", ";"),
  ";" &amp; IF(C245="", B245, C245) &amp; IF(M245="", "", " ("&amp;M245&amp;")") &amp; CHAR(10) &amp;
  _xlpm.vanillaPrefix &amp; "Keyword = Uvi_Wig_Distr_KYWD|" &amp; B245 &amp; CHAR(10) &amp;
  _xlpm.vanillaPrefix &amp; "Spell = " &amp; _xlpm.spell &amp; "|" &amp; B245
  )
)</f>
        <v>;Borri
;Keyword = Uvi_Wig_Distr_KYWD|Borri
;Spell = No Spell for Hairstyle|Borri</v>
      </c>
    </row>
    <row r="246" ht="12.75" customHeight="1">
      <c r="A246" s="5" t="s">
        <v>2070</v>
      </c>
      <c r="B246" s="5" t="s">
        <v>2071</v>
      </c>
      <c r="C246" s="5" t="s">
        <v>2072</v>
      </c>
      <c r="D246" s="5" t="s">
        <v>38</v>
      </c>
      <c r="E246" s="5" t="s">
        <v>233</v>
      </c>
      <c r="F246" s="5" t="s">
        <v>346</v>
      </c>
      <c r="G246" s="14" t="str">
        <f t="array" ref="G246">IF(B246="", "",
  LET(_xlpm.spell, IFERROR(IF(F246="", "", INDEX(_xlws.FILTER(Hairstyles!$F:$F, ISNUMBER(SEARCH(F246, Hairstyles!$B:$B))), 1)), "No Spell for Hairstyle"),
  _xlpm.vanillaPrefix, IF(LEFT(_xlpm.spell, 7)="Uvi_Wig", "", ";"),
  ";" &amp; IF(C246="", B246, C246) &amp; IF(M246="", "", " ("&amp;M246&amp;")") &amp; CHAR(10) &amp;
  _xlpm.vanillaPrefix &amp; "Keyword = Uvi_Wig_Distr_KYWD|" &amp; B246 &amp; CHAR(10) &amp;
  _xlpm.vanillaPrefix &amp; "Spell = " &amp; _xlpm.spell &amp; "|" &amp; B246
  )
)</f>
        <v>;Borvir
;Keyword = Uvi_Wig_Distr_KYWD|POIMageBorvir
;Spell = No Spell for Hairstyle|POIMageBorvir</v>
      </c>
    </row>
    <row r="247" ht="12.75" customHeight="1">
      <c r="A247" s="5" t="s">
        <v>2073</v>
      </c>
      <c r="B247" s="5" t="s">
        <v>2074</v>
      </c>
      <c r="C247" s="5" t="s">
        <v>2074</v>
      </c>
      <c r="D247" s="5" t="s">
        <v>16</v>
      </c>
      <c r="E247" s="5" t="s">
        <v>41</v>
      </c>
      <c r="F247" s="5" t="s">
        <v>1041</v>
      </c>
      <c r="G247" s="14" t="str">
        <f t="array" ref="G247">IF(B247="", "",
  LET(_xlpm.spell, IFERROR(IF(F247="", "", INDEX(_xlws.FILTER(Hairstyles!$F:$F, ISNUMBER(SEARCH(F247, Hairstyles!$B:$B))), 1)), "No Spell for Hairstyle"),
  _xlpm.vanillaPrefix, IF(LEFT(_xlpm.spell, 7)="Uvi_Wig", "", ";"),
  ";" &amp; IF(C247="", B247, C247) &amp; IF(M247="", "", " ("&amp;M247&amp;")") &amp; CHAR(10) &amp;
  _xlpm.vanillaPrefix &amp; "Keyword = Uvi_Wig_Distr_KYWD|" &amp; B247 &amp; CHAR(10) &amp;
  _xlpm.vanillaPrefix &amp; "Spell = " &amp; _xlpm.spell &amp; "|" &amp; B247
  )
)</f>
        <v>;Bothela
;Keyword = Uvi_Wig_Distr_KYWD|Bothela
;Spell = No Spell for Hairstyle|Bothela</v>
      </c>
    </row>
    <row r="248" ht="12.75" customHeight="1">
      <c r="A248" s="5" t="s">
        <v>2075</v>
      </c>
      <c r="B248" s="5" t="s">
        <v>2076</v>
      </c>
      <c r="C248" s="5" t="s">
        <v>2076</v>
      </c>
      <c r="D248" s="5" t="s">
        <v>38</v>
      </c>
      <c r="E248" s="5" t="s">
        <v>41</v>
      </c>
      <c r="F248" s="5" t="s">
        <v>1063</v>
      </c>
      <c r="G248" s="14" t="str">
        <f t="array" ref="G248">IF(B248="", "",
  LET(_xlpm.spell, IFERROR(IF(F248="", "", INDEX(_xlws.FILTER(Hairstyles!$F:$F, ISNUMBER(SEARCH(F248, Hairstyles!$B:$B))), 1)), "No Spell for Hairstyle"),
  _xlpm.vanillaPrefix, IF(LEFT(_xlpm.spell, 7)="Uvi_Wig", "", ";"),
  ";" &amp; IF(C248="", B248, C248) &amp; IF(M248="", "", " ("&amp;M248&amp;")") &amp; CHAR(10) &amp;
  _xlpm.vanillaPrefix &amp; "Keyword = Uvi_Wig_Distr_KYWD|" &amp; B248 &amp; CHAR(10) &amp;
  _xlpm.vanillaPrefix &amp; "Spell = " &amp; _xlpm.spell &amp; "|" &amp; B248
  )
)</f>
        <v>;Boti
;Keyword = Uvi_Wig_Distr_KYWD|Boti
;Spell = No Spell for Hairstyle|Boti</v>
      </c>
    </row>
    <row r="249" ht="12.75" customHeight="1">
      <c r="A249" s="5" t="s">
        <v>2077</v>
      </c>
      <c r="B249" s="5" t="s">
        <v>2078</v>
      </c>
      <c r="C249" s="5" t="s">
        <v>2079</v>
      </c>
      <c r="D249" s="5" t="s">
        <v>74</v>
      </c>
      <c r="E249" s="5" t="s">
        <v>233</v>
      </c>
      <c r="F249" s="5" t="s">
        <v>76</v>
      </c>
      <c r="G249" s="14" t="str">
        <f t="array" ref="G249">IF(B249="", "",
  LET(_xlpm.spell, IFERROR(IF(F249="", "", INDEX(_xlws.FILTER(Hairstyles!$F:$F, ISNUMBER(SEARCH(F249, Hairstyles!$B:$B))), 1)), "No Spell for Hairstyle"),
  _xlpm.vanillaPrefix, IF(LEFT(_xlpm.spell, 7)="Uvi_Wig", "", ";"),
  ";" &amp; IF(C249="", B249, C249) &amp; IF(M249="", "", " ("&amp;M249&amp;")") &amp; CHAR(10) &amp;
  _xlpm.vanillaPrefix &amp; "Keyword = Uvi_Wig_Distr_KYWD|" &amp; B249 &amp; CHAR(10) &amp;
  _xlpm.vanillaPrefix &amp; "Spell = " &amp; _xlpm.spell &amp; "|" &amp; B249
  )
)</f>
        <v>;Bottar
;Keyword = Uvi_Wig_Distr_KYWD|WERJ04Kid02
;Spell = No Spell for Hairstyle|WERJ04Kid02</v>
      </c>
    </row>
    <row r="250" ht="12.75" customHeight="1">
      <c r="A250" s="5" t="s">
        <v>2080</v>
      </c>
      <c r="B250" s="5" t="s">
        <v>2081</v>
      </c>
      <c r="C250" s="5" t="s">
        <v>2082</v>
      </c>
      <c r="D250" s="5" t="s">
        <v>45</v>
      </c>
      <c r="E250" s="5" t="s">
        <v>233</v>
      </c>
      <c r="F250" s="5" t="s">
        <v>91</v>
      </c>
      <c r="G250" s="14" t="str">
        <f t="array" ref="G250">IF(B250="", "",
  LET(_xlpm.spell, IFERROR(IF(F250="", "", INDEX(_xlws.FILTER(Hairstyles!$F:$F, ISNUMBER(SEARCH(F250, Hairstyles!$B:$B))), 1)), "No Spell for Hairstyle"),
  _xlpm.vanillaPrefix, IF(LEFT(_xlpm.spell, 7)="Uvi_Wig", "", ";"),
  ";" &amp; IF(C250="", B250, C250) &amp; IF(M250="", "", " ("&amp;M250&amp;")") &amp; CHAR(10) &amp;
  _xlpm.vanillaPrefix &amp; "Keyword = Uvi_Wig_Distr_KYWD|" &amp; B250 &amp; CHAR(10) &amp;
  _xlpm.vanillaPrefix &amp; "Spell = " &amp; _xlpm.spell &amp; "|" &amp; B250
  )
)</f>
        <v>;Bouncer
;Keyword = Uvi_Wig_Distr_KYWD|dunCragslaneLvlBanditGuard
;Spell = No Spell for Hairstyle|dunCragslaneLvlBanditGuard</v>
      </c>
    </row>
    <row r="251" ht="12.75" customHeight="1">
      <c r="A251" s="5" t="s">
        <v>2083</v>
      </c>
      <c r="B251" s="5" t="s">
        <v>2084</v>
      </c>
      <c r="C251" s="5" t="s">
        <v>2082</v>
      </c>
      <c r="D251" s="5" t="s">
        <v>45</v>
      </c>
      <c r="E251" s="5" t="s">
        <v>233</v>
      </c>
      <c r="F251" s="5" t="s">
        <v>1541</v>
      </c>
      <c r="G251" s="14" t="str">
        <f t="array" ref="G251">IF(B251="", "",
  LET(_xlpm.spell, IFERROR(IF(F251="", "", INDEX(_xlws.FILTER(Hairstyles!$F:$F, ISNUMBER(SEARCH(F251, Hairstyles!$B:$B))), 1)), "No Spell for Hairstyle"),
  _xlpm.vanillaPrefix, IF(LEFT(_xlpm.spell, 7)="Uvi_Wig", "", ";"),
  ";" &amp; IF(C251="", B251, C251) &amp; IF(M251="", "", " ("&amp;M251&amp;")") &amp; CHAR(10) &amp;
  _xlpm.vanillaPrefix &amp; "Keyword = Uvi_Wig_Distr_KYWD|" &amp; B251 &amp; CHAR(10) &amp;
  _xlpm.vanillaPrefix &amp; "Spell = " &amp; _xlpm.spell &amp; "|" &amp; B251
  )
)</f>
        <v>;Bouncer
;Keyword = Uvi_Wig_Distr_KYWD|dunCragslaneOutdoorGuy
;Spell = No Spell for Hairstyle|dunCragslaneOutdoorGuy</v>
      </c>
    </row>
    <row r="252" ht="12.75" customHeight="1">
      <c r="A252" s="5" t="s">
        <v>2085</v>
      </c>
      <c r="B252" s="5" t="s">
        <v>2086</v>
      </c>
      <c r="C252" s="5" t="s">
        <v>2087</v>
      </c>
      <c r="D252" s="5" t="s">
        <v>45</v>
      </c>
      <c r="E252" s="5" t="s">
        <v>233</v>
      </c>
      <c r="F252" s="5" t="s">
        <v>2088</v>
      </c>
      <c r="G252" s="14" t="str">
        <f t="array" ref="G252">IF(B252="", "",
  LET(_xlpm.spell, IFERROR(IF(F252="", "", INDEX(_xlws.FILTER(Hairstyles!$F:$F, ISNUMBER(SEARCH(F252, Hairstyles!$B:$B))), 1)), "No Spell for Hairstyle"),
  _xlpm.vanillaPrefix, IF(LEFT(_xlpm.spell, 7)="Uvi_Wig", "", ";"),
  ";" &amp; IF(C252="", B252, C252) &amp; IF(M252="", "", " ("&amp;M252&amp;")") &amp; CHAR(10) &amp;
  _xlpm.vanillaPrefix &amp; "Keyword = Uvi_Wig_Distr_KYWD|" &amp; B252 &amp; CHAR(10) &amp;
  _xlpm.vanillaPrefix &amp; "Spell = " &amp; _xlpm.spell &amp; "|" &amp; B252
  )
)</f>
        <v>;Bradyn
;Keyword = Uvi_Wig_Distr_KYWD|DLC2dunKolbjornMiner_Bradyn
;Spell = No Spell for Hairstyle|DLC2dunKolbjornMiner_Bradyn</v>
      </c>
    </row>
    <row r="253" ht="12.75" customHeight="1">
      <c r="A253" s="15" t="s">
        <v>2089</v>
      </c>
      <c r="B253" s="5" t="s">
        <v>2090</v>
      </c>
      <c r="C253" s="5" t="s">
        <v>2090</v>
      </c>
      <c r="D253" s="5" t="s">
        <v>16</v>
      </c>
      <c r="E253" s="5" t="s">
        <v>233</v>
      </c>
      <c r="F253" s="5" t="s">
        <v>1700</v>
      </c>
      <c r="G253" s="14" t="str">
        <f t="array" ref="G253">IF(B253="", "",
  LET(_xlpm.spell, IFERROR(IF(F253="", "", INDEX(_xlws.FILTER(Hairstyles!$F:$F, ISNUMBER(SEARCH(F253, Hairstyles!$B:$B))), 1)), "No Spell for Hairstyle"),
  _xlpm.vanillaPrefix, IF(LEFT(_xlpm.spell, 7)="Uvi_Wig", "", ";"),
  ";" &amp; IF(C253="", B253, C253) &amp; IF(M253="", "", " ("&amp;M253&amp;")") &amp; CHAR(10) &amp;
  _xlpm.vanillaPrefix &amp; "Keyword = Uvi_Wig_Distr_KYWD|" &amp; B253 &amp; CHAR(10) &amp;
  _xlpm.vanillaPrefix &amp; "Spell = " &amp; _xlpm.spell &amp; "|" &amp; B253
  )
)</f>
        <v>;Braig
;Keyword = Uvi_Wig_Distr_KYWD|Braig
;Spell = No Spell for Hairstyle|Braig</v>
      </c>
    </row>
    <row r="254" ht="12.75" customHeight="1">
      <c r="A254" s="5" t="s">
        <v>2091</v>
      </c>
      <c r="B254" s="5" t="s">
        <v>2092</v>
      </c>
      <c r="C254" s="5" t="s">
        <v>2092</v>
      </c>
      <c r="D254" s="5" t="s">
        <v>86</v>
      </c>
      <c r="E254" s="5" t="s">
        <v>41</v>
      </c>
      <c r="F254" s="5" t="s">
        <v>88</v>
      </c>
      <c r="G254" s="14" t="str">
        <f t="array" ref="G254">IF(B254="", "",
  LET(_xlpm.spell, IFERROR(IF(F254="", "", INDEX(_xlws.FILTER(Hairstyles!$F:$F, ISNUMBER(SEARCH(F254, Hairstyles!$B:$B))), 1)), "No Spell for Hairstyle"),
  _xlpm.vanillaPrefix, IF(LEFT(_xlpm.spell, 7)="Uvi_Wig", "", ";"),
  ";" &amp; IF(C254="", B254, C254) &amp; IF(M254="", "", " ("&amp;M254&amp;")") &amp; CHAR(10) &amp;
  _xlpm.vanillaPrefix &amp; "Keyword = Uvi_Wig_Distr_KYWD|" &amp; B254 &amp; CHAR(10) &amp;
  _xlpm.vanillaPrefix &amp; "Spell = " &amp; _xlpm.spell &amp; "|" &amp; B254
  )
)</f>
        <v>;Braith
;Keyword = Uvi_Wig_Distr_KYWD|Braith
;Spell = No Spell for Hairstyle|Braith</v>
      </c>
    </row>
    <row r="255" ht="12.75" customHeight="1">
      <c r="A255" s="5" t="s">
        <v>2093</v>
      </c>
      <c r="B255" s="5" t="s">
        <v>2094</v>
      </c>
      <c r="C255" s="5" t="s">
        <v>2095</v>
      </c>
      <c r="D255" s="5" t="s">
        <v>45</v>
      </c>
      <c r="E255" s="5" t="s">
        <v>41</v>
      </c>
      <c r="F255" s="5" t="s">
        <v>2096</v>
      </c>
      <c r="G255" s="14" t="str">
        <f t="array" ref="G255">IF(B255="", "",
  LET(_xlpm.spell, IFERROR(IF(F255="", "", INDEX(_xlws.FILTER(Hairstyles!$F:$F, ISNUMBER(SEARCH(F255, Hairstyles!$B:$B))), 1)), "No Spell for Hairstyle"),
  _xlpm.vanillaPrefix, IF(LEFT(_xlpm.spell, 7)="Uvi_Wig", "", ";"),
  ";" &amp; IF(C255="", B255, C255) &amp; IF(M255="", "", " ("&amp;M255&amp;")") &amp; CHAR(10) &amp;
  _xlpm.vanillaPrefix &amp; "Keyword = Uvi_Wig_Distr_KYWD|" &amp; B255 &amp; CHAR(10) &amp;
  _xlpm.vanillaPrefix &amp; "Spell = " &amp; _xlpm.spell &amp; "|" &amp; B255
  )
)</f>
        <v>;Bralsa Drel
;Keyword = Uvi_Wig_Distr_KYWD|DLC2RRBralsaDrel
;Spell = No Spell for Hairstyle|DLC2RRBralsaDrel</v>
      </c>
    </row>
    <row r="256" ht="12.75" customHeight="1">
      <c r="A256" s="5" t="s">
        <v>2097</v>
      </c>
      <c r="B256" s="5" t="s">
        <v>2098</v>
      </c>
      <c r="C256" s="5" t="s">
        <v>2099</v>
      </c>
      <c r="D256" s="5" t="s">
        <v>45</v>
      </c>
      <c r="E256" s="5" t="s">
        <v>233</v>
      </c>
      <c r="F256" s="5" t="s">
        <v>47</v>
      </c>
      <c r="G256" s="14" t="str">
        <f t="array" ref="G256">IF(B256="", "",
  LET(_xlpm.spell, IFERROR(IF(F256="", "", INDEX(_xlws.FILTER(Hairstyles!$F:$F, ISNUMBER(SEARCH(F256, Hairstyles!$B:$B))), 1)), "No Spell for Hairstyle"),
  _xlpm.vanillaPrefix, IF(LEFT(_xlpm.spell, 7)="Uvi_Wig", "", ";"),
  ";" &amp; IF(C256="", B256, C256) &amp; IF(M256="", "", " ("&amp;M256&amp;")") &amp; CHAR(10) &amp;
  _xlpm.vanillaPrefix &amp; "Keyword = Uvi_Wig_Distr_KYWD|" &amp; B256 &amp; CHAR(10) &amp;
  _xlpm.vanillaPrefix &amp; "Spell = " &amp; _xlpm.spell &amp; "|" &amp; B256
  )
)</f>
        <v>;Brand-Shei
;Keyword = Uvi_Wig_Distr_KYWD|BrandShei
;Spell = No Spell for Hairstyle|BrandShei</v>
      </c>
    </row>
    <row r="257" ht="12.75" customHeight="1">
      <c r="A257" s="5" t="s">
        <v>2100</v>
      </c>
      <c r="B257" s="5" t="s">
        <v>2101</v>
      </c>
      <c r="C257" s="5" t="s">
        <v>2101</v>
      </c>
      <c r="D257" s="5" t="s">
        <v>90</v>
      </c>
      <c r="E257" s="5" t="s">
        <v>41</v>
      </c>
      <c r="F257" s="5" t="s">
        <v>1691</v>
      </c>
      <c r="G257" s="14" t="str">
        <f t="array" ref="G257">IF(B257="", "",
  LET(_xlpm.spell, IFERROR(IF(F257="", "", INDEX(_xlws.FILTER(Hairstyles!$F:$F, ISNUMBER(SEARCH(F257, Hairstyles!$B:$B))), 1)), "No Spell for Hairstyle"),
  _xlpm.vanillaPrefix, IF(LEFT(_xlpm.spell, 7)="Uvi_Wig", "", ";"),
  ";" &amp; IF(C257="", B257, C257) &amp; IF(M257="", "", " ("&amp;M257&amp;")") &amp; CHAR(10) &amp;
  _xlpm.vanillaPrefix &amp; "Keyword = Uvi_Wig_Distr_KYWD|" &amp; B257 &amp; CHAR(10) &amp;
  _xlpm.vanillaPrefix &amp; "Spell = " &amp; _xlpm.spell &amp; "|" &amp; B257
  )
)</f>
        <v>;Brelas
;Keyword = Uvi_Wig_Distr_KYWD|Brelas
;Spell = No Spell for Hairstyle|Brelas</v>
      </c>
    </row>
    <row r="258" ht="12.75" customHeight="1">
      <c r="A258" s="5" t="s">
        <v>2102</v>
      </c>
      <c r="B258" s="5" t="s">
        <v>2103</v>
      </c>
      <c r="C258" s="5" t="s">
        <v>2104</v>
      </c>
      <c r="D258" s="5" t="s">
        <v>45</v>
      </c>
      <c r="E258" s="5" t="s">
        <v>41</v>
      </c>
      <c r="F258" s="5" t="s">
        <v>491</v>
      </c>
      <c r="G258" s="14" t="str">
        <f t="array" ref="G258">IF(B258="", "",
  LET(_xlpm.spell, IFERROR(IF(F258="", "", INDEX(_xlws.FILTER(Hairstyles!$F:$F, ISNUMBER(SEARCH(F258, Hairstyles!$B:$B))), 1)), "No Spell for Hairstyle"),
  _xlpm.vanillaPrefix, IF(LEFT(_xlpm.spell, 7)="Uvi_Wig", "", ";"),
  ";" &amp; IF(C258="", B258, C258) &amp; IF(M258="", "", " ("&amp;M258&amp;")") &amp; CHAR(10) &amp;
  _xlpm.vanillaPrefix &amp; "Keyword = Uvi_Wig_Distr_KYWD|" &amp; B258 &amp; CHAR(10) &amp;
  _xlpm.vanillaPrefix &amp; "Spell = " &amp; _xlpm.spell &amp; "|" &amp; B258
  )
)</f>
        <v>;Brelyna Maryon
;Keyword = Uvi_Wig_Distr_KYWD|BrelynaMaryon
;Spell = No Spell for Hairstyle|BrelynaMaryon</v>
      </c>
    </row>
    <row r="259" ht="12.75" customHeight="1">
      <c r="A259" s="5" t="s">
        <v>2105</v>
      </c>
      <c r="B259" s="5" t="s">
        <v>2106</v>
      </c>
      <c r="C259" s="5" t="s">
        <v>2106</v>
      </c>
      <c r="D259" s="5" t="s">
        <v>83</v>
      </c>
      <c r="E259" s="5" t="s">
        <v>233</v>
      </c>
      <c r="F259" s="5" t="s">
        <v>2107</v>
      </c>
      <c r="G259" s="14" t="str">
        <f t="array" ref="G259">IF(B259="", "",
  LET(_xlpm.spell, IFERROR(IF(F259="", "", INDEX(_xlws.FILTER(Hairstyles!$F:$F, ISNUMBER(SEARCH(F259, Hairstyles!$B:$B))), 1)), "No Spell for Hairstyle"),
  _xlpm.vanillaPrefix, IF(LEFT(_xlpm.spell, 7)="Uvi_Wig", "", ";"),
  ";" &amp; IF(C259="", B259, C259) &amp; IF(M259="", "", " ("&amp;M259&amp;")") &amp; CHAR(10) &amp;
  _xlpm.vanillaPrefix &amp; "Keyword = Uvi_Wig_Distr_KYWD|" &amp; B259 &amp; CHAR(10) &amp;
  _xlpm.vanillaPrefix &amp; "Spell = " &amp; _xlpm.spell &amp; "|" &amp; B259
  )
)</f>
        <v>;Brenuin
;Keyword = Uvi_Wig_Distr_KYWD|Brenuin
;Spell = No Spell for Hairstyle|Brenuin</v>
      </c>
    </row>
    <row r="260" ht="12.75" customHeight="1">
      <c r="A260" s="5" t="s">
        <v>2108</v>
      </c>
      <c r="B260" s="5" t="s">
        <v>2109</v>
      </c>
      <c r="C260" s="5" t="s">
        <v>16</v>
      </c>
      <c r="D260" s="5" t="s">
        <v>16</v>
      </c>
      <c r="E260" s="5" t="s">
        <v>41</v>
      </c>
      <c r="F260" s="5" t="s">
        <v>1557</v>
      </c>
      <c r="G260" s="14" t="str">
        <f t="array" ref="G260">IF(B260="", "",
  LET(_xlpm.spell, IFERROR(IF(F260="", "", INDEX(_xlws.FILTER(Hairstyles!$F:$F, ISNUMBER(SEARCH(F260, Hairstyles!$B:$B))), 1)), "No Spell for Hairstyle"),
  _xlpm.vanillaPrefix, IF(LEFT(_xlpm.spell, 7)="Uvi_Wig", "", ";"),
  ";" &amp; IF(C260="", B260, C260) &amp; IF(M260="", "", " ("&amp;M260&amp;")") &amp; CHAR(10) &amp;
  _xlpm.vanillaPrefix &amp; "Keyword = Uvi_Wig_Distr_KYWD|" &amp; B260 &amp; CHAR(10) &amp;
  _xlpm.vanillaPrefix &amp; "Spell = " &amp; _xlpm.spell &amp; "|" &amp; B260
  )
)</f>
        <v>;Breton
;Keyword = Uvi_Wig_Distr_KYWD|DLC1dunDarkfallTreasCorpse01
;Spell = No Spell for Hairstyle|DLC1dunDarkfallTreasCorpse01</v>
      </c>
    </row>
    <row r="261" ht="12.75" customHeight="1">
      <c r="A261" s="5" t="s">
        <v>2110</v>
      </c>
      <c r="B261" s="5" t="s">
        <v>2111</v>
      </c>
      <c r="C261" s="5" t="s">
        <v>16</v>
      </c>
      <c r="D261" s="5" t="s">
        <v>16</v>
      </c>
      <c r="E261" s="5" t="s">
        <v>41</v>
      </c>
      <c r="F261" s="5" t="s">
        <v>1557</v>
      </c>
      <c r="G261" s="14" t="str">
        <f t="array" ref="G261">IF(B261="", "",
  LET(_xlpm.spell, IFERROR(IF(F261="", "", INDEX(_xlws.FILTER(Hairstyles!$F:$F, ISNUMBER(SEARCH(F261, Hairstyles!$B:$B))), 1)), "No Spell for Hairstyle"),
  _xlpm.vanillaPrefix, IF(LEFT(_xlpm.spell, 7)="Uvi_Wig", "", ";"),
  ";" &amp; IF(C261="", B261, C261) &amp; IF(M261="", "", " ("&amp;M261&amp;")") &amp; CHAR(10) &amp;
  _xlpm.vanillaPrefix &amp; "Keyword = Uvi_Wig_Distr_KYWD|" &amp; B261 &amp; CHAR(10) &amp;
  _xlpm.vanillaPrefix &amp; "Spell = " &amp; _xlpm.spell &amp; "|" &amp; B261
  )
)</f>
        <v>;Breton
;Keyword = Uvi_Wig_Distr_KYWD|TreasCorpseCommonerBretonFemale
;Spell = No Spell for Hairstyle|TreasCorpseCommonerBretonFemale</v>
      </c>
    </row>
    <row r="262" ht="12.75" customHeight="1">
      <c r="A262" s="5" t="s">
        <v>2112</v>
      </c>
      <c r="B262" s="5" t="s">
        <v>2113</v>
      </c>
      <c r="C262" s="5" t="s">
        <v>16</v>
      </c>
      <c r="D262" s="5" t="s">
        <v>16</v>
      </c>
      <c r="E262" s="5" t="s">
        <v>233</v>
      </c>
      <c r="F262" s="5" t="s">
        <v>1678</v>
      </c>
      <c r="G262" s="14" t="str">
        <f t="array" ref="G262">IF(B262="", "",
  LET(_xlpm.spell, IFERROR(IF(F262="", "", INDEX(_xlws.FILTER(Hairstyles!$F:$F, ISNUMBER(SEARCH(F262, Hairstyles!$B:$B))), 1)), "No Spell for Hairstyle"),
  _xlpm.vanillaPrefix, IF(LEFT(_xlpm.spell, 7)="Uvi_Wig", "", ";"),
  ";" &amp; IF(C262="", B262, C262) &amp; IF(M262="", "", " ("&amp;M262&amp;")") &amp; CHAR(10) &amp;
  _xlpm.vanillaPrefix &amp; "Keyword = Uvi_Wig_Distr_KYWD|" &amp; B262 &amp; CHAR(10) &amp;
  _xlpm.vanillaPrefix &amp; "Spell = " &amp; _xlpm.spell &amp; "|" &amp; B262
  )
)</f>
        <v>;Breton
;Keyword = Uvi_Wig_Distr_KYWD|TreasCorpseCommonerBretonMale
;Spell = No Spell for Hairstyle|TreasCorpseCommonerBretonMale</v>
      </c>
    </row>
    <row r="263" ht="12.75" customHeight="1">
      <c r="A263" s="5" t="s">
        <v>2114</v>
      </c>
      <c r="B263" s="5" t="s">
        <v>2115</v>
      </c>
      <c r="C263" s="5" t="s">
        <v>16</v>
      </c>
      <c r="D263" s="5" t="s">
        <v>16</v>
      </c>
      <c r="E263" s="5" t="s">
        <v>233</v>
      </c>
      <c r="F263" s="5" t="s">
        <v>1700</v>
      </c>
      <c r="G263" s="14" t="str">
        <f t="array" ref="G263">IF(B263="", "",
  LET(_xlpm.spell, IFERROR(IF(F263="", "", INDEX(_xlws.FILTER(Hairstyles!$F:$F, ISNUMBER(SEARCH(F263, Hairstyles!$B:$B))), 1)), "No Spell for Hairstyle"),
  _xlpm.vanillaPrefix, IF(LEFT(_xlpm.spell, 7)="Uvi_Wig", "", ";"),
  ";" &amp; IF(C263="", B263, C263) &amp; IF(M263="", "", " ("&amp;M263&amp;")") &amp; CHAR(10) &amp;
  _xlpm.vanillaPrefix &amp; "Keyword = Uvi_Wig_Distr_KYWD|" &amp; B263 &amp; CHAR(10) &amp;
  _xlpm.vanillaPrefix &amp; "Spell = " &amp; _xlpm.spell &amp; "|" &amp; B263
  )
)</f>
        <v>;Breton
;Keyword = Uvi_Wig_Distr_KYWD|WEAdventurerBattlemageBretonM
;Spell = No Spell for Hairstyle|WEAdventurerBattlemageBretonM</v>
      </c>
    </row>
    <row r="264" ht="12.75" customHeight="1">
      <c r="A264" s="5" t="s">
        <v>2116</v>
      </c>
      <c r="B264" s="5" t="s">
        <v>2117</v>
      </c>
      <c r="C264" s="5" t="s">
        <v>16</v>
      </c>
      <c r="D264" s="5" t="s">
        <v>16</v>
      </c>
      <c r="E264" s="5" t="s">
        <v>41</v>
      </c>
      <c r="F264" s="5" t="s">
        <v>2118</v>
      </c>
      <c r="G264" s="14" t="str">
        <f t="array" ref="G264">IF(B264="", "",
  LET(_xlpm.spell, IFERROR(IF(F264="", "", INDEX(_xlws.FILTER(Hairstyles!$F:$F, ISNUMBER(SEARCH(F264, Hairstyles!$B:$B))), 1)), "No Spell for Hairstyle"),
  _xlpm.vanillaPrefix, IF(LEFT(_xlpm.spell, 7)="Uvi_Wig", "", ";"),
  ";" &amp; IF(C264="", B264, C264) &amp; IF(M264="", "", " ("&amp;M264&amp;")") &amp; CHAR(10) &amp;
  _xlpm.vanillaPrefix &amp; "Keyword = Uvi_Wig_Distr_KYWD|" &amp; B264 &amp; CHAR(10) &amp;
  _xlpm.vanillaPrefix &amp; "Spell = " &amp; _xlpm.spell &amp; "|" &amp; B264
  )
)</f>
        <v>;Breton
;Keyword = Uvi_Wig_Distr_KYWD|WEAdventurerSpellswordBretonF
;Spell = No Spell for Hairstyle|WEAdventurerSpellswordBretonF</v>
      </c>
    </row>
    <row r="265" ht="12.75" customHeight="1">
      <c r="A265" s="5" t="s">
        <v>2119</v>
      </c>
      <c r="B265" s="5" t="s">
        <v>2120</v>
      </c>
      <c r="C265" s="5" t="s">
        <v>16</v>
      </c>
      <c r="D265" s="5" t="s">
        <v>16</v>
      </c>
      <c r="E265" s="5" t="s">
        <v>233</v>
      </c>
      <c r="F265" s="5" t="s">
        <v>40</v>
      </c>
      <c r="G265" s="14" t="str">
        <f t="array" ref="G265">IF(B265="", "",
  LET(_xlpm.spell, IFERROR(IF(F265="", "", INDEX(_xlws.FILTER(Hairstyles!$F:$F, ISNUMBER(SEARCH(F265, Hairstyles!$B:$B))), 1)), "No Spell for Hairstyle"),
  _xlpm.vanillaPrefix, IF(LEFT(_xlpm.spell, 7)="Uvi_Wig", "", ";"),
  ";" &amp; IF(C265="", B265, C265) &amp; IF(M265="", "", " ("&amp;M265&amp;")") &amp; CHAR(10) &amp;
  _xlpm.vanillaPrefix &amp; "Keyword = Uvi_Wig_Distr_KYWD|" &amp; B265 &amp; CHAR(10) &amp;
  _xlpm.vanillaPrefix &amp; "Spell = " &amp; _xlpm.spell &amp; "|" &amp; B265
  )
)</f>
        <v>;Breton
;Keyword = Uvi_Wig_Distr_KYWD|WEAdventurerSpellswordBretonM
;Spell = No Spell for Hairstyle|WEAdventurerSpellswordBretonM</v>
      </c>
    </row>
    <row r="266" ht="12.75" customHeight="1">
      <c r="A266" s="5" t="s">
        <v>2121</v>
      </c>
      <c r="B266" s="5" t="s">
        <v>2122</v>
      </c>
      <c r="C266" s="5" t="s">
        <v>2122</v>
      </c>
      <c r="D266" s="5" t="s">
        <v>38</v>
      </c>
      <c r="E266" s="5" t="s">
        <v>41</v>
      </c>
      <c r="F266" s="5" t="s">
        <v>862</v>
      </c>
      <c r="G266" s="14" t="str">
        <f t="array" ref="G266">IF(B266="", "",
  LET(_xlpm.spell, IFERROR(IF(F266="", "", INDEX(_xlws.FILTER(Hairstyles!$F:$F, ISNUMBER(SEARCH(F266, Hairstyles!$B:$B))), 1)), "No Spell for Hairstyle"),
  _xlpm.vanillaPrefix, IF(LEFT(_xlpm.spell, 7)="Uvi_Wig", "", ";"),
  ";" &amp; IF(C266="", B266, C266) &amp; IF(M266="", "", " ("&amp;M266&amp;")") &amp; CHAR(10) &amp;
  _xlpm.vanillaPrefix &amp; "Keyword = Uvi_Wig_Distr_KYWD|" &amp; B266 &amp; CHAR(10) &amp;
  _xlpm.vanillaPrefix &amp; "Spell = " &amp; _xlpm.spell &amp; "|" &amp; B266
  )
)</f>
        <v>;Breya
;Keyword = Uvi_Wig_Distr_KYWD|Breya
;Spell = No Spell for Hairstyle|Breya</v>
      </c>
    </row>
    <row r="267" ht="12.75" customHeight="1">
      <c r="A267" s="5" t="s">
        <v>2123</v>
      </c>
      <c r="B267" s="5" t="s">
        <v>2124</v>
      </c>
      <c r="C267" s="5" t="s">
        <v>2122</v>
      </c>
      <c r="D267" s="5" t="s">
        <v>38</v>
      </c>
      <c r="E267" s="5" t="s">
        <v>41</v>
      </c>
      <c r="F267" s="5" t="s">
        <v>862</v>
      </c>
      <c r="G267" s="14" t="str">
        <f t="array" ref="G267">IF(B267="", "",
  LET(_xlpm.spell, IFERROR(IF(F267="", "", INDEX(_xlws.FILTER(Hairstyles!$F:$F, ISNUMBER(SEARCH(F267, Hairstyles!$B:$B))), 1)), "No Spell for Hairstyle"),
  _xlpm.vanillaPrefix, IF(LEFT(_xlpm.spell, 7)="Uvi_Wig", "", ";"),
  ";" &amp; IF(C267="", B267, C267) &amp; IF(M267="", "", " ("&amp;M267&amp;")") &amp; CHAR(10) &amp;
  _xlpm.vanillaPrefix &amp; "Keyword = Uvi_Wig_Distr_KYWD|" &amp; B267 &amp; CHAR(10) &amp;
  _xlpm.vanillaPrefix &amp; "Spell = " &amp; _xlpm.spell &amp; "|" &amp; B267
  )
)</f>
        <v>;Breya
;Keyword = Uvi_Wig_Distr_KYWD|BreyaCorpse
;Spell = No Spell for Hairstyle|BreyaCorpse</v>
      </c>
    </row>
    <row r="268" ht="12.75" customHeight="1">
      <c r="A268" s="5" t="s">
        <v>2125</v>
      </c>
      <c r="B268" s="5" t="s">
        <v>2126</v>
      </c>
      <c r="C268" s="5" t="s">
        <v>2126</v>
      </c>
      <c r="D268" s="5" t="s">
        <v>38</v>
      </c>
      <c r="E268" s="5" t="s">
        <v>233</v>
      </c>
      <c r="F268" s="5" t="s">
        <v>68</v>
      </c>
      <c r="G268" s="14" t="str">
        <f t="array" ref="G268">IF(B268="", "",
  LET(_xlpm.spell, IFERROR(IF(F268="", "", INDEX(_xlws.FILTER(Hairstyles!$F:$F, ISNUMBER(SEARCH(F268, Hairstyles!$B:$B))), 1)), "No Spell for Hairstyle"),
  _xlpm.vanillaPrefix, IF(LEFT(_xlpm.spell, 7)="Uvi_Wig", "", ";"),
  ";" &amp; IF(C268="", B268, C268) &amp; IF(M268="", "", " ("&amp;M268&amp;")") &amp; CHAR(10) &amp;
  _xlpm.vanillaPrefix &amp; "Keyword = Uvi_Wig_Distr_KYWD|" &amp; B268 &amp; CHAR(10) &amp;
  _xlpm.vanillaPrefix &amp; "Spell = " &amp; _xlpm.spell &amp; "|" &amp; B268
  )
)</f>
        <v>;Briehl
;Keyword = Uvi_Wig_Distr_KYWD|Briehl
;Spell = No Spell for Hairstyle|Briehl</v>
      </c>
    </row>
    <row r="269" ht="12.75" customHeight="1">
      <c r="A269" s="5" t="s">
        <v>2127</v>
      </c>
      <c r="B269" s="5" t="s">
        <v>2128</v>
      </c>
      <c r="C269" s="5" t="s">
        <v>2128</v>
      </c>
      <c r="D269" s="5" t="s">
        <v>38</v>
      </c>
      <c r="E269" s="5" t="s">
        <v>233</v>
      </c>
      <c r="F269" s="5" t="s">
        <v>1709</v>
      </c>
      <c r="G269" s="14" t="str">
        <f t="array" ref="G269">IF(B269="", "",
  LET(_xlpm.spell, IFERROR(IF(F269="", "", INDEX(_xlws.FILTER(Hairstyles!$F:$F, ISNUMBER(SEARCH(F269, Hairstyles!$B:$B))), 1)), "No Spell for Hairstyle"),
  _xlpm.vanillaPrefix, IF(LEFT(_xlpm.spell, 7)="Uvi_Wig", "", ";"),
  ";" &amp; IF(C269="", B269, C269) &amp; IF(M269="", "", " ("&amp;M269&amp;")") &amp; CHAR(10) &amp;
  _xlpm.vanillaPrefix &amp; "Keyword = Uvi_Wig_Distr_KYWD|" &amp; B269 &amp; CHAR(10) &amp;
  _xlpm.vanillaPrefix &amp; "Spell = " &amp; _xlpm.spell &amp; "|" &amp; B269
  )
)</f>
        <v>;Brill
;Keyword = Uvi_Wig_Distr_KYWD|Brill
;Spell = No Spell for Hairstyle|Brill</v>
      </c>
    </row>
    <row r="270" ht="12.75" customHeight="1">
      <c r="A270" s="5" t="s">
        <v>2129</v>
      </c>
      <c r="B270" s="5" t="s">
        <v>2130</v>
      </c>
      <c r="C270" s="5" t="s">
        <v>2131</v>
      </c>
      <c r="D270" s="5" t="s">
        <v>38</v>
      </c>
      <c r="E270" s="5" t="s">
        <v>41</v>
      </c>
      <c r="F270" s="5" t="s">
        <v>1694</v>
      </c>
      <c r="G270" s="14" t="str">
        <f t="array" ref="G270">IF(B270="", "",
  LET(_xlpm.spell, IFERROR(IF(F270="", "", INDEX(_xlws.FILTER(Hairstyles!$F:$F, ISNUMBER(SEARCH(F270, Hairstyles!$B:$B))), 1)), "No Spell for Hairstyle"),
  _xlpm.vanillaPrefix, IF(LEFT(_xlpm.spell, 7)="Uvi_Wig", "", ";"),
  ";" &amp; IF(C270="", B270, C270) &amp; IF(M270="", "", " ("&amp;M270&amp;")") &amp; CHAR(10) &amp;
  _xlpm.vanillaPrefix &amp; "Keyword = Uvi_Wig_Distr_KYWD|" &amp; B270 &amp; CHAR(10) &amp;
  _xlpm.vanillaPrefix &amp; "Spell = " &amp; _xlpm.spell &amp; "|" &amp; B270
  )
)</f>
        <v>;Brina Merilis
;Keyword = Uvi_Wig_Distr_KYWD|BrinaMerilis
;Spell = No Spell for Hairstyle|BrinaMerilis</v>
      </c>
    </row>
    <row r="271" ht="12.75" customHeight="1">
      <c r="A271" s="5" t="s">
        <v>2132</v>
      </c>
      <c r="B271" s="5" t="s">
        <v>2133</v>
      </c>
      <c r="C271" s="5" t="s">
        <v>2133</v>
      </c>
      <c r="D271" s="5" t="s">
        <v>74</v>
      </c>
      <c r="E271" s="5" t="s">
        <v>41</v>
      </c>
      <c r="F271" s="5" t="s">
        <v>62</v>
      </c>
      <c r="G271" s="14" t="str">
        <f t="array" ref="G271">IF(B271="", "",
  LET(_xlpm.spell, IFERROR(IF(F271="", "", INDEX(_xlws.FILTER(Hairstyles!$F:$F, ISNUMBER(SEARCH(F271, Hairstyles!$B:$B))), 1)), "No Spell for Hairstyle"),
  _xlpm.vanillaPrefix, IF(LEFT(_xlpm.spell, 7)="Uvi_Wig", "", ";"),
  ";" &amp; IF(C271="", B271, C271) &amp; IF(M271="", "", " ("&amp;M271&amp;")") &amp; CHAR(10) &amp;
  _xlpm.vanillaPrefix &amp; "Keyword = Uvi_Wig_Distr_KYWD|" &amp; B271 &amp; CHAR(10) &amp;
  _xlpm.vanillaPrefix &amp; "Spell = " &amp; _xlpm.spell &amp; "|" &amp; B271
  )
)</f>
        <v>;Britte
;Keyword = Uvi_Wig_Distr_KYWD|Britte
;Spell = No Spell for Hairstyle|Britte</v>
      </c>
    </row>
    <row r="272" ht="12.75" customHeight="1">
      <c r="A272" s="15" t="s">
        <v>2134</v>
      </c>
      <c r="B272" s="5" t="s">
        <v>2135</v>
      </c>
      <c r="C272" s="5" t="s">
        <v>2135</v>
      </c>
      <c r="D272" s="5" t="s">
        <v>38</v>
      </c>
      <c r="E272" s="5" t="s">
        <v>233</v>
      </c>
      <c r="F272" s="5" t="s">
        <v>40</v>
      </c>
      <c r="G272" s="14" t="str">
        <f t="array" ref="G272">IF(B272="", "",
  LET(_xlpm.spell, IFERROR(IF(F272="", "", INDEX(_xlws.FILTER(Hairstyles!$F:$F, ISNUMBER(SEARCH(F272, Hairstyles!$B:$B))), 1)), "No Spell for Hairstyle"),
  _xlpm.vanillaPrefix, IF(LEFT(_xlpm.spell, 7)="Uvi_Wig", "", ";"),
  ";" &amp; IF(C272="", B272, C272) &amp; IF(M272="", "", " ("&amp;M272&amp;")") &amp; CHAR(10) &amp;
  _xlpm.vanillaPrefix &amp; "Keyword = Uvi_Wig_Distr_KYWD|" &amp; B272 &amp; CHAR(10) &amp;
  _xlpm.vanillaPrefix &amp; "Spell = " &amp; _xlpm.spell &amp; "|" &amp; B272
  )
)</f>
        <v>;Brond
;Keyword = Uvi_Wig_Distr_KYWD|Brond
;Spell = No Spell for Hairstyle|Brond</v>
      </c>
    </row>
    <row r="273" ht="12.75" customHeight="1">
      <c r="A273" s="5" t="s">
        <v>2136</v>
      </c>
      <c r="B273" s="5" t="s">
        <v>2137</v>
      </c>
      <c r="C273" s="5" t="s">
        <v>2138</v>
      </c>
      <c r="D273" s="5" t="s">
        <v>59</v>
      </c>
      <c r="E273" s="5" t="s">
        <v>233</v>
      </c>
      <c r="F273" s="5" t="s">
        <v>19</v>
      </c>
      <c r="G273" s="14" t="str">
        <f t="array" ref="G273">IF(B273="", "",
  LET(_xlpm.spell, IFERROR(IF(F273="", "", INDEX(_xlws.FILTER(Hairstyles!$F:$F, ISNUMBER(SEARCH(F273, Hairstyles!$B:$B))), 1)), "No Spell for Hairstyle"),
  _xlpm.vanillaPrefix, IF(LEFT(_xlpm.spell, 7)="Uvi_Wig", "", ";"),
  ";" &amp; IF(C273="", B273, C273) &amp; IF(M273="", "", " ("&amp;M273&amp;")") &amp; CHAR(10) &amp;
  _xlpm.vanillaPrefix &amp; "Keyword = Uvi_Wig_Distr_KYWD|" &amp; B273 &amp; CHAR(10) &amp;
  _xlpm.vanillaPrefix &amp; "Spell = " &amp; _xlpm.spell &amp; "|" &amp; B273
  )
)</f>
        <v>;Brother Verulus
;Keyword = Uvi_Wig_Distr_KYWD|BrotherVerulus
;Spell = No Spell for Hairstyle|BrotherVerulus</v>
      </c>
    </row>
    <row r="274" ht="12.75" customHeight="1">
      <c r="A274" s="15" t="s">
        <v>2139</v>
      </c>
      <c r="B274" s="5" t="s">
        <v>2140</v>
      </c>
      <c r="C274" s="5" t="s">
        <v>2141</v>
      </c>
      <c r="D274" s="5" t="s">
        <v>38</v>
      </c>
      <c r="E274" s="5" t="s">
        <v>233</v>
      </c>
      <c r="F274" s="5" t="s">
        <v>218</v>
      </c>
      <c r="G274" s="14" t="str">
        <f t="array" ref="G274">IF(B274="", "",
  LET(_xlpm.spell, IFERROR(IF(F274="", "", INDEX(_xlws.FILTER(Hairstyles!$F:$F, ISNUMBER(SEARCH(F274, Hairstyles!$B:$B))), 1)), "No Spell for Hairstyle"),
  _xlpm.vanillaPrefix, IF(LEFT(_xlpm.spell, 7)="Uvi_Wig", "", ";"),
  ";" &amp; IF(C274="", B274, C274) &amp; IF(M274="", "", " ("&amp;M274&amp;")") &amp; CHAR(10) &amp;
  _xlpm.vanillaPrefix &amp; "Keyword = Uvi_Wig_Distr_KYWD|" &amp; B274 &amp; CHAR(10) &amp;
  _xlpm.vanillaPrefix &amp; "Spell = " &amp; _xlpm.spell &amp; "|" &amp; B274
  )
)</f>
        <v>;Brunwulf Free-Winter
;Keyword = Uvi_Wig_Distr_KYWD|Brunwulf
;Spell = No Spell for Hairstyle|Brunwulf</v>
      </c>
    </row>
    <row r="275" ht="12.75" customHeight="1">
      <c r="A275" s="15" t="s">
        <v>2142</v>
      </c>
      <c r="B275" s="5" t="s">
        <v>2143</v>
      </c>
      <c r="C275" s="5" t="s">
        <v>2143</v>
      </c>
      <c r="D275" s="5" t="s">
        <v>38</v>
      </c>
      <c r="E275" s="5" t="s">
        <v>41</v>
      </c>
      <c r="F275" s="5" t="s">
        <v>2118</v>
      </c>
      <c r="G275" s="14" t="str">
        <f t="array" ref="G275">IF(B275="", "",
  LET(_xlpm.spell, IFERROR(IF(F275="", "", INDEX(_xlws.FILTER(Hairstyles!$F:$F, ISNUMBER(SEARCH(F275, Hairstyles!$B:$B))), 1)), "No Spell for Hairstyle"),
  _xlpm.vanillaPrefix, IF(LEFT(_xlpm.spell, 7)="Uvi_Wig", "", ";"),
  ";" &amp; IF(C275="", B275, C275) &amp; IF(M275="", "", " ("&amp;M275&amp;")") &amp; CHAR(10) &amp;
  _xlpm.vanillaPrefix &amp; "Keyword = Uvi_Wig_Distr_KYWD|" &amp; B275 &amp; CHAR(10) &amp;
  _xlpm.vanillaPrefix &amp; "Spell = " &amp; _xlpm.spell &amp; "|" &amp; B275
  )
)</f>
        <v>;Bryling
;Keyword = Uvi_Wig_Distr_KYWD|Bryling
;Spell = No Spell for Hairstyle|Bryling</v>
      </c>
    </row>
    <row r="276" ht="12.75" customHeight="1">
      <c r="A276" s="5" t="s">
        <v>2144</v>
      </c>
      <c r="B276" s="5" t="s">
        <v>2145</v>
      </c>
      <c r="C276" s="5" t="s">
        <v>2145</v>
      </c>
      <c r="D276" s="5" t="s">
        <v>38</v>
      </c>
      <c r="E276" s="5" t="s">
        <v>233</v>
      </c>
      <c r="F276" s="5" t="s">
        <v>40</v>
      </c>
      <c r="G276" s="14" t="str">
        <f t="array" ref="G276">IF(B276="", "",
  LET(_xlpm.spell, IFERROR(IF(F276="", "", INDEX(_xlws.FILTER(Hairstyles!$F:$F, ISNUMBER(SEARCH(F276, Hairstyles!$B:$B))), 1)), "No Spell for Hairstyle"),
  _xlpm.vanillaPrefix, IF(LEFT(_xlpm.spell, 7)="Uvi_Wig", "", ";"),
  ";" &amp; IF(C276="", B276, C276) &amp; IF(M276="", "", " ("&amp;M276&amp;")") &amp; CHAR(10) &amp;
  _xlpm.vanillaPrefix &amp; "Keyword = Uvi_Wig_Distr_KYWD|" &amp; B276 &amp; CHAR(10) &amp;
  _xlpm.vanillaPrefix &amp; "Spell = " &amp; _xlpm.spell &amp; "|" &amp; B276
  )
)</f>
        <v>;Brynjolf
;Keyword = Uvi_Wig_Distr_KYWD|Brynjolf
;Spell = No Spell for Hairstyle|Brynjolf</v>
      </c>
    </row>
    <row r="277" ht="12.75" customHeight="1">
      <c r="A277" s="5" t="s">
        <v>2146</v>
      </c>
      <c r="B277" s="5" t="s">
        <v>2147</v>
      </c>
      <c r="C277" s="5" t="s">
        <v>2148</v>
      </c>
      <c r="D277" s="5" t="s">
        <v>38</v>
      </c>
      <c r="E277" s="5" t="s">
        <v>41</v>
      </c>
      <c r="F277" s="5" t="s">
        <v>281</v>
      </c>
      <c r="G277" s="14" t="str">
        <f t="array" ref="G277">IF(B277="", "",
  LET(_xlpm.spell, IFERROR(IF(F277="", "", INDEX(_xlws.FILTER(Hairstyles!$F:$F, ISNUMBER(SEARCH(F277, Hairstyles!$B:$B))), 1)), "No Spell for Hairstyle"),
  _xlpm.vanillaPrefix, IF(LEFT(_xlpm.spell, 7)="Uvi_Wig", "", ";"),
  ";" &amp; IF(C277="", B277, C277) &amp; IF(M277="", "", " ("&amp;M277&amp;")") &amp; CHAR(10) &amp;
  _xlpm.vanillaPrefix &amp; "Keyword = Uvi_Wig_Distr_KYWD|" &amp; B277 &amp; CHAR(10) &amp;
  _xlpm.vanillaPrefix &amp; "Spell = " &amp; _xlpm.spell &amp; "|" &amp; B277
  )
)</f>
        <v>;Bujold the Intrepid
;Keyword = Uvi_Wig_Distr_KYWD|DLC2Bujold
;Spell = No Spell for Hairstyle|DLC2Bujold</v>
      </c>
    </row>
    <row r="278" ht="12.75" customHeight="1">
      <c r="A278" s="15" t="s">
        <v>2149</v>
      </c>
      <c r="B278" s="5" t="s">
        <v>2150</v>
      </c>
      <c r="C278" s="5" t="s">
        <v>2150</v>
      </c>
      <c r="D278" s="5" t="s">
        <v>38</v>
      </c>
      <c r="E278" s="5" t="s">
        <v>233</v>
      </c>
      <c r="F278" s="5" t="s">
        <v>1906</v>
      </c>
      <c r="G278" s="14" t="str">
        <f t="array" ref="G278">IF(B278="", "",
  LET(_xlpm.spell, IFERROR(IF(F278="", "", INDEX(_xlws.FILTER(Hairstyles!$F:$F, ISNUMBER(SEARCH(F278, Hairstyles!$B:$B))), 1)), "No Spell for Hairstyle"),
  _xlpm.vanillaPrefix, IF(LEFT(_xlpm.spell, 7)="Uvi_Wig", "", ";"),
  ";" &amp; IF(C278="", B278, C278) &amp; IF(M278="", "", " ("&amp;M278&amp;")") &amp; CHAR(10) &amp;
  _xlpm.vanillaPrefix &amp; "Keyword = Uvi_Wig_Distr_KYWD|" &amp; B278 &amp; CHAR(10) &amp;
  _xlpm.vanillaPrefix &amp; "Spell = " &amp; _xlpm.spell &amp; "|" &amp; B278
  )
)</f>
        <v>;Bulfrek
;Keyword = Uvi_Wig_Distr_KYWD|Bulfrek
;Spell = No Spell for Hairstyle|Bulfrek</v>
      </c>
    </row>
    <row r="279" ht="12.75" customHeight="1">
      <c r="A279" s="5" t="s">
        <v>2151</v>
      </c>
      <c r="B279" s="5" t="s">
        <v>2152</v>
      </c>
      <c r="C279" s="5" t="s">
        <v>2153</v>
      </c>
      <c r="D279" s="5" t="s">
        <v>45</v>
      </c>
      <c r="E279" s="5" t="s">
        <v>233</v>
      </c>
      <c r="F279" s="5" t="s">
        <v>91</v>
      </c>
      <c r="G279" s="14" t="str">
        <f t="array" ref="G279">IF(B279="", "",
  LET(_xlpm.spell, IFERROR(IF(F279="", "", INDEX(_xlws.FILTER(Hairstyles!$F:$F, ISNUMBER(SEARCH(F279, Hairstyles!$B:$B))), 1)), "No Spell for Hairstyle"),
  _xlpm.vanillaPrefix, IF(LEFT(_xlpm.spell, 7)="Uvi_Wig", "", ";"),
  ";" &amp; IF(C279="", B279, C279) &amp; IF(M279="", "", " ("&amp;M279&amp;")") &amp; CHAR(10) &amp;
  _xlpm.vanillaPrefix &amp; "Keyword = Uvi_Wig_Distr_KYWD|" &amp; B279 &amp; CHAR(10) &amp;
  _xlpm.vanillaPrefix &amp; "Spell = " &amp; _xlpm.spell &amp; "|" &amp; B279
  )
)</f>
        <v>;Butcher
;Keyword = Uvi_Wig_Distr_KYWD|dunCragslaneButcher
;Spell = No Spell for Hairstyle|dunCragslaneButcher</v>
      </c>
    </row>
    <row r="280" ht="12.75" customHeight="1">
      <c r="A280" s="5" t="s">
        <v>2154</v>
      </c>
      <c r="B280" s="5" t="s">
        <v>2155</v>
      </c>
      <c r="C280" s="5" t="s">
        <v>2155</v>
      </c>
      <c r="D280" s="5" t="s">
        <v>16</v>
      </c>
      <c r="E280" s="5" t="s">
        <v>41</v>
      </c>
      <c r="F280" s="5" t="s">
        <v>1996</v>
      </c>
      <c r="G280" s="14" t="str">
        <f t="array" ref="G280">IF(B280="", "",
  LET(_xlpm.spell, IFERROR(IF(F280="", "", INDEX(_xlws.FILTER(Hairstyles!$F:$F, ISNUMBER(SEARCH(F280, Hairstyles!$B:$B))), 1)), "No Spell for Hairstyle"),
  _xlpm.vanillaPrefix, IF(LEFT(_xlpm.spell, 7)="Uvi_Wig", "", ";"),
  ";" &amp; IF(C280="", B280, C280) &amp; IF(M280="", "", " ("&amp;M280&amp;")") &amp; CHAR(10) &amp;
  _xlpm.vanillaPrefix &amp; "Keyword = Uvi_Wig_Distr_KYWD|" &amp; B280 &amp; CHAR(10) &amp;
  _xlpm.vanillaPrefix &amp; "Spell = " &amp; _xlpm.spell &amp; "|" &amp; B280
  )
)</f>
        <v>;Cairine
;Keyword = Uvi_Wig_Distr_KYWD|Cairine
;Spell = No Spell for Hairstyle|Cairine</v>
      </c>
    </row>
    <row r="281" ht="12.75" customHeight="1">
      <c r="A281" s="5" t="s">
        <v>2156</v>
      </c>
      <c r="B281" s="5" t="s">
        <v>2157</v>
      </c>
      <c r="C281" s="5" t="s">
        <v>2157</v>
      </c>
      <c r="D281" s="5" t="s">
        <v>57</v>
      </c>
      <c r="E281" s="5" t="s">
        <v>233</v>
      </c>
      <c r="F281" s="5" t="s">
        <v>47</v>
      </c>
      <c r="G281" s="14" t="str">
        <f t="array" ref="G281">IF(B281="", "",
  LET(_xlpm.spell, IFERROR(IF(F281="", "", INDEX(_xlws.FILTER(Hairstyles!$F:$F, ISNUMBER(SEARCH(F281, Hairstyles!$B:$B))), 1)), "No Spell for Hairstyle"),
  _xlpm.vanillaPrefix, IF(LEFT(_xlpm.spell, 7)="Uvi_Wig", "", ";"),
  ";" &amp; IF(C281="", B281, C281) &amp; IF(M281="", "", " ("&amp;M281&amp;")") &amp; CHAR(10) &amp;
  _xlpm.vanillaPrefix &amp; "Keyword = Uvi_Wig_Distr_KYWD|" &amp; B281 &amp; CHAR(10) &amp;
  _xlpm.vanillaPrefix &amp; "Spell = " &amp; _xlpm.spell &amp; "|" &amp; B281
  )
)</f>
        <v>;Calcelmo
;Keyword = Uvi_Wig_Distr_KYWD|Calcelmo
;Spell = No Spell for Hairstyle|Calcelmo</v>
      </c>
    </row>
    <row r="282" ht="12.75" customHeight="1">
      <c r="A282" s="5" t="s">
        <v>2158</v>
      </c>
      <c r="B282" s="5" t="s">
        <v>2159</v>
      </c>
      <c r="C282" s="5" t="s">
        <v>2160</v>
      </c>
      <c r="D282" s="5" t="s">
        <v>38</v>
      </c>
      <c r="E282" s="5" t="s">
        <v>233</v>
      </c>
      <c r="F282" s="5" t="s">
        <v>234</v>
      </c>
      <c r="G282" s="14" t="str">
        <f t="array" ref="G282">IF(B282="", "",
  LET(_xlpm.spell, IFERROR(IF(F282="", "", INDEX(_xlws.FILTER(Hairstyles!$F:$F, ISNUMBER(SEARCH(F282, Hairstyles!$B:$B))), 1)), "No Spell for Hairstyle"),
  _xlpm.vanillaPrefix, IF(LEFT(_xlpm.spell, 7)="Uvi_Wig", "", ";"),
  ";" &amp; IF(C282="", B282, C282) &amp; IF(M282="", "", " ("&amp;M282&amp;")") &amp; CHAR(10) &amp;
  _xlpm.vanillaPrefix &amp; "Keyword = Uvi_Wig_Distr_KYWD|" &amp; B282 &amp; CHAR(10) &amp;
  _xlpm.vanillaPrefix &amp; "Spell = " &amp; _xlpm.spell &amp; "|" &amp; B282
  )
)</f>
        <v>;Calder
;Keyword = Uvi_Wig_Distr_KYWD|HousecarlWindhelm
;Spell = No Spell for Hairstyle|HousecarlWindhelm</v>
      </c>
    </row>
    <row r="283" ht="12.75" customHeight="1">
      <c r="A283" s="5" t="s">
        <v>2161</v>
      </c>
      <c r="B283" s="5" t="s">
        <v>2162</v>
      </c>
      <c r="C283" s="5" t="s">
        <v>2163</v>
      </c>
      <c r="D283" s="5" t="s">
        <v>59</v>
      </c>
      <c r="E283" s="5" t="s">
        <v>233</v>
      </c>
      <c r="F283" s="5" t="s">
        <v>1906</v>
      </c>
      <c r="G283" s="14" t="str">
        <f t="array" ref="G283">IF(B283="", "",
  LET(_xlpm.spell, IFERROR(IF(F283="", "", INDEX(_xlws.FILTER(Hairstyles!$F:$F, ISNUMBER(SEARCH(F283, Hairstyles!$B:$B))), 1)), "No Spell for Hairstyle"),
  _xlpm.vanillaPrefix, IF(LEFT(_xlpm.spell, 7)="Uvi_Wig", "", ";"),
  ";" &amp; IF(C283="", B283, C283) &amp; IF(M283="", "", " ("&amp;M283&amp;")") &amp; CHAR(10) &amp;
  _xlpm.vanillaPrefix &amp; "Keyword = Uvi_Wig_Distr_KYWD|" &amp; B283 &amp; CHAR(10) &amp;
  _xlpm.vanillaPrefix &amp; "Spell = " &amp; _xlpm.spell &amp; "|" &amp; B283
  )
)</f>
        <v>;Calixto Corrium
;Keyword = Uvi_Wig_Distr_KYWD|Calixto
;Spell = No Spell for Hairstyle|Calixto</v>
      </c>
    </row>
    <row r="284" ht="12.75" customHeight="1">
      <c r="A284" s="5" t="s">
        <v>2164</v>
      </c>
      <c r="B284" s="5" t="s">
        <v>2165</v>
      </c>
      <c r="C284" s="5" t="s">
        <v>2166</v>
      </c>
      <c r="D284" s="5" t="s">
        <v>59</v>
      </c>
      <c r="E284" s="5" t="s">
        <v>41</v>
      </c>
      <c r="F284" s="5" t="s">
        <v>2118</v>
      </c>
      <c r="G284" s="14" t="str">
        <f t="array" ref="G284">IF(B284="", "",
  LET(_xlpm.spell, IFERROR(IF(F284="", "", INDEX(_xlws.FILTER(Hairstyles!$F:$F, ISNUMBER(SEARCH(F284, Hairstyles!$B:$B))), 1)), "No Spell for Hairstyle"),
  _xlpm.vanillaPrefix, IF(LEFT(_xlpm.spell, 7)="Uvi_Wig", "", ";"),
  ";" &amp; IF(C284="", B284, C284) &amp; IF(M284="", "", " ("&amp;M284&amp;")") &amp; CHAR(10) &amp;
  _xlpm.vanillaPrefix &amp; "Keyword = Uvi_Wig_Distr_KYWD|" &amp; B284 &amp; CHAR(10) &amp;
  _xlpm.vanillaPrefix &amp; "Spell = " &amp; _xlpm.spell &amp; "|" &amp; B284
  )
)</f>
        <v>;Camilla Valerius
;Keyword = Uvi_Wig_Distr_KYWD|CamillaValerius
;Spell = No Spell for Hairstyle|CamillaValerius</v>
      </c>
    </row>
    <row r="285" ht="12.75" customHeight="1">
      <c r="A285" s="5" t="s">
        <v>2167</v>
      </c>
      <c r="B285" s="5" t="s">
        <v>2168</v>
      </c>
      <c r="C285" s="5" t="s">
        <v>2169</v>
      </c>
      <c r="D285" s="5" t="s">
        <v>38</v>
      </c>
      <c r="E285" s="5" t="s">
        <v>233</v>
      </c>
      <c r="F285" s="5" t="s">
        <v>1678</v>
      </c>
      <c r="G285" s="14" t="str">
        <f t="array" ref="G285">IF(B285="", "",
  LET(_xlpm.spell, IFERROR(IF(F285="", "", INDEX(_xlws.FILTER(Hairstyles!$F:$F, ISNUMBER(SEARCH(F285, Hairstyles!$B:$B))), 1)), "No Spell for Hairstyle"),
  _xlpm.vanillaPrefix, IF(LEFT(_xlpm.spell, 7)="Uvi_Wig", "", ";"),
  ";" &amp; IF(C285="", B285, C285) &amp; IF(M285="", "", " ("&amp;M285&amp;")") &amp; CHAR(10) &amp;
  _xlpm.vanillaPrefix &amp; "Keyword = Uvi_Wig_Distr_KYWD|" &amp; B285 &amp; CHAR(10) &amp;
  _xlpm.vanillaPrefix &amp; "Spell = " &amp; _xlpm.spell &amp; "|" &amp; B285
  )
)</f>
        <v>;Captain Aldis
;Keyword = Uvi_Wig_Distr_KYWD|CaptainAldis
;Spell = No Spell for Hairstyle|CaptainAldis</v>
      </c>
    </row>
    <row r="286" ht="12.75" customHeight="1">
      <c r="A286" s="5" t="s">
        <v>2170</v>
      </c>
      <c r="B286" s="5" t="s">
        <v>2171</v>
      </c>
      <c r="C286" s="5" t="s">
        <v>2172</v>
      </c>
      <c r="D286" s="5" t="s">
        <v>83</v>
      </c>
      <c r="E286" s="5" t="s">
        <v>233</v>
      </c>
      <c r="F286" s="5" t="s">
        <v>2107</v>
      </c>
      <c r="G286" s="14" t="str">
        <f t="array" ref="G286">IF(B286="", "",
  LET(_xlpm.spell, IFERROR(IF(F286="", "", INDEX(_xlws.FILTER(Hairstyles!$F:$F, ISNUMBER(SEARCH(F286, Hairstyles!$B:$B))), 1)), "No Spell for Hairstyle"),
  _xlpm.vanillaPrefix, IF(LEFT(_xlpm.spell, 7)="Uvi_Wig", "", ";"),
  ";" &amp; IF(C286="", B286, C286) &amp; IF(M286="", "", " ("&amp;M286&amp;")") &amp; CHAR(10) &amp;
  _xlpm.vanillaPrefix &amp; "Keyword = Uvi_Wig_Distr_KYWD|" &amp; B286 &amp; CHAR(10) &amp;
  _xlpm.vanillaPrefix &amp; "Spell = " &amp; _xlpm.spell &amp; "|" &amp; B286
  )
)</f>
        <v>;Captain Avidius
;Keyword = Uvi_Wig_Distr_KYWD|dunKatariahCaptain
;Spell = No Spell for Hairstyle|dunKatariahCaptain</v>
      </c>
    </row>
    <row r="287" ht="12.75" customHeight="1">
      <c r="A287" s="5" t="s">
        <v>2173</v>
      </c>
      <c r="B287" s="5" t="s">
        <v>2174</v>
      </c>
      <c r="C287" s="5" t="s">
        <v>2175</v>
      </c>
      <c r="D287" s="5" t="s">
        <v>38</v>
      </c>
      <c r="E287" s="5" t="s">
        <v>233</v>
      </c>
      <c r="F287" s="5" t="s">
        <v>1622</v>
      </c>
      <c r="G287" s="14" t="str">
        <f t="array" ref="G287">IF(B287="", "",
  LET(_xlpm.spell, IFERROR(IF(F287="", "", INDEX(_xlws.FILTER(Hairstyles!$F:$F, ISNUMBER(SEARCH(F287, Hairstyles!$B:$B))), 1)), "No Spell for Hairstyle"),
  _xlpm.vanillaPrefix, IF(LEFT(_xlpm.spell, 7)="Uvi_Wig", "", ";"),
  ";" &amp; IF(C287="", B287, C287) &amp; IF(M287="", "", " ("&amp;M287&amp;")") &amp; CHAR(10) &amp;
  _xlpm.vanillaPrefix &amp; "Keyword = Uvi_Wig_Distr_KYWD|" &amp; B287 &amp; CHAR(10) &amp;
  _xlpm.vanillaPrefix &amp; "Spell = " &amp; _xlpm.spell &amp; "|" &amp; B287
  )
)</f>
        <v>;Captain Hargar
;Keyword = Uvi_Wig_Distr_KYWD|dunBrokenOarHargar
;Spell = No Spell for Hairstyle|dunBrokenOarHargar</v>
      </c>
    </row>
    <row r="288" ht="12.75" customHeight="1">
      <c r="A288" s="15" t="s">
        <v>2176</v>
      </c>
      <c r="B288" s="5" t="s">
        <v>2177</v>
      </c>
      <c r="C288" s="5" t="s">
        <v>2178</v>
      </c>
      <c r="D288" s="5" t="s">
        <v>38</v>
      </c>
      <c r="E288" s="5" t="s">
        <v>233</v>
      </c>
      <c r="F288" s="5" t="s">
        <v>990</v>
      </c>
      <c r="G288" s="14" t="str">
        <f t="array" ref="G288">IF(B288="", "",
  LET(_xlpm.spell, IFERROR(IF(F288="", "", INDEX(_xlws.FILTER(Hairstyles!$F:$F, ISNUMBER(SEARCH(F288, Hairstyles!$B:$B))), 1)), "No Spell for Hairstyle"),
  _xlpm.vanillaPrefix, IF(LEFT(_xlpm.spell, 7)="Uvi_Wig", "", ";"),
  ";" &amp; IF(C288="", B288, C288) &amp; IF(M288="", "", " ("&amp;M288&amp;")") &amp; CHAR(10) &amp;
  _xlpm.vanillaPrefix &amp; "Keyword = Uvi_Wig_Distr_KYWD|" &amp; B288 &amp; CHAR(10) &amp;
  _xlpm.vanillaPrefix &amp; "Spell = " &amp; _xlpm.spell &amp; "|" &amp; B288
  )
)</f>
        <v>;Captain Lonely-Gale
;Keyword = Uvi_Wig_Distr_KYWD|CaptainLonelyGale
;Spell = No Spell for Hairstyle|CaptainLonelyGale</v>
      </c>
    </row>
    <row r="289" ht="12.75" customHeight="1">
      <c r="A289" s="5" t="s">
        <v>2179</v>
      </c>
      <c r="B289" s="5" t="s">
        <v>2180</v>
      </c>
      <c r="C289" s="5" t="s">
        <v>2181</v>
      </c>
      <c r="D289" s="5" t="s">
        <v>38</v>
      </c>
      <c r="E289" s="5" t="s">
        <v>233</v>
      </c>
      <c r="F289" s="5" t="s">
        <v>19</v>
      </c>
      <c r="G289" s="14" t="str">
        <f t="array" ref="G289">IF(B289="", "",
  LET(_xlpm.spell, IFERROR(IF(F289="", "", INDEX(_xlws.FILTER(Hairstyles!$F:$F, ISNUMBER(SEARCH(F289, Hairstyles!$B:$B))), 1)), "No Spell for Hairstyle"),
  _xlpm.vanillaPrefix, IF(LEFT(_xlpm.spell, 7)="Uvi_Wig", "", ";"),
  ";" &amp; IF(C289="", B289, C289) &amp; IF(M289="", "", " ("&amp;M289&amp;")") &amp; CHAR(10) &amp;
  _xlpm.vanillaPrefix &amp; "Keyword = Uvi_Wig_Distr_KYWD|" &amp; B289 &amp; CHAR(10) &amp;
  _xlpm.vanillaPrefix &amp; "Spell = " &amp; _xlpm.spell &amp; "|" &amp; B289
  )
)</f>
        <v>;Captain Metilius
;Keyword = Uvi_Wig_Distr_KYWD|CaptainMetilius
;Spell = No Spell for Hairstyle|CaptainMetilius</v>
      </c>
    </row>
    <row r="290" ht="12.75" customHeight="1">
      <c r="A290" s="5" t="s">
        <v>2182</v>
      </c>
      <c r="B290" s="5" t="s">
        <v>2183</v>
      </c>
      <c r="C290" s="5" t="s">
        <v>2184</v>
      </c>
      <c r="D290" s="5" t="s">
        <v>57</v>
      </c>
      <c r="E290" s="5" t="s">
        <v>233</v>
      </c>
      <c r="F290" s="5" t="s">
        <v>1541</v>
      </c>
      <c r="G290" s="14" t="str">
        <f t="array" ref="G290">IF(B290="", "",
  LET(_xlpm.spell, IFERROR(IF(F290="", "", INDEX(_xlws.FILTER(Hairstyles!$F:$F, ISNUMBER(SEARCH(F290, Hairstyles!$B:$B))), 1)), "No Spell for Hairstyle"),
  _xlpm.vanillaPrefix, IF(LEFT(_xlpm.spell, 7)="Uvi_Wig", "", ";"),
  ";" &amp; IF(C290="", B290, C290) &amp; IF(M290="", "", " ("&amp;M290&amp;")") &amp; CHAR(10) &amp;
  _xlpm.vanillaPrefix &amp; "Keyword = Uvi_Wig_Distr_KYWD|" &amp; B290 &amp; CHAR(10) &amp;
  _xlpm.vanillaPrefix &amp; "Spell = " &amp; _xlpm.spell &amp; "|" &amp; B290
  )
)</f>
        <v>;Captain Valmir
;Keyword = Uvi_Wig_Distr_KYWD|ValmirBASE
;Spell = No Spell for Hairstyle|ValmirBASE</v>
      </c>
    </row>
    <row r="291" ht="12.75" customHeight="1">
      <c r="A291" s="5" t="s">
        <v>2185</v>
      </c>
      <c r="B291" s="5" t="s">
        <v>2186</v>
      </c>
      <c r="C291" s="5" t="s">
        <v>2187</v>
      </c>
      <c r="D291" s="5" t="s">
        <v>45</v>
      </c>
      <c r="E291" s="5" t="s">
        <v>233</v>
      </c>
      <c r="F291" s="5" t="s">
        <v>1541</v>
      </c>
      <c r="G291" s="14" t="str">
        <f t="array" ref="G291">IF(B291="", "",
  LET(_xlpm.spell, IFERROR(IF(F291="", "", INDEX(_xlws.FILTER(Hairstyles!$F:$F, ISNUMBER(SEARCH(F291, Hairstyles!$B:$B))), 1)), "No Spell for Hairstyle"),
  _xlpm.vanillaPrefix, IF(LEFT(_xlpm.spell, 7)="Uvi_Wig", "", ";"),
  ";" &amp; IF(C291="", B291, C291) &amp; IF(M291="", "", " ("&amp;M291&amp;")") &amp; CHAR(10) &amp;
  _xlpm.vanillaPrefix &amp; "Keyword = Uvi_Wig_Distr_KYWD|" &amp; B291 &amp; CHAR(10) &amp;
  _xlpm.vanillaPrefix &amp; "Spell = " &amp; _xlpm.spell &amp; "|" &amp; B291
  )
)</f>
        <v>;Captain Veleth
;Keyword = Uvi_Wig_Distr_KYWD|DLC2RRModynVeleth
;Spell = No Spell for Hairstyle|DLC2RRModynVeleth</v>
      </c>
    </row>
    <row r="292" ht="12.75" customHeight="1">
      <c r="A292" s="15" t="s">
        <v>2188</v>
      </c>
      <c r="B292" s="5" t="s">
        <v>2189</v>
      </c>
      <c r="C292" s="5" t="s">
        <v>2190</v>
      </c>
      <c r="D292" s="5" t="s">
        <v>38</v>
      </c>
      <c r="E292" s="5" t="s">
        <v>233</v>
      </c>
      <c r="F292" s="5" t="s">
        <v>695</v>
      </c>
      <c r="G292" s="14" t="str">
        <f t="array" ref="G292">IF(B292="", "",
  LET(_xlpm.spell, IFERROR(IF(F292="", "", INDEX(_xlws.FILTER(Hairstyles!$F:$F, ISNUMBER(SEARCH(F292, Hairstyles!$B:$B))), 1)), "No Spell for Hairstyle"),
  _xlpm.vanillaPrefix, IF(LEFT(_xlpm.spell, 7)="Uvi_Wig", "", ";"),
  ";" &amp; IF(C292="", B292, C292) &amp; IF(M292="", "", " ("&amp;M292&amp;")") &amp; CHAR(10) &amp;
  _xlpm.vanillaPrefix &amp; "Keyword = Uvi_Wig_Distr_KYWD|" &amp; B292 &amp; CHAR(10) &amp;
  _xlpm.vanillaPrefix &amp; "Spell = " &amp; _xlpm.spell &amp; "|" &amp; B292
  )
)</f>
        <v>;Captain Wayfinder
;Keyword = Uvi_Wig_Distr_KYWD|LeifWayfinder
;Spell = No Spell for Hairstyle|LeifWayfinder</v>
      </c>
    </row>
    <row r="293" ht="12.75" customHeight="1">
      <c r="A293" s="5" t="s">
        <v>2191</v>
      </c>
      <c r="B293" s="5" t="s">
        <v>2192</v>
      </c>
      <c r="C293" s="5" t="s">
        <v>2193</v>
      </c>
      <c r="D293" s="5" t="s">
        <v>59</v>
      </c>
      <c r="E293" s="5" t="s">
        <v>41</v>
      </c>
      <c r="F293" s="5" t="s">
        <v>862</v>
      </c>
      <c r="G293" s="14" t="str">
        <f t="array" ref="G293">IF(B293="", "",
  LET(_xlpm.spell, IFERROR(IF(F293="", "", INDEX(_xlws.FILTER(Hairstyles!$F:$F, ISNUMBER(SEARCH(F293, Hairstyles!$B:$B))), 1)), "No Spell for Hairstyle"),
  _xlpm.vanillaPrefix, IF(LEFT(_xlpm.spell, 7)="Uvi_Wig", "", ";"),
  ";" &amp; IF(C293="", B293, C293) &amp; IF(M293="", "", " ("&amp;M293&amp;")") &amp; CHAR(10) &amp;
  _xlpm.vanillaPrefix &amp; "Keyword = Uvi_Wig_Distr_KYWD|" &amp; B293 &amp; CHAR(10) &amp;
  _xlpm.vanillaPrefix &amp; "Spell = " &amp; _xlpm.spell &amp; "|" &amp; B293
  )
)</f>
        <v>;Captive
;Keyword = Uvi_Wig_Distr_KYWD|dunPOISwimmer
;Spell = No Spell for Hairstyle|dunPOISwimmer</v>
      </c>
    </row>
    <row r="294" ht="12.75" customHeight="1">
      <c r="A294" s="5" t="s">
        <v>2194</v>
      </c>
      <c r="B294" s="5" t="s">
        <v>2195</v>
      </c>
      <c r="C294" s="5" t="s">
        <v>2196</v>
      </c>
      <c r="D294" s="5" t="s">
        <v>59</v>
      </c>
      <c r="E294" s="5" t="s">
        <v>41</v>
      </c>
      <c r="F294" s="5" t="s">
        <v>905</v>
      </c>
      <c r="G294" s="14" t="str">
        <f t="array" ref="G294">IF(B294="", "",
  LET(_xlpm.spell, IFERROR(IF(F294="", "", INDEX(_xlws.FILTER(Hairstyles!$F:$F, ISNUMBER(SEARCH(F294, Hairstyles!$B:$B))), 1)), "No Spell for Hairstyle"),
  _xlpm.vanillaPrefix, IF(LEFT(_xlpm.spell, 7)="Uvi_Wig", "", ";"),
  ";" &amp; IF(C294="", B294, C294) &amp; IF(M294="", "", " ("&amp;M294&amp;")") &amp; CHAR(10) &amp;
  _xlpm.vanillaPrefix &amp; "Keyword = Uvi_Wig_Distr_KYWD|" &amp; B294 &amp; CHAR(10) &amp;
  _xlpm.vanillaPrefix &amp; "Spell = " &amp; _xlpm.spell &amp; "|" &amp; B294
  )
)</f>
        <v>;Carlotta Valentia
;Keyword = Uvi_Wig_Distr_KYWD|CarlottaValentia
;Spell = No Spell for Hairstyle|CarlottaValentia</v>
      </c>
    </row>
    <row r="295" ht="12.75" customHeight="1">
      <c r="A295" s="5" t="s">
        <v>2197</v>
      </c>
      <c r="B295" s="5" t="s">
        <v>2198</v>
      </c>
      <c r="C295" s="5" t="s">
        <v>2199</v>
      </c>
      <c r="D295" s="5" t="s">
        <v>38</v>
      </c>
      <c r="E295" s="5" t="s">
        <v>233</v>
      </c>
      <c r="F295" s="5" t="s">
        <v>1700</v>
      </c>
      <c r="G295" s="14" t="str">
        <f t="array" ref="G295">IF(B295="", "",
  LET(_xlpm.spell, IFERROR(IF(F295="", "", INDEX(_xlws.FILTER(Hairstyles!$F:$F, ISNUMBER(SEARCH(F295, Hairstyles!$B:$B))), 1)), "No Spell for Hairstyle"),
  _xlpm.vanillaPrefix, IF(LEFT(_xlpm.spell, 7)="Uvi_Wig", "", ";"),
  ";" &amp; IF(C295="", B295, C295) &amp; IF(M295="", "", " ("&amp;M295&amp;")") &amp; CHAR(10) &amp;
  _xlpm.vanillaPrefix &amp; "Keyword = Uvi_Wig_Distr_KYWD|" &amp; B295 &amp; CHAR(10) &amp;
  _xlpm.vanillaPrefix &amp; "Spell = " &amp; _xlpm.spell &amp; "|" &amp; B295
  )
)</f>
        <v>;Carriage Driver
;Keyword = Uvi_Wig_Distr_KYWD|MQ201PartyCarriageDriver1
;Spell = No Spell for Hairstyle|MQ201PartyCarriageDriver1</v>
      </c>
    </row>
    <row r="296" ht="12.75" customHeight="1">
      <c r="A296" s="5" t="s">
        <v>2200</v>
      </c>
      <c r="B296" s="5" t="s">
        <v>2201</v>
      </c>
      <c r="C296" s="5" t="s">
        <v>2199</v>
      </c>
      <c r="D296" s="5" t="s">
        <v>38</v>
      </c>
      <c r="E296" s="5" t="s">
        <v>233</v>
      </c>
      <c r="F296" s="5" t="s">
        <v>990</v>
      </c>
      <c r="G296" s="14" t="str">
        <f t="array" ref="G296">IF(B296="", "",
  LET(_xlpm.spell, IFERROR(IF(F296="", "", INDEX(_xlws.FILTER(Hairstyles!$F:$F, ISNUMBER(SEARCH(F296, Hairstyles!$B:$B))), 1)), "No Spell for Hairstyle"),
  _xlpm.vanillaPrefix, IF(LEFT(_xlpm.spell, 7)="Uvi_Wig", "", ";"),
  ";" &amp; IF(C296="", B296, C296) &amp; IF(M296="", "", " ("&amp;M296&amp;")") &amp; CHAR(10) &amp;
  _xlpm.vanillaPrefix &amp; "Keyword = Uvi_Wig_Distr_KYWD|" &amp; B296 &amp; CHAR(10) &amp;
  _xlpm.vanillaPrefix &amp; "Spell = " &amp; _xlpm.spell &amp; "|" &amp; B296
  )
)</f>
        <v>;Carriage Driver
;Keyword = Uvi_Wig_Distr_KYWD|MQ201PartyCarriageDriver2
;Spell = No Spell for Hairstyle|MQ201PartyCarriageDriver2</v>
      </c>
    </row>
    <row r="297" ht="12.75" customHeight="1">
      <c r="A297" s="15" t="s">
        <v>2202</v>
      </c>
      <c r="B297" s="5" t="s">
        <v>2203</v>
      </c>
      <c r="C297" s="5" t="s">
        <v>2199</v>
      </c>
      <c r="D297" s="5" t="s">
        <v>38</v>
      </c>
      <c r="E297" s="5" t="s">
        <v>233</v>
      </c>
      <c r="F297" s="5" t="s">
        <v>209</v>
      </c>
      <c r="G297" s="14" t="str">
        <f t="array" ref="G297">IF(B297="", "",
  LET(_xlpm.spell, IFERROR(IF(F297="", "", INDEX(_xlws.FILTER(Hairstyles!$F:$F, ISNUMBER(SEARCH(F297, Hairstyles!$B:$B))), 1)), "No Spell for Hairstyle"),
  _xlpm.vanillaPrefix, IF(LEFT(_xlpm.spell, 7)="Uvi_Wig", "", ";"),
  ";" &amp; IF(C297="", B297, C297) &amp; IF(M297="", "", " ("&amp;M297&amp;")") &amp; CHAR(10) &amp;
  _xlpm.vanillaPrefix &amp; "Keyword = Uvi_Wig_Distr_KYWD|" &amp; B297 &amp; CHAR(10) &amp;
  _xlpm.vanillaPrefix &amp; "Spell = " &amp; _xlpm.spell &amp; "|" &amp; B297
  )
)</f>
        <v>;Carriage Driver
;Keyword = Uvi_Wig_Distr_KYWD|MQ201PartyCarriageSolitudeDriver
;Spell = No Spell for Hairstyle|MQ201PartyCarriageSolitudeDriver</v>
      </c>
    </row>
    <row r="298" ht="12.75" customHeight="1">
      <c r="A298" s="5" t="s">
        <v>2204</v>
      </c>
      <c r="B298" s="5" t="s">
        <v>2205</v>
      </c>
      <c r="C298" s="5" t="s">
        <v>2206</v>
      </c>
      <c r="D298" s="5" t="s">
        <v>38</v>
      </c>
      <c r="E298" s="5" t="s">
        <v>233</v>
      </c>
      <c r="F298" s="5" t="s">
        <v>990</v>
      </c>
      <c r="G298" s="14" t="str">
        <f t="array" ref="G298">IF(B298="", "",
  LET(_xlpm.spell, IFERROR(IF(F298="", "", INDEX(_xlws.FILTER(Hairstyles!$F:$F, ISNUMBER(SEARCH(F298, Hairstyles!$B:$B))), 1)), "No Spell for Hairstyle"),
  _xlpm.vanillaPrefix, IF(LEFT(_xlpm.spell, 7)="Uvi_Wig", "", ";"),
  ";" &amp; IF(C298="", B298, C298) &amp; IF(M298="", "", " ("&amp;M298&amp;")") &amp; CHAR(10) &amp;
  _xlpm.vanillaPrefix &amp; "Keyword = Uvi_Wig_Distr_KYWD|" &amp; B298 &amp; CHAR(10) &amp;
  _xlpm.vanillaPrefix &amp; "Spell = " &amp; _xlpm.spell &amp; "|" &amp; B298
  )
)</f>
        <v>;Cart Driver
;Keyword = Uvi_Wig_Distr_KYWD|CarriageDriverTemplate
;Spell = No Spell for Hairstyle|CarriageDriverTemplate</v>
      </c>
    </row>
    <row r="299" ht="12.75" customHeight="1">
      <c r="A299" s="5" t="s">
        <v>2207</v>
      </c>
      <c r="B299" s="5" t="s">
        <v>2208</v>
      </c>
      <c r="C299" s="5" t="s">
        <v>2206</v>
      </c>
      <c r="D299" s="5" t="s">
        <v>38</v>
      </c>
      <c r="E299" s="5" t="s">
        <v>233</v>
      </c>
      <c r="F299" s="5" t="s">
        <v>68</v>
      </c>
      <c r="G299" s="14" t="str">
        <f t="array" ref="G299">IF(B299="", "",
  LET(_xlpm.spell, IFERROR(IF(F299="", "", INDEX(_xlws.FILTER(Hairstyles!$F:$F, ISNUMBER(SEARCH(F299, Hairstyles!$B:$B))), 1)), "No Spell for Hairstyle"),
  _xlpm.vanillaPrefix, IF(LEFT(_xlpm.spell, 7)="Uvi_Wig", "", ";"),
  ";" &amp; IF(C299="", B299, C299) &amp; IF(M299="", "", " ("&amp;M299&amp;")") &amp; CHAR(10) &amp;
  _xlpm.vanillaPrefix &amp; "Keyword = Uvi_Wig_Distr_KYWD|" &amp; B299 &amp; CHAR(10) &amp;
  _xlpm.vanillaPrefix &amp; "Spell = " &amp; _xlpm.spell &amp; "|" &amp; B299
  )
)</f>
        <v>;Cart Driver
;Keyword = Uvi_Wig_Distr_KYWD|CarriageDriverTemplateNew
;Spell = No Spell for Hairstyle|CarriageDriverTemplateNew</v>
      </c>
    </row>
    <row r="300" ht="12.75" customHeight="1">
      <c r="A300" s="15" t="s">
        <v>2209</v>
      </c>
      <c r="B300" s="5" t="s">
        <v>2210</v>
      </c>
      <c r="C300" s="5" t="s">
        <v>2211</v>
      </c>
      <c r="D300" s="5" t="s">
        <v>45</v>
      </c>
      <c r="E300" s="5" t="s">
        <v>233</v>
      </c>
      <c r="F300" s="5" t="s">
        <v>1684</v>
      </c>
      <c r="G300" s="14" t="str">
        <f t="array" ref="G300">IF(B300="", "",
  LET(_xlpm.spell, IFERROR(IF(F300="", "", INDEX(_xlws.FILTER(Hairstyles!$F:$F, ISNUMBER(SEARCH(F300, Hairstyles!$B:$B))), 1)), "No Spell for Hairstyle"),
  _xlpm.vanillaPrefix, IF(LEFT(_xlpm.spell, 7)="Uvi_Wig", "", ";"),
  ";" &amp; IF(C300="", B300, C300) &amp; IF(M300="", "", " ("&amp;M300&amp;")") &amp; CHAR(10) &amp;
  _xlpm.vanillaPrefix &amp; "Keyword = Uvi_Wig_Distr_KYWD|" &amp; B300 &amp; CHAR(10) &amp;
  _xlpm.vanillaPrefix &amp; "Spell = " &amp; _xlpm.spell &amp; "|" &amp; B300
  )
)</f>
        <v>;Castor the Puzzlemaker's Corpse
;Keyword = Uvi_Wig_Distr_KYWD|DLC2NB01CorpseFall2
;Spell = No Spell for Hairstyle|DLC2NB01CorpseFall2</v>
      </c>
    </row>
    <row r="301" ht="12.75" customHeight="1">
      <c r="A301" s="5" t="s">
        <v>2212</v>
      </c>
      <c r="B301" s="5" t="s">
        <v>2213</v>
      </c>
      <c r="C301" s="5" t="s">
        <v>2213</v>
      </c>
      <c r="D301" s="5" t="s">
        <v>16</v>
      </c>
      <c r="E301" s="5" t="s">
        <v>233</v>
      </c>
      <c r="F301" s="5" t="s">
        <v>1709</v>
      </c>
      <c r="G301" s="14" t="str">
        <f t="array" ref="G301">IF(B301="", "",
  LET(_xlpm.spell, IFERROR(IF(F301="", "", INDEX(_xlws.FILTER(Hairstyles!$F:$F, ISNUMBER(SEARCH(F301, Hairstyles!$B:$B))), 1)), "No Spell for Hairstyle"),
  _xlpm.vanillaPrefix, IF(LEFT(_xlpm.spell, 7)="Uvi_Wig", "", ";"),
  ";" &amp; IF(C301="", B301, C301) &amp; IF(M301="", "", " ("&amp;M301&amp;")") &amp; CHAR(10) &amp;
  _xlpm.vanillaPrefix &amp; "Keyword = Uvi_Wig_Distr_KYWD|" &amp; B301 &amp; CHAR(10) &amp;
  _xlpm.vanillaPrefix &amp; "Spell = " &amp; _xlpm.spell &amp; "|" &amp; B301
  )
)</f>
        <v>;Cedran
;Keyword = Uvi_Wig_Distr_KYWD|Cedran
;Spell = No Spell for Hairstyle|Cedran</v>
      </c>
    </row>
    <row r="302" ht="12.75" customHeight="1">
      <c r="A302" s="5" t="s">
        <v>2214</v>
      </c>
      <c r="B302" s="5" t="s">
        <v>2215</v>
      </c>
      <c r="C302" s="5" t="s">
        <v>2216</v>
      </c>
      <c r="D302" s="5" t="s">
        <v>16</v>
      </c>
      <c r="E302" s="5" t="s">
        <v>233</v>
      </c>
      <c r="F302" s="5" t="s">
        <v>1088</v>
      </c>
      <c r="G302" s="14" t="str">
        <f t="array" ref="G302">IF(B302="", "",
  LET(_xlpm.spell, IFERROR(IF(F302="", "", INDEX(_xlws.FILTER(Hairstyles!$F:$F, ISNUMBER(SEARCH(F302, Hairstyles!$B:$B))), 1)), "No Spell for Hairstyle"),
  _xlpm.vanillaPrefix, IF(LEFT(_xlpm.spell, 7)="Uvi_Wig", "", ";"),
  ";" &amp; IF(C302="", B302, C302) &amp; IF(M302="", "", " ("&amp;M302&amp;")") &amp; CHAR(10) &amp;
  _xlpm.vanillaPrefix &amp; "Keyword = Uvi_Wig_Distr_KYWD|" &amp; B302 &amp; CHAR(10) &amp;
  _xlpm.vanillaPrefix &amp; "Spell = " &amp; _xlpm.spell &amp; "|" &amp; B302
  )
)</f>
        <v>;Celann
;Keyword = Uvi_Wig_Distr_KYWD|DLC1Celann
;Spell = No Spell for Hairstyle|DLC1Celann</v>
      </c>
    </row>
    <row r="303" ht="12.75" customHeight="1">
      <c r="A303" s="5" t="s">
        <v>2217</v>
      </c>
      <c r="B303" s="5" t="s">
        <v>2218</v>
      </c>
      <c r="C303" s="5" t="s">
        <v>2219</v>
      </c>
      <c r="D303" s="5" t="s">
        <v>45</v>
      </c>
      <c r="E303" s="5" t="s">
        <v>233</v>
      </c>
      <c r="F303" s="5" t="s">
        <v>525</v>
      </c>
      <c r="G303" s="14" t="str">
        <f t="array" ref="G303">IF(B303="", "",
  LET(_xlpm.spell, IFERROR(IF(F303="", "", INDEX(_xlws.FILTER(Hairstyles!$F:$F, ISNUMBER(SEARCH(F303, Hairstyles!$B:$B))), 1)), "No Spell for Hairstyle"),
  _xlpm.vanillaPrefix, IF(LEFT(_xlpm.spell, 7)="Uvi_Wig", "", ";"),
  ";" &amp; IF(C303="", B303, C303) &amp; IF(M303="", "", " ("&amp;M303&amp;")") &amp; CHAR(10) &amp;
  _xlpm.vanillaPrefix &amp; "Keyword = Uvi_Wig_Distr_KYWD|" &amp; B303 &amp; CHAR(10) &amp;
  _xlpm.vanillaPrefix &amp; "Spell = " &amp; _xlpm.spell &amp; "|" &amp; B303
  )
)</f>
        <v>;Champion of Boethiah
;Keyword = Uvi_Wig_Distr_KYWD|DA02Champion
;Spell = No Spell for Hairstyle|DA02Champion</v>
      </c>
    </row>
    <row r="304" ht="12.75" customHeight="1">
      <c r="A304" s="5" t="s">
        <v>2220</v>
      </c>
      <c r="B304" s="5" t="s">
        <v>2221</v>
      </c>
      <c r="C304" s="5" t="s">
        <v>2222</v>
      </c>
      <c r="D304" s="5" t="s">
        <v>80</v>
      </c>
      <c r="E304" s="5" t="s">
        <v>233</v>
      </c>
      <c r="F304" s="5" t="s">
        <v>408</v>
      </c>
      <c r="G304" s="14" t="str">
        <f t="array" ref="G304">IF(B304="", "",
  LET(_xlpm.spell, IFERROR(IF(F304="", "", INDEX(_xlws.FILTER(Hairstyles!$F:$F, ISNUMBER(SEARCH(F304, Hairstyles!$B:$B))), 1)), "No Spell for Hairstyle"),
  _xlpm.vanillaPrefix, IF(LEFT(_xlpm.spell, 7)="Uvi_Wig", "", ";"),
  ";" &amp; IF(C304="", B304, C304) &amp; IF(M304="", "", " ("&amp;M304&amp;")") &amp; CHAR(10) &amp;
  _xlpm.vanillaPrefix &amp; "Keyword = Uvi_Wig_Distr_KYWD|" &amp; B304 &amp; CHAR(10) &amp;
  _xlpm.vanillaPrefix &amp; "Spell = " &amp; _xlpm.spell &amp; "|" &amp; B304
  )
)</f>
        <v>;Chief Burguk
;Keyword = Uvi_Wig_Distr_KYWD|Burguk
;Spell = No Spell for Hairstyle|Burguk</v>
      </c>
    </row>
    <row r="305" ht="12.75" customHeight="1">
      <c r="A305" s="15" t="s">
        <v>2223</v>
      </c>
      <c r="B305" s="5" t="s">
        <v>2224</v>
      </c>
      <c r="C305" s="5" t="s">
        <v>2225</v>
      </c>
      <c r="D305" s="5" t="s">
        <v>80</v>
      </c>
      <c r="E305" s="5" t="s">
        <v>233</v>
      </c>
      <c r="F305" s="5" t="s">
        <v>378</v>
      </c>
      <c r="G305" s="14" t="str">
        <f t="array" ref="G305">IF(B305="", "",
  LET(_xlpm.spell, IFERROR(IF(F305="", "", INDEX(_xlws.FILTER(Hairstyles!$F:$F, ISNUMBER(SEARCH(F305, Hairstyles!$B:$B))), 1)), "No Spell for Hairstyle"),
  _xlpm.vanillaPrefix, IF(LEFT(_xlpm.spell, 7)="Uvi_Wig", "", ";"),
  ";" &amp; IF(C305="", B305, C305) &amp; IF(M305="", "", " ("&amp;M305&amp;")") &amp; CHAR(10) &amp;
  _xlpm.vanillaPrefix &amp; "Keyword = Uvi_Wig_Distr_KYWD|" &amp; B305 &amp; CHAR(10) &amp;
  _xlpm.vanillaPrefix &amp; "Spell = " &amp; _xlpm.spell &amp; "|" &amp; B305
  )
)</f>
        <v>;Chief Larak
;Keyword = Uvi_Wig_Distr_KYWD|Larak
;Spell = No Spell for Hairstyle|Larak</v>
      </c>
    </row>
    <row r="306" ht="12.75" customHeight="1">
      <c r="A306" s="5" t="s">
        <v>2226</v>
      </c>
      <c r="B306" s="5" t="s">
        <v>2227</v>
      </c>
      <c r="C306" s="5" t="s">
        <v>2228</v>
      </c>
      <c r="D306" s="5" t="s">
        <v>80</v>
      </c>
      <c r="E306" s="5" t="s">
        <v>233</v>
      </c>
      <c r="F306" s="5" t="s">
        <v>2229</v>
      </c>
      <c r="G306" s="14" t="str">
        <f t="array" ref="G306">IF(B306="", "",
  LET(_xlpm.spell, IFERROR(IF(F306="", "", INDEX(_xlws.FILTER(Hairstyles!$F:$F, ISNUMBER(SEARCH(F306, Hairstyles!$B:$B))), 1)), "No Spell for Hairstyle"),
  _xlpm.vanillaPrefix, IF(LEFT(_xlpm.spell, 7)="Uvi_Wig", "", ";"),
  ";" &amp; IF(C306="", B306, C306) &amp; IF(M306="", "", " ("&amp;M306&amp;")") &amp; CHAR(10) &amp;
  _xlpm.vanillaPrefix &amp; "Keyword = Uvi_Wig_Distr_KYWD|" &amp; B306 &amp; CHAR(10) &amp;
  _xlpm.vanillaPrefix &amp; "Spell = " &amp; _xlpm.spell &amp; "|" &amp; B306
  )
)</f>
        <v>;Chief Mauhulakh
;Keyword = Uvi_Wig_Distr_KYWD|Mauhulakh
;Spell = No Spell for Hairstyle|Mauhulakh</v>
      </c>
    </row>
    <row r="307" ht="12.75" customHeight="1">
      <c r="A307" s="5" t="s">
        <v>2230</v>
      </c>
      <c r="B307" s="5" t="s">
        <v>2231</v>
      </c>
      <c r="C307" s="5" t="s">
        <v>2232</v>
      </c>
      <c r="D307" s="5" t="s">
        <v>80</v>
      </c>
      <c r="E307" s="5" t="s">
        <v>233</v>
      </c>
      <c r="F307" s="5" t="s">
        <v>2067</v>
      </c>
      <c r="G307" s="14" t="str">
        <f t="array" ref="G307">IF(B307="", "",
  LET(_xlpm.spell, IFERROR(IF(F307="", "", INDEX(_xlws.FILTER(Hairstyles!$F:$F, ISNUMBER(SEARCH(F307, Hairstyles!$B:$B))), 1)), "No Spell for Hairstyle"),
  _xlpm.vanillaPrefix, IF(LEFT(_xlpm.spell, 7)="Uvi_Wig", "", ";"),
  ";" &amp; IF(C307="", B307, C307) &amp; IF(M307="", "", " ("&amp;M307&amp;")") &amp; CHAR(10) &amp;
  _xlpm.vanillaPrefix &amp; "Keyword = Uvi_Wig_Distr_KYWD|" &amp; B307 &amp; CHAR(10) &amp;
  _xlpm.vanillaPrefix &amp; "Spell = " &amp; _xlpm.spell &amp; "|" &amp; B307
  )
)</f>
        <v>;Chief Yamarz
;Keyword = Uvi_Wig_Distr_KYWD|Yamarz
;Spell = No Spell for Hairstyle|Yamarz</v>
      </c>
    </row>
    <row r="308" ht="12.75" customHeight="1">
      <c r="A308" s="15" t="s">
        <v>2233</v>
      </c>
      <c r="B308" s="5" t="s">
        <v>2234</v>
      </c>
      <c r="C308" s="5" t="s">
        <v>2235</v>
      </c>
      <c r="D308" s="5" t="s">
        <v>38</v>
      </c>
      <c r="E308" s="5" t="s">
        <v>233</v>
      </c>
      <c r="F308" s="5" t="s">
        <v>1622</v>
      </c>
      <c r="G308" s="14" t="str">
        <f t="array" ref="G308">IF(B308="", "",
  LET(_xlpm.spell, IFERROR(IF(F308="", "", INDEX(_xlws.FILTER(Hairstyles!$F:$F, ISNUMBER(SEARCH(F308, Hairstyles!$B:$B))), 1)), "No Spell for Hairstyle"),
  _xlpm.vanillaPrefix, IF(LEFT(_xlpm.spell, 7)="Uvi_Wig", "", ";"),
  ";" &amp; IF(C308="", B308, C308) &amp; IF(M308="", "", " ("&amp;M308&amp;")") &amp; CHAR(10) &amp;
  _xlpm.vanillaPrefix &amp; "Keyword = Uvi_Wig_Distr_KYWD|" &amp; B308 &amp; CHAR(10) &amp;
  _xlpm.vanillaPrefix &amp; "Spell = " &amp; _xlpm.spell &amp; "|" &amp; B308
  )
)</f>
        <v>;Christer
;Keyword = Uvi_Wig_Distr_KYWD|dunMistwatchChrister
;Spell = No Spell for Hairstyle|dunMistwatchChrister</v>
      </c>
    </row>
    <row r="309" ht="12.75" customHeight="1">
      <c r="A309" s="5" t="s">
        <v>2236</v>
      </c>
      <c r="B309" s="5" t="s">
        <v>2237</v>
      </c>
      <c r="C309" s="5" t="s">
        <v>2237</v>
      </c>
      <c r="D309" s="5" t="s">
        <v>59</v>
      </c>
      <c r="E309" s="5" t="s">
        <v>233</v>
      </c>
      <c r="F309" s="5" t="s">
        <v>40</v>
      </c>
      <c r="G309" s="14" t="str">
        <f t="array" ref="G309">IF(B309="", "",
  LET(_xlpm.spell, IFERROR(IF(F309="", "", INDEX(_xlws.FILTER(Hairstyles!$F:$F, ISNUMBER(SEARCH(F309, Hairstyles!$B:$B))), 1)), "No Spell for Hairstyle"),
  _xlpm.vanillaPrefix, IF(LEFT(_xlpm.spell, 7)="Uvi_Wig", "", ";"),
  ";" &amp; IF(C309="", B309, C309) &amp; IF(M309="", "", " ("&amp;M309&amp;")") &amp; CHAR(10) &amp;
  _xlpm.vanillaPrefix &amp; "Keyword = Uvi_Wig_Distr_KYWD|" &amp; B309 &amp; CHAR(10) &amp;
  _xlpm.vanillaPrefix &amp; "Spell = " &amp; _xlpm.spell &amp; "|" &amp; B309
  )
)</f>
        <v>;Cicero
;Keyword = Uvi_Wig_Distr_KYWD|Cicero
;Spell = No Spell for Hairstyle|Cicero</v>
      </c>
    </row>
    <row r="310" ht="12.75" customHeight="1">
      <c r="A310" s="5" t="s">
        <v>2238</v>
      </c>
      <c r="B310" s="5" t="s">
        <v>2239</v>
      </c>
      <c r="C310" s="5" t="s">
        <v>2237</v>
      </c>
      <c r="D310" s="5" t="s">
        <v>59</v>
      </c>
      <c r="E310" s="5" t="s">
        <v>233</v>
      </c>
      <c r="F310" s="5" t="s">
        <v>40</v>
      </c>
      <c r="G310" s="14" t="str">
        <f t="array" ref="G310">IF(B310="", "",
  LET(_xlpm.spell, IFERROR(IF(F310="", "", INDEX(_xlws.FILTER(Hairstyles!$F:$F, ISNUMBER(SEARCH(F310, Hairstyles!$B:$B))), 1)), "No Spell for Hairstyle"),
  _xlpm.vanillaPrefix, IF(LEFT(_xlpm.spell, 7)="Uvi_Wig", "", ";"),
  ";" &amp; IF(C310="", B310, C310) &amp; IF(M310="", "", " ("&amp;M310&amp;")") &amp; CHAR(10) &amp;
  _xlpm.vanillaPrefix &amp; "Keyword = Uvi_Wig_Distr_KYWD|" &amp; B310 &amp; CHAR(10) &amp;
  _xlpm.vanillaPrefix &amp; "Spell = " &amp; _xlpm.spell &amp; "|" &amp; B310
  )
)</f>
        <v>;Cicero
;Keyword = Uvi_Wig_Distr_KYWD|CiceroDawnstar
;Spell = No Spell for Hairstyle|CiceroDawnstar</v>
      </c>
    </row>
    <row r="311" ht="12.75" customHeight="1">
      <c r="A311" s="5" t="s">
        <v>2240</v>
      </c>
      <c r="B311" s="5" t="s">
        <v>2241</v>
      </c>
      <c r="C311" s="5" t="s">
        <v>2237</v>
      </c>
      <c r="D311" s="5" t="s">
        <v>59</v>
      </c>
      <c r="E311" s="5" t="s">
        <v>233</v>
      </c>
      <c r="F311" s="5" t="s">
        <v>40</v>
      </c>
      <c r="G311" s="14" t="str">
        <f t="array" ref="G311">IF(B311="", "",
  LET(_xlpm.spell, IFERROR(IF(F311="", "", INDEX(_xlws.FILTER(Hairstyles!$F:$F, ISNUMBER(SEARCH(F311, Hairstyles!$B:$B))), 1)), "No Spell for Hairstyle"),
  _xlpm.vanillaPrefix, IF(LEFT(_xlpm.spell, 7)="Uvi_Wig", "", ";"),
  ";" &amp; IF(C311="", B311, C311) &amp; IF(M311="", "", " ("&amp;M311&amp;")") &amp; CHAR(10) &amp;
  _xlpm.vanillaPrefix &amp; "Keyword = Uvi_Wig_Distr_KYWD|" &amp; B311 &amp; CHAR(10) &amp;
  _xlpm.vanillaPrefix &amp; "Spell = " &amp; _xlpm.spell &amp; "|" &amp; B311
  )
)</f>
        <v>;Cicero
;Keyword = Uvi_Wig_Distr_KYWD|CiceroRoad
;Spell = No Spell for Hairstyle|CiceroRoad</v>
      </c>
    </row>
    <row r="312" ht="12.75" customHeight="1">
      <c r="A312" s="15" t="s">
        <v>2242</v>
      </c>
      <c r="B312" s="5" t="s">
        <v>2243</v>
      </c>
      <c r="C312" s="5" t="s">
        <v>2244</v>
      </c>
      <c r="D312" s="5" t="s">
        <v>45</v>
      </c>
      <c r="E312" s="5" t="s">
        <v>41</v>
      </c>
      <c r="F312" s="5" t="s">
        <v>2245</v>
      </c>
      <c r="G312" s="14" t="str">
        <f t="array" ref="G312">IF(B312="", "",
  LET(_xlpm.spell, IFERROR(IF(F312="", "", INDEX(_xlws.FILTER(Hairstyles!$F:$F, ISNUMBER(SEARCH(F312, Hairstyles!$B:$B))), 1)), "No Spell for Hairstyle"),
  _xlpm.vanillaPrefix, IF(LEFT(_xlpm.spell, 7)="Uvi_Wig", "", ";"),
  ";" &amp; IF(C312="", B312, C312) &amp; IF(M312="", "", " ("&amp;M312&amp;")") &amp; CHAR(10) &amp;
  _xlpm.vanillaPrefix &amp; "Keyword = Uvi_Wig_Distr_KYWD|" &amp; B312 &amp; CHAR(10) &amp;
  _xlpm.vanillaPrefix &amp; "Spell = " &amp; _xlpm.spell &amp; "|" &amp; B312
  )
)</f>
        <v>;Cindiri Arano
;Keyword = Uvi_Wig_Distr_KYWD|DLC2RRCindiriArano
;Spell = No Spell for Hairstyle|DLC2RRCindiriArano</v>
      </c>
    </row>
    <row r="313" ht="12.75" customHeight="1">
      <c r="A313" s="5" t="s">
        <v>2246</v>
      </c>
      <c r="B313" s="5" t="s">
        <v>2247</v>
      </c>
      <c r="C313" s="5" t="s">
        <v>2248</v>
      </c>
      <c r="D313" s="5" t="s">
        <v>59</v>
      </c>
      <c r="E313" s="5" t="s">
        <v>233</v>
      </c>
      <c r="F313" s="5" t="s">
        <v>19</v>
      </c>
      <c r="G313" s="14" t="str">
        <f t="array" ref="G313">IF(B313="", "",
  LET(_xlpm.spell, IFERROR(IF(F313="", "", INDEX(_xlws.FILTER(Hairstyles!$F:$F, ISNUMBER(SEARCH(F313, Hairstyles!$B:$B))), 1)), "No Spell for Hairstyle"),
  _xlpm.vanillaPrefix, IF(LEFT(_xlpm.spell, 7)="Uvi_Wig", "", ";"),
  ";" &amp; IF(C313="", B313, C313) &amp; IF(M313="", "", " ("&amp;M313&amp;")") &amp; CHAR(10) &amp;
  _xlpm.vanillaPrefix &amp; "Keyword = Uvi_Wig_Distr_KYWD|" &amp; B313 &amp; CHAR(10) &amp;
  _xlpm.vanillaPrefix &amp; "Spell = " &amp; _xlpm.spell &amp; "|" &amp; B313
  )
)</f>
        <v>;Clavicus Vile
;Keyword = Uvi_Wig_Distr_KYWD|DA03ClavicusVile
;Spell = No Spell for Hairstyle|DA03ClavicusVile</v>
      </c>
    </row>
    <row r="314" ht="12.75" customHeight="1">
      <c r="A314" s="5" t="s">
        <v>2249</v>
      </c>
      <c r="B314" s="5" t="s">
        <v>2250</v>
      </c>
      <c r="C314" s="5" t="s">
        <v>2251</v>
      </c>
      <c r="D314" s="5" t="s">
        <v>23</v>
      </c>
      <c r="E314" s="5" t="s">
        <v>233</v>
      </c>
      <c r="F314" s="5" t="s">
        <v>87</v>
      </c>
      <c r="G314" s="14" t="str">
        <f t="array" ref="G314">IF(B314="", "",
  LET(_xlpm.spell, IFERROR(IF(F314="", "", INDEX(_xlws.FILTER(Hairstyles!$F:$F, ISNUMBER(SEARCH(F314, Hairstyles!$B:$B))), 1)), "No Spell for Hairstyle"),
  _xlpm.vanillaPrefix, IF(LEFT(_xlpm.spell, 7)="Uvi_Wig", "", ";"),
  ";" &amp; IF(C314="", B314, C314) &amp; IF(M314="", "", " ("&amp;M314&amp;")") &amp; CHAR(10) &amp;
  _xlpm.vanillaPrefix &amp; "Keyword = Uvi_Wig_Distr_KYWD|" &amp; B314 &amp; CHAR(10) &amp;
  _xlpm.vanillaPrefix &amp; "Spell = " &amp; _xlpm.spell &amp; "|" &amp; B314
  )
)</f>
        <v>;Clinton Lylvieve
;Keyword = Uvi_Wig_Distr_KYWD|ClintonLylvieve
;Spell = No Spell for Hairstyle|ClintonLylvieve</v>
      </c>
    </row>
    <row r="315" ht="12.75" customHeight="1">
      <c r="A315" s="5" t="s">
        <v>2252</v>
      </c>
      <c r="B315" s="5" t="s">
        <v>2253</v>
      </c>
      <c r="C315" s="5" t="s">
        <v>2254</v>
      </c>
      <c r="D315" s="5" t="s">
        <v>38</v>
      </c>
      <c r="E315" s="5" t="s">
        <v>41</v>
      </c>
      <c r="F315" s="5" t="s">
        <v>2118</v>
      </c>
      <c r="G315" s="14" t="str">
        <f t="array" ref="G315">IF(B315="", "",
  LET(_xlpm.spell, IFERROR(IF(F315="", "", INDEX(_xlws.FILTER(Hairstyles!$F:$F, ISNUMBER(SEARCH(F315, Hairstyles!$B:$B))), 1)), "No Spell for Hairstyle"),
  _xlpm.vanillaPrefix, IF(LEFT(_xlpm.spell, 7)="Uvi_Wig", "", ";"),
  ";" &amp; IF(C315="", B315, C315) &amp; IF(M315="", "", " ("&amp;M315&amp;")") &amp; CHAR(10) &amp;
  _xlpm.vanillaPrefix &amp; "Keyword = Uvi_Wig_Distr_KYWD|" &amp; B315 &amp; CHAR(10) &amp;
  _xlpm.vanillaPrefix &amp; "Spell = " &amp; _xlpm.spell &amp; "|" &amp; B315
  )
)</f>
        <v>;Coldhearted Gravedigger
;Keyword = Uvi_Wig_Distr_KYWD|DBRecurringTarget9Windhelm
;Spell = No Spell for Hairstyle|DBRecurringTarget9Windhelm</v>
      </c>
    </row>
    <row r="316" ht="12.75" customHeight="1">
      <c r="A316" s="5" t="s">
        <v>2255</v>
      </c>
      <c r="B316" s="5" t="s">
        <v>2256</v>
      </c>
      <c r="C316" s="5" t="s">
        <v>2257</v>
      </c>
      <c r="D316" s="5" t="s">
        <v>16</v>
      </c>
      <c r="E316" s="5" t="s">
        <v>41</v>
      </c>
      <c r="F316" s="5" t="s">
        <v>862</v>
      </c>
      <c r="G316" s="14" t="str">
        <f t="array" ref="G316">IF(B316="", "",
  LET(_xlpm.spell, IFERROR(IF(F316="", "", INDEX(_xlws.FILTER(Hairstyles!$F:$F, ISNUMBER(SEARCH(F316, Hairstyles!$B:$B))), 1)), "No Spell for Hairstyle"),
  _xlpm.vanillaPrefix, IF(LEFT(_xlpm.spell, 7)="Uvi_Wig", "", ";"),
  ";" &amp; IF(C316="", B316, C316) &amp; IF(M316="", "", " ("&amp;M316&amp;")") &amp; CHAR(10) &amp;
  _xlpm.vanillaPrefix &amp; "Keyword = Uvi_Wig_Distr_KYWD|" &amp; B316 &amp; CHAR(10) &amp;
  _xlpm.vanillaPrefix &amp; "Spell = " &amp; _xlpm.spell &amp; "|" &amp; B316
  )
)</f>
        <v>;Colette Marence
;Keyword = Uvi_Wig_Distr_KYWD|ColetteMarence
;Spell = No Spell for Hairstyle|ColetteMarence</v>
      </c>
    </row>
    <row r="317" ht="12.75" customHeight="1">
      <c r="A317" s="15" t="s">
        <v>2258</v>
      </c>
      <c r="B317" s="5" t="s">
        <v>2259</v>
      </c>
      <c r="C317" s="5" t="s">
        <v>2260</v>
      </c>
      <c r="D317" s="5" t="s">
        <v>59</v>
      </c>
      <c r="E317" s="5" t="s">
        <v>233</v>
      </c>
      <c r="F317" s="5" t="s">
        <v>224</v>
      </c>
      <c r="G317" s="14" t="str">
        <f t="array" ref="G317">IF(B317="", "",
  LET(_xlpm.spell, IFERROR(IF(F317="", "", INDEX(_xlws.FILTER(Hairstyles!$F:$F, ISNUMBER(SEARCH(F317, Hairstyles!$B:$B))), 1)), "No Spell for Hairstyle"),
  _xlpm.vanillaPrefix, IF(LEFT(_xlpm.spell, 7)="Uvi_Wig", "", ";"),
  ";" &amp; IF(C317="", B317, C317) &amp; IF(M317="", "", " ("&amp;M317&amp;")") &amp; CHAR(10) &amp;
  _xlpm.vanillaPrefix &amp; "Keyword = Uvi_Wig_Distr_KYWD|" &amp; B317 &amp; CHAR(10) &amp;
  _xlpm.vanillaPrefix &amp; "Spell = " &amp; _xlpm.spell &amp; "|" &amp; B317
  )
)</f>
        <v>;Commander Caius
;Keyword = Uvi_Wig_Distr_KYWD|CommanderCaius
;Spell = No Spell for Hairstyle|CommanderCaius</v>
      </c>
    </row>
    <row r="318" ht="12.75" customHeight="1">
      <c r="A318" s="5" t="s">
        <v>2261</v>
      </c>
      <c r="B318" s="5" t="s">
        <v>2262</v>
      </c>
      <c r="C318" s="5" t="s">
        <v>2263</v>
      </c>
      <c r="D318" s="5" t="s">
        <v>59</v>
      </c>
      <c r="E318" s="5" t="s">
        <v>233</v>
      </c>
      <c r="F318" s="5" t="s">
        <v>1906</v>
      </c>
      <c r="G318" s="14" t="str">
        <f t="array" ref="G318">IF(B318="", "",
  LET(_xlpm.spell, IFERROR(IF(F318="", "", INDEX(_xlws.FILTER(Hairstyles!$F:$F, ISNUMBER(SEARCH(F318, Hairstyles!$B:$B))), 1)), "No Spell for Hairstyle"),
  _xlpm.vanillaPrefix, IF(LEFT(_xlpm.spell, 7)="Uvi_Wig", "", ";"),
  ";" &amp; IF(C318="", B318, C318) &amp; IF(M318="", "", " ("&amp;M318&amp;")") &amp; CHAR(10) &amp;
  _xlpm.vanillaPrefix &amp; "Keyword = Uvi_Wig_Distr_KYWD|" &amp; B318 &amp; CHAR(10) &amp;
  _xlpm.vanillaPrefix &amp; "Spell = " &amp; _xlpm.spell &amp; "|" &amp; B318
  )
)</f>
        <v>;Commander Maro
;Keyword = Uvi_Wig_Distr_KYWD|CommanderMaro
;Spell = No Spell for Hairstyle|CommanderMaro</v>
      </c>
    </row>
    <row r="319" ht="12.75" customHeight="1">
      <c r="A319" s="5" t="s">
        <v>2264</v>
      </c>
      <c r="B319" s="5" t="s">
        <v>2265</v>
      </c>
      <c r="C319" s="5" t="s">
        <v>2266</v>
      </c>
      <c r="D319" s="5" t="s">
        <v>38</v>
      </c>
      <c r="E319" s="5" t="s">
        <v>233</v>
      </c>
      <c r="F319" s="5" t="s">
        <v>224</v>
      </c>
      <c r="G319" s="14" t="str">
        <f t="array" ref="G319">IF(B319="", "",
  LET(_xlpm.spell, IFERROR(IF(F319="", "", INDEX(_xlws.FILTER(Hairstyles!$F:$F, ISNUMBER(SEARCH(F319, Hairstyles!$B:$B))), 1)), "No Spell for Hairstyle"),
  _xlpm.vanillaPrefix, IF(LEFT(_xlpm.spell, 7)="Uvi_Wig", "", ";"),
  ";" &amp; IF(C319="", B319, C319) &amp; IF(M319="", "", " ("&amp;M319&amp;")") &amp; CHAR(10) &amp;
  _xlpm.vanillaPrefix &amp; "Keyword = Uvi_Wig_Distr_KYWD|" &amp; B319 &amp; CHAR(10) &amp;
  _xlpm.vanillaPrefix &amp; "Spell = " &amp; _xlpm.spell &amp; "|" &amp; B319
  )
)</f>
        <v>;Commoner
;Keyword = Uvi_Wig_Distr_KYWD|dunDA14DrinkingTEMPLATE
;Spell = No Spell for Hairstyle|dunDA14DrinkingTEMPLATE</v>
      </c>
    </row>
    <row r="320" ht="12.75" customHeight="1">
      <c r="A320" s="5" t="s">
        <v>2267</v>
      </c>
      <c r="B320" s="5" t="s">
        <v>2268</v>
      </c>
      <c r="C320" s="5" t="s">
        <v>2269</v>
      </c>
      <c r="D320" s="5" t="s">
        <v>38</v>
      </c>
      <c r="E320" s="5" t="s">
        <v>41</v>
      </c>
      <c r="F320" s="5" t="s">
        <v>44</v>
      </c>
      <c r="G320" s="14" t="str">
        <f t="array" ref="G320">IF(B320="", "",
  LET(_xlpm.spell, IFERROR(IF(F320="", "", INDEX(_xlws.FILTER(Hairstyles!$F:$F, ISNUMBER(SEARCH(F320, Hairstyles!$B:$B))), 1)), "No Spell for Hairstyle"),
  _xlpm.vanillaPrefix, IF(LEFT(_xlpm.spell, 7)="Uvi_Wig", "", ";"),
  ";" &amp; IF(C320="", B320, C320) &amp; IF(M320="", "", " ("&amp;M320&amp;")") &amp; CHAR(10) &amp;
  _xlpm.vanillaPrefix &amp; "Keyword = Uvi_Wig_Distr_KYWD|" &amp; B320 &amp; CHAR(10) &amp;
  _xlpm.vanillaPrefix &amp; "Spell = " &amp; _xlpm.spell &amp; "|" &amp; B320
  )
)</f>
        <v>;Companion Ghost
;Keyword = Uvi_Wig_Distr_KYWD|DunYsgramorsTomb_LvlGhostMelee1HFemale
;Spell = No Spell for Hairstyle|DunYsgramorsTomb_LvlGhostMelee1HFemale</v>
      </c>
    </row>
    <row r="321" ht="12.75" customHeight="1">
      <c r="A321" s="5" t="s">
        <v>2270</v>
      </c>
      <c r="B321" s="5" t="s">
        <v>2271</v>
      </c>
      <c r="C321" s="5" t="s">
        <v>2269</v>
      </c>
      <c r="D321" s="5" t="s">
        <v>38</v>
      </c>
      <c r="E321" s="5" t="s">
        <v>233</v>
      </c>
      <c r="F321" s="5" t="s">
        <v>1622</v>
      </c>
      <c r="G321" s="14" t="str">
        <f t="array" ref="G321">IF(B321="", "",
  LET(_xlpm.spell, IFERROR(IF(F321="", "", INDEX(_xlws.FILTER(Hairstyles!$F:$F, ISNUMBER(SEARCH(F321, Hairstyles!$B:$B))), 1)), "No Spell for Hairstyle"),
  _xlpm.vanillaPrefix, IF(LEFT(_xlpm.spell, 7)="Uvi_Wig", "", ";"),
  ";" &amp; IF(C321="", B321, C321) &amp; IF(M321="", "", " ("&amp;M321&amp;")") &amp; CHAR(10) &amp;
  _xlpm.vanillaPrefix &amp; "Keyword = Uvi_Wig_Distr_KYWD|" &amp; B321 &amp; CHAR(10) &amp;
  _xlpm.vanillaPrefix &amp; "Spell = " &amp; _xlpm.spell &amp; "|" &amp; B321
  )
)</f>
        <v>;Companion Ghost
;Keyword = Uvi_Wig_Distr_KYWD|DunYsgramorsTomb_LvlGhostMelee1HMale
;Spell = No Spell for Hairstyle|DunYsgramorsTomb_LvlGhostMelee1HMale</v>
      </c>
    </row>
    <row r="322" ht="12.75" customHeight="1">
      <c r="A322" s="5" t="s">
        <v>2272</v>
      </c>
      <c r="B322" s="5" t="s">
        <v>2273</v>
      </c>
      <c r="C322" s="5" t="s">
        <v>2269</v>
      </c>
      <c r="D322" s="5" t="s">
        <v>38</v>
      </c>
      <c r="E322" s="5" t="s">
        <v>41</v>
      </c>
      <c r="F322" s="5" t="s">
        <v>1041</v>
      </c>
      <c r="G322" s="14" t="str">
        <f t="array" ref="G322">IF(B322="", "",
  LET(_xlpm.spell, IFERROR(IF(F322="", "", INDEX(_xlws.FILTER(Hairstyles!$F:$F, ISNUMBER(SEARCH(F322, Hairstyles!$B:$B))), 1)), "No Spell for Hairstyle"),
  _xlpm.vanillaPrefix, IF(LEFT(_xlpm.spell, 7)="Uvi_Wig", "", ";"),
  ";" &amp; IF(C322="", B322, C322) &amp; IF(M322="", "", " ("&amp;M322&amp;")") &amp; CHAR(10) &amp;
  _xlpm.vanillaPrefix &amp; "Keyword = Uvi_Wig_Distr_KYWD|" &amp; B322 &amp; CHAR(10) &amp;
  _xlpm.vanillaPrefix &amp; "Spell = " &amp; _xlpm.spell &amp; "|" &amp; B322
  )
)</f>
        <v>;Companion Ghost
;Keyword = Uvi_Wig_Distr_KYWD|DunYsgramorsTomb_LvlGhostMelee2HFemale
;Spell = No Spell for Hairstyle|DunYsgramorsTomb_LvlGhostMelee2HFemale</v>
      </c>
    </row>
    <row r="323" ht="12.75" customHeight="1">
      <c r="A323" s="5" t="s">
        <v>2274</v>
      </c>
      <c r="B323" s="5" t="s">
        <v>2275</v>
      </c>
      <c r="C323" s="5" t="s">
        <v>2269</v>
      </c>
      <c r="D323" s="5" t="s">
        <v>38</v>
      </c>
      <c r="E323" s="5" t="s">
        <v>233</v>
      </c>
      <c r="F323" s="5" t="s">
        <v>1906</v>
      </c>
      <c r="G323" s="14" t="str">
        <f t="array" ref="G323">IF(B323="", "",
  LET(_xlpm.spell, IFERROR(IF(F323="", "", INDEX(_xlws.FILTER(Hairstyles!$F:$F, ISNUMBER(SEARCH(F323, Hairstyles!$B:$B))), 1)), "No Spell for Hairstyle"),
  _xlpm.vanillaPrefix, IF(LEFT(_xlpm.spell, 7)="Uvi_Wig", "", ";"),
  ";" &amp; IF(C323="", B323, C323) &amp; IF(M323="", "", " ("&amp;M323&amp;")") &amp; CHAR(10) &amp;
  _xlpm.vanillaPrefix &amp; "Keyword = Uvi_Wig_Distr_KYWD|" &amp; B323 &amp; CHAR(10) &amp;
  _xlpm.vanillaPrefix &amp; "Spell = " &amp; _xlpm.spell &amp; "|" &amp; B323
  )
)</f>
        <v>;Companion Ghost
;Keyword = Uvi_Wig_Distr_KYWD|DunYsgramorsTomb_LvlGhostMelee2HMale
;Spell = No Spell for Hairstyle|DunYsgramorsTomb_LvlGhostMelee2HMale</v>
      </c>
    </row>
    <row r="324" ht="12.75" customHeight="1">
      <c r="A324" s="5" t="s">
        <v>2276</v>
      </c>
      <c r="B324" s="5" t="s">
        <v>2277</v>
      </c>
      <c r="C324" s="5" t="s">
        <v>2269</v>
      </c>
      <c r="D324" s="5" t="s">
        <v>38</v>
      </c>
      <c r="E324" s="5" t="s">
        <v>41</v>
      </c>
      <c r="F324" s="5" t="s">
        <v>343</v>
      </c>
      <c r="G324" s="14" t="str">
        <f t="array" ref="G324">IF(B324="", "",
  LET(_xlpm.spell, IFERROR(IF(F324="", "", INDEX(_xlws.FILTER(Hairstyles!$F:$F, ISNUMBER(SEARCH(F324, Hairstyles!$B:$B))), 1)), "No Spell for Hairstyle"),
  _xlpm.vanillaPrefix, IF(LEFT(_xlpm.spell, 7)="Uvi_Wig", "", ";"),
  ";" &amp; IF(C324="", B324, C324) &amp; IF(M324="", "", " ("&amp;M324&amp;")") &amp; CHAR(10) &amp;
  _xlpm.vanillaPrefix &amp; "Keyword = Uvi_Wig_Distr_KYWD|" &amp; B324 &amp; CHAR(10) &amp;
  _xlpm.vanillaPrefix &amp; "Spell = " &amp; _xlpm.spell &amp; "|" &amp; B324
  )
)</f>
        <v>;Companion Ghost
;Keyword = Uvi_Wig_Distr_KYWD|DunYsgramorsTomb_LvlGhostMissileFemale
;Spell = No Spell for Hairstyle|DunYsgramorsTomb_LvlGhostMissileFemale</v>
      </c>
    </row>
    <row r="325" ht="12.75" customHeight="1">
      <c r="A325" s="5" t="s">
        <v>2278</v>
      </c>
      <c r="B325" s="5" t="s">
        <v>2279</v>
      </c>
      <c r="C325" s="5" t="s">
        <v>2269</v>
      </c>
      <c r="D325" s="5" t="s">
        <v>38</v>
      </c>
      <c r="E325" s="5" t="s">
        <v>233</v>
      </c>
      <c r="F325" s="5" t="s">
        <v>990</v>
      </c>
      <c r="G325" s="14" t="str">
        <f t="array" ref="G325">IF(B325="", "",
  LET(_xlpm.spell, IFERROR(IF(F325="", "", INDEX(_xlws.FILTER(Hairstyles!$F:$F, ISNUMBER(SEARCH(F325, Hairstyles!$B:$B))), 1)), "No Spell for Hairstyle"),
  _xlpm.vanillaPrefix, IF(LEFT(_xlpm.spell, 7)="Uvi_Wig", "", ";"),
  ";" &amp; IF(C325="", B325, C325) &amp; IF(M325="", "", " ("&amp;M325&amp;")") &amp; CHAR(10) &amp;
  _xlpm.vanillaPrefix &amp; "Keyword = Uvi_Wig_Distr_KYWD|" &amp; B325 &amp; CHAR(10) &amp;
  _xlpm.vanillaPrefix &amp; "Spell = " &amp; _xlpm.spell &amp; "|" &amp; B325
  )
)</f>
        <v>;Companion Ghost
;Keyword = Uvi_Wig_Distr_KYWD|DunYsgramorsTomb_LvlGhostMissileMale
;Spell = No Spell for Hairstyle|DunYsgramorsTomb_LvlGhostMissileMale</v>
      </c>
    </row>
    <row r="326" ht="12.75" customHeight="1">
      <c r="A326" s="5" t="s">
        <v>2280</v>
      </c>
      <c r="B326" s="5" t="s">
        <v>2281</v>
      </c>
      <c r="C326" s="5" t="s">
        <v>2282</v>
      </c>
      <c r="D326" s="5" t="s">
        <v>16</v>
      </c>
      <c r="E326" s="5" t="s">
        <v>233</v>
      </c>
      <c r="F326" s="5" t="s">
        <v>990</v>
      </c>
      <c r="G326" s="14" t="str">
        <f t="array" ref="G326">IF(B326="", "",
  LET(_xlpm.spell, IFERROR(IF(F326="", "", INDEX(_xlws.FILTER(Hairstyles!$F:$F, ISNUMBER(SEARCH(F326, Hairstyles!$B:$B))), 1)), "No Spell for Hairstyle"),
  _xlpm.vanillaPrefix, IF(LEFT(_xlpm.spell, 7)="Uvi_Wig", "", ";"),
  ";" &amp; IF(C326="", B326, C326) &amp; IF(M326="", "", " ("&amp;M326&amp;")") &amp; CHAR(10) &amp;
  _xlpm.vanillaPrefix &amp; "Keyword = Uvi_Wig_Distr_KYWD|" &amp; B326 &amp; CHAR(10) &amp;
  _xlpm.vanillaPrefix &amp; "Spell = " &amp; _xlpm.spell &amp; "|" &amp; B326
  )
)</f>
        <v>;Confidence
;Keyword = Uvi_Wig_Distr_KYWD|dunBluePalacePelagiusFearful
;Spell = No Spell for Hairstyle|dunBluePalacePelagiusFearful</v>
      </c>
    </row>
    <row r="327" ht="12.75" customHeight="1">
      <c r="A327" s="5" t="s">
        <v>2283</v>
      </c>
      <c r="B327" s="5" t="s">
        <v>2284</v>
      </c>
      <c r="C327" s="5" t="s">
        <v>2285</v>
      </c>
      <c r="D327" s="5" t="s">
        <v>16</v>
      </c>
      <c r="E327" s="5" t="s">
        <v>233</v>
      </c>
      <c r="F327" s="5" t="s">
        <v>1700</v>
      </c>
      <c r="G327" s="14" t="str">
        <f t="array" ref="G327">IF(B327="", "",
  LET(_xlpm.spell, IFERROR(IF(F327="", "", INDEX(_xlws.FILTER(Hairstyles!$F:$F, ISNUMBER(SEARCH(F327, Hairstyles!$B:$B))), 1)), "No Spell for Hairstyle"),
  _xlpm.vanillaPrefix, IF(LEFT(_xlpm.spell, 7)="Uvi_Wig", "", ";"),
  ";" &amp; IF(C327="", B327, C327) &amp; IF(M327="", "", " ("&amp;M327&amp;")") &amp; CHAR(10) &amp;
  _xlpm.vanillaPrefix &amp; "Keyword = Uvi_Wig_Distr_KYWD|" &amp; B327 &amp; CHAR(10) &amp;
  _xlpm.vanillaPrefix &amp; "Spell = " &amp; _xlpm.spell &amp; "|" &amp; B327
  )
)</f>
        <v>;Conjurer
;Keyword = Uvi_Wig_Distr_KYWD|EncWarlock04TemplateBossConjurer
;Spell = No Spell for Hairstyle|EncWarlock04TemplateBossConjurer</v>
      </c>
    </row>
    <row r="328" ht="12.75" customHeight="1">
      <c r="A328" s="5" t="s">
        <v>2286</v>
      </c>
      <c r="B328" s="5" t="s">
        <v>2287</v>
      </c>
      <c r="C328" s="5" t="s">
        <v>2285</v>
      </c>
      <c r="D328" s="5" t="s">
        <v>16</v>
      </c>
      <c r="E328" s="5" t="s">
        <v>233</v>
      </c>
      <c r="F328" s="5" t="s">
        <v>1088</v>
      </c>
      <c r="G328" s="14" t="str">
        <f t="array" ref="G328">IF(B328="", "",
  LET(_xlpm.spell, IFERROR(IF(F328="", "", INDEX(_xlws.FILTER(Hairstyles!$F:$F, ISNUMBER(SEARCH(F328, Hairstyles!$B:$B))), 1)), "No Spell for Hairstyle"),
  _xlpm.vanillaPrefix, IF(LEFT(_xlpm.spell, 7)="Uvi_Wig", "", ";"),
  ";" &amp; IF(C328="", B328, C328) &amp; IF(M328="", "", " ("&amp;M328&amp;")") &amp; CHAR(10) &amp;
  _xlpm.vanillaPrefix &amp; "Keyword = Uvi_Wig_Distr_KYWD|" &amp; B328 &amp; CHAR(10) &amp;
  _xlpm.vanillaPrefix &amp; "Spell = " &amp; _xlpm.spell &amp; "|" &amp; B328
  )
)</f>
        <v>;Conjurer
;Keyword = Uvi_Wig_Distr_KYWD|EncWarlock04TemplateConjurer
;Spell = No Spell for Hairstyle|EncWarlock04TemplateConjurer</v>
      </c>
    </row>
    <row r="329" ht="12.75" customHeight="1">
      <c r="A329" s="5" t="s">
        <v>2288</v>
      </c>
      <c r="B329" s="5" t="s">
        <v>2289</v>
      </c>
      <c r="C329" s="5" t="s">
        <v>2290</v>
      </c>
      <c r="D329" s="5" t="s">
        <v>51</v>
      </c>
      <c r="E329" s="5" t="s">
        <v>233</v>
      </c>
      <c r="F329" s="5" t="s">
        <v>762</v>
      </c>
      <c r="G329" s="14" t="str">
        <f t="array" ref="G329">IF(B329="", "",
  LET(_xlpm.spell, IFERROR(IF(F329="", "", INDEX(_xlws.FILTER(Hairstyles!$F:$F, ISNUMBER(SEARCH(F329, Hairstyles!$B:$B))), 1)), "No Spell for Hairstyle"),
  _xlpm.vanillaPrefix, IF(LEFT(_xlpm.spell, 7)="Uvi_Wig", "", ";"),
  ";" &amp; IF(C329="", B329, C329) &amp; IF(M329="", "", " ("&amp;M329&amp;")") &amp; CHAR(10) &amp;
  _xlpm.vanillaPrefix &amp; "Keyword = Uvi_Wig_Distr_KYWD|" &amp; B329 &amp; CHAR(10) &amp;
  _xlpm.vanillaPrefix &amp; "Spell = " &amp; _xlpm.spell &amp; "|" &amp; B329
  )
)</f>
        <v>;Conjurer Adept
;Keyword = Uvi_Wig_Distr_KYWD|EncWarlock03TemplateBossConjurer
;Spell = No Spell for Hairstyle|EncWarlock03TemplateBossConjurer</v>
      </c>
    </row>
    <row r="330" ht="12.75" customHeight="1">
      <c r="A330" s="5" t="s">
        <v>2291</v>
      </c>
      <c r="B330" s="5" t="s">
        <v>2292</v>
      </c>
      <c r="C330" s="5" t="s">
        <v>2290</v>
      </c>
      <c r="D330" s="5" t="s">
        <v>16</v>
      </c>
      <c r="E330" s="5" t="s">
        <v>233</v>
      </c>
      <c r="F330" s="5" t="s">
        <v>1678</v>
      </c>
      <c r="G330" s="14" t="str">
        <f t="array" ref="G330">IF(B330="", "",
  LET(_xlpm.spell, IFERROR(IF(F330="", "", INDEX(_xlws.FILTER(Hairstyles!$F:$F, ISNUMBER(SEARCH(F330, Hairstyles!$B:$B))), 1)), "No Spell for Hairstyle"),
  _xlpm.vanillaPrefix, IF(LEFT(_xlpm.spell, 7)="Uvi_Wig", "", ";"),
  ";" &amp; IF(C330="", B330, C330) &amp; IF(M330="", "", " ("&amp;M330&amp;")") &amp; CHAR(10) &amp;
  _xlpm.vanillaPrefix &amp; "Keyword = Uvi_Wig_Distr_KYWD|" &amp; B330 &amp; CHAR(10) &amp;
  _xlpm.vanillaPrefix &amp; "Spell = " &amp; _xlpm.spell &amp; "|" &amp; B330
  )
)</f>
        <v>;Conjurer Adept
;Keyword = Uvi_Wig_Distr_KYWD|EncWarlock03TemplateConjurer
;Spell = No Spell for Hairstyle|EncWarlock03TemplateConjurer</v>
      </c>
    </row>
    <row r="331" ht="12.75" customHeight="1">
      <c r="A331" s="15" t="s">
        <v>2293</v>
      </c>
      <c r="B331" s="5" t="s">
        <v>2294</v>
      </c>
      <c r="C331" s="5" t="s">
        <v>2295</v>
      </c>
      <c r="D331" s="5" t="s">
        <v>59</v>
      </c>
      <c r="E331" s="5" t="s">
        <v>41</v>
      </c>
      <c r="F331" s="5" t="s">
        <v>69</v>
      </c>
      <c r="G331" s="14" t="str">
        <f t="array" ref="G331">IF(B331="", "",
  LET(_xlpm.spell, IFERROR(IF(F331="", "", INDEX(_xlws.FILTER(Hairstyles!$F:$F, ISNUMBER(SEARCH(F331, Hairstyles!$B:$B))), 1)), "No Spell for Hairstyle"),
  _xlpm.vanillaPrefix, IF(LEFT(_xlpm.spell, 7)="Uvi_Wig", "", ";"),
  ";" &amp; IF(C331="", B331, C331) &amp; IF(M331="", "", " ("&amp;M331&amp;")") &amp; CHAR(10) &amp;
  _xlpm.vanillaPrefix &amp; "Keyword = Uvi_Wig_Distr_KYWD|" &amp; B331 &amp; CHAR(10) &amp;
  _xlpm.vanillaPrefix &amp; "Spell = " &amp; _xlpm.spell &amp; "|" &amp; B331
  )
)</f>
        <v>;Constance Michel
;Keyword = Uvi_Wig_Distr_KYWD|ConstanceMichel
;Spell = No Spell for Hairstyle|ConstanceMichel</v>
      </c>
    </row>
    <row r="332" ht="12.75" customHeight="1">
      <c r="A332" s="5" t="s">
        <v>2296</v>
      </c>
      <c r="B332" s="5" t="s">
        <v>2297</v>
      </c>
      <c r="C332" s="5" t="s">
        <v>2298</v>
      </c>
      <c r="D332" s="5" t="s">
        <v>59</v>
      </c>
      <c r="E332" s="5" t="s">
        <v>41</v>
      </c>
      <c r="F332" s="5" t="s">
        <v>371</v>
      </c>
      <c r="G332" s="14" t="str">
        <f t="array" ref="G332">IF(B332="", "",
  LET(_xlpm.spell, IFERROR(IF(F332="", "", INDEX(_xlws.FILTER(Hairstyles!$F:$F, ISNUMBER(SEARCH(F332, Hairstyles!$B:$B))), 1)), "No Spell for Hairstyle"),
  _xlpm.vanillaPrefix, IF(LEFT(_xlpm.spell, 7)="Uvi_Wig", "", ";"),
  ";" &amp; IF(C332="", B332, C332) &amp; IF(M332="", "", " ("&amp;M332&amp;")") &amp; CHAR(10) &amp;
  _xlpm.vanillaPrefix &amp; "Keyword = Uvi_Wig_Distr_KYWD|" &amp; B332 &amp; CHAR(10) &amp;
  _xlpm.vanillaPrefix &amp; "Spell = " &amp; _xlpm.spell &amp; "|" &amp; B332
  )
)</f>
        <v>;Corpse
;Keyword = Uvi_Wig_Distr_KYWD|TreasCorpseCWImperialFemale
;Spell = No Spell for Hairstyle|TreasCorpseCWImperialFemale</v>
      </c>
    </row>
    <row r="333" ht="12.75" customHeight="1">
      <c r="A333" s="5" t="s">
        <v>2299</v>
      </c>
      <c r="B333" s="5" t="s">
        <v>2300</v>
      </c>
      <c r="C333" s="5" t="s">
        <v>2298</v>
      </c>
      <c r="D333" s="5" t="s">
        <v>59</v>
      </c>
      <c r="E333" s="5" t="s">
        <v>233</v>
      </c>
      <c r="F333" s="5" t="s">
        <v>218</v>
      </c>
      <c r="G333" s="14" t="str">
        <f t="array" ref="G333">IF(B333="", "",
  LET(_xlpm.spell, IFERROR(IF(F333="", "", INDEX(_xlws.FILTER(Hairstyles!$F:$F, ISNUMBER(SEARCH(F333, Hairstyles!$B:$B))), 1)), "No Spell for Hairstyle"),
  _xlpm.vanillaPrefix, IF(LEFT(_xlpm.spell, 7)="Uvi_Wig", "", ";"),
  ";" &amp; IF(C333="", B333, C333) &amp; IF(M333="", "", " ("&amp;M333&amp;")") &amp; CHAR(10) &amp;
  _xlpm.vanillaPrefix &amp; "Keyword = Uvi_Wig_Distr_KYWD|" &amp; B333 &amp; CHAR(10) &amp;
  _xlpm.vanillaPrefix &amp; "Spell = " &amp; _xlpm.spell &amp; "|" &amp; B333
  )
)</f>
        <v>;Corpse
;Keyword = Uvi_Wig_Distr_KYWD|TreasCorpseCWImperialMale
;Spell = No Spell for Hairstyle|TreasCorpseCWImperialMale</v>
      </c>
    </row>
    <row r="334" ht="12.75" customHeight="1">
      <c r="A334" s="5" t="s">
        <v>2301</v>
      </c>
      <c r="B334" s="5" t="s">
        <v>2302</v>
      </c>
      <c r="C334" s="5" t="s">
        <v>2298</v>
      </c>
      <c r="D334" s="5" t="s">
        <v>59</v>
      </c>
      <c r="E334" s="5" t="s">
        <v>41</v>
      </c>
      <c r="F334" s="5" t="s">
        <v>1694</v>
      </c>
      <c r="G334" s="14" t="str">
        <f t="array" ref="G334">IF(B334="", "",
  LET(_xlpm.spell, IFERROR(IF(F334="", "", INDEX(_xlws.FILTER(Hairstyles!$F:$F, ISNUMBER(SEARCH(F334, Hairstyles!$B:$B))), 1)), "No Spell for Hairstyle"),
  _xlpm.vanillaPrefix, IF(LEFT(_xlpm.spell, 7)="Uvi_Wig", "", ";"),
  ";" &amp; IF(C334="", B334, C334) &amp; IF(M334="", "", " ("&amp;M334&amp;")") &amp; CHAR(10) &amp;
  _xlpm.vanillaPrefix &amp; "Keyword = Uvi_Wig_Distr_KYWD|" &amp; B334 &amp; CHAR(10) &amp;
  _xlpm.vanillaPrefix &amp; "Spell = " &amp; _xlpm.spell &amp; "|" &amp; B334
  )
)</f>
        <v>;Corpse
;Keyword = Uvi_Wig_Distr_KYWD|TreasCorpseCWSonsFemale
;Spell = No Spell for Hairstyle|TreasCorpseCWSonsFemale</v>
      </c>
    </row>
    <row r="335" ht="12.75" customHeight="1">
      <c r="A335" s="5" t="s">
        <v>2303</v>
      </c>
      <c r="B335" s="5" t="s">
        <v>2304</v>
      </c>
      <c r="C335" s="5" t="s">
        <v>2298</v>
      </c>
      <c r="D335" s="5" t="s">
        <v>59</v>
      </c>
      <c r="E335" s="5" t="s">
        <v>233</v>
      </c>
      <c r="F335" s="5" t="s">
        <v>19</v>
      </c>
      <c r="G335" s="14" t="str">
        <f t="array" ref="G335">IF(B335="", "",
  LET(_xlpm.spell, IFERROR(IF(F335="", "", INDEX(_xlws.FILTER(Hairstyles!$F:$F, ISNUMBER(SEARCH(F335, Hairstyles!$B:$B))), 1)), "No Spell for Hairstyle"),
  _xlpm.vanillaPrefix, IF(LEFT(_xlpm.spell, 7)="Uvi_Wig", "", ";"),
  ";" &amp; IF(C335="", B335, C335) &amp; IF(M335="", "", " ("&amp;M335&amp;")") &amp; CHAR(10) &amp;
  _xlpm.vanillaPrefix &amp; "Keyword = Uvi_Wig_Distr_KYWD|" &amp; B335 &amp; CHAR(10) &amp;
  _xlpm.vanillaPrefix &amp; "Spell = " &amp; _xlpm.spell &amp; "|" &amp; B335
  )
)</f>
        <v>;Corpse
;Keyword = Uvi_Wig_Distr_KYWD|TreasCorpseCWSonsMale
;Spell = No Spell for Hairstyle|TreasCorpseCWSonsMale</v>
      </c>
    </row>
    <row r="336" ht="12.75" customHeight="1">
      <c r="A336" s="15" t="s">
        <v>2305</v>
      </c>
      <c r="B336" s="5" t="s">
        <v>2306</v>
      </c>
      <c r="C336" s="5" t="s">
        <v>2307</v>
      </c>
      <c r="D336" s="5" t="s">
        <v>59</v>
      </c>
      <c r="E336" s="5" t="s">
        <v>233</v>
      </c>
      <c r="F336" s="5" t="s">
        <v>521</v>
      </c>
      <c r="G336" s="14" t="str">
        <f t="array" ref="G336">IF(B336="", "",
  LET(_xlpm.spell, IFERROR(IF(F336="", "", INDEX(_xlws.FILTER(Hairstyles!$F:$F, ISNUMBER(SEARCH(F336, Hairstyles!$B:$B))), 1)), "No Spell for Hairstyle"),
  _xlpm.vanillaPrefix, IF(LEFT(_xlpm.spell, 7)="Uvi_Wig", "", ";"),
  ";" &amp; IF(C336="", B336, C336) &amp; IF(M336="", "", " ("&amp;M336&amp;")") &amp; CHAR(10) &amp;
  _xlpm.vanillaPrefix &amp; "Keyword = Uvi_Wig_Distr_KYWD|" &amp; B336 &amp; CHAR(10) &amp;
  _xlpm.vanillaPrefix &amp; "Spell = " &amp; _xlpm.spell &amp; "|" &amp; B336
  )
)</f>
        <v>;Corpulus Vinius
;Keyword = Uvi_Wig_Distr_KYWD|CorpulusVinius
;Spell = No Spell for Hairstyle|CorpulusVinius</v>
      </c>
    </row>
    <row r="337" ht="12.75" customHeight="1">
      <c r="A337" s="5" t="s">
        <v>2308</v>
      </c>
      <c r="B337" s="5" t="s">
        <v>2309</v>
      </c>
      <c r="C337" s="5" t="s">
        <v>2310</v>
      </c>
      <c r="D337" s="5" t="s">
        <v>38</v>
      </c>
      <c r="E337" s="5" t="s">
        <v>233</v>
      </c>
      <c r="F337" s="5" t="s">
        <v>40</v>
      </c>
      <c r="G337" s="14" t="str">
        <f t="array" ref="G337">IF(B337="", "",
  LET(_xlpm.spell, IFERROR(IF(F337="", "", INDEX(_xlws.FILTER(Hairstyles!$F:$F, ISNUMBER(SEARCH(F337, Hairstyles!$B:$B))), 1)), "No Spell for Hairstyle"),
  _xlpm.vanillaPrefix, IF(LEFT(_xlpm.spell, 7)="Uvi_Wig", "", ";"),
  ";" &amp; IF(C337="", B337, C337) &amp; IF(M337="", "", " ("&amp;M337&amp;")") &amp; CHAR(10) &amp;
  _xlpm.vanillaPrefix &amp; "Keyword = Uvi_Wig_Distr_KYWD|" &amp; B337 &amp; CHAR(10) &amp;
  _xlpm.vanillaPrefix &amp; "Spell = " &amp; _xlpm.spell &amp; "|" &amp; B337
  )
)</f>
        <v>;Corrupt Agent
;Keyword = Uvi_Wig_Distr_KYWD|DBRecurringContact3DragonBridge
;Spell = No Spell for Hairstyle|DBRecurringContact3DragonBridge</v>
      </c>
    </row>
    <row r="338" ht="12.75" customHeight="1">
      <c r="A338" s="15" t="s">
        <v>2311</v>
      </c>
      <c r="B338" s="5" t="s">
        <v>2312</v>
      </c>
      <c r="C338" s="5" t="s">
        <v>2312</v>
      </c>
      <c r="D338" s="5" t="s">
        <v>16</v>
      </c>
      <c r="E338" s="5" t="s">
        <v>233</v>
      </c>
      <c r="F338" s="5" t="s">
        <v>68</v>
      </c>
      <c r="G338" s="14" t="str">
        <f t="array" ref="G338">IF(B338="", "",
  LET(_xlpm.spell, IFERROR(IF(F338="", "", INDEX(_xlws.FILTER(Hairstyles!$F:$F, ISNUMBER(SEARCH(F338, Hairstyles!$B:$B))), 1)), "No Spell for Hairstyle"),
  _xlpm.vanillaPrefix, IF(LEFT(_xlpm.spell, 7)="Uvi_Wig", "", ";"),
  ";" &amp; IF(C338="", B338, C338) &amp; IF(M338="", "", " ("&amp;M338&amp;")") &amp; CHAR(10) &amp;
  _xlpm.vanillaPrefix &amp; "Keyword = Uvi_Wig_Distr_KYWD|" &amp; B338 &amp; CHAR(10) &amp;
  _xlpm.vanillaPrefix &amp; "Spell = " &amp; _xlpm.spell &amp; "|" &amp; B338
  )
)</f>
        <v>;Cosnach
;Keyword = Uvi_Wig_Distr_KYWD|Cosnach
;Spell = No Spell for Hairstyle|Cosnach</v>
      </c>
    </row>
    <row r="339" ht="12.75" customHeight="1">
      <c r="A339" s="5" t="s">
        <v>2313</v>
      </c>
      <c r="B339" s="5" t="s">
        <v>2314</v>
      </c>
      <c r="C339" s="5" t="s">
        <v>2315</v>
      </c>
      <c r="D339" s="5" t="s">
        <v>45</v>
      </c>
      <c r="E339" s="5" t="s">
        <v>233</v>
      </c>
      <c r="F339" s="5" t="s">
        <v>1684</v>
      </c>
      <c r="G339" s="14" t="str">
        <f t="array" ref="G339">IF(B339="", "",
  LET(_xlpm.spell, IFERROR(IF(F339="", "", INDEX(_xlws.FILTER(Hairstyles!$F:$F, ISNUMBER(SEARCH(F339, Hairstyles!$B:$B))), 1)), "No Spell for Hairstyle"),
  _xlpm.vanillaPrefix, IF(LEFT(_xlpm.spell, 7)="Uvi_Wig", "", ";"),
  ";" &amp; IF(C339="", B339, C339) &amp; IF(M339="", "", " ("&amp;M339&amp;")") &amp; CHAR(10) &amp;
  _xlpm.vanillaPrefix &amp; "Keyword = Uvi_Wig_Distr_KYWD|" &amp; B339 &amp; CHAR(10) &amp;
  _xlpm.vanillaPrefix &amp; "Spell = " &amp; _xlpm.spell &amp; "|" &amp; B339
  )
)</f>
        <v>;Courier
;Keyword = Uvi_Wig_Distr_KYWD|MGRA04Courier
;Spell = No Spell for Hairstyle|MGRA04Courier</v>
      </c>
    </row>
    <row r="340" ht="12.75" customHeight="1">
      <c r="A340" s="5" t="s">
        <v>2316</v>
      </c>
      <c r="B340" s="5" t="s">
        <v>2317</v>
      </c>
      <c r="C340" s="5" t="s">
        <v>2315</v>
      </c>
      <c r="D340" s="5" t="s">
        <v>59</v>
      </c>
      <c r="E340" s="5" t="s">
        <v>233</v>
      </c>
      <c r="F340" s="5" t="s">
        <v>1622</v>
      </c>
      <c r="G340" s="14" t="str">
        <f t="array" ref="G340">IF(B340="", "",
  LET(_xlpm.spell, IFERROR(IF(F340="", "", INDEX(_xlws.FILTER(Hairstyles!$F:$F, ISNUMBER(SEARCH(F340, Hairstyles!$B:$B))), 1)), "No Spell for Hairstyle"),
  _xlpm.vanillaPrefix, IF(LEFT(_xlpm.spell, 7)="Uvi_Wig", "", ";"),
  ";" &amp; IF(C340="", B340, C340) &amp; IF(M340="", "", " ("&amp;M340&amp;")") &amp; CHAR(10) &amp;
  _xlpm.vanillaPrefix &amp; "Keyword = Uvi_Wig_Distr_KYWD|" &amp; B340 &amp; CHAR(10) &amp;
  _xlpm.vanillaPrefix &amp; "Spell = " &amp; _xlpm.spell &amp; "|" &amp; B340
  )
)</f>
        <v>;Courier
;Keyword = Uvi_Wig_Distr_KYWD|WERoadCourierImperial
;Spell = No Spell for Hairstyle|WERoadCourierImperial</v>
      </c>
    </row>
    <row r="341" ht="12.75" customHeight="1">
      <c r="A341" s="5" t="s">
        <v>2318</v>
      </c>
      <c r="B341" s="5" t="s">
        <v>2319</v>
      </c>
      <c r="C341" s="5" t="s">
        <v>2315</v>
      </c>
      <c r="D341" s="5" t="s">
        <v>38</v>
      </c>
      <c r="E341" s="5" t="s">
        <v>233</v>
      </c>
      <c r="F341" s="5" t="s">
        <v>68</v>
      </c>
      <c r="G341" s="14" t="str">
        <f t="array" ref="G341">IF(B341="", "",
  LET(_xlpm.spell, IFERROR(IF(F341="", "", INDEX(_xlws.FILTER(Hairstyles!$F:$F, ISNUMBER(SEARCH(F341, Hairstyles!$B:$B))), 1)), "No Spell for Hairstyle"),
  _xlpm.vanillaPrefix, IF(LEFT(_xlpm.spell, 7)="Uvi_Wig", "", ";"),
  ";" &amp; IF(C341="", B341, C341) &amp; IF(M341="", "", " ("&amp;M341&amp;")") &amp; CHAR(10) &amp;
  _xlpm.vanillaPrefix &amp; "Keyword = Uvi_Wig_Distr_KYWD|" &amp; B341 &amp; CHAR(10) &amp;
  _xlpm.vanillaPrefix &amp; "Spell = " &amp; _xlpm.spell &amp; "|" &amp; B341
  )
)</f>
        <v>;Courier
;Keyword = Uvi_Wig_Distr_KYWD|WERoadCourierNord
;Spell = No Spell for Hairstyle|WERoadCourierNord</v>
      </c>
    </row>
    <row r="342" ht="12.75" customHeight="1">
      <c r="A342" s="5" t="s">
        <v>2320</v>
      </c>
      <c r="B342" s="5" t="s">
        <v>2321</v>
      </c>
      <c r="C342" s="5" t="s">
        <v>2315</v>
      </c>
      <c r="D342" s="5" t="s">
        <v>90</v>
      </c>
      <c r="E342" s="5" t="s">
        <v>233</v>
      </c>
      <c r="F342" s="5" t="s">
        <v>1937</v>
      </c>
      <c r="G342" s="14" t="str">
        <f t="array" ref="G342">IF(B342="", "",
  LET(_xlpm.spell, IFERROR(IF(F342="", "", INDEX(_xlws.FILTER(Hairstyles!$F:$F, ISNUMBER(SEARCH(F342, Hairstyles!$B:$B))), 1)), "No Spell for Hairstyle"),
  _xlpm.vanillaPrefix, IF(LEFT(_xlpm.spell, 7)="Uvi_Wig", "", ";"),
  ";" &amp; IF(C342="", B342, C342) &amp; IF(M342="", "", " ("&amp;M342&amp;")") &amp; CHAR(10) &amp;
  _xlpm.vanillaPrefix &amp; "Keyword = Uvi_Wig_Distr_KYWD|" &amp; B342 &amp; CHAR(10) &amp;
  _xlpm.vanillaPrefix &amp; "Spell = " &amp; _xlpm.spell &amp; "|" &amp; B342
  )
)</f>
        <v>;Courier
;Keyword = Uvi_Wig_Distr_KYWD|WERoadCourierWoodElf
;Spell = No Spell for Hairstyle|WERoadCourierWoodElf</v>
      </c>
    </row>
    <row r="343" ht="12.75" customHeight="1">
      <c r="A343" s="5" t="s">
        <v>2322</v>
      </c>
      <c r="B343" s="5" t="s">
        <v>2323</v>
      </c>
      <c r="C343" s="5" t="s">
        <v>2315</v>
      </c>
      <c r="D343" s="5" t="s">
        <v>38</v>
      </c>
      <c r="E343" s="5" t="s">
        <v>233</v>
      </c>
      <c r="F343" s="5" t="s">
        <v>19</v>
      </c>
      <c r="G343" s="14" t="str">
        <f t="array" ref="G343">IF(B343="", "",
  LET(_xlpm.spell, IFERROR(IF(F343="", "", INDEX(_xlws.FILTER(Hairstyles!$F:$F, ISNUMBER(SEARCH(F343, Hairstyles!$B:$B))), 1)), "No Spell for Hairstyle"),
  _xlpm.vanillaPrefix, IF(LEFT(_xlpm.spell, 7)="Uvi_Wig", "", ";"),
  ";" &amp; IF(C343="", B343, C343) &amp; IF(M343="", "", " ("&amp;M343&amp;")") &amp; CHAR(10) &amp;
  _xlpm.vanillaPrefix &amp; "Keyword = Uvi_Wig_Distr_KYWD|" &amp; B343 &amp; CHAR(10) &amp;
  _xlpm.vanillaPrefix &amp; "Spell = " &amp; _xlpm.spell &amp; "|" &amp; B343
  )
)</f>
        <v>;Courier
;Keyword = Uvi_Wig_Distr_KYWD|WICourierNPC
;Spell = No Spell for Hairstyle|WICourierNPC</v>
      </c>
    </row>
    <row r="344" ht="12.75" customHeight="1">
      <c r="A344" s="5" t="s">
        <v>2324</v>
      </c>
      <c r="B344" s="5" t="s">
        <v>2325</v>
      </c>
      <c r="C344" s="5" t="s">
        <v>2326</v>
      </c>
      <c r="D344" s="5" t="s">
        <v>38</v>
      </c>
      <c r="E344" s="5" t="s">
        <v>233</v>
      </c>
      <c r="F344" s="5" t="s">
        <v>235</v>
      </c>
      <c r="G344" s="14" t="str">
        <f t="array" ref="G344">IF(B344="", "",
  LET(_xlpm.spell, IFERROR(IF(F344="", "", INDEX(_xlws.FILTER(Hairstyles!$F:$F, ISNUMBER(SEARCH(F344, Hairstyles!$B:$B))), 1)), "No Spell for Hairstyle"),
  _xlpm.vanillaPrefix, IF(LEFT(_xlpm.spell, 7)="Uvi_Wig", "", ";"),
  ";" &amp; IF(C344="", B344, C344) &amp; IF(M344="", "", " ("&amp;M344&amp;")") &amp; CHAR(10) &amp;
  _xlpm.vanillaPrefix &amp; "Keyword = Uvi_Wig_Distr_KYWD|" &amp; B344 &amp; CHAR(10) &amp;
  _xlpm.vanillaPrefix &amp; "Spell = " &amp; _xlpm.spell &amp; "|" &amp; B344
  )
)</f>
        <v>;Cow Hand
;Keyword = Uvi_Wig_Distr_KYWD|CWMission08CowHand
;Spell = No Spell for Hairstyle|CWMission08CowHand</v>
      </c>
    </row>
    <row r="345" ht="12.75" customHeight="1">
      <c r="A345" s="15" t="s">
        <v>2327</v>
      </c>
      <c r="B345" s="5" t="s">
        <v>2328</v>
      </c>
      <c r="C345" s="5" t="s">
        <v>2329</v>
      </c>
      <c r="D345" s="5" t="s">
        <v>51</v>
      </c>
      <c r="E345" s="5" t="s">
        <v>233</v>
      </c>
      <c r="F345" s="5" t="s">
        <v>1700</v>
      </c>
      <c r="G345" s="14" t="str">
        <f t="array" ref="G345">IF(B345="", "",
  LET(_xlpm.spell, IFERROR(IF(F345="", "", INDEX(_xlws.FILTER(Hairstyles!$F:$F, ISNUMBER(SEARCH(F345, Hairstyles!$B:$B))), 1)), "No Spell for Hairstyle"),
  _xlpm.vanillaPrefix, IF(LEFT(_xlpm.spell, 7)="Uvi_Wig", "", ";"),
  ";" &amp; IF(C345="", B345, C345) &amp; IF(M345="", "", " ("&amp;M345&amp;")") &amp; CHAR(10) &amp;
  _xlpm.vanillaPrefix &amp; "Keyword = Uvi_Wig_Distr_KYWD|" &amp; B345 &amp; CHAR(10) &amp;
  _xlpm.vanillaPrefix &amp; "Spell = " &amp; _xlpm.spell &amp; "|" &amp; B345
  )
)</f>
        <v>;Crescius Caerellius
;Keyword = Uvi_Wig_Distr_KYWD|DLC2RRCresciusCaerellius
;Spell = No Spell for Hairstyle|DLC2RRCresciusCaerellius</v>
      </c>
    </row>
    <row r="346" ht="12.75" customHeight="1">
      <c r="A346" s="5" t="s">
        <v>2330</v>
      </c>
      <c r="B346" s="5" t="s">
        <v>2331</v>
      </c>
      <c r="C346" s="5" t="s">
        <v>2332</v>
      </c>
      <c r="D346" s="5" t="s">
        <v>38</v>
      </c>
      <c r="E346" s="5" t="s">
        <v>233</v>
      </c>
      <c r="F346" s="5" t="s">
        <v>234</v>
      </c>
      <c r="G346" s="14" t="str">
        <f t="array" ref="G346">IF(B346="", "",
  LET(_xlpm.spell, IFERROR(IF(F346="", "", INDEX(_xlws.FILTER(Hairstyles!$F:$F, ISNUMBER(SEARCH(F346, Hairstyles!$B:$B))), 1)), "No Spell for Hairstyle"),
  _xlpm.vanillaPrefix, IF(LEFT(_xlpm.spell, 7)="Uvi_Wig", "", ";"),
  ";" &amp; IF(C346="", B346, C346) &amp; IF(M346="", "", " ("&amp;M346&amp;")") &amp; CHAR(10) &amp;
  _xlpm.vanillaPrefix &amp; "Keyword = Uvi_Wig_Distr_KYWD|" &amp; B346 &amp; CHAR(10) &amp;
  _xlpm.vanillaPrefix &amp; "Spell = " &amp; _xlpm.spell &amp; "|" &amp; B346
  )
)</f>
        <v>;Cryomancer
;Keyword = Uvi_Wig_Distr_KYWD|EncWarlock06TemplateBossIce
;Spell = No Spell for Hairstyle|EncWarlock06TemplateBossIce</v>
      </c>
    </row>
    <row r="347" ht="12.75" customHeight="1">
      <c r="A347" s="5" t="s">
        <v>2333</v>
      </c>
      <c r="B347" s="5" t="s">
        <v>2334</v>
      </c>
      <c r="C347" s="5" t="s">
        <v>2332</v>
      </c>
      <c r="D347" s="5" t="s">
        <v>38</v>
      </c>
      <c r="E347" s="5" t="s">
        <v>233</v>
      </c>
      <c r="F347" s="5" t="s">
        <v>68</v>
      </c>
      <c r="G347" s="14" t="str">
        <f t="array" ref="G347">IF(B347="", "",
  LET(_xlpm.spell, IFERROR(IF(F347="", "", INDEX(_xlws.FILTER(Hairstyles!$F:$F, ISNUMBER(SEARCH(F347, Hairstyles!$B:$B))), 1)), "No Spell for Hairstyle"),
  _xlpm.vanillaPrefix, IF(LEFT(_xlpm.spell, 7)="Uvi_Wig", "", ";"),
  ";" &amp; IF(C347="", B347, C347) &amp; IF(M347="", "", " ("&amp;M347&amp;")") &amp; CHAR(10) &amp;
  _xlpm.vanillaPrefix &amp; "Keyword = Uvi_Wig_Distr_KYWD|" &amp; B347 &amp; CHAR(10) &amp;
  _xlpm.vanillaPrefix &amp; "Spell = " &amp; _xlpm.spell &amp; "|" &amp; B347
  )
)</f>
        <v>;Cryomancer
;Keyword = Uvi_Wig_Distr_KYWD|EncWarlock06TemplateIce
;Spell = No Spell for Hairstyle|EncWarlock06TemplateIce</v>
      </c>
    </row>
    <row r="348" ht="12.75" customHeight="1">
      <c r="A348" s="5" t="s">
        <v>2335</v>
      </c>
      <c r="B348" s="5" t="s">
        <v>2336</v>
      </c>
      <c r="C348" s="5" t="s">
        <v>2337</v>
      </c>
      <c r="D348" s="5" t="s">
        <v>38</v>
      </c>
      <c r="E348" s="5" t="s">
        <v>233</v>
      </c>
      <c r="F348" s="5" t="s">
        <v>84</v>
      </c>
      <c r="G348" s="14" t="str">
        <f t="array" ref="G348">IF(B348="", "",
  LET(_xlpm.spell, IFERROR(IF(F348="", "", INDEX(_xlws.FILTER(Hairstyles!$F:$F, ISNUMBER(SEARCH(F348, Hairstyles!$B:$B))), 1)), "No Spell for Hairstyle"),
  _xlpm.vanillaPrefix, IF(LEFT(_xlpm.spell, 7)="Uvi_Wig", "", ";"),
  ";" &amp; IF(C348="", B348, C348) &amp; IF(M348="", "", " ("&amp;M348&amp;")") &amp; CHAR(10) &amp;
  _xlpm.vanillaPrefix &amp; "Keyword = Uvi_Wig_Distr_KYWD|" &amp; B348 &amp; CHAR(10) &amp;
  _xlpm.vanillaPrefix &amp; "Spell = " &amp; _xlpm.spell &amp; "|" &amp; B348
  )
)</f>
        <v>;Cultist
;Keyword = Uvi_Wig_Distr_KYWD|DLC2EncCultist00Template
;Spell = No Spell for Hairstyle|DLC2EncCultist00Template</v>
      </c>
    </row>
    <row r="349" ht="12.75" customHeight="1">
      <c r="A349" s="5" t="s">
        <v>2338</v>
      </c>
      <c r="B349" s="5" t="s">
        <v>2339</v>
      </c>
      <c r="C349" s="5" t="s">
        <v>2337</v>
      </c>
      <c r="D349" s="5" t="s">
        <v>38</v>
      </c>
      <c r="E349" s="5" t="s">
        <v>233</v>
      </c>
      <c r="F349" s="5" t="s">
        <v>475</v>
      </c>
      <c r="G349" s="14" t="str">
        <f t="array" ref="G349">IF(B349="", "",
  LET(_xlpm.spell, IFERROR(IF(F349="", "", INDEX(_xlws.FILTER(Hairstyles!$F:$F, ISNUMBER(SEARCH(F349, Hairstyles!$B:$B))), 1)), "No Spell for Hairstyle"),
  _xlpm.vanillaPrefix, IF(LEFT(_xlpm.spell, 7)="Uvi_Wig", "", ";"),
  ";" &amp; IF(C349="", B349, C349) &amp; IF(M349="", "", " ("&amp;M349&amp;")") &amp; CHAR(10) &amp;
  _xlpm.vanillaPrefix &amp; "Keyword = Uvi_Wig_Distr_KYWD|" &amp; B349 &amp; CHAR(10) &amp;
  _xlpm.vanillaPrefix &amp; "Spell = " &amp; _xlpm.spell &amp; "|" &amp; B349
  )
)</f>
        <v>;Cultist
;Keyword = Uvi_Wig_Distr_KYWD|DLC2EncCultist03Template
;Spell = No Spell for Hairstyle|DLC2EncCultist03Template</v>
      </c>
    </row>
    <row r="350" ht="12.75" customHeight="1">
      <c r="A350" s="5" t="s">
        <v>2340</v>
      </c>
      <c r="B350" s="5" t="s">
        <v>2341</v>
      </c>
      <c r="C350" s="5" t="s">
        <v>2342</v>
      </c>
      <c r="D350" s="5" t="s">
        <v>38</v>
      </c>
      <c r="E350" s="5" t="s">
        <v>233</v>
      </c>
      <c r="F350" s="5" t="s">
        <v>1566</v>
      </c>
      <c r="G350" s="14" t="str">
        <f t="array" ref="G350">IF(B350="", "",
  LET(_xlpm.spell, IFERROR(IF(F350="", "", INDEX(_xlws.FILTER(Hairstyles!$F:$F, ISNUMBER(SEARCH(F350, Hairstyles!$B:$B))), 1)), "No Spell for Hairstyle"),
  _xlpm.vanillaPrefix, IF(LEFT(_xlpm.spell, 7)="Uvi_Wig", "", ";"),
  ";" &amp; IF(C350="", B350, C350) &amp; IF(M350="", "", " ("&amp;M350&amp;")") &amp; CHAR(10) &amp;
  _xlpm.vanillaPrefix &amp; "Keyword = Uvi_Wig_Distr_KYWD|" &amp; B350 &amp; CHAR(10) &amp;
  _xlpm.vanillaPrefix &amp; "Spell = " &amp; _xlpm.spell &amp; "|" &amp; B350
  )
)</f>
        <v>;Cultist Adept
;Keyword = Uvi_Wig_Distr_KYWD|DLC2EncCultist04Template
;Spell = No Spell for Hairstyle|DLC2EncCultist04Template</v>
      </c>
    </row>
    <row r="351" ht="12.75" customHeight="1">
      <c r="A351" s="5" t="s">
        <v>2343</v>
      </c>
      <c r="B351" s="5" t="s">
        <v>2344</v>
      </c>
      <c r="C351" s="5" t="s">
        <v>2344</v>
      </c>
      <c r="D351" s="5" t="s">
        <v>57</v>
      </c>
      <c r="E351" s="5" t="s">
        <v>41</v>
      </c>
      <c r="F351" s="5" t="s">
        <v>1967</v>
      </c>
      <c r="G351" s="14" t="str">
        <f t="array" ref="G351">IF(B351="", "",
  LET(_xlpm.spell, IFERROR(IF(F351="", "", INDEX(_xlws.FILTER(Hairstyles!$F:$F, ISNUMBER(SEARCH(F351, Hairstyles!$B:$B))), 1)), "No Spell for Hairstyle"),
  _xlpm.vanillaPrefix, IF(LEFT(_xlpm.spell, 7)="Uvi_Wig", "", ";"),
  ";" &amp; IF(C351="", B351, C351) &amp; IF(M351="", "", " ("&amp;M351&amp;")") &amp; CHAR(10) &amp;
  _xlpm.vanillaPrefix &amp; "Keyword = Uvi_Wig_Distr_KYWD|" &amp; B351 &amp; CHAR(10) &amp;
  _xlpm.vanillaPrefix &amp; "Spell = " &amp; _xlpm.spell &amp; "|" &amp; B351
  )
)</f>
        <v>;Curwe
;Keyword = Uvi_Wig_Distr_KYWD|Curwe
;Spell = No Spell for Hairstyle|Curwe</v>
      </c>
    </row>
    <row r="352" ht="12.75" customHeight="1">
      <c r="A352" s="5" t="s">
        <v>2345</v>
      </c>
      <c r="B352" s="5" t="s">
        <v>2346</v>
      </c>
      <c r="C352" s="5" t="s">
        <v>2344</v>
      </c>
      <c r="D352" s="5" t="s">
        <v>57</v>
      </c>
      <c r="E352" s="5" t="s">
        <v>41</v>
      </c>
      <c r="F352" s="5" t="s">
        <v>1967</v>
      </c>
      <c r="G352" s="14" t="str">
        <f t="array" ref="G352">IF(B352="", "",
  LET(_xlpm.spell, IFERROR(IF(F352="", "", INDEX(_xlws.FILTER(Hairstyles!$F:$F, ISNUMBER(SEARCH(F352, Hairstyles!$B:$B))), 1)), "No Spell for Hairstyle"),
  _xlpm.vanillaPrefix, IF(LEFT(_xlpm.spell, 7)="Uvi_Wig", "", ";"),
  ";" &amp; IF(C352="", B352, C352) &amp; IF(M352="", "", " ("&amp;M352&amp;")") &amp; CHAR(10) &amp;
  _xlpm.vanillaPrefix &amp; "Keyword = Uvi_Wig_Distr_KYWD|" &amp; B352 &amp; CHAR(10) &amp;
  _xlpm.vanillaPrefix &amp; "Spell = " &amp; _xlpm.spell &amp; "|" &amp; B352
  )
)</f>
        <v>;Curwe
;Keyword = Uvi_Wig_Distr_KYWD|CurweDead
;Spell = No Spell for Hairstyle|CurweDead</v>
      </c>
    </row>
    <row r="353" ht="12.75" customHeight="1">
      <c r="A353" s="5" t="s">
        <v>2347</v>
      </c>
      <c r="B353" s="5" t="s">
        <v>2348</v>
      </c>
      <c r="C353" s="5" t="s">
        <v>2349</v>
      </c>
      <c r="D353" s="5" t="s">
        <v>16</v>
      </c>
      <c r="E353" s="5" t="s">
        <v>233</v>
      </c>
      <c r="F353" s="5" t="s">
        <v>1088</v>
      </c>
      <c r="G353" s="14" t="str">
        <f t="array" ref="G353">IF(B353="", "",
  LET(_xlpm.spell, IFERROR(IF(F353="", "", INDEX(_xlws.FILTER(Hairstyles!$F:$F, ISNUMBER(SEARCH(F353, Hairstyles!$B:$B))), 1)), "No Spell for Hairstyle"),
  _xlpm.vanillaPrefix, IF(LEFT(_xlpm.spell, 7)="Uvi_Wig", "", ";"),
  ";" &amp; IF(C353="", B353, C353) &amp; IF(M353="", "", " ("&amp;M353&amp;")") &amp; CHAR(10) &amp;
  _xlpm.vanillaPrefix &amp; "Keyword = Uvi_Wig_Distr_KYWD|" &amp; B353 &amp; CHAR(10) &amp;
  _xlpm.vanillaPrefix &amp; "Spell = " &amp; _xlpm.spell &amp; "|" &amp; B353
  )
)</f>
        <v>;Cynric Endell
;Keyword = Uvi_Wig_Distr_KYWD|CynricEndell
;Spell = No Spell for Hairstyle|CynricEndell</v>
      </c>
    </row>
    <row r="354" ht="12.75" customHeight="1">
      <c r="A354" s="5" t="s">
        <v>2350</v>
      </c>
      <c r="B354" s="5" t="s">
        <v>2351</v>
      </c>
      <c r="C354" s="5" t="s">
        <v>2351</v>
      </c>
      <c r="D354" s="5" t="s">
        <v>74</v>
      </c>
      <c r="E354" s="5" t="s">
        <v>41</v>
      </c>
      <c r="F354" s="5" t="s">
        <v>28</v>
      </c>
      <c r="G354" s="14" t="str">
        <f t="array" ref="G354">IF(B354="", "",
  LET(_xlpm.spell, IFERROR(IF(F354="", "", INDEX(_xlws.FILTER(Hairstyles!$F:$F, ISNUMBER(SEARCH(F354, Hairstyles!$B:$B))), 1)), "No Spell for Hairstyle"),
  _xlpm.vanillaPrefix, IF(LEFT(_xlpm.spell, 7)="Uvi_Wig", "", ";"),
  ";" &amp; IF(C354="", B354, C354) &amp; IF(M354="", "", " ("&amp;M354&amp;")") &amp; CHAR(10) &amp;
  _xlpm.vanillaPrefix &amp; "Keyword = Uvi_Wig_Distr_KYWD|" &amp; B354 &amp; CHAR(10) &amp;
  _xlpm.vanillaPrefix &amp; "Spell = " &amp; _xlpm.spell &amp; "|" &amp; B354
  )
)</f>
        <v>;Dagny
;Keyword = Uvi_Wig_Distr_KYWD|Dagny
;Spell = No Spell for Hairstyle|Dagny</v>
      </c>
    </row>
    <row r="355" ht="12.75" customHeight="1">
      <c r="A355" s="5" t="s">
        <v>2352</v>
      </c>
      <c r="B355" s="5" t="s">
        <v>2353</v>
      </c>
      <c r="C355" s="5" t="s">
        <v>2353</v>
      </c>
      <c r="D355" s="5" t="s">
        <v>38</v>
      </c>
      <c r="E355" s="5" t="s">
        <v>233</v>
      </c>
      <c r="F355" s="5" t="s">
        <v>990</v>
      </c>
      <c r="G355" s="14" t="str">
        <f t="array" ref="G355">IF(B355="", "",
  LET(_xlpm.spell, IFERROR(IF(F355="", "", INDEX(_xlws.FILTER(Hairstyles!$F:$F, ISNUMBER(SEARCH(F355, Hairstyles!$B:$B))), 1)), "No Spell for Hairstyle"),
  _xlpm.vanillaPrefix, IF(LEFT(_xlpm.spell, 7)="Uvi_Wig", "", ";"),
  ";" &amp; IF(C355="", B355, C355) &amp; IF(M355="", "", " ("&amp;M355&amp;")") &amp; CHAR(10) &amp;
  _xlpm.vanillaPrefix &amp; "Keyword = Uvi_Wig_Distr_KYWD|" &amp; B355 &amp; CHAR(10) &amp;
  _xlpm.vanillaPrefix &amp; "Spell = " &amp; _xlpm.spell &amp; "|" &amp; B355
  )
)</f>
        <v>;Dagur
;Keyword = Uvi_Wig_Distr_KYWD|Dagur
;Spell = No Spell for Hairstyle|Dagur</v>
      </c>
    </row>
    <row r="356" ht="12.75" customHeight="1">
      <c r="A356" s="15" t="s">
        <v>2354</v>
      </c>
      <c r="B356" s="5" t="s">
        <v>2355</v>
      </c>
      <c r="C356" s="5" t="s">
        <v>2355</v>
      </c>
      <c r="D356" s="5" t="s">
        <v>16</v>
      </c>
      <c r="E356" s="5" t="s">
        <v>41</v>
      </c>
      <c r="F356" s="5" t="s">
        <v>862</v>
      </c>
      <c r="G356" s="14" t="str">
        <f t="array" ref="G356">IF(B356="", "",
  LET(_xlpm.spell, IFERROR(IF(F356="", "", INDEX(_xlws.FILTER(Hairstyles!$F:$F, ISNUMBER(SEARCH(F356, Hairstyles!$B:$B))), 1)), "No Spell for Hairstyle"),
  _xlpm.vanillaPrefix, IF(LEFT(_xlpm.spell, 7)="Uvi_Wig", "", ";"),
  ";" &amp; IF(C356="", B356, C356) &amp; IF(M356="", "", " ("&amp;M356&amp;")") &amp; CHAR(10) &amp;
  _xlpm.vanillaPrefix &amp; "Keyword = Uvi_Wig_Distr_KYWD|" &amp; B356 &amp; CHAR(10) &amp;
  _xlpm.vanillaPrefix &amp; "Spell = " &amp; _xlpm.spell &amp; "|" &amp; B356
  )
)</f>
        <v>;Daighre
;Keyword = Uvi_Wig_Distr_KYWD|Daighre
;Spell = No Spell for Hairstyle|Daighre</v>
      </c>
    </row>
    <row r="357" ht="12.75" customHeight="1">
      <c r="A357" s="5" t="s">
        <v>2356</v>
      </c>
      <c r="B357" s="5" t="s">
        <v>2357</v>
      </c>
      <c r="C357" s="5" t="s">
        <v>2358</v>
      </c>
      <c r="D357" s="5" t="s">
        <v>16</v>
      </c>
      <c r="E357" s="5" t="s">
        <v>233</v>
      </c>
      <c r="F357" s="5" t="s">
        <v>1906</v>
      </c>
      <c r="G357" s="14" t="str">
        <f t="array" ref="G357">IF(B357="", "",
  LET(_xlpm.spell, IFERROR(IF(F357="", "", INDEX(_xlws.FILTER(Hairstyles!$F:$F, ISNUMBER(SEARCH(F357, Hairstyles!$B:$B))), 1)), "No Spell for Hairstyle"),
  _xlpm.vanillaPrefix, IF(LEFT(_xlpm.spell, 7)="Uvi_Wig", "", ";"),
  ";" &amp; IF(C357="", B357, C357) &amp; IF(M357="", "", " ("&amp;M357&amp;")") &amp; CHAR(10) &amp;
  _xlpm.vanillaPrefix &amp; "Keyword = Uvi_Wig_Distr_KYWD|" &amp; B357 &amp; CHAR(10) &amp;
  _xlpm.vanillaPrefix &amp; "Spell = " &amp; _xlpm.spell &amp; "|" &amp; B357
  )
)</f>
        <v>;Dalan Merchad
;Keyword = Uvi_Wig_Distr_KYWD|DalanMerchad
;Spell = No Spell for Hairstyle|DalanMerchad</v>
      </c>
    </row>
    <row r="358" ht="12.75" customHeight="1">
      <c r="A358" s="5" t="s">
        <v>2359</v>
      </c>
      <c r="B358" s="5" t="s">
        <v>2360</v>
      </c>
      <c r="C358" s="5" t="s">
        <v>2361</v>
      </c>
      <c r="D358" s="5" t="s">
        <v>38</v>
      </c>
      <c r="E358" s="5" t="s">
        <v>41</v>
      </c>
      <c r="F358" s="5" t="s">
        <v>2118</v>
      </c>
      <c r="G358" s="14" t="str">
        <f t="array" ref="G358">IF(B358="", "",
  LET(_xlpm.spell, IFERROR(IF(F358="", "", INDEX(_xlws.FILTER(Hairstyles!$F:$F, ISNUMBER(SEARCH(F358, Hairstyles!$B:$B))), 1)), "No Spell for Hairstyle"),
  _xlpm.vanillaPrefix, IF(LEFT(_xlpm.spell, 7)="Uvi_Wig", "", ";"),
  ";" &amp; IF(C358="", B358, C358) &amp; IF(M358="", "", " ("&amp;M358&amp;")") &amp; CHAR(10) &amp;
  _xlpm.vanillaPrefix &amp; "Keyword = Uvi_Wig_Distr_KYWD|" &amp; B358 &amp; CHAR(10) &amp;
  _xlpm.vanillaPrefix &amp; "Spell = " &amp; _xlpm.spell &amp; "|" &amp; B358
  )
)</f>
        <v>;Danica Pure-Spring
;Keyword = Uvi_Wig_Distr_KYWD|DanicaPureSpring
;Spell = No Spell for Hairstyle|DanicaPureSpring</v>
      </c>
    </row>
    <row r="359" ht="12.75" customHeight="1">
      <c r="A359" s="5" t="s">
        <v>2362</v>
      </c>
      <c r="B359" s="5" t="s">
        <v>2363</v>
      </c>
      <c r="C359" s="5" t="s">
        <v>2364</v>
      </c>
      <c r="D359" s="5" t="s">
        <v>38</v>
      </c>
      <c r="E359" s="5" t="s">
        <v>233</v>
      </c>
      <c r="F359" s="5" t="s">
        <v>762</v>
      </c>
      <c r="G359" s="14" t="str">
        <f t="array" ref="G359">IF(B359="", "",
  LET(_xlpm.spell, IFERROR(IF(F359="", "", INDEX(_xlws.FILTER(Hairstyles!$F:$F, ISNUMBER(SEARCH(F359, Hairstyles!$B:$B))), 1)), "No Spell for Hairstyle"),
  _xlpm.vanillaPrefix, IF(LEFT(_xlpm.spell, 7)="Uvi_Wig", "", ";"),
  ";" &amp; IF(C359="", B359, C359) &amp; IF(M359="", "", " ("&amp;M359&amp;")") &amp; CHAR(10) &amp;
  _xlpm.vanillaPrefix &amp; "Keyword = Uvi_Wig_Distr_KYWD|" &amp; B359 &amp; CHAR(10) &amp;
  _xlpm.vanillaPrefix &amp; "Spell = " &amp; _xlpm.spell &amp; "|" &amp; B359
  )
)</f>
        <v>;Dark Brotherhood Assassin
;Keyword = Uvi_Wig_Distr_KYWD|dunHagsEnd_DBAssassin
;Spell = No Spell for Hairstyle|dunHagsEnd_DBAssassin</v>
      </c>
    </row>
    <row r="360" ht="12.75" customHeight="1">
      <c r="A360" s="5" t="s">
        <v>2365</v>
      </c>
      <c r="B360" s="5" t="s">
        <v>2366</v>
      </c>
      <c r="C360" s="5" t="s">
        <v>2367</v>
      </c>
      <c r="D360" s="5" t="s">
        <v>38</v>
      </c>
      <c r="E360" s="5" t="s">
        <v>233</v>
      </c>
      <c r="F360" s="5" t="s">
        <v>521</v>
      </c>
      <c r="G360" s="14" t="str">
        <f t="array" ref="G360">IF(B360="", "",
  LET(_xlpm.spell, IFERROR(IF(F360="", "", INDEX(_xlws.FILTER(Hairstyles!$F:$F, ISNUMBER(SEARCH(F360, Hairstyles!$B:$B))), 1)), "No Spell for Hairstyle"),
  _xlpm.vanillaPrefix, IF(LEFT(_xlpm.spell, 7)="Uvi_Wig", "", ";"),
  ";" &amp; IF(C360="", B360, C360) &amp; IF(M360="", "", " ("&amp;M360&amp;")") &amp; CHAR(10) &amp;
  _xlpm.vanillaPrefix &amp; "Keyword = Uvi_Wig_Distr_KYWD|" &amp; B360 &amp; CHAR(10) &amp;
  _xlpm.vanillaPrefix &amp; "Spell = " &amp; _xlpm.spell &amp; "|" &amp; B360
  )
)</f>
        <v>;Dark Brotherhood Initiate
;Keyword = Uvi_Wig_Distr_KYWD|DBInitiate1
;Spell = No Spell for Hairstyle|DBInitiate1</v>
      </c>
    </row>
    <row r="361" ht="12.75" customHeight="1">
      <c r="A361" s="5" t="s">
        <v>2368</v>
      </c>
      <c r="B361" s="5" t="s">
        <v>2369</v>
      </c>
      <c r="C361" s="5" t="s">
        <v>2367</v>
      </c>
      <c r="D361" s="5" t="s">
        <v>38</v>
      </c>
      <c r="E361" s="5" t="s">
        <v>41</v>
      </c>
      <c r="F361" s="5" t="s">
        <v>270</v>
      </c>
      <c r="G361" s="14" t="str">
        <f t="array" ref="G361">IF(B361="", "",
  LET(_xlpm.spell, IFERROR(IF(F361="", "", INDEX(_xlws.FILTER(Hairstyles!$F:$F, ISNUMBER(SEARCH(F361, Hairstyles!$B:$B))), 1)), "No Spell for Hairstyle"),
  _xlpm.vanillaPrefix, IF(LEFT(_xlpm.spell, 7)="Uvi_Wig", "", ";"),
  ";" &amp; IF(C361="", B361, C361) &amp; IF(M361="", "", " ("&amp;M361&amp;")") &amp; CHAR(10) &amp;
  _xlpm.vanillaPrefix &amp; "Keyword = Uvi_Wig_Distr_KYWD|" &amp; B361 &amp; CHAR(10) &amp;
  _xlpm.vanillaPrefix &amp; "Spell = " &amp; _xlpm.spell &amp; "|" &amp; B361
  )
)</f>
        <v>;Dark Brotherhood Initiate
;Keyword = Uvi_Wig_Distr_KYWD|DBInitiate2
;Spell = No Spell for Hairstyle|DBInitiate2</v>
      </c>
    </row>
    <row r="362" ht="12.75" customHeight="1">
      <c r="A362" s="5" t="s">
        <v>2370</v>
      </c>
      <c r="B362" s="5" t="s">
        <v>2371</v>
      </c>
      <c r="C362" s="5" t="s">
        <v>2372</v>
      </c>
      <c r="D362" s="5" t="s">
        <v>45</v>
      </c>
      <c r="E362" s="5" t="s">
        <v>41</v>
      </c>
      <c r="F362" s="5" t="s">
        <v>2373</v>
      </c>
      <c r="G362" s="14" t="str">
        <f t="array" ref="G362">IF(B362="", "",
  LET(_xlpm.spell, IFERROR(IF(F362="", "", INDEX(_xlws.FILTER(Hairstyles!$F:$F, ISNUMBER(SEARCH(F362, Hairstyles!$B:$B))), 1)), "No Spell for Hairstyle"),
  _xlpm.vanillaPrefix, IF(LEFT(_xlpm.spell, 7)="Uvi_Wig", "", ";"),
  ";" &amp; IF(C362="", B362, C362) &amp; IF(M362="", "", " ("&amp;M362&amp;")") &amp; CHAR(10) &amp;
  _xlpm.vanillaPrefix &amp; "Keyword = Uvi_Wig_Distr_KYWD|" &amp; B362 &amp; CHAR(10) &amp;
  _xlpm.vanillaPrefix &amp; "Spell = " &amp; _xlpm.spell &amp; "|" &amp; B362
  )
)</f>
        <v>;Dark Elf
;Keyword = Uvi_Wig_Distr_KYWD|TreasCorpseCommonerDarkElfFemale
;Spell = No Spell for Hairstyle|TreasCorpseCommonerDarkElfFemale</v>
      </c>
    </row>
    <row r="363" ht="12.75" customHeight="1">
      <c r="A363" s="15" t="s">
        <v>2374</v>
      </c>
      <c r="B363" s="5" t="s">
        <v>2375</v>
      </c>
      <c r="C363" s="5" t="s">
        <v>2372</v>
      </c>
      <c r="D363" s="5" t="s">
        <v>45</v>
      </c>
      <c r="E363" s="5" t="s">
        <v>233</v>
      </c>
      <c r="F363" s="5" t="s">
        <v>1541</v>
      </c>
      <c r="G363" s="14" t="str">
        <f t="array" ref="G363">IF(B363="", "",
  LET(_xlpm.spell, IFERROR(IF(F363="", "", INDEX(_xlws.FILTER(Hairstyles!$F:$F, ISNUMBER(SEARCH(F363, Hairstyles!$B:$B))), 1)), "No Spell for Hairstyle"),
  _xlpm.vanillaPrefix, IF(LEFT(_xlpm.spell, 7)="Uvi_Wig", "", ";"),
  ";" &amp; IF(C363="", B363, C363) &amp; IF(M363="", "", " ("&amp;M363&amp;")") &amp; CHAR(10) &amp;
  _xlpm.vanillaPrefix &amp; "Keyword = Uvi_Wig_Distr_KYWD|" &amp; B363 &amp; CHAR(10) &amp;
  _xlpm.vanillaPrefix &amp; "Spell = " &amp; _xlpm.spell &amp; "|" &amp; B363
  )
)</f>
        <v>;Dark Elf
;Keyword = Uvi_Wig_Distr_KYWD|TreasCorpseCommonerDarkElfM
;Spell = No Spell for Hairstyle|TreasCorpseCommonerDarkElfM</v>
      </c>
    </row>
    <row r="364" ht="12.75" customHeight="1">
      <c r="A364" s="5" t="s">
        <v>2376</v>
      </c>
      <c r="B364" s="5" t="s">
        <v>2377</v>
      </c>
      <c r="C364" s="5" t="s">
        <v>2372</v>
      </c>
      <c r="D364" s="5" t="s">
        <v>45</v>
      </c>
      <c r="E364" s="5" t="s">
        <v>233</v>
      </c>
      <c r="F364" s="5" t="s">
        <v>1723</v>
      </c>
      <c r="G364" s="14" t="str">
        <f t="array" ref="G364">IF(B364="", "",
  LET(_xlpm.spell, IFERROR(IF(F364="", "", INDEX(_xlws.FILTER(Hairstyles!$F:$F, ISNUMBER(SEARCH(F364, Hairstyles!$B:$B))), 1)), "No Spell for Hairstyle"),
  _xlpm.vanillaPrefix, IF(LEFT(_xlpm.spell, 7)="Uvi_Wig", "", ";"),
  ";" &amp; IF(C364="", B364, C364) &amp; IF(M364="", "", " ("&amp;M364&amp;")") &amp; CHAR(10) &amp;
  _xlpm.vanillaPrefix &amp; "Keyword = Uvi_Wig_Distr_KYWD|" &amp; B364 &amp; CHAR(10) &amp;
  _xlpm.vanillaPrefix &amp; "Spell = " &amp; _xlpm.spell &amp; "|" &amp; B364
  )
)</f>
        <v>;Dark Elf
;Keyword = Uvi_Wig_Distr_KYWD|WEAdventurerDualPoisonerDarkElfM
;Spell = No Spell for Hairstyle|WEAdventurerDualPoisonerDarkElfM</v>
      </c>
    </row>
    <row r="365" ht="12.75" customHeight="1">
      <c r="A365" s="5" t="s">
        <v>2378</v>
      </c>
      <c r="B365" s="5" t="s">
        <v>2379</v>
      </c>
      <c r="C365" s="5" t="s">
        <v>2372</v>
      </c>
      <c r="D365" s="5" t="s">
        <v>45</v>
      </c>
      <c r="E365" s="5" t="s">
        <v>41</v>
      </c>
      <c r="F365" s="5" t="s">
        <v>2380</v>
      </c>
      <c r="G365" s="14" t="str">
        <f t="array" ref="G365">IF(B365="", "",
  LET(_xlpm.spell, IFERROR(IF(F365="", "", INDEX(_xlws.FILTER(Hairstyles!$F:$F, ISNUMBER(SEARCH(F365, Hairstyles!$B:$B))), 1)), "No Spell for Hairstyle"),
  _xlpm.vanillaPrefix, IF(LEFT(_xlpm.spell, 7)="Uvi_Wig", "", ";"),
  ";" &amp; IF(C365="", B365, C365) &amp; IF(M365="", "", " ("&amp;M365&amp;")") &amp; CHAR(10) &amp;
  _xlpm.vanillaPrefix &amp; "Keyword = Uvi_Wig_Distr_KYWD|" &amp; B365 &amp; CHAR(10) &amp;
  _xlpm.vanillaPrefix &amp; "Spell = " &amp; _xlpm.spell &amp; "|" &amp; B365
  )
)</f>
        <v>;Dark Elf
;Keyword = Uvi_Wig_Distr_KYWD|WEAdventurerSpellswordDarkElfF
;Spell = No Spell for Hairstyle|WEAdventurerSpellswordDarkElfF</v>
      </c>
    </row>
    <row r="366" ht="12.75" customHeight="1">
      <c r="A366" s="15" t="s">
        <v>2381</v>
      </c>
      <c r="B366" s="5" t="s">
        <v>2382</v>
      </c>
      <c r="C366" s="5" t="s">
        <v>2383</v>
      </c>
      <c r="D366" s="5" t="s">
        <v>38</v>
      </c>
      <c r="E366" s="5" t="s">
        <v>233</v>
      </c>
      <c r="F366" s="5" t="s">
        <v>1566</v>
      </c>
      <c r="G366" s="14" t="str">
        <f t="array" ref="G366">IF(B366="", "",
  LET(_xlpm.spell, IFERROR(IF(F366="", "", INDEX(_xlws.FILTER(Hairstyles!$F:$F, ISNUMBER(SEARCH(F366, Hairstyles!$B:$B))), 1)), "No Spell for Hairstyle"),
  _xlpm.vanillaPrefix, IF(LEFT(_xlpm.spell, 7)="Uvi_Wig", "", ";"),
  ";" &amp; IF(C366="", B366, C366) &amp; IF(M366="", "", " ("&amp;M366&amp;")") &amp; CHAR(10) &amp;
  _xlpm.vanillaPrefix &amp; "Keyword = Uvi_Wig_Distr_KYWD|" &amp; B366 &amp; CHAR(10) &amp;
  _xlpm.vanillaPrefix &amp; "Spell = " &amp; _xlpm.spell &amp; "|" &amp; B366
  )
)</f>
        <v>;Dawnguard
;Keyword = Uvi_Wig_Distr_KYWD|EncDawnguard00Template
;Spell = No Spell for Hairstyle|EncDawnguard00Template</v>
      </c>
    </row>
    <row r="367" ht="12.75" customHeight="1">
      <c r="A367" s="15" t="s">
        <v>2384</v>
      </c>
      <c r="B367" s="5" t="s">
        <v>2385</v>
      </c>
      <c r="C367" s="5" t="s">
        <v>2386</v>
      </c>
      <c r="D367" s="5" t="s">
        <v>38</v>
      </c>
      <c r="E367" s="5" t="s">
        <v>233</v>
      </c>
      <c r="F367" s="5" t="s">
        <v>68</v>
      </c>
      <c r="G367" s="14" t="str">
        <f t="array" ref="G367">IF(B367="", "",
  LET(_xlpm.spell, IFERROR(IF(F367="", "", INDEX(_xlws.FILTER(Hairstyles!$F:$F, ISNUMBER(SEARCH(F367, Hairstyles!$B:$B))), 1)), "No Spell for Hairstyle"),
  _xlpm.vanillaPrefix, IF(LEFT(_xlpm.spell, 7)="Uvi_Wig", "", ";"),
  ";" &amp; IF(C367="", B367, C367) &amp; IF(M367="", "", " ("&amp;M367&amp;")") &amp; CHAR(10) &amp;
  _xlpm.vanillaPrefix &amp; "Keyword = Uvi_Wig_Distr_KYWD|" &amp; B367 &amp; CHAR(10) &amp;
  _xlpm.vanillaPrefix &amp; "Spell = " &amp; _xlpm.spell &amp; "|" &amp; B367
  )
)</f>
        <v>;Dawnguard Novice Hakar
;Keyword = Uvi_Wig_Distr_KYWD|DLC1_WESC06_LvlDawnguardFleeing
;Spell = No Spell for Hairstyle|DLC1_WESC06_LvlDawnguardFleeing</v>
      </c>
    </row>
    <row r="368" ht="12.75" customHeight="1">
      <c r="A368" s="5" t="s">
        <v>2387</v>
      </c>
      <c r="B368" s="5" t="s">
        <v>2388</v>
      </c>
      <c r="C368" s="5" t="s">
        <v>2389</v>
      </c>
      <c r="D368" s="5" t="s">
        <v>59</v>
      </c>
      <c r="E368" s="5" t="s">
        <v>233</v>
      </c>
      <c r="F368" s="5" t="s">
        <v>19</v>
      </c>
      <c r="G368" s="14" t="str">
        <f t="array" ref="G368">IF(B368="", "",
  LET(_xlpm.spell, IFERROR(IF(F368="", "", INDEX(_xlws.FILTER(Hairstyles!$F:$F, ISNUMBER(SEARCH(F368, Hairstyles!$B:$B))), 1)), "No Spell for Hairstyle"),
  _xlpm.vanillaPrefix, IF(LEFT(_xlpm.spell, 7)="Uvi_Wig", "", ";"),
  ";" &amp; IF(C368="", B368, C368) &amp; IF(M368="", "", " ("&amp;M368&amp;")") &amp; CHAR(10) &amp;
  _xlpm.vanillaPrefix &amp; "Keyword = Uvi_Wig_Distr_KYWD|" &amp; B368 &amp; CHAR(10) &amp;
  _xlpm.vanillaPrefix &amp; "Spell = " &amp; _xlpm.spell &amp; "|" &amp; B368
  )
)</f>
        <v>;Dawnguard Vampire Hunter
;Keyword = Uvi_Wig_Distr_KYWD|DLC1_WESC05_DawnguardHunter
;Spell = No Spell for Hairstyle|DLC1_WESC05_DawnguardHunter</v>
      </c>
    </row>
    <row r="369" ht="12.75" customHeight="1">
      <c r="A369" s="5" t="s">
        <v>2390</v>
      </c>
      <c r="B369" s="5" t="s">
        <v>2391</v>
      </c>
      <c r="C369" s="5" t="s">
        <v>2392</v>
      </c>
      <c r="D369" s="5" t="s">
        <v>45</v>
      </c>
      <c r="E369" s="5" t="s">
        <v>233</v>
      </c>
      <c r="F369" s="5" t="s">
        <v>1541</v>
      </c>
      <c r="G369" s="14" t="str">
        <f t="array" ref="G369">IF(B369="", "",
  LET(_xlpm.spell, IFERROR(IF(F369="", "", INDEX(_xlws.FILTER(Hairstyles!$F:$F, ISNUMBER(SEARCH(F369, Hairstyles!$B:$B))), 1)), "No Spell for Hairstyle"),
  _xlpm.vanillaPrefix, IF(LEFT(_xlpm.spell, 7)="Uvi_Wig", "", ";"),
  ";" &amp; IF(C369="", B369, C369) &amp; IF(M369="", "", " ("&amp;M369&amp;")") &amp; CHAR(10) &amp;
  _xlpm.vanillaPrefix &amp; "Keyword = Uvi_Wig_Distr_KYWD|" &amp; B369 &amp; CHAR(10) &amp;
  _xlpm.vanillaPrefix &amp; "Spell = " &amp; _xlpm.spell &amp; "|" &amp; B369
  )
)</f>
        <v>;Daynas Valen
;Keyword = Uvi_Wig_Distr_KYWD|dunFolgunthurDaynas
;Spell = No Spell for Hairstyle|dunFolgunthurDaynas</v>
      </c>
    </row>
    <row r="370" ht="12.75" customHeight="1">
      <c r="A370" s="5" t="s">
        <v>2393</v>
      </c>
      <c r="B370" s="5" t="s">
        <v>2394</v>
      </c>
      <c r="C370" s="5" t="s">
        <v>2395</v>
      </c>
      <c r="D370" s="5" t="s">
        <v>57</v>
      </c>
      <c r="E370" s="5" t="s">
        <v>233</v>
      </c>
      <c r="F370" s="5" t="s">
        <v>543</v>
      </c>
      <c r="G370" s="14" t="str">
        <f t="array" ref="G370">IF(B370="", "",
  LET(_xlpm.spell, IFERROR(IF(F370="", "", INDEX(_xlws.FILTER(Hairstyles!$F:$F, ISNUMBER(SEARCH(F370, Hairstyles!$B:$B))), 1)), "No Spell for Hairstyle"),
  _xlpm.vanillaPrefix, IF(LEFT(_xlpm.spell, 7)="Uvi_Wig", "", ";"),
  ";" &amp; IF(C370="", B370, C370) &amp; IF(M370="", "", " ("&amp;M370&amp;")") &amp; CHAR(10) &amp;
  _xlpm.vanillaPrefix &amp; "Keyword = Uvi_Wig_Distr_KYWD|" &amp; B370 &amp; CHAR(10) &amp;
  _xlpm.vanillaPrefix &amp; "Spell = " &amp; _xlpm.spell &amp; "|" &amp; B370
  )
)</f>
        <v>;Dead Scholar
;Keyword = Uvi_Wig_Distr_KYWD|TreasCorpseScholarHighElfMale
;Spell = No Spell for Hairstyle|TreasCorpseScholarHighElfMale</v>
      </c>
    </row>
    <row r="371" ht="12.75" customHeight="1">
      <c r="A371" s="5" t="s">
        <v>2396</v>
      </c>
      <c r="B371" s="5" t="s">
        <v>2397</v>
      </c>
      <c r="C371" s="5" t="s">
        <v>2398</v>
      </c>
      <c r="D371" s="5" t="s">
        <v>90</v>
      </c>
      <c r="E371" s="5" t="s">
        <v>41</v>
      </c>
      <c r="F371" s="5" t="s">
        <v>92</v>
      </c>
      <c r="G371" s="14" t="str">
        <f t="array" ref="G371">IF(B371="", "",
  LET(_xlpm.spell, IFERROR(IF(F371="", "", INDEX(_xlws.FILTER(Hairstyles!$F:$F, ISNUMBER(SEARCH(F371, Hairstyles!$B:$B))), 1)), "No Spell for Hairstyle"),
  _xlpm.vanillaPrefix, IF(LEFT(_xlpm.spell, 7)="Uvi_Wig", "", ";"),
  ";" &amp; IF(C371="", B371, C371) &amp; IF(M371="", "", " ("&amp;M371&amp;")") &amp; CHAR(10) &amp;
  _xlpm.vanillaPrefix &amp; "Keyword = Uvi_Wig_Distr_KYWD|" &amp; B371 &amp; CHAR(10) &amp;
  _xlpm.vanillaPrefix &amp; "Spell = " &amp; _xlpm.spell &amp; "|" &amp; B371
  )
)</f>
        <v>;Dealer
;Keyword = Uvi_Wig_Distr_KYWD|DLC1dunRedwaterDenVampireThrallDealer
;Spell = No Spell for Hairstyle|DLC1dunRedwaterDenVampireThrallDealer</v>
      </c>
    </row>
    <row r="372" ht="12.75" customHeight="1">
      <c r="A372" s="15" t="s">
        <v>2399</v>
      </c>
      <c r="B372" s="5" t="s">
        <v>2400</v>
      </c>
      <c r="C372" s="5" t="s">
        <v>2400</v>
      </c>
      <c r="D372" s="5" t="s">
        <v>10</v>
      </c>
      <c r="E372" s="5" t="s">
        <v>41</v>
      </c>
      <c r="F372" s="5" t="s">
        <v>2401</v>
      </c>
      <c r="G372" s="14" t="str">
        <f t="array" ref="G372">IF(B372="", "",
  LET(_xlpm.spell, IFERROR(IF(F372="", "", INDEX(_xlws.FILTER(Hairstyles!$F:$F, ISNUMBER(SEARCH(F372, Hairstyles!$B:$B))), 1)), "No Spell for Hairstyle"),
  _xlpm.vanillaPrefix, IF(LEFT(_xlpm.spell, 7)="Uvi_Wig", "", ";"),
  ";" &amp; IF(C372="", B372, C372) &amp; IF(M372="", "", " ("&amp;M372&amp;")") &amp; CHAR(10) &amp;
  _xlpm.vanillaPrefix &amp; "Keyword = Uvi_Wig_Distr_KYWD|" &amp; B372 &amp; CHAR(10) &amp;
  _xlpm.vanillaPrefix &amp; "Spell = " &amp; _xlpm.spell &amp; "|" &amp; B372
  )
)</f>
        <v>;Deeja
;Keyword = Uvi_Wig_Distr_KYWD|Deeja
;Spell = No Spell for Hairstyle|Deeja</v>
      </c>
    </row>
    <row r="373" ht="12.75" customHeight="1">
      <c r="A373" s="15" t="s">
        <v>2402</v>
      </c>
      <c r="B373" s="5" t="s">
        <v>2403</v>
      </c>
      <c r="C373" s="5" t="s">
        <v>2403</v>
      </c>
      <c r="D373" s="5" t="s">
        <v>10</v>
      </c>
      <c r="E373" s="5" t="s">
        <v>233</v>
      </c>
      <c r="F373" s="5" t="s">
        <v>1955</v>
      </c>
      <c r="G373" s="14" t="str">
        <f t="array" ref="G373">IF(B373="", "",
  LET(_xlpm.spell, IFERROR(IF(F373="", "", INDEX(_xlws.FILTER(Hairstyles!$F:$F, ISNUMBER(SEARCH(F373, Hairstyles!$B:$B))), 1)), "No Spell for Hairstyle"),
  _xlpm.vanillaPrefix, IF(LEFT(_xlpm.spell, 7)="Uvi_Wig", "", ";"),
  ";" &amp; IF(C373="", B373, C373) &amp; IF(M373="", "", " ("&amp;M373&amp;")") &amp; CHAR(10) &amp;
  _xlpm.vanillaPrefix &amp; "Keyword = Uvi_Wig_Distr_KYWD|" &amp; B373 &amp; CHAR(10) &amp;
  _xlpm.vanillaPrefix &amp; "Spell = " &amp; _xlpm.spell &amp; "|" &amp; B373
  )
)</f>
        <v>;Deekus
;Keyword = Uvi_Wig_Distr_KYWD|Deekus
;Spell = No Spell for Hairstyle|Deekus</v>
      </c>
    </row>
    <row r="374" ht="12.75" customHeight="1">
      <c r="A374" s="5" t="s">
        <v>2404</v>
      </c>
      <c r="B374" s="5" t="s">
        <v>2405</v>
      </c>
      <c r="C374" s="5" t="s">
        <v>2406</v>
      </c>
      <c r="D374" s="5" t="s">
        <v>10</v>
      </c>
      <c r="E374" s="5" t="s">
        <v>233</v>
      </c>
      <c r="F374" s="5" t="s">
        <v>1749</v>
      </c>
      <c r="G374" s="14" t="str">
        <f t="array" ref="G374">IF(B374="", "",
  LET(_xlpm.spell, IFERROR(IF(F374="", "", INDEX(_xlws.FILTER(Hairstyles!$F:$F, ISNUMBER(SEARCH(F374, Hairstyles!$B:$B))), 1)), "No Spell for Hairstyle"),
  _xlpm.vanillaPrefix, IF(LEFT(_xlpm.spell, 7)="Uvi_Wig", "", ";"),
  ";" &amp; IF(C374="", B374, C374) &amp; IF(M374="", "", " ("&amp;M374&amp;")") &amp; CHAR(10) &amp;
  _xlpm.vanillaPrefix &amp; "Keyword = Uvi_Wig_Distr_KYWD|" &amp; B374 &amp; CHAR(10) &amp;
  _xlpm.vanillaPrefix &amp; "Spell = " &amp; _xlpm.spell &amp; "|" &amp; B374
  )
)</f>
        <v>;Deep-In-His-Cups
;Keyword = Uvi_Wig_Distr_KYWD|WEDL08DeepInHisCups
;Spell = No Spell for Hairstyle|WEDL08DeepInHisCups</v>
      </c>
    </row>
    <row r="375" ht="12.75" customHeight="1">
      <c r="A375" s="15" t="s">
        <v>2407</v>
      </c>
      <c r="B375" s="5" t="s">
        <v>2408</v>
      </c>
      <c r="C375" s="5" t="s">
        <v>2408</v>
      </c>
      <c r="D375" s="5" t="s">
        <v>16</v>
      </c>
      <c r="E375" s="5" t="s">
        <v>233</v>
      </c>
      <c r="F375" s="5" t="s">
        <v>235</v>
      </c>
      <c r="G375" s="14" t="str">
        <f t="array" ref="G375">IF(B375="", "",
  LET(_xlpm.spell, IFERROR(IF(F375="", "", INDEX(_xlws.FILTER(Hairstyles!$F:$F, ISNUMBER(SEARCH(F375, Hairstyles!$B:$B))), 1)), "No Spell for Hairstyle"),
  _xlpm.vanillaPrefix, IF(LEFT(_xlpm.spell, 7)="Uvi_Wig", "", ";"),
  ";" &amp; IF(C375="", B375, C375) &amp; IF(M375="", "", " ("&amp;M375&amp;")") &amp; CHAR(10) &amp;
  _xlpm.vanillaPrefix &amp; "Keyword = Uvi_Wig_Distr_KYWD|" &amp; B375 &amp; CHAR(10) &amp;
  _xlpm.vanillaPrefix &amp; "Spell = " &amp; _xlpm.spell &amp; "|" &amp; B375
  )
)</f>
        <v>;Degaine
;Keyword = Uvi_Wig_Distr_KYWD|Degaine
;Spell = No Spell for Hairstyle|Degaine</v>
      </c>
    </row>
    <row r="376" ht="12.75" customHeight="1">
      <c r="A376" s="15" t="s">
        <v>2409</v>
      </c>
      <c r="B376" s="5" t="s">
        <v>2410</v>
      </c>
      <c r="C376" s="5" t="s">
        <v>2410</v>
      </c>
      <c r="D376" s="5" t="s">
        <v>16</v>
      </c>
      <c r="E376" s="5" t="s">
        <v>233</v>
      </c>
      <c r="F376" s="5" t="s">
        <v>346</v>
      </c>
      <c r="G376" s="14" t="str">
        <f t="array" ref="G376">IF(B376="", "",
  LET(_xlpm.spell, IFERROR(IF(F376="", "", INDEX(_xlws.FILTER(Hairstyles!$F:$F, ISNUMBER(SEARCH(F376, Hairstyles!$B:$B))), 1)), "No Spell for Hairstyle"),
  _xlpm.vanillaPrefix, IF(LEFT(_xlpm.spell, 7)="Uvi_Wig", "", ";"),
  ";" &amp; IF(C376="", B376, C376) &amp; IF(M376="", "", " ("&amp;M376&amp;")") &amp; CHAR(10) &amp;
  _xlpm.vanillaPrefix &amp; "Keyword = Uvi_Wig_Distr_KYWD|" &amp; B376 &amp; CHAR(10) &amp;
  _xlpm.vanillaPrefix &amp; "Spell = " &amp; _xlpm.spell &amp; "|" &amp; B376
  )
)</f>
        <v>;Delacourt
;Keyword = Uvi_Wig_Distr_KYWD|Delacourt
;Spell = No Spell for Hairstyle|Delacourt</v>
      </c>
    </row>
    <row r="377" ht="12.75" customHeight="1">
      <c r="A377" s="15" t="s">
        <v>2411</v>
      </c>
      <c r="B377" s="5" t="s">
        <v>2412</v>
      </c>
      <c r="C377" s="5" t="s">
        <v>2412</v>
      </c>
      <c r="D377" s="5" t="s">
        <v>16</v>
      </c>
      <c r="E377" s="5" t="s">
        <v>41</v>
      </c>
      <c r="F377" s="5" t="s">
        <v>371</v>
      </c>
      <c r="G377" s="14" t="str">
        <f t="array" ref="G377">IF(B377="", "",
  LET(_xlpm.spell, IFERROR(IF(F377="", "", INDEX(_xlws.FILTER(Hairstyles!$F:$F, ISNUMBER(SEARCH(F377, Hairstyles!$B:$B))), 1)), "No Spell for Hairstyle"),
  _xlpm.vanillaPrefix, IF(LEFT(_xlpm.spell, 7)="Uvi_Wig", "", ";"),
  ";" &amp; IF(C377="", B377, C377) &amp; IF(M377="", "", " ("&amp;M377&amp;")") &amp; CHAR(10) &amp;
  _xlpm.vanillaPrefix &amp; "Keyword = Uvi_Wig_Distr_KYWD|" &amp; B377 &amp; CHAR(10) &amp;
  _xlpm.vanillaPrefix &amp; "Spell = " &amp; _xlpm.spell &amp; "|" &amp; B377
  )
)</f>
        <v>;Delphine
;Keyword = Uvi_Wig_Distr_KYWD|Delphine
;Spell = No Spell for Hairstyle|Delphine</v>
      </c>
    </row>
    <row r="378" ht="12.75" customHeight="1">
      <c r="A378" s="5" t="s">
        <v>2413</v>
      </c>
      <c r="B378" s="5" t="s">
        <v>2414</v>
      </c>
      <c r="C378" s="5" t="s">
        <v>2415</v>
      </c>
      <c r="D378" s="5" t="s">
        <v>16</v>
      </c>
      <c r="E378" s="5" t="s">
        <v>233</v>
      </c>
      <c r="F378" s="5" t="s">
        <v>1622</v>
      </c>
      <c r="G378" s="14" t="str">
        <f t="array" ref="G378">IF(B378="", "",
  LET(_xlpm.spell, IFERROR(IF(F378="", "", INDEX(_xlws.FILTER(Hairstyles!$F:$F, ISNUMBER(SEARCH(F378, Hairstyles!$B:$B))), 1)), "No Spell for Hairstyle"),
  _xlpm.vanillaPrefix, IF(LEFT(_xlpm.spell, 7)="Uvi_Wig", "", ";"),
  ";" &amp; IF(C378="", B378, C378) &amp; IF(M378="", "", " ("&amp;M378&amp;")") &amp; CHAR(10) &amp;
  _xlpm.vanillaPrefix &amp; "Keyword = Uvi_Wig_Distr_KYWD|" &amp; B378 &amp; CHAR(10) &amp;
  _xlpm.vanillaPrefix &amp; "Spell = " &amp; _xlpm.spell &amp; "|" &amp; B378
  )
)</f>
        <v>;Delvin Mallory
;Keyword = Uvi_Wig_Distr_KYWD|DelvinMallory
;Spell = No Spell for Hairstyle|DelvinMallory</v>
      </c>
    </row>
    <row r="379" ht="12.75" customHeight="1">
      <c r="A379" s="5" t="s">
        <v>2416</v>
      </c>
      <c r="B379" s="5" t="s">
        <v>2417</v>
      </c>
      <c r="C379" s="5" t="s">
        <v>2418</v>
      </c>
      <c r="D379" s="5" t="s">
        <v>38</v>
      </c>
      <c r="E379" s="5" t="s">
        <v>233</v>
      </c>
      <c r="F379" s="5" t="s">
        <v>218</v>
      </c>
      <c r="G379" s="14" t="str">
        <f t="array" ref="G379">IF(B379="", "",
  LET(_xlpm.spell, IFERROR(IF(F379="", "", INDEX(_xlws.FILTER(Hairstyles!$F:$F, ISNUMBER(SEARCH(F379, Hairstyles!$B:$B))), 1)), "No Spell for Hairstyle"),
  _xlpm.vanillaPrefix, IF(LEFT(_xlpm.spell, 7)="Uvi_Wig", "", ";"),
  ";" &amp; IF(C379="", B379, C379) &amp; IF(M379="", "", " ("&amp;M379&amp;")") &amp; CHAR(10) &amp;
  _xlpm.vanillaPrefix &amp; "Keyword = Uvi_Wig_Distr_KYWD|" &amp; B379 &amp; CHAR(10) &amp;
  _xlpm.vanillaPrefix &amp; "Spell = " &amp; _xlpm.spell &amp; "|" &amp; B379
  )
)</f>
        <v>;Dengeir of Stuhn
;Keyword = Uvi_Wig_Distr_KYWD|Dengeir
;Spell = No Spell for Hairstyle|Dengeir</v>
      </c>
    </row>
    <row r="380" ht="12.75" customHeight="1">
      <c r="A380" s="5" t="s">
        <v>2419</v>
      </c>
      <c r="B380" s="5" t="s">
        <v>2420</v>
      </c>
      <c r="C380" s="5" t="s">
        <v>2421</v>
      </c>
      <c r="D380" s="5" t="s">
        <v>38</v>
      </c>
      <c r="E380" s="5" t="s">
        <v>233</v>
      </c>
      <c r="F380" s="5" t="s">
        <v>1906</v>
      </c>
      <c r="G380" s="14" t="str">
        <f t="array" ref="G380">IF(B380="", "",
  LET(_xlpm.spell, IFERROR(IF(F380="", "", INDEX(_xlws.FILTER(Hairstyles!$F:$F, ISNUMBER(SEARCH(F380, Hairstyles!$B:$B))), 1)), "No Spell for Hairstyle"),
  _xlpm.vanillaPrefix, IF(LEFT(_xlpm.spell, 7)="Uvi_Wig", "", ";"),
  ";" &amp; IF(C380="", B380, C380) &amp; IF(M380="", "", " ("&amp;M380&amp;")") &amp; CHAR(10) &amp;
  _xlpm.vanillaPrefix &amp; "Keyword = Uvi_Wig_Distr_KYWD|" &amp; B380 &amp; CHAR(10) &amp;
  _xlpm.vanillaPrefix &amp; "Spell = " &amp; _xlpm.spell &amp; "|" &amp; B380
  )
)</f>
        <v>;Deor Woodcutter
;Keyword = Uvi_Wig_Distr_KYWD|DLC2SVDeor
;Spell = No Spell for Hairstyle|DLC2SVDeor</v>
      </c>
    </row>
    <row r="381" ht="12.75" customHeight="1">
      <c r="A381" s="5" t="s">
        <v>2422</v>
      </c>
      <c r="B381" s="5" t="s">
        <v>2423</v>
      </c>
      <c r="C381" s="5" t="s">
        <v>2423</v>
      </c>
      <c r="D381" s="5" t="s">
        <v>10</v>
      </c>
      <c r="E381" s="5" t="s">
        <v>233</v>
      </c>
      <c r="F381" s="5" t="s">
        <v>2424</v>
      </c>
      <c r="G381" s="14" t="str">
        <f t="array" ref="G381">IF(B381="", "",
  LET(_xlpm.spell, IFERROR(IF(F381="", "", INDEX(_xlws.FILTER(Hairstyles!$F:$F, ISNUMBER(SEARCH(F381, Hairstyles!$B:$B))), 1)), "No Spell for Hairstyle"),
  _xlpm.vanillaPrefix, IF(LEFT(_xlpm.spell, 7)="Uvi_Wig", "", ";"),
  ";" &amp; IF(C381="", B381, C381) &amp; IF(M381="", "", " ("&amp;M381&amp;")") &amp; CHAR(10) &amp;
  _xlpm.vanillaPrefix &amp; "Keyword = Uvi_Wig_Distr_KYWD|" &amp; B381 &amp; CHAR(10) &amp;
  _xlpm.vanillaPrefix &amp; "Spell = " &amp; _xlpm.spell &amp; "|" &amp; B381
  )
)</f>
        <v>;Derkeethus
;Keyword = Uvi_Wig_Distr_KYWD|Derkeethus
;Spell = No Spell for Hairstyle|Derkeethus</v>
      </c>
    </row>
    <row r="382" ht="12.75" customHeight="1">
      <c r="A382" s="5" t="s">
        <v>2425</v>
      </c>
      <c r="B382" s="5" t="s">
        <v>2426</v>
      </c>
      <c r="C382" s="5" t="s">
        <v>2426</v>
      </c>
      <c r="D382" s="5" t="s">
        <v>90</v>
      </c>
      <c r="E382" s="5" t="s">
        <v>233</v>
      </c>
      <c r="F382" s="5" t="s">
        <v>1723</v>
      </c>
      <c r="G382" s="14" t="str">
        <f t="array" ref="G382">IF(B382="", "",
  LET(_xlpm.spell, IFERROR(IF(F382="", "", INDEX(_xlws.FILTER(Hairstyles!$F:$F, ISNUMBER(SEARCH(F382, Hairstyles!$B:$B))), 1)), "No Spell for Hairstyle"),
  _xlpm.vanillaPrefix, IF(LEFT(_xlpm.spell, 7)="Uvi_Wig", "", ";"),
  ";" &amp; IF(C382="", B382, C382) &amp; IF(M382="", "", " ("&amp;M382&amp;")") &amp; CHAR(10) &amp;
  _xlpm.vanillaPrefix &amp; "Keyword = Uvi_Wig_Distr_KYWD|" &amp; B382 &amp; CHAR(10) &amp;
  _xlpm.vanillaPrefix &amp; "Spell = " &amp; _xlpm.spell &amp; "|" &amp; B382
  )
)</f>
        <v>;Dervenin
;Keyword = Uvi_Wig_Distr_KYWD|Dervenin
;Spell = No Spell for Hairstyle|Dervenin</v>
      </c>
    </row>
    <row r="383" ht="12.75" customHeight="1">
      <c r="A383" s="5" t="s">
        <v>2427</v>
      </c>
      <c r="B383" s="5" t="s">
        <v>2428</v>
      </c>
      <c r="C383" s="5" t="s">
        <v>2429</v>
      </c>
      <c r="D383" s="5" t="s">
        <v>38</v>
      </c>
      <c r="E383" s="5" t="s">
        <v>233</v>
      </c>
      <c r="F383" s="5" t="s">
        <v>68</v>
      </c>
      <c r="G383" s="14" t="str">
        <f t="array" ref="G383">IF(B383="", "",
  LET(_xlpm.spell, IFERROR(IF(F383="", "", INDEX(_xlws.FILTER(Hairstyles!$F:$F, ISNUMBER(SEARCH(F383, Hairstyles!$B:$B))), 1)), "No Spell for Hairstyle"),
  _xlpm.vanillaPrefix, IF(LEFT(_xlpm.spell, 7)="Uvi_Wig", "", ";"),
  ";" &amp; IF(C383="", B383, C383) &amp; IF(M383="", "", " ("&amp;M383&amp;")") &amp; CHAR(10) &amp;
  _xlpm.vanillaPrefix &amp; "Keyword = Uvi_Wig_Distr_KYWD|" &amp; B383 &amp; CHAR(10) &amp;
  _xlpm.vanillaPrefix &amp; "Spell = " &amp; _xlpm.spell &amp; "|" &amp; B383
  )
)</f>
        <v>;Desperate Gambler
;Keyword = Uvi_Wig_Distr_KYWD|DBRecurringContact5Windhelm
;Spell = No Spell for Hairstyle|DBRecurringContact5Windhelm</v>
      </c>
    </row>
    <row r="384" ht="12.75" customHeight="1">
      <c r="A384" s="5" t="s">
        <v>2430</v>
      </c>
      <c r="B384" s="5" t="s">
        <v>2431</v>
      </c>
      <c r="C384" s="5" t="s">
        <v>2432</v>
      </c>
      <c r="D384" s="5" t="s">
        <v>59</v>
      </c>
      <c r="E384" s="5" t="s">
        <v>233</v>
      </c>
      <c r="F384" s="5" t="s">
        <v>84</v>
      </c>
      <c r="G384" s="14" t="str">
        <f t="array" ref="G384">IF(B384="", "",
  LET(_xlpm.spell, IFERROR(IF(F384="", "", INDEX(_xlws.FILTER(Hairstyles!$F:$F, ISNUMBER(SEARCH(F384, Hairstyles!$B:$B))), 1)), "No Spell for Hairstyle"),
  _xlpm.vanillaPrefix, IF(LEFT(_xlpm.spell, 7)="Uvi_Wig", "", ";"),
  ";" &amp; IF(C384="", B384, C384) &amp; IF(M384="", "", " ("&amp;M384&amp;")") &amp; CHAR(10) &amp;
  _xlpm.vanillaPrefix &amp; "Keyword = Uvi_Wig_Distr_KYWD|" &amp; B384 &amp; CHAR(10) &amp;
  _xlpm.vanillaPrefix &amp; "Spell = " &amp; _xlpm.spell &amp; "|" &amp; B384
  )
)</f>
        <v>;Dexion Evicus
;Keyword = Uvi_Wig_Distr_KYWD|DLC1Dexion
;Spell = No Spell for Hairstyle|DLC1Dexion</v>
      </c>
    </row>
    <row r="385" ht="12.75" customHeight="1">
      <c r="A385" s="15" t="s">
        <v>2433</v>
      </c>
      <c r="B385" s="5" t="s">
        <v>2434</v>
      </c>
      <c r="C385" s="5" t="s">
        <v>2435</v>
      </c>
      <c r="D385" s="5" t="s">
        <v>45</v>
      </c>
      <c r="E385" s="5" t="s">
        <v>41</v>
      </c>
      <c r="F385" s="5" t="s">
        <v>1967</v>
      </c>
      <c r="G385" s="14" t="str">
        <f t="array" ref="G385">IF(B385="", "",
  LET(_xlpm.spell, IFERROR(IF(F385="", "", INDEX(_xlws.FILTER(Hairstyles!$F:$F, ISNUMBER(SEARCH(F385, Hairstyles!$B:$B))), 1)), "No Spell for Hairstyle"),
  _xlpm.vanillaPrefix, IF(LEFT(_xlpm.spell, 7)="Uvi_Wig", "", ";"),
  ";" &amp; IF(C385="", B385, C385) &amp; IF(M385="", "", " ("&amp;M385&amp;")") &amp; CHAR(10) &amp;
  _xlpm.vanillaPrefix &amp; "Keyword = Uvi_Wig_Distr_KYWD|" &amp; B385 &amp; CHAR(10) &amp;
  _xlpm.vanillaPrefix &amp; "Spell = " &amp; _xlpm.spell &amp; "|" &amp; B385
  )
)</f>
        <v>;Dinya Balu
;Keyword = Uvi_Wig_Distr_KYWD|Dinya
;Spell = No Spell for Hairstyle|Dinya</v>
      </c>
    </row>
    <row r="386" ht="12.75" customHeight="1">
      <c r="A386" s="5" t="s">
        <v>2436</v>
      </c>
      <c r="B386" s="5" t="s">
        <v>2437</v>
      </c>
      <c r="C386" s="5" t="s">
        <v>2437</v>
      </c>
      <c r="D386" s="5" t="s">
        <v>59</v>
      </c>
      <c r="E386" s="5" t="s">
        <v>233</v>
      </c>
      <c r="F386" s="5" t="s">
        <v>346</v>
      </c>
      <c r="G386" s="14" t="str">
        <f t="array" ref="G386">IF(B386="", "",
  LET(_xlpm.spell, IFERROR(IF(F386="", "", INDEX(_xlws.FILTER(Hairstyles!$F:$F, ISNUMBER(SEARCH(F386, Hairstyles!$B:$B))), 1)), "No Spell for Hairstyle"),
  _xlpm.vanillaPrefix, IF(LEFT(_xlpm.spell, 7)="Uvi_Wig", "", ";"),
  ";" &amp; IF(C386="", B386, C386) &amp; IF(M386="", "", " ("&amp;M386&amp;")") &amp; CHAR(10) &amp;
  _xlpm.vanillaPrefix &amp; "Keyword = Uvi_Wig_Distr_KYWD|" &amp; B386 &amp; CHAR(10) &amp;
  _xlpm.vanillaPrefix &amp; "Spell = " &amp; _xlpm.spell &amp; "|" &amp; B386
  )
)</f>
        <v>;Dirge
;Keyword = Uvi_Wig_Distr_KYWD|Dirge
;Spell = No Spell for Hairstyle|Dirge</v>
      </c>
    </row>
    <row r="387" ht="12.75" customHeight="1">
      <c r="A387" s="5" t="s">
        <v>2438</v>
      </c>
      <c r="B387" s="5" t="s">
        <v>2439</v>
      </c>
      <c r="C387" s="5" t="s">
        <v>2440</v>
      </c>
      <c r="D387" s="5" t="s">
        <v>38</v>
      </c>
      <c r="E387" s="5" t="s">
        <v>233</v>
      </c>
      <c r="F387" s="5" t="s">
        <v>990</v>
      </c>
      <c r="G387" s="14" t="str">
        <f t="array" ref="G387">IF(B387="", "",
  LET(_xlpm.spell, IFERROR(IF(F387="", "", INDEX(_xlws.FILTER(Hairstyles!$F:$F, ISNUMBER(SEARCH(F387, Hairstyles!$B:$B))), 1)), "No Spell for Hairstyle"),
  _xlpm.vanillaPrefix, IF(LEFT(_xlpm.spell, 7)="Uvi_Wig", "", ";"),
  ";" &amp; IF(C387="", B387, C387) &amp; IF(M387="", "", " ("&amp;M387&amp;")") &amp; CHAR(10) &amp;
  _xlpm.vanillaPrefix &amp; "Keyword = Uvi_Wig_Distr_KYWD|" &amp; B387 &amp; CHAR(10) &amp;
  _xlpm.vanillaPrefix &amp; "Spell = " &amp; _xlpm.spell &amp; "|" &amp; B387
  )
)</f>
        <v>;Dishonored Skald
;Keyword = Uvi_Wig_Distr_KYWD|DBRecurringContact7Solitude
;Spell = No Spell for Hairstyle|DBRecurringContact7Solitude</v>
      </c>
    </row>
    <row r="388" ht="12.75" customHeight="1">
      <c r="A388" s="5" t="s">
        <v>2441</v>
      </c>
      <c r="B388" s="5" t="s">
        <v>2442</v>
      </c>
      <c r="C388" s="5" t="s">
        <v>2443</v>
      </c>
      <c r="D388" s="5" t="s">
        <v>38</v>
      </c>
      <c r="E388" s="5" t="s">
        <v>41</v>
      </c>
      <c r="F388" s="5" t="s">
        <v>22</v>
      </c>
      <c r="G388" s="14" t="str">
        <f t="array" ref="G388">IF(B388="", "",
  LET(_xlpm.spell, IFERROR(IF(F388="", "", INDEX(_xlws.FILTER(Hairstyles!$F:$F, ISNUMBER(SEARCH(F388, Hairstyles!$B:$B))), 1)), "No Spell for Hairstyle"),
  _xlpm.vanillaPrefix, IF(LEFT(_xlpm.spell, 7)="Uvi_Wig", "", ";"),
  ";" &amp; IF(C388="", B388, C388) &amp; IF(M388="", "", " ("&amp;M388&amp;")") &amp; CHAR(10) &amp;
  _xlpm.vanillaPrefix &amp; "Keyword = Uvi_Wig_Distr_KYWD|" &amp; B388 &amp; CHAR(10) &amp;
  _xlpm.vanillaPrefix &amp; "Spell = " &amp; _xlpm.spell &amp; "|" &amp; B388
  )
)</f>
        <v>;Do Not Delete Me - needed for export to work
;Keyword = Uvi_Wig_Distr_KYWD|DLC2DummyFreaVoiceTypeNPC
;Spell = No Spell for Hairstyle|DLC2DummyFreaVoiceTypeNPC</v>
      </c>
    </row>
    <row r="389" ht="12.75" customHeight="1">
      <c r="A389" s="5" t="s">
        <v>2444</v>
      </c>
      <c r="B389" s="5" t="s">
        <v>2445</v>
      </c>
      <c r="C389" s="5" t="s">
        <v>2445</v>
      </c>
      <c r="D389" s="5" t="s">
        <v>59</v>
      </c>
      <c r="E389" s="5" t="s">
        <v>41</v>
      </c>
      <c r="F389" s="5" t="s">
        <v>42</v>
      </c>
      <c r="G389" s="14" t="str">
        <f t="array" ref="G389">IF(B389="", "",
  LET(_xlpm.spell, IFERROR(IF(F389="", "", INDEX(_xlws.FILTER(Hairstyles!$F:$F, ISNUMBER(SEARCH(F389, Hairstyles!$B:$B))), 1)), "No Spell for Hairstyle"),
  _xlpm.vanillaPrefix, IF(LEFT(_xlpm.spell, 7)="Uvi_Wig", "", ";"),
  ";" &amp; IF(C389="", B389, C389) &amp; IF(M389="", "", " ("&amp;M389&amp;")") &amp; CHAR(10) &amp;
  _xlpm.vanillaPrefix &amp; "Keyword = Uvi_Wig_Distr_KYWD|" &amp; B389 &amp; CHAR(10) &amp;
  _xlpm.vanillaPrefix &amp; "Spell = " &amp; _xlpm.spell &amp; "|" &amp; B389
  )
)</f>
        <v>;DomnaMagia
;Keyword = Uvi_Wig_Distr_KYWD|DomnaMagia
;Spell = No Spell for Hairstyle|DomnaMagia</v>
      </c>
    </row>
    <row r="390" ht="12.75" customHeight="1">
      <c r="A390" s="5" t="s">
        <v>2446</v>
      </c>
      <c r="B390" s="5" t="s">
        <v>2447</v>
      </c>
      <c r="C390" s="5" t="s">
        <v>2447</v>
      </c>
      <c r="D390" s="5" t="s">
        <v>51</v>
      </c>
      <c r="E390" s="5" t="s">
        <v>233</v>
      </c>
      <c r="F390" s="5" t="s">
        <v>762</v>
      </c>
      <c r="G390" s="14" t="str">
        <f t="array" ref="G390">IF(B390="", "",
  LET(_xlpm.spell, IFERROR(IF(F390="", "", INDEX(_xlws.FILTER(Hairstyles!$F:$F, ISNUMBER(SEARCH(F390, Hairstyles!$B:$B))), 1)), "No Spell for Hairstyle"),
  _xlpm.vanillaPrefix, IF(LEFT(_xlpm.spell, 7)="Uvi_Wig", "", ";"),
  ";" &amp; IF(C390="", B390, C390) &amp; IF(M390="", "", " ("&amp;M390&amp;")") &amp; CHAR(10) &amp;
  _xlpm.vanillaPrefix &amp; "Keyword = Uvi_Wig_Distr_KYWD|" &amp; B390 &amp; CHAR(10) &amp;
  _xlpm.vanillaPrefix &amp; "Spell = " &amp; _xlpm.spell &amp; "|" &amp; B390
  )
)</f>
        <v>;Donnel
;Keyword = Uvi_Wig_Distr_KYWD|Donnel
;Spell = No Spell for Hairstyle|Donnel</v>
      </c>
    </row>
    <row r="391" ht="12.75" customHeight="1">
      <c r="A391" s="5" t="s">
        <v>2448</v>
      </c>
      <c r="B391" s="5" t="s">
        <v>2449</v>
      </c>
      <c r="C391" s="5" t="s">
        <v>2450</v>
      </c>
      <c r="D391" s="5" t="s">
        <v>16</v>
      </c>
      <c r="E391" s="5" t="s">
        <v>233</v>
      </c>
      <c r="F391" s="5" t="s">
        <v>424</v>
      </c>
      <c r="G391" s="14" t="str">
        <f t="array" ref="G391">IF(B391="", "",
  LET(_xlpm.spell, IFERROR(IF(F391="", "", INDEX(_xlws.FILTER(Hairstyles!$F:$F, ISNUMBER(SEARCH(F391, Hairstyles!$B:$B))), 1)), "No Spell for Hairstyle"),
  _xlpm.vanillaPrefix, IF(LEFT(_xlpm.spell, 7)="Uvi_Wig", "", ";"),
  ";" &amp; IF(C391="", B391, C391) &amp; IF(M391="", "", " ("&amp;M391&amp;")") &amp; CHAR(10) &amp;
  _xlpm.vanillaPrefix &amp; "Keyword = Uvi_Wig_Distr_KYWD|" &amp; B391 &amp; CHAR(10) &amp;
  _xlpm.vanillaPrefix &amp; "Spell = " &amp; _xlpm.spell &amp; "|" &amp; B391
  )
)</f>
        <v>;Dorian
;Keyword = Uvi_Wig_Distr_KYWD|SailorDorian
;Spell = No Spell for Hairstyle|SailorDorian</v>
      </c>
    </row>
    <row r="392" ht="12.75" customHeight="1">
      <c r="A392" s="15" t="s">
        <v>2451</v>
      </c>
      <c r="B392" s="5" t="s">
        <v>2452</v>
      </c>
      <c r="C392" s="5" t="s">
        <v>2452</v>
      </c>
      <c r="D392" s="5" t="s">
        <v>74</v>
      </c>
      <c r="E392" s="5" t="s">
        <v>41</v>
      </c>
      <c r="F392" s="5" t="s">
        <v>62</v>
      </c>
      <c r="G392" s="14" t="str">
        <f t="array" ref="G392">IF(B392="", "",
  LET(_xlpm.spell, IFERROR(IF(F392="", "", INDEX(_xlws.FILTER(Hairstyles!$F:$F, ISNUMBER(SEARCH(F392, Hairstyles!$B:$B))), 1)), "No Spell for Hairstyle"),
  _xlpm.vanillaPrefix, IF(LEFT(_xlpm.spell, 7)="Uvi_Wig", "", ";"),
  ";" &amp; IF(C392="", B392, C392) &amp; IF(M392="", "", " ("&amp;M392&amp;")") &amp; CHAR(10) &amp;
  _xlpm.vanillaPrefix &amp; "Keyword = Uvi_Wig_Distr_KYWD|" &amp; B392 &amp; CHAR(10) &amp;
  _xlpm.vanillaPrefix &amp; "Spell = " &amp; _xlpm.spell &amp; "|" &amp; B392
  )
)</f>
        <v>;Dorthe
;Keyword = Uvi_Wig_Distr_KYWD|Dorthe
;Spell = No Spell for Hairstyle|Dorthe</v>
      </c>
    </row>
    <row r="393" ht="12.75" customHeight="1">
      <c r="A393" s="5" t="s">
        <v>2453</v>
      </c>
      <c r="B393" s="5" t="s">
        <v>2454</v>
      </c>
      <c r="C393" s="5" t="s">
        <v>2455</v>
      </c>
      <c r="D393" s="5" t="s">
        <v>38</v>
      </c>
      <c r="E393" s="5" t="s">
        <v>233</v>
      </c>
      <c r="F393" s="5" t="s">
        <v>1919</v>
      </c>
      <c r="G393" s="14" t="str">
        <f t="array" ref="G393">IF(B393="", "",
  LET(_xlpm.spell, IFERROR(IF(F393="", "", INDEX(_xlws.FILTER(Hairstyles!$F:$F, ISNUMBER(SEARCH(F393, Hairstyles!$B:$B))), 1)), "No Spell for Hairstyle"),
  _xlpm.vanillaPrefix, IF(LEFT(_xlpm.spell, 7)="Uvi_Wig", "", ";"),
  ";" &amp; IF(C393="", B393, C393) &amp; IF(M393="", "", " ("&amp;M393&amp;")") &amp; CHAR(10) &amp;
  _xlpm.vanillaPrefix &amp; "Keyword = Uvi_Wig_Distr_KYWD|" &amp; B393 &amp; CHAR(10) &amp;
  _xlpm.vanillaPrefix &amp; "Spell = " &amp; _xlpm.spell &amp; "|" &amp; B393
  )
)</f>
        <v>;Dragon Cultist
;Keyword = Uvi_Wig_Distr_KYWD|dunForelhostLvlGhostBase
;Spell = No Spell for Hairstyle|dunForelhostLvlGhostBase</v>
      </c>
    </row>
    <row r="394" ht="12.75" customHeight="1">
      <c r="A394" s="5" t="s">
        <v>2456</v>
      </c>
      <c r="B394" s="5" t="s">
        <v>2457</v>
      </c>
      <c r="C394" s="5" t="s">
        <v>2457</v>
      </c>
      <c r="D394" s="5" t="s">
        <v>38</v>
      </c>
      <c r="E394" s="5" t="s">
        <v>233</v>
      </c>
      <c r="F394" s="5" t="s">
        <v>762</v>
      </c>
      <c r="G394" s="14" t="str">
        <f t="array" ref="G394">IF(B394="", "",
  LET(_xlpm.spell, IFERROR(IF(F394="", "", INDEX(_xlws.FILTER(Hairstyles!$F:$F, ISNUMBER(SEARCH(F394, Hairstyles!$B:$B))), 1)), "No Spell for Hairstyle"),
  _xlpm.vanillaPrefix, IF(LEFT(_xlpm.spell, 7)="Uvi_Wig", "", ";"),
  ";" &amp; IF(C394="", B394, C394) &amp; IF(M394="", "", " ("&amp;M394&amp;")") &amp; CHAR(10) &amp;
  _xlpm.vanillaPrefix &amp; "Keyword = Uvi_Wig_Distr_KYWD|" &amp; B394 &amp; CHAR(10) &amp;
  _xlpm.vanillaPrefix &amp; "Spell = " &amp; _xlpm.spell &amp; "|" &amp; B394
  )
)</f>
        <v>;Drahff
;Keyword = Uvi_Wig_Distr_KYWD|Drahff
;Spell = No Spell for Hairstyle|Drahff</v>
      </c>
    </row>
    <row r="395" ht="12.75" customHeight="1">
      <c r="A395" s="15" t="s">
        <v>2458</v>
      </c>
      <c r="B395" s="5" t="s">
        <v>2459</v>
      </c>
      <c r="C395" s="5" t="s">
        <v>2460</v>
      </c>
      <c r="D395" s="5" t="s">
        <v>45</v>
      </c>
      <c r="E395" s="5" t="s">
        <v>233</v>
      </c>
      <c r="F395" s="5" t="s">
        <v>525</v>
      </c>
      <c r="G395" s="14" t="str">
        <f t="array" ref="G395">IF(B395="", "",
  LET(_xlpm.spell, IFERROR(IF(F395="", "", INDEX(_xlws.FILTER(Hairstyles!$F:$F, ISNUMBER(SEARCH(F395, Hairstyles!$B:$B))), 1)), "No Spell for Hairstyle"),
  _xlpm.vanillaPrefix, IF(LEFT(_xlpm.spell, 7)="Uvi_Wig", "", ";"),
  ";" &amp; IF(C395="", B395, C395) &amp; IF(M395="", "", " ("&amp;M395&amp;")") &amp; CHAR(10) &amp;
  _xlpm.vanillaPrefix &amp; "Keyword = Uvi_Wig_Distr_KYWD|" &amp; B395 &amp; CHAR(10) &amp;
  _xlpm.vanillaPrefix &amp; "Spell = " &amp; _xlpm.spell &amp; "|" &amp; B395
  )
)</f>
        <v>;Dravin Llanith
;Keyword = Uvi_Wig_Distr_KYWD|Dravin
;Spell = No Spell for Hairstyle|Dravin</v>
      </c>
    </row>
    <row r="396" ht="12.75" customHeight="1">
      <c r="A396" s="5" t="s">
        <v>2461</v>
      </c>
      <c r="B396" s="5" t="s">
        <v>2462</v>
      </c>
      <c r="C396" s="5" t="s">
        <v>2463</v>
      </c>
      <c r="D396" s="5" t="s">
        <v>45</v>
      </c>
      <c r="E396" s="5" t="s">
        <v>41</v>
      </c>
      <c r="F396" s="5" t="s">
        <v>491</v>
      </c>
      <c r="G396" s="14" t="str">
        <f t="array" ref="G396">IF(B396="", "",
  LET(_xlpm.spell, IFERROR(IF(F396="", "", INDEX(_xlws.FILTER(Hairstyles!$F:$F, ISNUMBER(SEARCH(F396, Hairstyles!$B:$B))), 1)), "No Spell for Hairstyle"),
  _xlpm.vanillaPrefix, IF(LEFT(_xlpm.spell, 7)="Uvi_Wig", "", ";"),
  ";" &amp; IF(C396="", B396, C396) &amp; IF(M396="", "", " ("&amp;M396&amp;")") &amp; CHAR(10) &amp;
  _xlpm.vanillaPrefix &amp; "Keyword = Uvi_Wig_Distr_KYWD|" &amp; B396 &amp; CHAR(10) &amp;
  _xlpm.vanillaPrefix &amp; "Spell = " &amp; _xlpm.spell &amp; "|" &amp; B396
  )
)</f>
        <v>;Dravynea the Stoneweaver
;Keyword = Uvi_Wig_Distr_KYWD|Dravynea
;Spell = No Spell for Hairstyle|Dravynea</v>
      </c>
    </row>
    <row r="397" ht="12.75" customHeight="1">
      <c r="A397" s="15" t="s">
        <v>2464</v>
      </c>
      <c r="B397" s="5" t="s">
        <v>2465</v>
      </c>
      <c r="C397" s="5" t="s">
        <v>2463</v>
      </c>
      <c r="D397" s="5" t="s">
        <v>45</v>
      </c>
      <c r="E397" s="5" t="s">
        <v>41</v>
      </c>
      <c r="F397" s="5" t="s">
        <v>491</v>
      </c>
      <c r="G397" s="14" t="str">
        <f t="array" ref="G397">IF(B397="", "",
  LET(_xlpm.spell, IFERROR(IF(F397="", "", INDEX(_xlws.FILTER(Hairstyles!$F:$F, ISNUMBER(SEARCH(F397, Hairstyles!$B:$B))), 1)), "No Spell for Hairstyle"),
  _xlpm.vanillaPrefix, IF(LEFT(_xlpm.spell, 7)="Uvi_Wig", "", ";"),
  ";" &amp; IF(C397="", B397, C397) &amp; IF(M397="", "", " ("&amp;M397&amp;")") &amp; CHAR(10) &amp;
  _xlpm.vanillaPrefix &amp; "Keyword = Uvi_Wig_Distr_KYWD|" &amp; B397 &amp; CHAR(10) &amp;
  _xlpm.vanillaPrefix &amp; "Spell = " &amp; _xlpm.spell &amp; "|" &amp; B397
  )
)</f>
        <v>;Dravynea the Stoneweaver
;Keyword = Uvi_Wig_Distr_KYWD|DravyneaDUPLICATE001
;Spell = No Spell for Hairstyle|DravyneaDUPLICATE001</v>
      </c>
    </row>
    <row r="398" ht="12.75" customHeight="1">
      <c r="A398" s="5" t="s">
        <v>2466</v>
      </c>
      <c r="B398" s="5" t="s">
        <v>2467</v>
      </c>
      <c r="C398" s="5" t="s">
        <v>2468</v>
      </c>
      <c r="D398" s="5" t="s">
        <v>45</v>
      </c>
      <c r="E398" s="5" t="s">
        <v>233</v>
      </c>
      <c r="F398" s="5" t="s">
        <v>2469</v>
      </c>
      <c r="G398" s="14" t="str">
        <f t="array" ref="G398">IF(B398="", "",
  LET(_xlpm.spell, IFERROR(IF(F398="", "", INDEX(_xlws.FILTER(Hairstyles!$F:$F, ISNUMBER(SEARCH(F398, Hairstyles!$B:$B))), 1)), "No Spell for Hairstyle"),
  _xlpm.vanillaPrefix, IF(LEFT(_xlpm.spell, 7)="Uvi_Wig", "", ";"),
  ";" &amp; IF(C398="", B398, C398) &amp; IF(M398="", "", " ("&amp;M398&amp;")") &amp; CHAR(10) &amp;
  _xlpm.vanillaPrefix &amp; "Keyword = Uvi_Wig_Distr_KYWD|" &amp; B398 &amp; CHAR(10) &amp;
  _xlpm.vanillaPrefix &amp; "Spell = " &amp; _xlpm.spell &amp; "|" &amp; B398
  )
)</f>
        <v>;Drelas
;Keyword = Uvi_Wig_Distr_KYWD|dunDrelas_LvlWarlockElementalAggro1024
;Spell = No Spell for Hairstyle|dunDrelas_LvlWarlockElementalAggro1024</v>
      </c>
    </row>
    <row r="399" ht="12.75" customHeight="1">
      <c r="A399" s="5" t="s">
        <v>2470</v>
      </c>
      <c r="B399" s="5" t="s">
        <v>2471</v>
      </c>
      <c r="C399" s="5" t="s">
        <v>2471</v>
      </c>
      <c r="D399" s="5" t="s">
        <v>38</v>
      </c>
      <c r="E399" s="5" t="s">
        <v>233</v>
      </c>
      <c r="F399" s="5" t="s">
        <v>84</v>
      </c>
      <c r="G399" s="14" t="str">
        <f t="array" ref="G399">IF(B399="", "",
  LET(_xlpm.spell, IFERROR(IF(F399="", "", INDEX(_xlws.FILTER(Hairstyles!$F:$F, ISNUMBER(SEARCH(F399, Hairstyles!$B:$B))), 1)), "No Spell for Hairstyle"),
  _xlpm.vanillaPrefix, IF(LEFT(_xlpm.spell, 7)="Uvi_Wig", "", ";"),
  ";" &amp; IF(C399="", B399, C399) &amp; IF(M399="", "", " ("&amp;M399&amp;")") &amp; CHAR(10) &amp;
  _xlpm.vanillaPrefix &amp; "Keyword = Uvi_Wig_Distr_KYWD|" &amp; B399 &amp; CHAR(10) &amp;
  _xlpm.vanillaPrefix &amp; "Spell = " &amp; _xlpm.spell &amp; "|" &amp; B399
  )
)</f>
        <v>;Drennen
;Keyword = Uvi_Wig_Distr_KYWD|Drennen
;Spell = No Spell for Hairstyle|Drennen</v>
      </c>
    </row>
    <row r="400" ht="12.75" customHeight="1">
      <c r="A400" s="5" t="s">
        <v>2472</v>
      </c>
      <c r="B400" s="5" t="s">
        <v>2473</v>
      </c>
      <c r="C400" s="5" t="s">
        <v>2471</v>
      </c>
      <c r="D400" s="5" t="s">
        <v>38</v>
      </c>
      <c r="E400" s="5" t="s">
        <v>233</v>
      </c>
      <c r="F400" s="5" t="s">
        <v>84</v>
      </c>
      <c r="G400" s="14" t="str">
        <f t="array" ref="G400">IF(B400="", "",
  LET(_xlpm.spell, IFERROR(IF(F400="", "", INDEX(_xlws.FILTER(Hairstyles!$F:$F, ISNUMBER(SEARCH(F400, Hairstyles!$B:$B))), 1)), "No Spell for Hairstyle"),
  _xlpm.vanillaPrefix, IF(LEFT(_xlpm.spell, 7)="Uvi_Wig", "", ";"),
  ";" &amp; IF(C400="", B400, C400) &amp; IF(M400="", "", " ("&amp;M400&amp;")") &amp; CHAR(10) &amp;
  _xlpm.vanillaPrefix &amp; "Keyword = Uvi_Wig_Distr_KYWD|" &amp; B400 &amp; CHAR(10) &amp;
  _xlpm.vanillaPrefix &amp; "Spell = " &amp; _xlpm.spell &amp; "|" &amp; B400
  )
)</f>
        <v>;Drennen
;Keyword = Uvi_Wig_Distr_KYWD|DrennenCorpse
;Spell = No Spell for Hairstyle|DrennenCorpse</v>
      </c>
    </row>
    <row r="401" ht="12.75" customHeight="1">
      <c r="A401" s="5" t="s">
        <v>2474</v>
      </c>
      <c r="B401" s="5" t="s">
        <v>2475</v>
      </c>
      <c r="C401" s="5" t="s">
        <v>2476</v>
      </c>
      <c r="D401" s="5" t="s">
        <v>45</v>
      </c>
      <c r="E401" s="5" t="s">
        <v>233</v>
      </c>
      <c r="F401" s="5" t="s">
        <v>91</v>
      </c>
      <c r="G401" s="14" t="str">
        <f t="array" ref="G401">IF(B401="", "",
  LET(_xlpm.spell, IFERROR(IF(F401="", "", INDEX(_xlws.FILTER(Hairstyles!$F:$F, ISNUMBER(SEARCH(F401, Hairstyles!$B:$B))), 1)), "No Spell for Hairstyle"),
  _xlpm.vanillaPrefix, IF(LEFT(_xlpm.spell, 7)="Uvi_Wig", "", ";"),
  ";" &amp; IF(C401="", B401, C401) &amp; IF(M401="", "", " ("&amp;M401&amp;")") &amp; CHAR(10) &amp;
  _xlpm.vanillaPrefix &amp; "Keyword = Uvi_Wig_Distr_KYWD|" &amp; B401 &amp; CHAR(10) &amp;
  _xlpm.vanillaPrefix &amp; "Spell = " &amp; _xlpm.spell &amp; "|" &amp; B401
  )
)</f>
        <v>;Drevis Neloren
;Keyword = Uvi_Wig_Distr_KYWD|DrevisNeloren
;Spell = No Spell for Hairstyle|DrevisNeloren</v>
      </c>
    </row>
    <row r="402" ht="12.75" customHeight="1">
      <c r="A402" s="15" t="s">
        <v>2477</v>
      </c>
      <c r="B402" s="5" t="s">
        <v>2478</v>
      </c>
      <c r="C402" s="5" t="s">
        <v>2479</v>
      </c>
      <c r="D402" s="5" t="s">
        <v>45</v>
      </c>
      <c r="E402" s="5" t="s">
        <v>41</v>
      </c>
      <c r="F402" s="5" t="s">
        <v>512</v>
      </c>
      <c r="G402" s="14" t="str">
        <f t="array" ref="G402">IF(B402="", "",
  LET(_xlpm.spell, IFERROR(IF(F402="", "", INDEX(_xlws.FILTER(Hairstyles!$F:$F, ISNUMBER(SEARCH(F402, Hairstyles!$B:$B))), 1)), "No Spell for Hairstyle"),
  _xlpm.vanillaPrefix, IF(LEFT(_xlpm.spell, 7)="Uvi_Wig", "", ";"),
  ";" &amp; IF(C402="", B402, C402) &amp; IF(M402="", "", " ("&amp;M402&amp;")") &amp; CHAR(10) &amp;
  _xlpm.vanillaPrefix &amp; "Keyword = Uvi_Wig_Distr_KYWD|" &amp; B402 &amp; CHAR(10) &amp;
  _xlpm.vanillaPrefix &amp; "Spell = " &amp; _xlpm.spell &amp; "|" &amp; B402
  )
)</f>
        <v>;Dreyla Alor
;Keyword = Uvi_Wig_Distr_KYWD|DLC2RRDreylaAlor
;Spell = No Spell for Hairstyle|DLC2RRDreylaAlor</v>
      </c>
    </row>
    <row r="403" ht="12.75" customHeight="1">
      <c r="A403" s="15" t="s">
        <v>2480</v>
      </c>
      <c r="B403" s="5" t="s">
        <v>2481</v>
      </c>
      <c r="C403" s="5" t="s">
        <v>2481</v>
      </c>
      <c r="D403" s="5" t="s">
        <v>38</v>
      </c>
      <c r="E403" s="5" t="s">
        <v>41</v>
      </c>
      <c r="F403" s="5" t="s">
        <v>270</v>
      </c>
      <c r="G403" s="14" t="str">
        <f t="array" ref="G403">IF(B403="", "",
  LET(_xlpm.spell, IFERROR(IF(F403="", "", INDEX(_xlws.FILTER(Hairstyles!$F:$F, ISNUMBER(SEARCH(F403, Hairstyles!$B:$B))), 1)), "No Spell for Hairstyle"),
  _xlpm.vanillaPrefix, IF(LEFT(_xlpm.spell, 7)="Uvi_Wig", "", ";"),
  ";" &amp; IF(C403="", B403, C403) &amp; IF(M403="", "", " ("&amp;M403&amp;")") &amp; CHAR(10) &amp;
  _xlpm.vanillaPrefix &amp; "Keyword = Uvi_Wig_Distr_KYWD|" &amp; B403 &amp; CHAR(10) &amp;
  _xlpm.vanillaPrefix &amp; "Spell = " &amp; _xlpm.spell &amp; "|" &amp; B403
  )
)</f>
        <v>;Drifa
;Keyword = Uvi_Wig_Distr_KYWD|Drifa
;Spell = No Spell for Hairstyle|Drifa</v>
      </c>
    </row>
    <row r="404" ht="12.75" customHeight="1">
      <c r="A404" s="5" t="s">
        <v>2482</v>
      </c>
      <c r="B404" s="5" t="s">
        <v>2483</v>
      </c>
      <c r="C404" s="5" t="s">
        <v>2484</v>
      </c>
      <c r="D404" s="5" t="s">
        <v>65</v>
      </c>
      <c r="E404" s="5" t="s">
        <v>233</v>
      </c>
      <c r="F404" s="5" t="s">
        <v>2485</v>
      </c>
      <c r="G404" s="14" t="str">
        <f t="array" ref="G404">IF(B404="", "",
  LET(_xlpm.spell, IFERROR(IF(F404="", "", INDEX(_xlws.FILTER(Hairstyles!$F:$F, ISNUMBER(SEARCH(F404, Hairstyles!$B:$B))), 1)), "No Spell for Hairstyle"),
  _xlpm.vanillaPrefix, IF(LEFT(_xlpm.spell, 7)="Uvi_Wig", "", ";"),
  ";" &amp; IF(C404="", B404, C404) &amp; IF(M404="", "", " ("&amp;M404&amp;")") &amp; CHAR(10) &amp;
  _xlpm.vanillaPrefix &amp; "Keyword = Uvi_Wig_Distr_KYWD|" &amp; B404 &amp; CHAR(10) &amp;
  _xlpm.vanillaPrefix &amp; "Spell = " &amp; _xlpm.spell &amp; "|" &amp; B404
  )
)</f>
        <v>;Dro'marash
;Keyword = Uvi_Wig_Distr_KYWD|Dromarash
;Spell = No Spell for Hairstyle|Dromarash</v>
      </c>
    </row>
    <row r="405" ht="12.75" customHeight="1">
      <c r="A405" s="15" t="s">
        <v>2486</v>
      </c>
      <c r="B405" s="5" t="s">
        <v>2487</v>
      </c>
      <c r="C405" s="5" t="s">
        <v>2488</v>
      </c>
      <c r="D405" s="5" t="s">
        <v>45</v>
      </c>
      <c r="E405" s="5" t="s">
        <v>233</v>
      </c>
      <c r="F405" s="5" t="s">
        <v>2489</v>
      </c>
      <c r="G405" s="14" t="str">
        <f t="array" ref="G405">IF(B405="", "",
  LET(_xlpm.spell, IFERROR(IF(F405="", "", INDEX(_xlws.FILTER(Hairstyles!$F:$F, ISNUMBER(SEARCH(F405, Hairstyles!$B:$B))), 1)), "No Spell for Hairstyle"),
  _xlpm.vanillaPrefix, IF(LEFT(_xlpm.spell, 7)="Uvi_Wig", "", ";"),
  ";" &amp; IF(C405="", B405, C405) &amp; IF(M405="", "", " ("&amp;M405&amp;")") &amp; CHAR(10) &amp;
  _xlpm.vanillaPrefix &amp; "Keyword = Uvi_Wig_Distr_KYWD|" &amp; B405 &amp; CHAR(10) &amp;
  _xlpm.vanillaPrefix &amp; "Spell = " &amp; _xlpm.spell &amp; "|" &amp; B405
  )
)</f>
        <v>;Drovas Relvi
;Keyword = Uvi_Wig_Distr_KYWD|DLC2Drovas
;Spell = No Spell for Hairstyle|DLC2Drovas</v>
      </c>
    </row>
    <row r="406" ht="12.75" customHeight="1">
      <c r="A406" s="5" t="s">
        <v>2490</v>
      </c>
      <c r="B406" s="5" t="s">
        <v>2491</v>
      </c>
      <c r="C406" s="5" t="s">
        <v>2492</v>
      </c>
      <c r="D406" s="5" t="s">
        <v>16</v>
      </c>
      <c r="E406" s="5" t="s">
        <v>41</v>
      </c>
      <c r="F406" s="5" t="s">
        <v>862</v>
      </c>
      <c r="G406" s="14" t="str">
        <f t="array" ref="G406">IF(B406="", "",
  LET(_xlpm.spell, IFERROR(IF(F406="", "", INDEX(_xlws.FILTER(Hairstyles!$F:$F, ISNUMBER(SEARCH(F406, Hairstyles!$B:$B))), 1)), "No Spell for Hairstyle"),
  _xlpm.vanillaPrefix, IF(LEFT(_xlpm.spell, 7)="Uvi_Wig", "", ";"),
  ";" &amp; IF(C406="", B406, C406) &amp; IF(M406="", "", " ("&amp;M406&amp;")") &amp; CHAR(10) &amp;
  _xlpm.vanillaPrefix &amp; "Keyword = Uvi_Wig_Distr_KYWD|" &amp; B406 &amp; CHAR(10) &amp;
  _xlpm.vanillaPrefix &amp; "Spell = " &amp; _xlpm.spell &amp; "|" &amp; B406
  )
)</f>
        <v>;Drunk Cultist
;Keyword = Uvi_Wig_Distr_KYWD|DA14Cultist
;Spell = No Spell for Hairstyle|DA14Cultist</v>
      </c>
    </row>
    <row r="407" ht="12.75" customHeight="1">
      <c r="A407" s="5" t="s">
        <v>2493</v>
      </c>
      <c r="B407" s="5" t="s">
        <v>2494</v>
      </c>
      <c r="C407" s="5" t="s">
        <v>2494</v>
      </c>
      <c r="D407" s="5" t="s">
        <v>16</v>
      </c>
      <c r="E407" s="5" t="s">
        <v>233</v>
      </c>
      <c r="F407" s="5" t="s">
        <v>1919</v>
      </c>
      <c r="G407" s="14" t="str">
        <f t="array" ref="G407">IF(B407="", "",
  LET(_xlpm.spell, IFERROR(IF(F407="", "", INDEX(_xlws.FILTER(Hairstyles!$F:$F, ISNUMBER(SEARCH(F407, Hairstyles!$B:$B))), 1)), "No Spell for Hairstyle"),
  _xlpm.vanillaPrefix, IF(LEFT(_xlpm.spell, 7)="Uvi_Wig", "", ";"),
  ";" &amp; IF(C407="", B407, C407) &amp; IF(M407="", "", " ("&amp;M407&amp;")") &amp; CHAR(10) &amp;
  _xlpm.vanillaPrefix &amp; "Keyword = Uvi_Wig_Distr_KYWD|" &amp; B407 &amp; CHAR(10) &amp;
  _xlpm.vanillaPrefix &amp; "Spell = " &amp; _xlpm.spell &amp; "|" &amp; B407
  )
)</f>
        <v>;Dryston
;Keyword = Uvi_Wig_Distr_KYWD|Dryston
;Spell = No Spell for Hairstyle|Dryston</v>
      </c>
    </row>
    <row r="408" ht="12.75" customHeight="1">
      <c r="A408" s="15" t="s">
        <v>2495</v>
      </c>
      <c r="B408" s="5" t="s">
        <v>2496</v>
      </c>
      <c r="C408" s="5" t="s">
        <v>2496</v>
      </c>
      <c r="D408" s="5" t="s">
        <v>16</v>
      </c>
      <c r="E408" s="5" t="s">
        <v>233</v>
      </c>
      <c r="F408" s="5" t="s">
        <v>695</v>
      </c>
      <c r="G408" s="14" t="str">
        <f t="array" ref="G408">IF(B408="", "",
  LET(_xlpm.spell, IFERROR(IF(F408="", "", INDEX(_xlws.FILTER(Hairstyles!$F:$F, ISNUMBER(SEARCH(F408, Hairstyles!$B:$B))), 1)), "No Spell for Hairstyle"),
  _xlpm.vanillaPrefix, IF(LEFT(_xlpm.spell, 7)="Uvi_Wig", "", ";"),
  ";" &amp; IF(C408="", B408, C408) &amp; IF(M408="", "", " ("&amp;M408&amp;")") &amp; CHAR(10) &amp;
  _xlpm.vanillaPrefix &amp; "Keyword = Uvi_Wig_Distr_KYWD|" &amp; B408 &amp; CHAR(10) &amp;
  _xlpm.vanillaPrefix &amp; "Spell = " &amp; _xlpm.spell &amp; "|" &amp; B408
  )
)</f>
        <v>;Duach
;Keyword = Uvi_Wig_Distr_KYWD|Duach
;Spell = No Spell for Hairstyle|Duach</v>
      </c>
    </row>
    <row r="409" ht="12.75" customHeight="1">
      <c r="A409" s="5" t="s">
        <v>2497</v>
      </c>
      <c r="B409" s="5" t="s">
        <v>2498</v>
      </c>
      <c r="C409" s="5" t="s">
        <v>2498</v>
      </c>
      <c r="D409" s="5" t="s">
        <v>80</v>
      </c>
      <c r="E409" s="5" t="s">
        <v>41</v>
      </c>
      <c r="F409" s="5" t="s">
        <v>449</v>
      </c>
      <c r="G409" s="14" t="str">
        <f t="array" ref="G409">IF(B409="", "",
  LET(_xlpm.spell, IFERROR(IF(F409="", "", INDEX(_xlws.FILTER(Hairstyles!$F:$F, ISNUMBER(SEARCH(F409, Hairstyles!$B:$B))), 1)), "No Spell for Hairstyle"),
  _xlpm.vanillaPrefix, IF(LEFT(_xlpm.spell, 7)="Uvi_Wig", "", ";"),
  ";" &amp; IF(C409="", B409, C409) &amp; IF(M409="", "", " ("&amp;M409&amp;")") &amp; CHAR(10) &amp;
  _xlpm.vanillaPrefix &amp; "Keyword = Uvi_Wig_Distr_KYWD|" &amp; B409 &amp; CHAR(10) &amp;
  _xlpm.vanillaPrefix &amp; "Spell = " &amp; _xlpm.spell &amp; "|" &amp; B409
  )
)</f>
        <v>;Dulug
;Keyword = Uvi_Wig_Distr_KYWD|Dulug
;Spell = No Spell for Hairstyle|Dulug</v>
      </c>
    </row>
    <row r="410" ht="12.75" customHeight="1">
      <c r="A410" s="5" t="s">
        <v>2499</v>
      </c>
      <c r="B410" s="5" t="s">
        <v>2500</v>
      </c>
      <c r="C410" s="5" t="s">
        <v>2501</v>
      </c>
      <c r="D410" s="5" t="s">
        <v>45</v>
      </c>
      <c r="E410" s="5" t="s">
        <v>233</v>
      </c>
      <c r="F410" s="5" t="s">
        <v>47</v>
      </c>
      <c r="G410" s="14" t="str">
        <f t="array" ref="G410">IF(B410="", "",
  LET(_xlpm.spell, IFERROR(IF(F410="", "", INDEX(_xlws.FILTER(Hairstyles!$F:$F, ISNUMBER(SEARCH(F410, Hairstyles!$B:$B))), 1)), "No Spell for Hairstyle"),
  _xlpm.vanillaPrefix, IF(LEFT(_xlpm.spell, 7)="Uvi_Wig", "", ";"),
  ";" &amp; IF(C410="", B410, C410) &amp; IF(M410="", "", " ("&amp;M410&amp;")") &amp; CHAR(10) &amp;
  _xlpm.vanillaPrefix &amp; "Keyword = Uvi_Wig_Distr_KYWD|" &amp; B410 &amp; CHAR(10) &amp;
  _xlpm.vanillaPrefix &amp; "Spell = " &amp; _xlpm.spell &amp; "|" &amp; B410
  )
)</f>
        <v>;Dunmer Ghost
;Keyword = Uvi_Wig_Distr_KYWD|TGCrownGhostBase
;Spell = No Spell for Hairstyle|TGCrownGhostBase</v>
      </c>
    </row>
    <row r="411" ht="12.75" customHeight="1">
      <c r="A411" s="5" t="s">
        <v>2502</v>
      </c>
      <c r="B411" s="5" t="s">
        <v>2503</v>
      </c>
      <c r="C411" s="5" t="s">
        <v>2504</v>
      </c>
      <c r="D411" s="5" t="s">
        <v>80</v>
      </c>
      <c r="E411" s="5" t="s">
        <v>233</v>
      </c>
      <c r="F411" s="5" t="s">
        <v>81</v>
      </c>
      <c r="G411" s="14" t="str">
        <f t="array" ref="G411">IF(B411="", "",
  LET(_xlpm.spell, IFERROR(IF(F411="", "", INDEX(_xlws.FILTER(Hairstyles!$F:$F, ISNUMBER(SEARCH(F411, Hairstyles!$B:$B))), 1)), "No Spell for Hairstyle"),
  _xlpm.vanillaPrefix, IF(LEFT(_xlpm.spell, 7)="Uvi_Wig", "", ";"),
  ";" &amp; IF(C411="", B411, C411) &amp; IF(M411="", "", " ("&amp;M411&amp;")") &amp; CHAR(10) &amp;
  _xlpm.vanillaPrefix &amp; "Keyword = Uvi_Wig_Distr_KYWD|" &amp; B411 &amp; CHAR(10) &amp;
  _xlpm.vanillaPrefix &amp; "Spell = " &amp; _xlpm.spell &amp; "|" &amp; B411
  )
)</f>
        <v>;Durak
;Keyword = Uvi_Wig_Distr_KYWD|DLC1Durak
;Spell = No Spell for Hairstyle|DLC1Durak</v>
      </c>
    </row>
    <row r="412" ht="12.75" customHeight="1">
      <c r="A412" s="5" t="s">
        <v>2505</v>
      </c>
      <c r="B412" s="5" t="s">
        <v>2506</v>
      </c>
      <c r="C412" s="5" t="s">
        <v>2506</v>
      </c>
      <c r="D412" s="5" t="s">
        <v>80</v>
      </c>
      <c r="E412" s="5" t="s">
        <v>233</v>
      </c>
      <c r="F412" s="5" t="s">
        <v>452</v>
      </c>
      <c r="G412" s="14" t="str">
        <f t="array" ref="G412">IF(B412="", "",
  LET(_xlpm.spell, IFERROR(IF(F412="", "", INDEX(_xlws.FILTER(Hairstyles!$F:$F, ISNUMBER(SEARCH(F412, Hairstyles!$B:$B))), 1)), "No Spell for Hairstyle"),
  _xlpm.vanillaPrefix, IF(LEFT(_xlpm.spell, 7)="Uvi_Wig", "", ";"),
  ";" &amp; IF(C412="", B412, C412) &amp; IF(M412="", "", " ("&amp;M412&amp;")") &amp; CHAR(10) &amp;
  _xlpm.vanillaPrefix &amp; "Keyword = Uvi_Wig_Distr_KYWD|" &amp; B412 &amp; CHAR(10) &amp;
  _xlpm.vanillaPrefix &amp; "Spell = " &amp; _xlpm.spell &amp; "|" &amp; B412
  )
)</f>
        <v>;Dushnamub
;Keyword = Uvi_Wig_Distr_KYWD|Dushnamub
;Spell = No Spell for Hairstyle|Dushnamub</v>
      </c>
    </row>
    <row r="413" ht="12.75" customHeight="1">
      <c r="A413" s="5" t="s">
        <v>2507</v>
      </c>
      <c r="B413" s="5" t="s">
        <v>2508</v>
      </c>
      <c r="C413" s="5" t="s">
        <v>2509</v>
      </c>
      <c r="D413" s="5" t="s">
        <v>59</v>
      </c>
      <c r="E413" s="5" t="s">
        <v>233</v>
      </c>
      <c r="F413" s="5" t="s">
        <v>224</v>
      </c>
      <c r="G413" s="14" t="str">
        <f t="array" ref="G413">IF(B413="", "",
  LET(_xlpm.spell, IFERROR(IF(F413="", "", INDEX(_xlws.FILTER(Hairstyles!$F:$F, ISNUMBER(SEARCH(F413, Hairstyles!$B:$B))), 1)), "No Spell for Hairstyle"),
  _xlpm.vanillaPrefix, IF(LEFT(_xlpm.spell, 7)="Uvi_Wig", "", ";"),
  ";" &amp; IF(C413="", B413, C413) &amp; IF(M413="", "", " ("&amp;M413&amp;")") &amp; CHAR(10) &amp;
  _xlpm.vanillaPrefix &amp; "Keyword = Uvi_Wig_Distr_KYWD|" &amp; B413 &amp; CHAR(10) &amp;
  _xlpm.vanillaPrefix &amp; "Spell = " &amp; _xlpm.spell &amp; "|" &amp; B413
  )
)</f>
        <v>;East Empire Dockmaster
;Keyword = Uvi_Wig_Distr_KYWD|TG04EECDockmaster
;Spell = No Spell for Hairstyle|TG04EECDockmaster</v>
      </c>
    </row>
    <row r="414" ht="12.75" customHeight="1">
      <c r="A414" s="5" t="s">
        <v>2510</v>
      </c>
      <c r="B414" s="5" t="s">
        <v>2511</v>
      </c>
      <c r="C414" s="5" t="s">
        <v>2512</v>
      </c>
      <c r="D414" s="5" t="s">
        <v>38</v>
      </c>
      <c r="E414" s="5" t="s">
        <v>233</v>
      </c>
      <c r="F414" s="5" t="s">
        <v>1622</v>
      </c>
      <c r="G414" s="14" t="str">
        <f t="array" ref="G414">IF(B414="", "",
  LET(_xlpm.spell, IFERROR(IF(F414="", "", INDEX(_xlws.FILTER(Hairstyles!$F:$F, ISNUMBER(SEARCH(F414, Hairstyles!$B:$B))), 1)), "No Spell for Hairstyle"),
  _xlpm.vanillaPrefix, IF(LEFT(_xlpm.spell, 7)="Uvi_Wig", "", ";"),
  ";" &amp; IF(C414="", B414, C414) &amp; IF(M414="", "", " ("&amp;M414&amp;")") &amp; CHAR(10) &amp;
  _xlpm.vanillaPrefix &amp; "Keyword = Uvi_Wig_Distr_KYWD|" &amp; B414 &amp; CHAR(10) &amp;
  _xlpm.vanillaPrefix &amp; "Spell = " &amp; _xlpm.spell &amp; "|" &amp; B414
  )
)</f>
        <v>;East Empire Dockworker
;Keyword = Uvi_Wig_Distr_KYWD|TG04EECDockworker01
;Spell = No Spell for Hairstyle|TG04EECDockworker01</v>
      </c>
    </row>
    <row r="415" ht="12.75" customHeight="1">
      <c r="A415" s="5" t="s">
        <v>2513</v>
      </c>
      <c r="B415" s="5" t="s">
        <v>2514</v>
      </c>
      <c r="C415" s="5" t="s">
        <v>2512</v>
      </c>
      <c r="D415" s="5" t="s">
        <v>16</v>
      </c>
      <c r="E415" s="5" t="s">
        <v>233</v>
      </c>
      <c r="F415" s="5" t="s">
        <v>218</v>
      </c>
      <c r="G415" s="14" t="str">
        <f t="array" ref="G415">IF(B415="", "",
  LET(_xlpm.spell, IFERROR(IF(F415="", "", INDEX(_xlws.FILTER(Hairstyles!$F:$F, ISNUMBER(SEARCH(F415, Hairstyles!$B:$B))), 1)), "No Spell for Hairstyle"),
  _xlpm.vanillaPrefix, IF(LEFT(_xlpm.spell, 7)="Uvi_Wig", "", ";"),
  ";" &amp; IF(C415="", B415, C415) &amp; IF(M415="", "", " ("&amp;M415&amp;")") &amp; CHAR(10) &amp;
  _xlpm.vanillaPrefix &amp; "Keyword = Uvi_Wig_Distr_KYWD|" &amp; B415 &amp; CHAR(10) &amp;
  _xlpm.vanillaPrefix &amp; "Spell = " &amp; _xlpm.spell &amp; "|" &amp; B415
  )
)</f>
        <v>;East Empire Dockworker
;Keyword = Uvi_Wig_Distr_KYWD|TG04EECDockworker02
;Spell = No Spell for Hairstyle|TG04EECDockworker02</v>
      </c>
    </row>
    <row r="416" ht="12.75" customHeight="1">
      <c r="A416" s="5" t="s">
        <v>2515</v>
      </c>
      <c r="B416" s="5" t="s">
        <v>2516</v>
      </c>
      <c r="C416" s="5" t="s">
        <v>2517</v>
      </c>
      <c r="D416" s="5" t="s">
        <v>83</v>
      </c>
      <c r="E416" s="5" t="s">
        <v>233</v>
      </c>
      <c r="F416" s="5" t="s">
        <v>174</v>
      </c>
      <c r="G416" s="14" t="str">
        <f t="array" ref="G416">IF(B416="", "",
  LET(_xlpm.spell, IFERROR(IF(F416="", "", INDEX(_xlws.FILTER(Hairstyles!$F:$F, ISNUMBER(SEARCH(F416, Hairstyles!$B:$B))), 1)), "No Spell for Hairstyle"),
  _xlpm.vanillaPrefix, IF(LEFT(_xlpm.spell, 7)="Uvi_Wig", "", ";"),
  ";" &amp; IF(C416="", B416, C416) &amp; IF(M416="", "", " ("&amp;M416&amp;")") &amp; CHAR(10) &amp;
  _xlpm.vanillaPrefix &amp; "Keyword = Uvi_Wig_Distr_KYWD|" &amp; B416 &amp; CHAR(10) &amp;
  _xlpm.vanillaPrefix &amp; "Spell = " &amp; _xlpm.spell &amp; "|" &amp; B416
  )
)</f>
        <v>;Ebony Warrior
;Keyword = Uvi_Wig_Distr_KYWD|DLC2EbonyWarrior
;Spell = No Spell for Hairstyle|DLC2EbonyWarrior</v>
      </c>
    </row>
    <row r="417" ht="12.75" customHeight="1">
      <c r="A417" s="15" t="s">
        <v>2518</v>
      </c>
      <c r="B417" s="5" t="s">
        <v>2519</v>
      </c>
      <c r="C417" s="5" t="s">
        <v>2519</v>
      </c>
      <c r="D417" s="5" t="s">
        <v>59</v>
      </c>
      <c r="E417" s="5" t="s">
        <v>41</v>
      </c>
      <c r="F417" s="5" t="s">
        <v>1041</v>
      </c>
      <c r="G417" s="14" t="str">
        <f t="array" ref="G417">IF(B417="", "",
  LET(_xlpm.spell, IFERROR(IF(F417="", "", INDEX(_xlws.FILTER(Hairstyles!$F:$F, ISNUMBER(SEARCH(F417, Hairstyles!$B:$B))), 1)), "No Spell for Hairstyle"),
  _xlpm.vanillaPrefix, IF(LEFT(_xlpm.spell, 7)="Uvi_Wig", "", ";"),
  ";" &amp; IF(C417="", B417, C417) &amp; IF(M417="", "", " ("&amp;M417&amp;")") &amp; CHAR(10) &amp;
  _xlpm.vanillaPrefix &amp; "Keyword = Uvi_Wig_Distr_KYWD|" &amp; B417 &amp; CHAR(10) &amp;
  _xlpm.vanillaPrefix &amp; "Spell = " &amp; _xlpm.spell &amp; "|" &amp; B417
  )
)</f>
        <v>;Edda
;Keyword = Uvi_Wig_Distr_KYWD|Edda
;Spell = No Spell for Hairstyle|Edda</v>
      </c>
    </row>
    <row r="418" ht="12.75" customHeight="1">
      <c r="A418" s="5" t="s">
        <v>2520</v>
      </c>
      <c r="B418" s="5" t="s">
        <v>2521</v>
      </c>
      <c r="C418" s="5" t="s">
        <v>2521</v>
      </c>
      <c r="D418" s="5" t="s">
        <v>38</v>
      </c>
      <c r="E418" s="5" t="s">
        <v>41</v>
      </c>
      <c r="F418" s="5" t="s">
        <v>862</v>
      </c>
      <c r="G418" s="14" t="str">
        <f t="array" ref="G418">IF(B418="", "",
  LET(_xlpm.spell, IFERROR(IF(F418="", "", INDEX(_xlws.FILTER(Hairstyles!$F:$F, ISNUMBER(SEARCH(F418, Hairstyles!$B:$B))), 1)), "No Spell for Hairstyle"),
  _xlpm.vanillaPrefix, IF(LEFT(_xlpm.spell, 7)="Uvi_Wig", "", ";"),
  ";" &amp; IF(C418="", B418, C418) &amp; IF(M418="", "", " ("&amp;M418&amp;")") &amp; CHAR(10) &amp;
  _xlpm.vanillaPrefix &amp; "Keyword = Uvi_Wig_Distr_KYWD|" &amp; B418 &amp; CHAR(10) &amp;
  _xlpm.vanillaPrefix &amp; "Spell = " &amp; _xlpm.spell &amp; "|" &amp; B418
  )
)</f>
        <v>;Edith
;Keyword = Uvi_Wig_Distr_KYWD|Edith
;Spell = No Spell for Hairstyle|Edith</v>
      </c>
    </row>
    <row r="419" ht="12.75" customHeight="1">
      <c r="A419" s="5" t="s">
        <v>2522</v>
      </c>
      <c r="B419" s="5" t="s">
        <v>2523</v>
      </c>
      <c r="C419" s="5" t="s">
        <v>2524</v>
      </c>
      <c r="D419" s="5" t="s">
        <v>38</v>
      </c>
      <c r="E419" s="5" t="s">
        <v>41</v>
      </c>
      <c r="F419" s="5" t="s">
        <v>2118</v>
      </c>
      <c r="G419" s="14" t="str">
        <f t="array" ref="G419">IF(B419="", "",
  LET(_xlpm.spell, IFERROR(IF(F419="", "", INDEX(_xlws.FILTER(Hairstyles!$F:$F, ISNUMBER(SEARCH(F419, Hairstyles!$B:$B))), 1)), "No Spell for Hairstyle"),
  _xlpm.vanillaPrefix, IF(LEFT(_xlpm.spell, 7)="Uvi_Wig", "", ";"),
  ";" &amp; IF(C419="", B419, C419) &amp; IF(M419="", "", " ("&amp;M419&amp;")") &amp; CHAR(10) &amp;
  _xlpm.vanillaPrefix &amp; "Keyword = Uvi_Wig_Distr_KYWD|" &amp; B419 &amp; CHAR(10) &amp;
  _xlpm.vanillaPrefix &amp; "Spell = " &amp; _xlpm.spell &amp; "|" &amp; B419
  )
)</f>
        <v>;Edla
;Keyword = Uvi_Wig_Distr_KYWD|DLC2SVEdla
;Spell = No Spell for Hairstyle|DLC2SVEdla</v>
      </c>
    </row>
    <row r="420" ht="12.75" customHeight="1">
      <c r="A420" s="5" t="s">
        <v>2525</v>
      </c>
      <c r="B420" s="5" t="s">
        <v>2526</v>
      </c>
      <c r="C420" s="5" t="s">
        <v>2526</v>
      </c>
      <c r="D420" s="5" t="s">
        <v>90</v>
      </c>
      <c r="E420" s="5" t="s">
        <v>233</v>
      </c>
      <c r="F420" s="5" t="s">
        <v>525</v>
      </c>
      <c r="G420" s="14" t="str">
        <f t="array" ref="G420">IF(B420="", "",
  LET(_xlpm.spell, IFERROR(IF(F420="", "", INDEX(_xlws.FILTER(Hairstyles!$F:$F, ISNUMBER(SEARCH(F420, Hairstyles!$B:$B))), 1)), "No Spell for Hairstyle"),
  _xlpm.vanillaPrefix, IF(LEFT(_xlpm.spell, 7)="Uvi_Wig", "", ";"),
  ";" &amp; IF(C420="", B420, C420) &amp; IF(M420="", "", " ("&amp;M420&amp;")") &amp; CHAR(10) &amp;
  _xlpm.vanillaPrefix &amp; "Keyword = Uvi_Wig_Distr_KYWD|" &amp; B420 &amp; CHAR(10) &amp;
  _xlpm.vanillaPrefix &amp; "Spell = " &amp; _xlpm.spell &amp; "|" &amp; B420
  )
)</f>
        <v>;Edorfin
;Keyword = Uvi_Wig_Distr_KYWD|Edorfin
;Spell = No Spell for Hairstyle|Edorfin</v>
      </c>
    </row>
    <row r="421" ht="12.75" customHeight="1">
      <c r="A421" s="5" t="s">
        <v>2527</v>
      </c>
      <c r="B421" s="5" t="s">
        <v>2528</v>
      </c>
      <c r="C421" s="5" t="s">
        <v>2528</v>
      </c>
      <c r="D421" s="5" t="s">
        <v>38</v>
      </c>
      <c r="E421" s="5" t="s">
        <v>233</v>
      </c>
      <c r="F421" s="5" t="s">
        <v>68</v>
      </c>
      <c r="G421" s="14" t="str">
        <f t="array" ref="G421">IF(B421="", "",
  LET(_xlpm.spell, IFERROR(IF(F421="", "", INDEX(_xlws.FILTER(Hairstyles!$F:$F, ISNUMBER(SEARCH(F421, Hairstyles!$B:$B))), 1)), "No Spell for Hairstyle"),
  _xlpm.vanillaPrefix, IF(LEFT(_xlpm.spell, 7)="Uvi_Wig", "", ";"),
  ";" &amp; IF(C421="", B421, C421) &amp; IF(M421="", "", " ("&amp;M421&amp;")") &amp; CHAR(10) &amp;
  _xlpm.vanillaPrefix &amp; "Keyword = Uvi_Wig_Distr_KYWD|" &amp; B421 &amp; CHAR(10) &amp;
  _xlpm.vanillaPrefix &amp; "Spell = " &amp; _xlpm.spell &amp; "|" &amp; B421
  )
)</f>
        <v>;Eimar
;Keyword = Uvi_Wig_Distr_KYWD|Eimar
;Spell = No Spell for Hairstyle|Eimar</v>
      </c>
    </row>
    <row r="422" ht="12.75" customHeight="1">
      <c r="A422" s="5" t="s">
        <v>2529</v>
      </c>
      <c r="B422" s="5" t="s">
        <v>2530</v>
      </c>
      <c r="C422" s="5" t="s">
        <v>2530</v>
      </c>
      <c r="D422" s="5" t="s">
        <v>51</v>
      </c>
      <c r="E422" s="5" t="s">
        <v>233</v>
      </c>
      <c r="F422" s="5" t="s">
        <v>1622</v>
      </c>
      <c r="G422" s="14" t="str">
        <f t="array" ref="G422">IF(B422="", "",
  LET(_xlpm.spell, IFERROR(IF(F422="", "", INDEX(_xlws.FILTER(Hairstyles!$F:$F, ISNUMBER(SEARCH(F422, Hairstyles!$B:$B))), 1)), "No Spell for Hairstyle"),
  _xlpm.vanillaPrefix, IF(LEFT(_xlpm.spell, 7)="Uvi_Wig", "", ";"),
  ";" &amp; IF(C422="", B422, C422) &amp; IF(M422="", "", " ("&amp;M422&amp;")") &amp; CHAR(10) &amp;
  _xlpm.vanillaPrefix &amp; "Keyword = Uvi_Wig_Distr_KYWD|" &amp; B422 &amp; CHAR(10) &amp;
  _xlpm.vanillaPrefix &amp; "Spell = " &amp; _xlpm.spell &amp; "|" &amp; B422
  )
)</f>
        <v>;Einarth
;Keyword = Uvi_Wig_Distr_KYWD|Einarth
;Spell = No Spell for Hairstyle|Einarth</v>
      </c>
    </row>
    <row r="423" ht="12.75" customHeight="1">
      <c r="A423" s="5" t="s">
        <v>2531</v>
      </c>
      <c r="B423" s="5" t="s">
        <v>2532</v>
      </c>
      <c r="C423" s="5" t="s">
        <v>2532</v>
      </c>
      <c r="D423" s="5" t="s">
        <v>74</v>
      </c>
      <c r="E423" s="5" t="s">
        <v>41</v>
      </c>
      <c r="F423" s="5" t="s">
        <v>62</v>
      </c>
      <c r="G423" s="14" t="str">
        <f t="array" ref="G423">IF(B423="", "",
  LET(_xlpm.spell, IFERROR(IF(F423="", "", INDEX(_xlws.FILTER(Hairstyles!$F:$F, ISNUMBER(SEARCH(F423, Hairstyles!$B:$B))), 1)), "No Spell for Hairstyle"),
  _xlpm.vanillaPrefix, IF(LEFT(_xlpm.spell, 7)="Uvi_Wig", "", ";"),
  ";" &amp; IF(C423="", B423, C423) &amp; IF(M423="", "", " ("&amp;M423&amp;")") &amp; CHAR(10) &amp;
  _xlpm.vanillaPrefix &amp; "Keyword = Uvi_Wig_Distr_KYWD|" &amp; B423 &amp; CHAR(10) &amp;
  _xlpm.vanillaPrefix &amp; "Spell = " &amp; _xlpm.spell &amp; "|" &amp; B423
  )
)</f>
        <v>;Eirid
;Keyword = Uvi_Wig_Distr_KYWD|Eirid
;Spell = No Spell for Hairstyle|Eirid</v>
      </c>
    </row>
    <row r="424" ht="12.75" customHeight="1">
      <c r="A424" s="5" t="s">
        <v>2533</v>
      </c>
      <c r="B424" s="5" t="s">
        <v>2534</v>
      </c>
      <c r="C424" s="5" t="s">
        <v>2535</v>
      </c>
      <c r="D424" s="5" t="s">
        <v>38</v>
      </c>
      <c r="E424" s="5" t="s">
        <v>41</v>
      </c>
      <c r="F424" s="5" t="s">
        <v>69</v>
      </c>
      <c r="G424" s="14" t="str">
        <f t="array" ref="G424">IF(B424="", "",
  LET(_xlpm.spell, IFERROR(IF(F424="", "", INDEX(_xlws.FILTER(Hairstyles!$F:$F, ISNUMBER(SEARCH(F424, Hairstyles!$B:$B))), 1)), "No Spell for Hairstyle"),
  _xlpm.vanillaPrefix, IF(LEFT(_xlpm.spell, 7)="Uvi_Wig", "", ";"),
  ";" &amp; IF(C424="", B424, C424) &amp; IF(M424="", "", " ("&amp;M424&amp;")") &amp; CHAR(10) &amp;
  _xlpm.vanillaPrefix &amp; "Keyword = Uvi_Wig_Distr_KYWD|" &amp; B424 &amp; CHAR(10) &amp;
  _xlpm.vanillaPrefix &amp; "Spell = " &amp; _xlpm.spell &amp; "|" &amp; B424
  )
)</f>
        <v>;Eisa Blackthorn
;Keyword = Uvi_Wig_Distr_KYWD|dunFrostmereCryptEisa
;Spell = No Spell for Hairstyle|dunFrostmereCryptEisa</v>
      </c>
    </row>
    <row r="425" ht="12.75" customHeight="1">
      <c r="A425" s="5" t="s">
        <v>2536</v>
      </c>
      <c r="B425" s="5" t="s">
        <v>2537</v>
      </c>
      <c r="C425" s="5" t="s">
        <v>2538</v>
      </c>
      <c r="D425" s="5" t="s">
        <v>38</v>
      </c>
      <c r="E425" s="5" t="s">
        <v>41</v>
      </c>
      <c r="F425" s="5" t="s">
        <v>343</v>
      </c>
      <c r="G425" s="14" t="str">
        <f t="array" ref="G425">IF(B425="", "",
  LET(_xlpm.spell, IFERROR(IF(F425="", "", INDEX(_xlws.FILTER(Hairstyles!$F:$F, ISNUMBER(SEARCH(F425, Hairstyles!$B:$B))), 1)), "No Spell for Hairstyle"),
  _xlpm.vanillaPrefix, IF(LEFT(_xlpm.spell, 7)="Uvi_Wig", "", ";"),
  ";" &amp; IF(C425="", B425, C425) &amp; IF(M425="", "", " ("&amp;M425&amp;")") &amp; CHAR(10) &amp;
  _xlpm.vanillaPrefix &amp; "Keyword = Uvi_Wig_Distr_KYWD|" &amp; B425 &amp; CHAR(10) &amp;
  _xlpm.vanillaPrefix &amp; "Spell = " &amp; _xlpm.spell &amp; "|" &amp; B425
  )
)</f>
        <v>;Elda Early-Dawn
;Keyword = Uvi_Wig_Distr_KYWD|Elda
;Spell = No Spell for Hairstyle|Elda</v>
      </c>
    </row>
    <row r="426" ht="12.75" customHeight="1">
      <c r="A426" s="5" t="s">
        <v>2539</v>
      </c>
      <c r="B426" s="5" t="s">
        <v>2540</v>
      </c>
      <c r="C426" s="5" t="s">
        <v>2541</v>
      </c>
      <c r="D426" s="5" t="s">
        <v>45</v>
      </c>
      <c r="E426" s="5" t="s">
        <v>233</v>
      </c>
      <c r="F426" s="5" t="s">
        <v>543</v>
      </c>
      <c r="G426" s="14" t="str">
        <f t="array" ref="G426">IF(B426="", "",
  LET(_xlpm.spell, IFERROR(IF(F426="", "", INDEX(_xlws.FILTER(Hairstyles!$F:$F, ISNUMBER(SEARCH(F426, Hairstyles!$B:$B))), 1)), "No Spell for Hairstyle"),
  _xlpm.vanillaPrefix, IF(LEFT(_xlpm.spell, 7)="Uvi_Wig", "", ";"),
  ";" &amp; IF(C426="", B426, C426) &amp; IF(M426="", "", " ("&amp;M426&amp;")") &amp; CHAR(10) &amp;
  _xlpm.vanillaPrefix &amp; "Keyword = Uvi_Wig_Distr_KYWD|" &amp; B426 &amp; CHAR(10) &amp;
  _xlpm.vanillaPrefix &amp; "Spell = " &amp; _xlpm.spell &amp; "|" &amp; B426
  )
)</f>
        <v>;Elder Othreloth
;Keyword = Uvi_Wig_Distr_KYWD|DLC2RRElderOthreloth
;Spell = No Spell for Hairstyle|DLC2RRElderOthreloth</v>
      </c>
    </row>
    <row r="427" ht="12.75" customHeight="1">
      <c r="A427" s="5" t="s">
        <v>2542</v>
      </c>
      <c r="B427" s="5" t="s">
        <v>2543</v>
      </c>
      <c r="C427" s="5" t="s">
        <v>2544</v>
      </c>
      <c r="D427" s="5" t="s">
        <v>57</v>
      </c>
      <c r="E427" s="5" t="s">
        <v>233</v>
      </c>
      <c r="F427" s="5" t="s">
        <v>525</v>
      </c>
      <c r="G427" s="14" t="str">
        <f t="array" ref="G427">IF(B427="", "",
  LET(_xlpm.spell, IFERROR(IF(F427="", "", INDEX(_xlws.FILTER(Hairstyles!$F:$F, ISNUMBER(SEARCH(F427, Hairstyles!$B:$B))), 1)), "No Spell for Hairstyle"),
  _xlpm.vanillaPrefix, IF(LEFT(_xlpm.spell, 7)="Uvi_Wig", "", ";"),
  ";" &amp; IF(C427="", B427, C427) &amp; IF(M427="", "", " ("&amp;M427&amp;")") &amp; CHAR(10) &amp;
  _xlpm.vanillaPrefix &amp; "Keyword = Uvi_Wig_Distr_KYWD|" &amp; B427 &amp; CHAR(10) &amp;
  _xlpm.vanillaPrefix &amp; "Spell = " &amp; _xlpm.spell &amp; "|" &amp; B427
  )
)</f>
        <v>;Electromancer
;Keyword = Uvi_Wig_Distr_KYWD|EncWarlock06TemplateBossStorm
;Spell = No Spell for Hairstyle|EncWarlock06TemplateBossStorm</v>
      </c>
    </row>
    <row r="428" ht="12.75" customHeight="1">
      <c r="A428" s="5" t="s">
        <v>2545</v>
      </c>
      <c r="B428" s="5" t="s">
        <v>2546</v>
      </c>
      <c r="C428" s="5" t="s">
        <v>2544</v>
      </c>
      <c r="D428" s="5" t="s">
        <v>57</v>
      </c>
      <c r="E428" s="5" t="s">
        <v>233</v>
      </c>
      <c r="F428" s="5" t="s">
        <v>47</v>
      </c>
      <c r="G428" s="14" t="str">
        <f t="array" ref="G428">IF(B428="", "",
  LET(_xlpm.spell, IFERROR(IF(F428="", "", INDEX(_xlws.FILTER(Hairstyles!$F:$F, ISNUMBER(SEARCH(F428, Hairstyles!$B:$B))), 1)), "No Spell for Hairstyle"),
  _xlpm.vanillaPrefix, IF(LEFT(_xlpm.spell, 7)="Uvi_Wig", "", ";"),
  ";" &amp; IF(C428="", B428, C428) &amp; IF(M428="", "", " ("&amp;M428&amp;")") &amp; CHAR(10) &amp;
  _xlpm.vanillaPrefix &amp; "Keyword = Uvi_Wig_Distr_KYWD|" &amp; B428 &amp; CHAR(10) &amp;
  _xlpm.vanillaPrefix &amp; "Spell = " &amp; _xlpm.spell &amp; "|" &amp; B428
  )
)</f>
        <v>;Electromancer
;Keyword = Uvi_Wig_Distr_KYWD|EncWarlock06TemplateStorm
;Spell = No Spell for Hairstyle|EncWarlock06TemplateStorm</v>
      </c>
    </row>
    <row r="429" ht="12.75" customHeight="1">
      <c r="A429" s="15" t="s">
        <v>2547</v>
      </c>
      <c r="B429" s="5" t="s">
        <v>2548</v>
      </c>
      <c r="C429" s="5" t="s">
        <v>2548</v>
      </c>
      <c r="D429" s="5" t="s">
        <v>57</v>
      </c>
      <c r="E429" s="5" t="s">
        <v>41</v>
      </c>
      <c r="F429" s="5" t="s">
        <v>48</v>
      </c>
      <c r="G429" s="14" t="str">
        <f t="array" ref="G429">IF(B429="", "",
  LET(_xlpm.spell, IFERROR(IF(F429="", "", INDEX(_xlws.FILTER(Hairstyles!$F:$F, ISNUMBER(SEARCH(F429, Hairstyles!$B:$B))), 1)), "No Spell for Hairstyle"),
  _xlpm.vanillaPrefix, IF(LEFT(_xlpm.spell, 7)="Uvi_Wig", "", ";"),
  ";" &amp; IF(C429="", B429, C429) &amp; IF(M429="", "", " ("&amp;M429&amp;")") &amp; CHAR(10) &amp;
  _xlpm.vanillaPrefix &amp; "Keyword = Uvi_Wig_Distr_KYWD|" &amp; B429 &amp; CHAR(10) &amp;
  _xlpm.vanillaPrefix &amp; "Spell = " &amp; _xlpm.spell &amp; "|" &amp; B429
  )
)</f>
        <v>;Elenwen
;Keyword = Uvi_Wig_Distr_KYWD|Elenwen
;Spell = No Spell for Hairstyle|Elenwen</v>
      </c>
    </row>
    <row r="430" ht="12.75" customHeight="1">
      <c r="A430" s="15" t="s">
        <v>2549</v>
      </c>
      <c r="B430" s="5" t="s">
        <v>2550</v>
      </c>
      <c r="C430" s="5" t="s">
        <v>2550</v>
      </c>
      <c r="D430" s="5" t="s">
        <v>51</v>
      </c>
      <c r="E430" s="5" t="s">
        <v>233</v>
      </c>
      <c r="F430" s="5" t="s">
        <v>84</v>
      </c>
      <c r="G430" s="14" t="str">
        <f t="array" ref="G430">IF(B430="", "",
  LET(_xlpm.spell, IFERROR(IF(F430="", "", INDEX(_xlws.FILTER(Hairstyles!$F:$F, ISNUMBER(SEARCH(F430, Hairstyles!$B:$B))), 1)), "No Spell for Hairstyle"),
  _xlpm.vanillaPrefix, IF(LEFT(_xlpm.spell, 7)="Uvi_Wig", "", ";"),
  ";" &amp; IF(C430="", B430, C430) &amp; IF(M430="", "", " ("&amp;M430&amp;")") &amp; CHAR(10) &amp;
  _xlpm.vanillaPrefix &amp; "Keyword = Uvi_Wig_Distr_KYWD|" &amp; B430 &amp; CHAR(10) &amp;
  _xlpm.vanillaPrefix &amp; "Spell = " &amp; _xlpm.spell &amp; "|" &amp; B430
  )
)</f>
        <v>;Elgrim
;Keyword = Uvi_Wig_Distr_KYWD|Elgrim
;Spell = No Spell for Hairstyle|Elgrim</v>
      </c>
    </row>
    <row r="431" ht="12.75" customHeight="1">
      <c r="A431" s="5" t="s">
        <v>2551</v>
      </c>
      <c r="B431" s="5" t="s">
        <v>2552</v>
      </c>
      <c r="C431" s="5" t="s">
        <v>2553</v>
      </c>
      <c r="D431" s="5" t="s">
        <v>38</v>
      </c>
      <c r="E431" s="5" t="s">
        <v>41</v>
      </c>
      <c r="F431" s="5" t="s">
        <v>1694</v>
      </c>
      <c r="G431" s="14" t="str">
        <f t="array" ref="G431">IF(B431="", "",
  LET(_xlpm.spell, IFERROR(IF(F431="", "", INDEX(_xlws.FILTER(Hairstyles!$F:$F, ISNUMBER(SEARCH(F431, Hairstyles!$B:$B))), 1)), "No Spell for Hairstyle"),
  _xlpm.vanillaPrefix, IF(LEFT(_xlpm.spell, 7)="Uvi_Wig", "", ";"),
  ";" &amp; IF(C431="", B431, C431) &amp; IF(M431="", "", " ("&amp;M431&amp;")") &amp; CHAR(10) &amp;
  _xlpm.vanillaPrefix &amp; "Keyword = Uvi_Wig_Distr_KYWD|" &amp; B431 &amp; CHAR(10) &amp;
  _xlpm.vanillaPrefix &amp; "Spell = " &amp; _xlpm.spell &amp; "|" &amp; B431
  )
)</f>
        <v>;Elisif the Fair
;Keyword = Uvi_Wig_Distr_KYWD|ElisifTheFair
;Spell = No Spell for Hairstyle|ElisifTheFair</v>
      </c>
    </row>
    <row r="432" ht="12.75" customHeight="1">
      <c r="A432" s="5" t="s">
        <v>2554</v>
      </c>
      <c r="B432" s="5" t="s">
        <v>2555</v>
      </c>
      <c r="C432" s="5" t="s">
        <v>2556</v>
      </c>
      <c r="D432" s="5" t="s">
        <v>38</v>
      </c>
      <c r="E432" s="5" t="s">
        <v>233</v>
      </c>
      <c r="F432" s="5" t="s">
        <v>346</v>
      </c>
      <c r="G432" s="14" t="str">
        <f t="array" ref="G432">IF(B432="", "",
  LET(_xlpm.spell, IFERROR(IF(F432="", "", INDEX(_xlws.FILTER(Hairstyles!$F:$F, ISNUMBER(SEARCH(F432, Hairstyles!$B:$B))), 1)), "No Spell for Hairstyle"),
  _xlpm.vanillaPrefix, IF(LEFT(_xlpm.spell, 7)="Uvi_Wig", "", ";"),
  ";" &amp; IF(C432="", B432, C432) &amp; IF(M432="", "", " ("&amp;M432&amp;")") &amp; CHAR(10) &amp;
  _xlpm.vanillaPrefix &amp; "Keyword = Uvi_Wig_Distr_KYWD|" &amp; B432 &amp; CHAR(10) &amp;
  _xlpm.vanillaPrefix &amp; "Spell = " &amp; _xlpm.spell &amp; "|" &amp; B432
  )
)</f>
        <v>;Elmus
;Keyword = Uvi_Wig_Distr_KYWD|DLC2Elmus
;Spell = No Spell for Hairstyle|DLC2Elmus</v>
      </c>
    </row>
    <row r="433" ht="12.75" customHeight="1">
      <c r="A433" s="5" t="s">
        <v>2557</v>
      </c>
      <c r="B433" s="5" t="s">
        <v>2558</v>
      </c>
      <c r="C433" s="5" t="s">
        <v>2558</v>
      </c>
      <c r="D433" s="5" t="s">
        <v>90</v>
      </c>
      <c r="E433" s="5" t="s">
        <v>233</v>
      </c>
      <c r="F433" s="5" t="s">
        <v>2559</v>
      </c>
      <c r="G433" s="14" t="str">
        <f t="array" ref="G433">IF(B433="", "",
  LET(_xlpm.spell, IFERROR(IF(F433="", "", INDEX(_xlws.FILTER(Hairstyles!$F:$F, ISNUMBER(SEARCH(F433, Hairstyles!$B:$B))), 1)), "No Spell for Hairstyle"),
  _xlpm.vanillaPrefix, IF(LEFT(_xlpm.spell, 7)="Uvi_Wig", "", ";"),
  ";" &amp; IF(C433="", B433, C433) &amp; IF(M433="", "", " ("&amp;M433&amp;")") &amp; CHAR(10) &amp;
  _xlpm.vanillaPrefix &amp; "Keyword = Uvi_Wig_Distr_KYWD|" &amp; B433 &amp; CHAR(10) &amp;
  _xlpm.vanillaPrefix &amp; "Spell = " &amp; _xlpm.spell &amp; "|" &amp; B433
  )
)</f>
        <v>;Elrindir
;Keyword = Uvi_Wig_Distr_KYWD|Elrindir
;Spell = No Spell for Hairstyle|Elrindir</v>
      </c>
    </row>
    <row r="434" ht="12.75" customHeight="1">
      <c r="A434" s="15" t="s">
        <v>2560</v>
      </c>
      <c r="B434" s="5" t="s">
        <v>2561</v>
      </c>
      <c r="C434" s="5" t="s">
        <v>2561</v>
      </c>
      <c r="D434" s="5" t="s">
        <v>16</v>
      </c>
      <c r="E434" s="5" t="s">
        <v>233</v>
      </c>
      <c r="F434" s="5" t="s">
        <v>1894</v>
      </c>
      <c r="G434" s="14" t="str">
        <f t="array" ref="G434">IF(B434="", "",
  LET(_xlpm.spell, IFERROR(IF(F434="", "", INDEX(_xlws.FILTER(Hairstyles!$F:$F, ISNUMBER(SEARCH(F434, Hairstyles!$B:$B))), 1)), "No Spell for Hairstyle"),
  _xlpm.vanillaPrefix, IF(LEFT(_xlpm.spell, 7)="Uvi_Wig", "", ";"),
  ";" &amp; IF(C434="", B434, C434) &amp; IF(M434="", "", " ("&amp;M434&amp;")") &amp; CHAR(10) &amp;
  _xlpm.vanillaPrefix &amp; "Keyword = Uvi_Wig_Distr_KYWD|" &amp; B434 &amp; CHAR(10) &amp;
  _xlpm.vanillaPrefix &amp; "Spell = " &amp; _xlpm.spell &amp; "|" &amp; B434
  )
)</f>
        <v>;Eltrys
;Keyword = Uvi_Wig_Distr_KYWD|Eltrys
;Spell = No Spell for Hairstyle|Eltrys</v>
      </c>
    </row>
    <row r="435" ht="12.75" customHeight="1">
      <c r="A435" s="5" t="s">
        <v>2562</v>
      </c>
      <c r="B435" s="5" t="s">
        <v>2563</v>
      </c>
      <c r="C435" s="5" t="s">
        <v>2564</v>
      </c>
      <c r="D435" s="5" t="s">
        <v>45</v>
      </c>
      <c r="E435" s="5" t="s">
        <v>41</v>
      </c>
      <c r="F435" s="5" t="s">
        <v>48</v>
      </c>
      <c r="G435" s="14" t="str">
        <f t="array" ref="G435">IF(B435="", "",
  LET(_xlpm.spell, IFERROR(IF(F435="", "", INDEX(_xlws.FILTER(Hairstyles!$F:$F, ISNUMBER(SEARCH(F435, Hairstyles!$B:$B))), 1)), "No Spell for Hairstyle"),
  _xlpm.vanillaPrefix, IF(LEFT(_xlpm.spell, 7)="Uvi_Wig", "", ";"),
  ";" &amp; IF(C435="", B435, C435) &amp; IF(M435="", "", " ("&amp;M435&amp;")") &amp; CHAR(10) &amp;
  _xlpm.vanillaPrefix &amp; "Keyword = Uvi_Wig_Distr_KYWD|" &amp; B435 &amp; CHAR(10) &amp;
  _xlpm.vanillaPrefix &amp; "Spell = " &amp; _xlpm.spell &amp; "|" &amp; B435
  )
)</f>
        <v>;Elvali Veren
;Keyword = Uvi_Wig_Distr_KYWD|MG07ElvaliGhost
;Spell = No Spell for Hairstyle|MG07ElvaliGhost</v>
      </c>
    </row>
    <row r="436" ht="12.75" customHeight="1">
      <c r="A436" s="15" t="s">
        <v>2565</v>
      </c>
      <c r="B436" s="5" t="s">
        <v>2566</v>
      </c>
      <c r="C436" s="5" t="s">
        <v>2567</v>
      </c>
      <c r="D436" s="5" t="s">
        <v>45</v>
      </c>
      <c r="E436" s="5" t="s">
        <v>41</v>
      </c>
      <c r="F436" s="5" t="s">
        <v>2373</v>
      </c>
      <c r="G436" s="14" t="str">
        <f t="array" ref="G436">IF(B436="", "",
  LET(_xlpm.spell, IFERROR(IF(F436="", "", INDEX(_xlws.FILTER(Hairstyles!$F:$F, ISNUMBER(SEARCH(F436, Hairstyles!$B:$B))), 1)), "No Spell for Hairstyle"),
  _xlpm.vanillaPrefix, IF(LEFT(_xlpm.spell, 7)="Uvi_Wig", "", ";"),
  ";" &amp; IF(C436="", B436, C436) &amp; IF(M436="", "", " ("&amp;M436&amp;")") &amp; CHAR(10) &amp;
  _xlpm.vanillaPrefix &amp; "Keyword = Uvi_Wig_Distr_KYWD|" &amp; B436 &amp; CHAR(10) &amp;
  _xlpm.vanillaPrefix &amp; "Spell = " &amp; _xlpm.spell &amp; "|" &amp; B436
  )
)</f>
        <v>;Elynea Mothren
;Keyword = Uvi_Wig_Distr_KYWD|DLC2Elynea
;Spell = No Spell for Hairstyle|DLC2Elynea</v>
      </c>
    </row>
    <row r="437" ht="12.75" customHeight="1">
      <c r="A437" s="5" t="s">
        <v>2568</v>
      </c>
      <c r="B437" s="5" t="s">
        <v>2569</v>
      </c>
      <c r="C437" s="5" t="s">
        <v>2569</v>
      </c>
      <c r="D437" s="5" t="s">
        <v>38</v>
      </c>
      <c r="E437" s="5" t="s">
        <v>233</v>
      </c>
      <c r="F437" s="5" t="s">
        <v>1906</v>
      </c>
      <c r="G437" s="14" t="str">
        <f t="array" ref="G437">IF(B437="", "",
  LET(_xlpm.spell, IFERROR(IF(F437="", "", INDEX(_xlws.FILTER(Hairstyles!$F:$F, ISNUMBER(SEARCH(F437, Hairstyles!$B:$B))), 1)), "No Spell for Hairstyle"),
  _xlpm.vanillaPrefix, IF(LEFT(_xlpm.spell, 7)="Uvi_Wig", "", ";"),
  ";" &amp; IF(C437="", B437, C437) &amp; IF(M437="", "", " ("&amp;M437&amp;")") &amp; CHAR(10) &amp;
  _xlpm.vanillaPrefix &amp; "Keyword = Uvi_Wig_Distr_KYWD|" &amp; B437 &amp; CHAR(10) &amp;
  _xlpm.vanillaPrefix &amp; "Spell = " &amp; _xlpm.spell &amp; "|" &amp; B437
  )
)</f>
        <v>;Embry
;Keyword = Uvi_Wig_Distr_KYWD|Embry
;Spell = No Spell for Hairstyle|Embry</v>
      </c>
    </row>
    <row r="438" ht="12.75" customHeight="1">
      <c r="A438" s="5" t="s">
        <v>2570</v>
      </c>
      <c r="B438" s="5" t="s">
        <v>2571</v>
      </c>
      <c r="C438" s="5" t="s">
        <v>2572</v>
      </c>
      <c r="D438" s="5" t="s">
        <v>59</v>
      </c>
      <c r="E438" s="5" t="s">
        <v>233</v>
      </c>
      <c r="F438" s="5" t="s">
        <v>1709</v>
      </c>
      <c r="G438" s="14" t="str">
        <f t="array" ref="G438">IF(B438="", "",
  LET(_xlpm.spell, IFERROR(IF(F438="", "", INDEX(_xlws.FILTER(Hairstyles!$F:$F, ISNUMBER(SEARCH(F438, Hairstyles!$B:$B))), 1)), "No Spell for Hairstyle"),
  _xlpm.vanillaPrefix, IF(LEFT(_xlpm.spell, 7)="Uvi_Wig", "", ";"),
  ";" &amp; IF(C438="", B438, C438) &amp; IF(M438="", "", " ("&amp;M438&amp;")") &amp; CHAR(10) &amp;
  _xlpm.vanillaPrefix &amp; "Keyword = Uvi_Wig_Distr_KYWD|" &amp; B438 &amp; CHAR(10) &amp;
  _xlpm.vanillaPrefix &amp; "Spell = " &amp; _xlpm.spell &amp; "|" &amp; B438
  )
)</f>
        <v>;Emperor Titus Mede II
;Keyword = Uvi_Wig_Distr_KYWD|TitusMedeII
;Spell = No Spell for Hairstyle|TitusMedeII</v>
      </c>
    </row>
    <row r="439" ht="12.75" customHeight="1">
      <c r="A439" s="5" t="s">
        <v>2573</v>
      </c>
      <c r="B439" s="5" t="s">
        <v>2574</v>
      </c>
      <c r="C439" s="5" t="s">
        <v>2572</v>
      </c>
      <c r="D439" s="5" t="s">
        <v>59</v>
      </c>
      <c r="E439" s="5" t="s">
        <v>233</v>
      </c>
      <c r="F439" s="5" t="s">
        <v>1709</v>
      </c>
      <c r="G439" s="14" t="str">
        <f t="array" ref="G439">IF(B439="", "",
  LET(_xlpm.spell, IFERROR(IF(F439="", "", INDEX(_xlws.FILTER(Hairstyles!$F:$F, ISNUMBER(SEARCH(F439, Hairstyles!$B:$B))), 1)), "No Spell for Hairstyle"),
  _xlpm.vanillaPrefix, IF(LEFT(_xlpm.spell, 7)="Uvi_Wig", "", ";"),
  ";" &amp; IF(C439="", B439, C439) &amp; IF(M439="", "", " ("&amp;M439&amp;")") &amp; CHAR(10) &amp;
  _xlpm.vanillaPrefix &amp; "Keyword = Uvi_Wig_Distr_KYWD|" &amp; B439 &amp; CHAR(10) &amp;
  _xlpm.vanillaPrefix &amp; "Spell = " &amp; _xlpm.spell &amp; "|" &amp; B439
  )
)</f>
        <v>;Emperor Titus Mede II
;Keyword = Uvi_Wig_Distr_KYWD|TitusMedeIIDecoy
;Spell = No Spell for Hairstyle|TitusMedeIIDecoy</v>
      </c>
    </row>
    <row r="440" ht="12.75" customHeight="1">
      <c r="A440" s="5" t="s">
        <v>2575</v>
      </c>
      <c r="B440" s="5" t="s">
        <v>2576</v>
      </c>
      <c r="C440" s="5" t="s">
        <v>2576</v>
      </c>
      <c r="D440" s="5" t="s">
        <v>57</v>
      </c>
      <c r="E440" s="5" t="s">
        <v>41</v>
      </c>
      <c r="F440" s="5" t="s">
        <v>2577</v>
      </c>
      <c r="G440" s="14" t="str">
        <f t="array" ref="G440">IF(B440="", "",
  LET(_xlpm.spell, IFERROR(IF(F440="", "", INDEX(_xlws.FILTER(Hairstyles!$F:$F, ISNUMBER(SEARCH(F440, Hairstyles!$B:$B))), 1)), "No Spell for Hairstyle"),
  _xlpm.vanillaPrefix, IF(LEFT(_xlpm.spell, 7)="Uvi_Wig", "", ";"),
  ";" &amp; IF(C440="", B440, C440) &amp; IF(M440="", "", " ("&amp;M440&amp;")") &amp; CHAR(10) &amp;
  _xlpm.vanillaPrefix &amp; "Keyword = Uvi_Wig_Distr_KYWD|" &amp; B440 &amp; CHAR(10) &amp;
  _xlpm.vanillaPrefix &amp; "Spell = " &amp; _xlpm.spell &amp; "|" &amp; B440
  )
)</f>
        <v>;Endarie
;Keyword = Uvi_Wig_Distr_KYWD|Endarie
;Spell = No Spell for Hairstyle|Endarie</v>
      </c>
    </row>
    <row r="441" ht="12.75" customHeight="1">
      <c r="A441" s="15" t="s">
        <v>2578</v>
      </c>
      <c r="B441" s="5" t="s">
        <v>2579</v>
      </c>
      <c r="C441" s="5" t="s">
        <v>2579</v>
      </c>
      <c r="D441" s="5" t="s">
        <v>83</v>
      </c>
      <c r="E441" s="5" t="s">
        <v>233</v>
      </c>
      <c r="F441" s="5" t="s">
        <v>174</v>
      </c>
      <c r="G441" s="14" t="str">
        <f t="array" ref="G441">IF(B441="", "",
  LET(_xlpm.spell, IFERROR(IF(F441="", "", INDEX(_xlws.FILTER(Hairstyles!$F:$F, ISNUMBER(SEARCH(F441, Hairstyles!$B:$B))), 1)), "No Spell for Hairstyle"),
  _xlpm.vanillaPrefix, IF(LEFT(_xlpm.spell, 7)="Uvi_Wig", "", ";"),
  ";" &amp; IF(C441="", B441, C441) &amp; IF(M441="", "", " ("&amp;M441&amp;")") &amp; CHAR(10) &amp;
  _xlpm.vanillaPrefix &amp; "Keyword = Uvi_Wig_Distr_KYWD|" &amp; B441 &amp; CHAR(10) &amp;
  _xlpm.vanillaPrefix &amp; "Spell = " &amp; _xlpm.spell &amp; "|" &amp; B441
  )
)</f>
        <v>;Endon
;Keyword = Uvi_Wig_Distr_KYWD|Endon
;Spell = No Spell for Hairstyle|Endon</v>
      </c>
    </row>
    <row r="442" ht="12.75" customHeight="1">
      <c r="A442" s="5" t="s">
        <v>2580</v>
      </c>
      <c r="B442" s="5" t="s">
        <v>2581</v>
      </c>
      <c r="C442" s="5" t="s">
        <v>2582</v>
      </c>
      <c r="D442" s="5" t="s">
        <v>90</v>
      </c>
      <c r="E442" s="5" t="s">
        <v>233</v>
      </c>
      <c r="F442" s="5" t="s">
        <v>2583</v>
      </c>
      <c r="G442" s="14" t="str">
        <f t="array" ref="G442">IF(B442="", "",
  LET(_xlpm.spell, IFERROR(IF(F442="", "", INDEX(_xlws.FILTER(Hairstyles!$F:$F, ISNUMBER(SEARCH(F442, Hairstyles!$B:$B))), 1)), "No Spell for Hairstyle"),
  _xlpm.vanillaPrefix, IF(LEFT(_xlpm.spell, 7)="Uvi_Wig", "", ";"),
  ";" &amp; IF(C442="", B442, C442) &amp; IF(M442="", "", " ("&amp;M442&amp;")") &amp; CHAR(10) &amp;
  _xlpm.vanillaPrefix &amp; "Keyword = Uvi_Wig_Distr_KYWD|" &amp; B442 &amp; CHAR(10) &amp;
  _xlpm.vanillaPrefix &amp; "Spell = " &amp; _xlpm.spell &amp; "|" &amp; B442
  )
)</f>
        <v>;Endrast
;Keyword = Uvi_Wig_Distr_KYWD|dunAlftandEndrast
;Spell = No Spell for Hairstyle|dunAlftandEndrast</v>
      </c>
    </row>
    <row r="443" ht="12.75" customHeight="1">
      <c r="A443" s="5" t="s">
        <v>2584</v>
      </c>
      <c r="B443" s="5" t="s">
        <v>2585</v>
      </c>
      <c r="C443" s="5" t="s">
        <v>2586</v>
      </c>
      <c r="D443" s="5" t="s">
        <v>38</v>
      </c>
      <c r="E443" s="5" t="s">
        <v>233</v>
      </c>
      <c r="F443" s="5" t="s">
        <v>521</v>
      </c>
      <c r="G443" s="14" t="str">
        <f t="array" ref="G443">IF(B443="", "",
  LET(_xlpm.spell, IFERROR(IF(F443="", "", INDEX(_xlws.FILTER(Hairstyles!$F:$F, ISNUMBER(SEARCH(F443, Hairstyles!$B:$B))), 1)), "No Spell for Hairstyle"),
  _xlpm.vanillaPrefix, IF(LEFT(_xlpm.spell, 7)="Uvi_Wig", "", ";"),
  ";" &amp; IF(C443="", B443, C443) &amp; IF(M443="", "", " ("&amp;M443&amp;")") &amp; CHAR(10) &amp;
  _xlpm.vanillaPrefix &amp; "Keyword = Uvi_Wig_Distr_KYWD|" &amp; B443 &amp; CHAR(10) &amp;
  _xlpm.vanillaPrefix &amp; "Spell = " &amp; _xlpm.spell &amp; "|" &amp; B443
  )
)</f>
        <v>;Engar
;Keyword = Uvi_Wig_Distr_KYWD|BYOHCarriageDriver2
;Spell = No Spell for Hairstyle|BYOHCarriageDriver2</v>
      </c>
    </row>
    <row r="444" ht="12.75" customHeight="1">
      <c r="A444" s="5" t="s">
        <v>2587</v>
      </c>
      <c r="B444" s="5" t="s">
        <v>2588</v>
      </c>
      <c r="C444" s="5" t="s">
        <v>2588</v>
      </c>
      <c r="D444" s="5" t="s">
        <v>16</v>
      </c>
      <c r="E444" s="5" t="s">
        <v>233</v>
      </c>
      <c r="F444" s="5" t="s">
        <v>521</v>
      </c>
      <c r="G444" s="14" t="str">
        <f t="array" ref="G444">IF(B444="", "",
  LET(_xlpm.spell, IFERROR(IF(F444="", "", INDEX(_xlws.FILTER(Hairstyles!$F:$F, ISNUMBER(SEARCH(F444, Hairstyles!$B:$B))), 1)), "No Spell for Hairstyle"),
  _xlpm.vanillaPrefix, IF(LEFT(_xlpm.spell, 7)="Uvi_Wig", "", ";"),
  ";" &amp; IF(C444="", B444, C444) &amp; IF(M444="", "", " ("&amp;M444&amp;")") &amp; CHAR(10) &amp;
  _xlpm.vanillaPrefix &amp; "Keyword = Uvi_Wig_Distr_KYWD|" &amp; B444 &amp; CHAR(10) &amp;
  _xlpm.vanillaPrefix &amp; "Spell = " &amp; _xlpm.spell &amp; "|" &amp; B444
  )
)</f>
        <v>;Enmon
;Keyword = Uvi_Wig_Distr_KYWD|Enmon
;Spell = No Spell for Hairstyle|Enmon</v>
      </c>
    </row>
    <row r="445" ht="12.75" customHeight="1">
      <c r="A445" s="5" t="s">
        <v>2589</v>
      </c>
      <c r="B445" s="5" t="s">
        <v>2590</v>
      </c>
      <c r="C445" s="5" t="s">
        <v>2590</v>
      </c>
      <c r="D445" s="5" t="s">
        <v>83</v>
      </c>
      <c r="E445" s="5" t="s">
        <v>233</v>
      </c>
      <c r="F445" s="5" t="s">
        <v>84</v>
      </c>
      <c r="G445" s="14" t="str">
        <f t="array" ref="G445">IF(B445="", "",
  LET(_xlpm.spell, IFERROR(IF(F445="", "", INDEX(_xlws.FILTER(Hairstyles!$F:$F, ISNUMBER(SEARCH(F445, Hairstyles!$B:$B))), 1)), "No Spell for Hairstyle"),
  _xlpm.vanillaPrefix, IF(LEFT(_xlpm.spell, 7)="Uvi_Wig", "", ";"),
  ";" &amp; IF(C445="", B445, C445) &amp; IF(M445="", "", " ("&amp;M445&amp;")") &amp; CHAR(10) &amp;
  _xlpm.vanillaPrefix &amp; "Keyword = Uvi_Wig_Distr_KYWD|" &amp; B445 &amp; CHAR(10) &amp;
  _xlpm.vanillaPrefix &amp; "Spell = " &amp; _xlpm.spell &amp; "|" &amp; B445
  )
)</f>
        <v>;Ennis
;Keyword = Uvi_Wig_Distr_KYWD|Ennis
;Spell = No Spell for Hairstyle|Ennis</v>
      </c>
    </row>
    <row r="446" ht="12.75" customHeight="1">
      <c r="A446" s="15" t="s">
        <v>2591</v>
      </c>
      <c r="B446" s="5" t="s">
        <v>2592</v>
      </c>
      <c r="C446" s="5" t="s">
        <v>2592</v>
      </c>
      <c r="D446" s="5" t="s">
        <v>16</v>
      </c>
      <c r="E446" s="5" t="s">
        <v>233</v>
      </c>
      <c r="F446" s="5" t="s">
        <v>1566</v>
      </c>
      <c r="G446" s="14" t="str">
        <f t="array" ref="G446">IF(B446="", "",
  LET(_xlpm.spell, IFERROR(IF(F446="", "", INDEX(_xlws.FILTER(Hairstyles!$F:$F, ISNUMBER(SEARCH(F446, Hairstyles!$B:$B))), 1)), "No Spell for Hairstyle"),
  _xlpm.vanillaPrefix, IF(LEFT(_xlpm.spell, 7)="Uvi_Wig", "", ";"),
  ";" &amp; IF(C446="", B446, C446) &amp; IF(M446="", "", " ("&amp;M446&amp;")") &amp; CHAR(10) &amp;
  _xlpm.vanillaPrefix &amp; "Keyword = Uvi_Wig_Distr_KYWD|" &amp; B446 &amp; CHAR(10) &amp;
  _xlpm.vanillaPrefix &amp; "Spell = " &amp; _xlpm.spell &amp; "|" &amp; B446
  )
)</f>
        <v>;Ennoc
;Keyword = Uvi_Wig_Distr_KYWD|Ennoc
;Spell = No Spell for Hairstyle|Ennoc</v>
      </c>
    </row>
    <row r="447" ht="12.75" customHeight="1">
      <c r="A447" s="5" t="s">
        <v>2593</v>
      </c>
      <c r="B447" s="5" t="s">
        <v>2594</v>
      </c>
      <c r="C447" s="5" t="s">
        <v>2595</v>
      </c>
      <c r="D447" s="5" t="s">
        <v>59</v>
      </c>
      <c r="E447" s="5" t="s">
        <v>233</v>
      </c>
      <c r="F447" s="5" t="s">
        <v>1906</v>
      </c>
      <c r="G447" s="14" t="str">
        <f t="array" ref="G447">IF(B447="", "",
  LET(_xlpm.spell, IFERROR(IF(F447="", "", INDEX(_xlws.FILTER(Hairstyles!$F:$F, ISNUMBER(SEARCH(F447, Hairstyles!$B:$B))), 1)), "No Spell for Hairstyle"),
  _xlpm.vanillaPrefix, IF(LEFT(_xlpm.spell, 7)="Uvi_Wig", "", ";"),
  ";" &amp; IF(C447="", B447, C447) &amp; IF(M447="", "", " ("&amp;M447&amp;")") &amp; CHAR(10) &amp;
  _xlpm.vanillaPrefix &amp; "Keyword = Uvi_Wig_Distr_KYWD|" &amp; B447 &amp; CHAR(10) &amp;
  _xlpm.vanillaPrefix &amp; "Spell = " &amp; _xlpm.spell &amp; "|" &amp; B447
  )
)</f>
        <v>;Ennodius Papius
;Keyword = Uvi_Wig_Distr_KYWD|EnnodiusPapius
;Spell = No Spell for Hairstyle|EnnodiusPapius</v>
      </c>
    </row>
    <row r="448" ht="12.75" customHeight="1">
      <c r="A448" s="5" t="s">
        <v>2596</v>
      </c>
      <c r="B448" s="5" t="s">
        <v>2597</v>
      </c>
      <c r="C448" s="5" t="s">
        <v>2597</v>
      </c>
      <c r="D448" s="5" t="s">
        <v>90</v>
      </c>
      <c r="E448" s="5" t="s">
        <v>233</v>
      </c>
      <c r="F448" s="5" t="s">
        <v>2469</v>
      </c>
      <c r="G448" s="14" t="str">
        <f t="array" ref="G448">IF(B448="", "",
  LET(_xlpm.spell, IFERROR(IF(F448="", "", INDEX(_xlws.FILTER(Hairstyles!$F:$F, ISNUMBER(SEARCH(F448, Hairstyles!$B:$B))), 1)), "No Spell for Hairstyle"),
  _xlpm.vanillaPrefix, IF(LEFT(_xlpm.spell, 7)="Uvi_Wig", "", ";"),
  ";" &amp; IF(C448="", B448, C448) &amp; IF(M448="", "", " ("&amp;M448&amp;")") &amp; CHAR(10) &amp;
  _xlpm.vanillaPrefix &amp; "Keyword = Uvi_Wig_Distr_KYWD|" &amp; B448 &amp; CHAR(10) &amp;
  _xlpm.vanillaPrefix &amp; "Spell = " &amp; _xlpm.spell &amp; "|" &amp; B448
  )
)</f>
        <v>;Enthir
;Keyword = Uvi_Wig_Distr_KYWD|Enthir
;Spell = No Spell for Hairstyle|Enthir</v>
      </c>
    </row>
    <row r="449" ht="12.75" customHeight="1">
      <c r="A449" s="5" t="s">
        <v>2598</v>
      </c>
      <c r="B449" s="5" t="s">
        <v>2599</v>
      </c>
      <c r="C449" s="5" t="s">
        <v>2600</v>
      </c>
      <c r="D449" s="5" t="s">
        <v>38</v>
      </c>
      <c r="E449" s="5" t="s">
        <v>233</v>
      </c>
      <c r="F449" s="5" t="s">
        <v>68</v>
      </c>
      <c r="G449" s="14" t="str">
        <f t="array" ref="G449">IF(B449="", "",
  LET(_xlpm.spell, IFERROR(IF(F449="", "", INDEX(_xlws.FILTER(Hairstyles!$F:$F, ISNUMBER(SEARCH(F449, Hairstyles!$B:$B))), 1)), "No Spell for Hairstyle"),
  _xlpm.vanillaPrefix, IF(LEFT(_xlpm.spell, 7)="Uvi_Wig", "", ";"),
  ";" &amp; IF(C449="", B449, C449) &amp; IF(M449="", "", " ("&amp;M449&amp;")") &amp; CHAR(10) &amp;
  _xlpm.vanillaPrefix &amp; "Keyword = Uvi_Wig_Distr_KYWD|" &amp; B449 &amp; CHAR(10) &amp;
  _xlpm.vanillaPrefix &amp; "Spell = " &amp; _xlpm.spell &amp; "|" &amp; B449
  )
)</f>
        <v>;Enthralled Wizard
;Keyword = Uvi_Wig_Distr_KYWD|MG07LabyrinthianThrall01
;Spell = No Spell for Hairstyle|MG07LabyrinthianThrall01</v>
      </c>
    </row>
    <row r="450" ht="12.75" customHeight="1">
      <c r="A450" s="5" t="s">
        <v>2601</v>
      </c>
      <c r="B450" s="5" t="s">
        <v>2602</v>
      </c>
      <c r="C450" s="5" t="s">
        <v>2600</v>
      </c>
      <c r="D450" s="5" t="s">
        <v>38</v>
      </c>
      <c r="E450" s="5" t="s">
        <v>233</v>
      </c>
      <c r="F450" s="5" t="s">
        <v>68</v>
      </c>
      <c r="G450" s="14" t="str">
        <f t="array" ref="G450">IF(B450="", "",
  LET(_xlpm.spell, IFERROR(IF(F450="", "", INDEX(_xlws.FILTER(Hairstyles!$F:$F, ISNUMBER(SEARCH(F450, Hairstyles!$B:$B))), 1)), "No Spell for Hairstyle"),
  _xlpm.vanillaPrefix, IF(LEFT(_xlpm.spell, 7)="Uvi_Wig", "", ";"),
  ";" &amp; IF(C450="", B450, C450) &amp; IF(M450="", "", " ("&amp;M450&amp;")") &amp; CHAR(10) &amp;
  _xlpm.vanillaPrefix &amp; "Keyword = Uvi_Wig_Distr_KYWD|" &amp; B450 &amp; CHAR(10) &amp;
  _xlpm.vanillaPrefix &amp; "Spell = " &amp; _xlpm.spell &amp; "|" &amp; B450
  )
)</f>
        <v>;Enthralled Wizard
;Keyword = Uvi_Wig_Distr_KYWD|MG07LabyrinthianThrall02
;Spell = No Spell for Hairstyle|MG07LabyrinthianThrall02</v>
      </c>
    </row>
    <row r="451" ht="12.75" customHeight="1">
      <c r="A451" s="5" t="s">
        <v>2603</v>
      </c>
      <c r="B451" s="5" t="s">
        <v>2604</v>
      </c>
      <c r="C451" s="5" t="s">
        <v>2600</v>
      </c>
      <c r="D451" s="5" t="s">
        <v>38</v>
      </c>
      <c r="E451" s="5" t="s">
        <v>233</v>
      </c>
      <c r="F451" s="5" t="s">
        <v>215</v>
      </c>
      <c r="G451" s="14" t="str">
        <f t="array" ref="G451">IF(B451="", "",
  LET(_xlpm.spell, IFERROR(IF(F451="", "", INDEX(_xlws.FILTER(Hairstyles!$F:$F, ISNUMBER(SEARCH(F451, Hairstyles!$B:$B))), 1)), "No Spell for Hairstyle"),
  _xlpm.vanillaPrefix, IF(LEFT(_xlpm.spell, 7)="Uvi_Wig", "", ";"),
  ";" &amp; IF(C451="", B451, C451) &amp; IF(M451="", "", " ("&amp;M451&amp;")") &amp; CHAR(10) &amp;
  _xlpm.vanillaPrefix &amp; "Keyword = Uvi_Wig_Distr_KYWD|" &amp; B451 &amp; CHAR(10) &amp;
  _xlpm.vanillaPrefix &amp; "Spell = " &amp; _xlpm.spell &amp; "|" &amp; B451
  )
)</f>
        <v>;Enthralled Wizard
;Keyword = Uvi_Wig_Distr_KYWD|MG07Thrall01
;Spell = No Spell for Hairstyle|MG07Thrall01</v>
      </c>
    </row>
    <row r="452" ht="12.75" customHeight="1">
      <c r="A452" s="5" t="s">
        <v>2605</v>
      </c>
      <c r="B452" s="5" t="s">
        <v>2606</v>
      </c>
      <c r="C452" s="5" t="s">
        <v>2606</v>
      </c>
      <c r="D452" s="5" t="s">
        <v>16</v>
      </c>
      <c r="E452" s="5" t="s">
        <v>41</v>
      </c>
      <c r="F452" s="5" t="s">
        <v>1557</v>
      </c>
      <c r="G452" s="14" t="str">
        <f t="array" ref="G452">IF(B452="", "",
  LET(_xlpm.spell, IFERROR(IF(F452="", "", INDEX(_xlws.FILTER(Hairstyles!$F:$F, ISNUMBER(SEARCH(F452, Hairstyles!$B:$B))), 1)), "No Spell for Hairstyle"),
  _xlpm.vanillaPrefix, IF(LEFT(_xlpm.spell, 7)="Uvi_Wig", "", ";"),
  ";" &amp; IF(C452="", B452, C452) &amp; IF(M452="", "", " ("&amp;M452&amp;")") &amp; CHAR(10) &amp;
  _xlpm.vanillaPrefix &amp; "Keyword = Uvi_Wig_Distr_KYWD|" &amp; B452 &amp; CHAR(10) &amp;
  _xlpm.vanillaPrefix &amp; "Spell = " &amp; _xlpm.spell &amp; "|" &amp; B452
  )
)</f>
        <v>;Eola
;Keyword = Uvi_Wig_Distr_KYWD|Eola
;Spell = No Spell for Hairstyle|Eola</v>
      </c>
    </row>
    <row r="453" ht="12.75" customHeight="1">
      <c r="A453" s="5" t="s">
        <v>2607</v>
      </c>
      <c r="B453" s="5" t="s">
        <v>2608</v>
      </c>
      <c r="C453" s="5" t="s">
        <v>2609</v>
      </c>
      <c r="D453" s="5" t="s">
        <v>38</v>
      </c>
      <c r="E453" s="5" t="s">
        <v>233</v>
      </c>
      <c r="F453" s="5" t="s">
        <v>1566</v>
      </c>
      <c r="G453" s="14" t="str">
        <f t="array" ref="G453">IF(B453="", "",
  LET(_xlpm.spell, IFERROR(IF(F453="", "", INDEX(_xlws.FILTER(Hairstyles!$F:$F, ISNUMBER(SEARCH(F453, Hairstyles!$B:$B))), 1)), "No Spell for Hairstyle"),
  _xlpm.vanillaPrefix, IF(LEFT(_xlpm.spell, 7)="Uvi_Wig", "", ";"),
  ";" &amp; IF(C453="", B453, C453) &amp; IF(M453="", "", " ("&amp;M453&amp;")") &amp; CHAR(10) &amp;
  _xlpm.vanillaPrefix &amp; "Keyword = Uvi_Wig_Distr_KYWD|" &amp; B453 &amp; CHAR(10) &amp;
  _xlpm.vanillaPrefix &amp; "Spell = " &amp; _xlpm.spell &amp; "|" &amp; B453
  )
)</f>
        <v>;Eorlund Gray-Mane
;Keyword = Uvi_Wig_Distr_KYWD|EorlundGrayMane
;Spell = No Spell for Hairstyle|EorlundGrayMane</v>
      </c>
    </row>
    <row r="454" ht="12.75" customHeight="1">
      <c r="A454" s="5" t="s">
        <v>2610</v>
      </c>
      <c r="B454" s="5" t="s">
        <v>2611</v>
      </c>
      <c r="C454" s="5" t="s">
        <v>2611</v>
      </c>
      <c r="D454" s="5" t="s">
        <v>45</v>
      </c>
      <c r="E454" s="5" t="s">
        <v>233</v>
      </c>
      <c r="F454" s="5" t="s">
        <v>2612</v>
      </c>
      <c r="G454" s="14" t="str">
        <f t="array" ref="G454">IF(B454="", "",
  LET(_xlpm.spell, IFERROR(IF(F454="", "", INDEX(_xlws.FILTER(Hairstyles!$F:$F, ISNUMBER(SEARCH(F454, Hairstyles!$B:$B))), 1)), "No Spell for Hairstyle"),
  _xlpm.vanillaPrefix, IF(LEFT(_xlpm.spell, 7)="Uvi_Wig", "", ";"),
  ";" &amp; IF(C454="", B454, C454) &amp; IF(M454="", "", " ("&amp;M454&amp;")") &amp; CHAR(10) &amp;
  _xlpm.vanillaPrefix &amp; "Keyword = Uvi_Wig_Distr_KYWD|" &amp; B454 &amp; CHAR(10) &amp;
  _xlpm.vanillaPrefix &amp; "Spell = " &amp; _xlpm.spell &amp; "|" &amp; B454
  )
)</f>
        <v>;Erandur
;Keyword = Uvi_Wig_Distr_KYWD|Erandur
;Spell = No Spell for Hairstyle|Erandur</v>
      </c>
    </row>
    <row r="455" ht="12.75" customHeight="1">
      <c r="A455" s="15" t="s">
        <v>2613</v>
      </c>
      <c r="B455" s="5" t="s">
        <v>2614</v>
      </c>
      <c r="C455" s="5" t="s">
        <v>2614</v>
      </c>
      <c r="D455" s="5" t="s">
        <v>38</v>
      </c>
      <c r="E455" s="5" t="s">
        <v>41</v>
      </c>
      <c r="F455" s="5" t="s">
        <v>1063</v>
      </c>
      <c r="G455" s="14" t="str">
        <f t="array" ref="G455">IF(B455="", "",
  LET(_xlpm.spell, IFERROR(IF(F455="", "", INDEX(_xlws.FILTER(Hairstyles!$F:$F, ISNUMBER(SEARCH(F455, Hairstyles!$B:$B))), 1)), "No Spell for Hairstyle"),
  _xlpm.vanillaPrefix, IF(LEFT(_xlpm.spell, 7)="Uvi_Wig", "", ";"),
  ";" &amp; IF(C455="", B455, C455) &amp; IF(M455="", "", " ("&amp;M455&amp;")") &amp; CHAR(10) &amp;
  _xlpm.vanillaPrefix &amp; "Keyword = Uvi_Wig_Distr_KYWD|" &amp; B455 &amp; CHAR(10) &amp;
  _xlpm.vanillaPrefix &amp; "Spell = " &amp; _xlpm.spell &amp; "|" &amp; B455
  )
)</f>
        <v>;Erdi
;Keyword = Uvi_Wig_Distr_KYWD|Erdi
;Spell = No Spell for Hairstyle|Erdi</v>
      </c>
    </row>
    <row r="456" ht="12.75" customHeight="1">
      <c r="A456" s="5" t="s">
        <v>2615</v>
      </c>
      <c r="B456" s="5" t="s">
        <v>2616</v>
      </c>
      <c r="C456" s="5" t="s">
        <v>2617</v>
      </c>
      <c r="D456" s="5" t="s">
        <v>83</v>
      </c>
      <c r="E456" s="5" t="s">
        <v>41</v>
      </c>
      <c r="F456" s="5" t="s">
        <v>2618</v>
      </c>
      <c r="G456" s="14" t="str">
        <f t="array" ref="G456">IF(B456="", "",
  LET(_xlpm.spell, IFERROR(IF(F456="", "", INDEX(_xlws.FILTER(Hairstyles!$F:$F, ISNUMBER(SEARCH(F456, Hairstyles!$B:$B))), 1)), "No Spell for Hairstyle"),
  _xlpm.vanillaPrefix, IF(LEFT(_xlpm.spell, 7)="Uvi_Wig", "", ";"),
  ";" &amp; IF(C456="", B456, C456) &amp; IF(M456="", "", " ("&amp;M456&amp;")") &amp; CHAR(10) &amp;
  _xlpm.vanillaPrefix &amp; "Keyword = Uvi_Wig_Distr_KYWD|" &amp; B456 &amp; CHAR(10) &amp;
  _xlpm.vanillaPrefix &amp; "Spell = " &amp; _xlpm.spell &amp; "|" &amp; B456
  )
)</f>
        <v>;Eriana
;Keyword = Uvi_Wig_Distr_KYWD|DA05Hunter03_Eriana
;Spell = No Spell for Hairstyle|DA05Hunter03_Eriana</v>
      </c>
    </row>
    <row r="457" ht="12.75" customHeight="1">
      <c r="A457" s="5" t="s">
        <v>2619</v>
      </c>
      <c r="B457" s="5" t="s">
        <v>2620</v>
      </c>
      <c r="C457" s="5" t="s">
        <v>2620</v>
      </c>
      <c r="D457" s="5" t="s">
        <v>38</v>
      </c>
      <c r="E457" s="5" t="s">
        <v>233</v>
      </c>
      <c r="F457" s="5" t="s">
        <v>695</v>
      </c>
      <c r="G457" s="14" t="str">
        <f t="array" ref="G457">IF(B457="", "",
  LET(_xlpm.spell, IFERROR(IF(F457="", "", INDEX(_xlws.FILTER(Hairstyles!$F:$F, ISNUMBER(SEARCH(F457, Hairstyles!$B:$B))), 1)), "No Spell for Hairstyle"),
  _xlpm.vanillaPrefix, IF(LEFT(_xlpm.spell, 7)="Uvi_Wig", "", ";"),
  ";" &amp; IF(C457="", B457, C457) &amp; IF(M457="", "", " ("&amp;M457&amp;")") &amp; CHAR(10) &amp;
  _xlpm.vanillaPrefix &amp; "Keyword = Uvi_Wig_Distr_KYWD|" &amp; B457 &amp; CHAR(10) &amp;
  _xlpm.vanillaPrefix &amp; "Spell = " &amp; _xlpm.spell &amp; "|" &amp; B457
  )
)</f>
        <v>;Erik
;Keyword = Uvi_Wig_Distr_KYWD|Erik
;Spell = No Spell for Hairstyle|Erik</v>
      </c>
    </row>
    <row r="458" ht="12.75" customHeight="1">
      <c r="A458" s="15" t="s">
        <v>2621</v>
      </c>
      <c r="B458" s="5" t="s">
        <v>2622</v>
      </c>
      <c r="C458" s="5" t="s">
        <v>2623</v>
      </c>
      <c r="D458" s="5" t="s">
        <v>38</v>
      </c>
      <c r="E458" s="5" t="s">
        <v>233</v>
      </c>
      <c r="F458" s="5" t="s">
        <v>695</v>
      </c>
      <c r="G458" s="14" t="str">
        <f t="array" ref="G458">IF(B458="", "",
  LET(_xlpm.spell, IFERROR(IF(F458="", "", INDEX(_xlws.FILTER(Hairstyles!$F:$F, ISNUMBER(SEARCH(F458, Hairstyles!$B:$B))), 1)), "No Spell for Hairstyle"),
  _xlpm.vanillaPrefix, IF(LEFT(_xlpm.spell, 7)="Uvi_Wig", "", ";"),
  ";" &amp; IF(C458="", B458, C458) &amp; IF(M458="", "", " ("&amp;M458&amp;")") &amp; CHAR(10) &amp;
  _xlpm.vanillaPrefix &amp; "Keyword = Uvi_Wig_Distr_KYWD|" &amp; B458 &amp; CHAR(10) &amp;
  _xlpm.vanillaPrefix &amp; "Spell = " &amp; _xlpm.spell &amp; "|" &amp; B458
  )
)</f>
        <v>;Erik the Slayer
;Keyword = Uvi_Wig_Distr_KYWD|HirelingErikTheSlayer
;Spell = No Spell for Hairstyle|HirelingErikTheSlayer</v>
      </c>
    </row>
    <row r="459" ht="12.75" customHeight="1">
      <c r="A459" s="15" t="s">
        <v>2624</v>
      </c>
      <c r="B459" s="5" t="s">
        <v>2625</v>
      </c>
      <c r="C459" s="5" t="s">
        <v>2625</v>
      </c>
      <c r="D459" s="5" t="s">
        <v>38</v>
      </c>
      <c r="E459" s="5" t="s">
        <v>233</v>
      </c>
      <c r="F459" s="5" t="s">
        <v>68</v>
      </c>
      <c r="G459" s="14" t="str">
        <f t="array" ref="G459">IF(B459="", "",
  LET(_xlpm.spell, IFERROR(IF(F459="", "", INDEX(_xlws.FILTER(Hairstyles!$F:$F, ISNUMBER(SEARCH(F459, Hairstyles!$B:$B))), 1)), "No Spell for Hairstyle"),
  _xlpm.vanillaPrefix, IF(LEFT(_xlpm.spell, 7)="Uvi_Wig", "", ";"),
  ";" &amp; IF(C459="", B459, C459) &amp; IF(M459="", "", " ("&amp;M459&amp;")") &amp; CHAR(10) &amp;
  _xlpm.vanillaPrefix &amp; "Keyword = Uvi_Wig_Distr_KYWD|" &amp; B459 &amp; CHAR(10) &amp;
  _xlpm.vanillaPrefix &amp; "Spell = " &amp; _xlpm.spell &amp; "|" &amp; B459
  )
)</f>
        <v>;Erikur
;Keyword = Uvi_Wig_Distr_KYWD|Erikur
;Spell = No Spell for Hairstyle|Erikur</v>
      </c>
    </row>
    <row r="460" ht="12.75" customHeight="1">
      <c r="A460" s="5" t="s">
        <v>2626</v>
      </c>
      <c r="B460" s="5" t="s">
        <v>2627</v>
      </c>
      <c r="C460" s="5" t="s">
        <v>2628</v>
      </c>
      <c r="D460" s="5" t="s">
        <v>38</v>
      </c>
      <c r="E460" s="5" t="s">
        <v>41</v>
      </c>
      <c r="F460" s="5" t="s">
        <v>371</v>
      </c>
      <c r="G460" s="14" t="str">
        <f t="array" ref="G460">IF(B460="", "",
  LET(_xlpm.spell, IFERROR(IF(F460="", "", INDEX(_xlws.FILTER(Hairstyles!$F:$F, ISNUMBER(SEARCH(F460, Hairstyles!$B:$B))), 1)), "No Spell for Hairstyle"),
  _xlpm.vanillaPrefix, IF(LEFT(_xlpm.spell, 7)="Uvi_Wig", "", ";"),
  ";" &amp; IF(C460="", B460, C460) &amp; IF(M460="", "", " ("&amp;M460&amp;")") &amp; CHAR(10) &amp;
  _xlpm.vanillaPrefix &amp; "Keyword = Uvi_Wig_Distr_KYWD|" &amp; B460 &amp; CHAR(10) &amp;
  _xlpm.vanillaPrefix &amp; "Spell = " &amp; _xlpm.spell &amp; "|" &amp; B460
  )
)</f>
        <v>;Eris
;Keyword = Uvi_Wig_Distr_KYWD|SailorEris
;Spell = No Spell for Hairstyle|SailorEris</v>
      </c>
    </row>
    <row r="461" ht="12.75" customHeight="1">
      <c r="A461" s="5" t="s">
        <v>2629</v>
      </c>
      <c r="B461" s="5" t="s">
        <v>2630</v>
      </c>
      <c r="C461" s="5" t="s">
        <v>2630</v>
      </c>
      <c r="D461" s="5" t="s">
        <v>23</v>
      </c>
      <c r="E461" s="5" t="s">
        <v>41</v>
      </c>
      <c r="F461" s="5" t="s">
        <v>28</v>
      </c>
      <c r="G461" s="14" t="str">
        <f t="array" ref="G461">IF(B461="", "",
  LET(_xlpm.spell, IFERROR(IF(F461="", "", INDEX(_xlws.FILTER(Hairstyles!$F:$F, ISNUMBER(SEARCH(F461, Hairstyles!$B:$B))), 1)), "No Spell for Hairstyle"),
  _xlpm.vanillaPrefix, IF(LEFT(_xlpm.spell, 7)="Uvi_Wig", "", ";"),
  ";" &amp; IF(C461="", B461, C461) &amp; IF(M461="", "", " ("&amp;M461&amp;")") &amp; CHAR(10) &amp;
  _xlpm.vanillaPrefix &amp; "Keyword = Uvi_Wig_Distr_KYWD|" &amp; B461 &amp; CHAR(10) &amp;
  _xlpm.vanillaPrefix &amp; "Spell = " &amp; _xlpm.spell &amp; "|" &amp; B461
  )
)</f>
        <v>;Erith
;Keyword = Uvi_Wig_Distr_KYWD|Erith
;Spell = No Spell for Hairstyle|Erith</v>
      </c>
    </row>
    <row r="462" ht="12.75" customHeight="1">
      <c r="A462" s="15" t="s">
        <v>2631</v>
      </c>
      <c r="B462" s="5" t="s">
        <v>2632</v>
      </c>
      <c r="C462" s="5" t="s">
        <v>2633</v>
      </c>
      <c r="D462" s="5" t="s">
        <v>16</v>
      </c>
      <c r="E462" s="5" t="s">
        <v>233</v>
      </c>
      <c r="F462" s="5" t="s">
        <v>1894</v>
      </c>
      <c r="G462" s="14" t="str">
        <f t="array" ref="G462">IF(B462="", "",
  LET(_xlpm.spell, IFERROR(IF(F462="", "", INDEX(_xlws.FILTER(Hairstyles!$F:$F, ISNUMBER(SEARCH(F462, Hairstyles!$B:$B))), 1)), "No Spell for Hairstyle"),
  _xlpm.vanillaPrefix, IF(LEFT(_xlpm.spell, 7)="Uvi_Wig", "", ";"),
  ";" &amp; IF(C462="", B462, C462) &amp; IF(M462="", "", " ("&amp;M462&amp;")") &amp; CHAR(10) &amp;
  _xlpm.vanillaPrefix &amp; "Keyword = Uvi_Wig_Distr_KYWD|" &amp; B462 &amp; CHAR(10) &amp;
  _xlpm.vanillaPrefix &amp; "Spell = " &amp; _xlpm.spell &amp; "|" &amp; B462
  )
)</f>
        <v>;Erj
;Keyword = Uvi_Wig_Distr_KYWD|dunNchuandErj
;Spell = No Spell for Hairstyle|dunNchuandErj</v>
      </c>
    </row>
    <row r="463" ht="12.75" customHeight="1">
      <c r="A463" s="5" t="s">
        <v>2634</v>
      </c>
      <c r="B463" s="5" t="s">
        <v>2635</v>
      </c>
      <c r="C463" s="5" t="s">
        <v>2636</v>
      </c>
      <c r="D463" s="5" t="s">
        <v>38</v>
      </c>
      <c r="E463" s="5" t="s">
        <v>233</v>
      </c>
      <c r="F463" s="5" t="s">
        <v>424</v>
      </c>
      <c r="G463" s="14" t="str">
        <f t="array" ref="G463">IF(B463="", "",
  LET(_xlpm.spell, IFERROR(IF(F463="", "", INDEX(_xlws.FILTER(Hairstyles!$F:$F, ISNUMBER(SEARCH(F463, Hairstyles!$B:$B))), 1)), "No Spell for Hairstyle"),
  _xlpm.vanillaPrefix, IF(LEFT(_xlpm.spell, 7)="Uvi_Wig", "", ";"),
  ";" &amp; IF(C463="", B463, C463) &amp; IF(M463="", "", " ("&amp;M463&amp;")") &amp; CHAR(10) &amp;
  _xlpm.vanillaPrefix &amp; "Keyword = Uvi_Wig_Distr_KYWD|" &amp; B463 &amp; CHAR(10) &amp;
  _xlpm.vanillaPrefix &amp; "Spell = " &amp; _xlpm.spell &amp; "|" &amp; B463
  )
)</f>
        <v>;Erlendr
;Keyword = Uvi_Wig_Distr_KYWD|MQ305Erlendr
;Spell = No Spell for Hairstyle|MQ305Erlendr</v>
      </c>
    </row>
    <row r="464" ht="12.75" customHeight="1">
      <c r="A464" s="15" t="s">
        <v>2637</v>
      </c>
      <c r="B464" s="5" t="s">
        <v>2638</v>
      </c>
      <c r="C464" s="5" t="s">
        <v>2638</v>
      </c>
      <c r="D464" s="5" t="s">
        <v>51</v>
      </c>
      <c r="E464" s="5" t="s">
        <v>233</v>
      </c>
      <c r="F464" s="5" t="s">
        <v>209</v>
      </c>
      <c r="G464" s="14" t="str">
        <f t="array" ref="G464">IF(B464="", "",
  LET(_xlpm.spell, IFERROR(IF(F464="", "", INDEX(_xlws.FILTER(Hairstyles!$F:$F, ISNUMBER(SEARCH(F464, Hairstyles!$B:$B))), 1)), "No Spell for Hairstyle"),
  _xlpm.vanillaPrefix, IF(LEFT(_xlpm.spell, 7)="Uvi_Wig", "", ";"),
  ";" &amp; IF(C464="", B464, C464) &amp; IF(M464="", "", " ("&amp;M464&amp;")") &amp; CHAR(10) &amp;
  _xlpm.vanillaPrefix &amp; "Keyword = Uvi_Wig_Distr_KYWD|" &amp; B464 &amp; CHAR(10) &amp;
  _xlpm.vanillaPrefix &amp; "Spell = " &amp; _xlpm.spell &amp; "|" &amp; B464
  )
)</f>
        <v>;Esbern
;Keyword = Uvi_Wig_Distr_KYWD|Esbern
;Spell = No Spell for Hairstyle|Esbern</v>
      </c>
    </row>
    <row r="465" ht="12.75" customHeight="1">
      <c r="A465" s="5" t="s">
        <v>2639</v>
      </c>
      <c r="B465" s="5" t="s">
        <v>2640</v>
      </c>
      <c r="C465" s="5" t="s">
        <v>2641</v>
      </c>
      <c r="D465" s="5" t="s">
        <v>38</v>
      </c>
      <c r="E465" s="5" t="s">
        <v>233</v>
      </c>
      <c r="F465" s="5" t="s">
        <v>1622</v>
      </c>
      <c r="G465" s="14" t="str">
        <f t="array" ref="G465">IF(B465="", "",
  LET(_xlpm.spell, IFERROR(IF(F465="", "", INDEX(_xlws.FILTER(Hairstyles!$F:$F, ISNUMBER(SEARCH(F465, Hairstyles!$B:$B))), 1)), "No Spell for Hairstyle"),
  _xlpm.vanillaPrefix, IF(LEFT(_xlpm.spell, 7)="Uvi_Wig", "", ";"),
  ";" &amp; IF(C465="", B465, C465) &amp; IF(M465="", "", " ("&amp;M465&amp;")") &amp; CHAR(10) &amp;
  _xlpm.vanillaPrefix &amp; "Keyword = Uvi_Wig_Distr_KYWD|" &amp; B465 &amp; CHAR(10) &amp;
  _xlpm.vanillaPrefix &amp; "Spell = " &amp; _xlpm.spell &amp; "|" &amp; B465
  )
)</f>
        <v>;Escaped Prisoner
;Keyword = Uvi_Wig_Distr_KYWD|WEDLExecutionPrisoner
;Spell = No Spell for Hairstyle|WEDLExecutionPrisoner</v>
      </c>
    </row>
    <row r="466" ht="12.75" customHeight="1">
      <c r="A466" s="5" t="s">
        <v>2642</v>
      </c>
      <c r="B466" s="5" t="s">
        <v>2643</v>
      </c>
      <c r="C466" s="5" t="s">
        <v>2644</v>
      </c>
      <c r="D466" s="5" t="s">
        <v>16</v>
      </c>
      <c r="E466" s="5" t="s">
        <v>233</v>
      </c>
      <c r="F466" s="5" t="s">
        <v>762</v>
      </c>
      <c r="G466" s="14" t="str">
        <f t="array" ref="G466">IF(B466="", "",
  LET(_xlpm.spell, IFERROR(IF(F466="", "", INDEX(_xlws.FILTER(Hairstyles!$F:$F, ISNUMBER(SEARCH(F466, Hairstyles!$B:$B))), 1)), "No Spell for Hairstyle"),
  _xlpm.vanillaPrefix, IF(LEFT(_xlpm.spell, 7)="Uvi_Wig", "", ";"),
  ";" &amp; IF(C466="", B466, C466) &amp; IF(M466="", "", " ("&amp;M466&amp;")") &amp; CHAR(10) &amp;
  _xlpm.vanillaPrefix &amp; "Keyword = Uvi_Wig_Distr_KYWD|" &amp; B466 &amp; CHAR(10) &amp;
  _xlpm.vanillaPrefix &amp; "Spell = " &amp; _xlpm.spell &amp; "|" &amp; B466
  )
)</f>
        <v>;Esmond Tyne
;Keyword = Uvi_Wig_Distr_KYWD|DLC2RREsmondTyne
;Spell = No Spell for Hairstyle|DLC2RREsmondTyne</v>
      </c>
    </row>
    <row r="467" ht="12.75" customHeight="1">
      <c r="A467" s="5" t="s">
        <v>2645</v>
      </c>
      <c r="B467" s="5" t="s">
        <v>2646</v>
      </c>
      <c r="C467" s="5" t="s">
        <v>2646</v>
      </c>
      <c r="D467" s="5" t="s">
        <v>57</v>
      </c>
      <c r="E467" s="5" t="s">
        <v>233</v>
      </c>
      <c r="F467" s="5" t="s">
        <v>2469</v>
      </c>
      <c r="G467" s="14" t="str">
        <f t="array" ref="G467">IF(B467="", "",
  LET(_xlpm.spell, IFERROR(IF(F467="", "", INDEX(_xlws.FILTER(Hairstyles!$F:$F, ISNUMBER(SEARCH(F467, Hairstyles!$B:$B))), 1)), "No Spell for Hairstyle"),
  _xlpm.vanillaPrefix, IF(LEFT(_xlpm.spell, 7)="Uvi_Wig", "", ";"),
  ";" &amp; IF(C467="", B467, C467) &amp; IF(M467="", "", " ("&amp;M467&amp;")") &amp; CHAR(10) &amp;
  _xlpm.vanillaPrefix &amp; "Keyword = Uvi_Wig_Distr_KYWD|" &amp; B467 &amp; CHAR(10) &amp;
  _xlpm.vanillaPrefix &amp; "Spell = " &amp; _xlpm.spell &amp; "|" &amp; B467
  )
)</f>
        <v>;Estormo
;Keyword = Uvi_Wig_Distr_KYWD|Estormo
;Spell = No Spell for Hairstyle|Estormo</v>
      </c>
    </row>
    <row r="468" ht="12.75" customHeight="1">
      <c r="A468" s="5" t="s">
        <v>2647</v>
      </c>
      <c r="B468" s="5" t="s">
        <v>2648</v>
      </c>
      <c r="C468" s="5" t="s">
        <v>2649</v>
      </c>
      <c r="D468" s="5" t="s">
        <v>16</v>
      </c>
      <c r="E468" s="5" t="s">
        <v>233</v>
      </c>
      <c r="F468" s="5" t="s">
        <v>40</v>
      </c>
      <c r="G468" s="14" t="str">
        <f t="array" ref="G468">IF(B468="", "",
  LET(_xlpm.spell, IFERROR(IF(F468="", "", INDEX(_xlws.FILTER(Hairstyles!$F:$F, ISNUMBER(SEARCH(F468, Hairstyles!$B:$B))), 1)), "No Spell for Hairstyle"),
  _xlpm.vanillaPrefix, IF(LEFT(_xlpm.spell, 7)="Uvi_Wig", "", ";"),
  ";" &amp; IF(C468="", B468, C468) &amp; IF(M468="", "", " ("&amp;M468&amp;")") &amp; CHAR(10) &amp;
  _xlpm.vanillaPrefix &amp; "Keyword = Uvi_Wig_Distr_KYWD|" &amp; B468 &amp; CHAR(10) &amp;
  _xlpm.vanillaPrefix &amp; "Spell = " &amp; _xlpm.spell &amp; "|" &amp; B468
  )
)</f>
        <v>;Etienne Rarnis
;Keyword = Uvi_Wig_Distr_KYWD|EtienneRarnis
;Spell = No Spell for Hairstyle|EtienneRarnis</v>
      </c>
    </row>
    <row r="469" ht="12.75" customHeight="1">
      <c r="A469" s="15" t="s">
        <v>2650</v>
      </c>
      <c r="B469" s="5" t="s">
        <v>2651</v>
      </c>
      <c r="C469" s="5" t="s">
        <v>2652</v>
      </c>
      <c r="D469" s="5" t="s">
        <v>38</v>
      </c>
      <c r="E469" s="5" t="s">
        <v>41</v>
      </c>
      <c r="F469" s="5" t="s">
        <v>42</v>
      </c>
      <c r="G469" s="14" t="str">
        <f t="array" ref="G469">IF(B469="", "",
  LET(_xlpm.spell, IFERROR(IF(F469="", "", INDEX(_xlws.FILTER(Hairstyles!$F:$F, ISNUMBER(SEARCH(F469, Hairstyles!$B:$B))), 1)), "No Spell for Hairstyle"),
  _xlpm.vanillaPrefix, IF(LEFT(_xlpm.spell, 7)="Uvi_Wig", "", ";"),
  ";" &amp; IF(C469="", B469, C469) &amp; IF(M469="", "", " ("&amp;M469&amp;")") &amp; CHAR(10) &amp;
  _xlpm.vanillaPrefix &amp; "Keyword = Uvi_Wig_Distr_KYWD|" &amp; B469 &amp; CHAR(10) &amp;
  _xlpm.vanillaPrefix &amp; "Spell = " &amp; _xlpm.spell &amp; "|" &amp; B469
  )
)</f>
        <v>;Evette San
;Keyword = Uvi_Wig_Distr_KYWD|EvetteSan
;Spell = No Spell for Hairstyle|EvetteSan</v>
      </c>
    </row>
    <row r="470" ht="12.75" customHeight="1">
      <c r="A470" s="5" t="s">
        <v>2653</v>
      </c>
      <c r="B470" s="5" t="s">
        <v>2654</v>
      </c>
      <c r="C470" s="5" t="s">
        <v>2655</v>
      </c>
      <c r="D470" s="5" t="s">
        <v>45</v>
      </c>
      <c r="E470" s="5" t="s">
        <v>233</v>
      </c>
      <c r="F470" s="5" t="s">
        <v>2583</v>
      </c>
      <c r="G470" s="14" t="str">
        <f t="array" ref="G470">IF(B470="", "",
  LET(_xlpm.spell, IFERROR(IF(F470="", "", INDEX(_xlws.FILTER(Hairstyles!$F:$F, ISNUMBER(SEARCH(F470, Hairstyles!$B:$B))), 1)), "No Spell for Hairstyle"),
  _xlpm.vanillaPrefix, IF(LEFT(_xlpm.spell, 7)="Uvi_Wig", "", ";"),
  ";" &amp; IF(C470="", B470, C470) &amp; IF(M470="", "", " ("&amp;M470&amp;")") &amp; CHAR(10) &amp;
  _xlpm.vanillaPrefix &amp; "Keyword = Uvi_Wig_Distr_KYWD|" &amp; B470 &amp; CHAR(10) &amp;
  _xlpm.vanillaPrefix &amp; "Spell = " &amp; _xlpm.spell &amp; "|" &amp; B470
  )
)</f>
        <v>;Evul Seloth
;Keyword = Uvi_Wig_Distr_KYWD|DLC2RRMinerEvul
;Spell = No Spell for Hairstyle|DLC2RRMinerEvul</v>
      </c>
    </row>
    <row r="471" ht="12.75" customHeight="1">
      <c r="A471" s="5" t="s">
        <v>2656</v>
      </c>
      <c r="B471" s="5" t="s">
        <v>2657</v>
      </c>
      <c r="C471" s="5" t="s">
        <v>2658</v>
      </c>
      <c r="D471" s="5" t="s">
        <v>38</v>
      </c>
      <c r="E471" s="5" t="s">
        <v>41</v>
      </c>
      <c r="F471" s="5" t="s">
        <v>1694</v>
      </c>
      <c r="G471" s="14" t="str">
        <f t="array" ref="G471">IF(B471="", "",
  LET(_xlpm.spell, IFERROR(IF(F471="", "", INDEX(_xlws.FILTER(Hairstyles!$F:$F, ISNUMBER(SEARCH(F471, Hairstyles!$B:$B))), 1)), "No Spell for Hairstyle"),
  _xlpm.vanillaPrefix, IF(LEFT(_xlpm.spell, 7)="Uvi_Wig", "", ";"),
  ";" &amp; IF(C471="", B471, C471) &amp; IF(M471="", "", " ("&amp;M471&amp;")") &amp; CHAR(10) &amp;
  _xlpm.vanillaPrefix &amp; "Keyword = Uvi_Wig_Distr_KYWD|" &amp; B471 &amp; CHAR(10) &amp;
  _xlpm.vanillaPrefix &amp; "Spell = " &amp; _xlpm.spell &amp; "|" &amp; B471
  )
)</f>
        <v>;Eydis
;Keyword = Uvi_Wig_Distr_KYWD|DLC2dunFahlbtharzExplorerCorpse02
;Spell = No Spell for Hairstyle|DLC2dunFahlbtharzExplorerCorpse02</v>
      </c>
    </row>
    <row r="472" ht="12.75" customHeight="1">
      <c r="A472" s="5" t="s">
        <v>2659</v>
      </c>
      <c r="B472" s="5" t="s">
        <v>2658</v>
      </c>
      <c r="C472" s="5" t="s">
        <v>2658</v>
      </c>
      <c r="D472" s="5" t="s">
        <v>38</v>
      </c>
      <c r="E472" s="5" t="s">
        <v>41</v>
      </c>
      <c r="F472" s="5" t="s">
        <v>905</v>
      </c>
      <c r="G472" s="14" t="str">
        <f t="array" ref="G472">IF(B472="", "",
  LET(_xlpm.spell, IFERROR(IF(F472="", "", INDEX(_xlws.FILTER(Hairstyles!$F:$F, ISNUMBER(SEARCH(F472, Hairstyles!$B:$B))), 1)), "No Spell for Hairstyle"),
  _xlpm.vanillaPrefix, IF(LEFT(_xlpm.spell, 7)="Uvi_Wig", "", ";"),
  ";" &amp; IF(C472="", B472, C472) &amp; IF(M472="", "", " ("&amp;M472&amp;")") &amp; CHAR(10) &amp;
  _xlpm.vanillaPrefix &amp; "Keyword = Uvi_Wig_Distr_KYWD|" &amp; B472 &amp; CHAR(10) &amp;
  _xlpm.vanillaPrefix &amp; "Spell = " &amp; _xlpm.spell &amp; "|" &amp; B472
  )
)</f>
        <v>;Eydis
;Keyword = Uvi_Wig_Distr_KYWD|Eydis
;Spell = No Spell for Hairstyle|Eydis</v>
      </c>
    </row>
    <row r="473" ht="12.75" customHeight="1">
      <c r="A473" s="15" t="s">
        <v>2660</v>
      </c>
      <c r="B473" s="5" t="s">
        <v>2661</v>
      </c>
      <c r="C473" s="5" t="s">
        <v>2661</v>
      </c>
      <c r="D473" s="5" t="s">
        <v>90</v>
      </c>
      <c r="E473" s="5" t="s">
        <v>233</v>
      </c>
      <c r="F473" s="5" t="s">
        <v>534</v>
      </c>
      <c r="G473" s="14" t="str">
        <f t="array" ref="G473">IF(B473="", "",
  LET(_xlpm.spell, IFERROR(IF(F473="", "", INDEX(_xlws.FILTER(Hairstyles!$F:$F, ISNUMBER(SEARCH(F473, Hairstyles!$B:$B))), 1)), "No Spell for Hairstyle"),
  _xlpm.vanillaPrefix, IF(LEFT(_xlpm.spell, 7)="Uvi_Wig", "", ";"),
  ";" &amp; IF(C473="", B473, C473) &amp; IF(M473="", "", " ("&amp;M473&amp;")") &amp; CHAR(10) &amp;
  _xlpm.vanillaPrefix &amp; "Keyword = Uvi_Wig_Distr_KYWD|" &amp; B473 &amp; CHAR(10) &amp;
  _xlpm.vanillaPrefix &amp; "Spell = " &amp; _xlpm.spell &amp; "|" &amp; B473
  )
)</f>
        <v>;Faendal
;Keyword = Uvi_Wig_Distr_KYWD|Faendal
;Spell = No Spell for Hairstyle|Faendal</v>
      </c>
    </row>
    <row r="474" ht="12.75" customHeight="1">
      <c r="A474" s="5" t="s">
        <v>2662</v>
      </c>
      <c r="B474" s="5" t="s">
        <v>2663</v>
      </c>
      <c r="C474" s="5" t="s">
        <v>2663</v>
      </c>
      <c r="D474" s="5" t="s">
        <v>38</v>
      </c>
      <c r="E474" s="5" t="s">
        <v>41</v>
      </c>
      <c r="F474" s="5" t="s">
        <v>69</v>
      </c>
      <c r="G474" s="14" t="str">
        <f t="array" ref="G474">IF(B474="", "",
  LET(_xlpm.spell, IFERROR(IF(F474="", "", INDEX(_xlws.FILTER(Hairstyles!$F:$F, ISNUMBER(SEARCH(F474, Hairstyles!$B:$B))), 1)), "No Spell for Hairstyle"),
  _xlpm.vanillaPrefix, IF(LEFT(_xlpm.spell, 7)="Uvi_Wig", "", ";"),
  ";" &amp; IF(C474="", B474, C474) &amp; IF(M474="", "", " ("&amp;M474&amp;")") &amp; CHAR(10) &amp;
  _xlpm.vanillaPrefix &amp; "Keyword = Uvi_Wig_Distr_KYWD|" &amp; B474 &amp; CHAR(10) &amp;
  _xlpm.vanillaPrefix &amp; "Spell = " &amp; _xlpm.spell &amp; "|" &amp; B474
  )
)</f>
        <v>;Faida
;Keyword = Uvi_Wig_Distr_KYWD|Faida
;Spell = No Spell for Hairstyle|Faida</v>
      </c>
    </row>
    <row r="475" ht="12.75" customHeight="1">
      <c r="A475" s="15" t="s">
        <v>2664</v>
      </c>
      <c r="B475" s="5" t="s">
        <v>2665</v>
      </c>
      <c r="C475" s="5" t="s">
        <v>2666</v>
      </c>
      <c r="D475" s="5" t="s">
        <v>45</v>
      </c>
      <c r="E475" s="5" t="s">
        <v>233</v>
      </c>
      <c r="F475" s="5" t="s">
        <v>2489</v>
      </c>
      <c r="G475" s="14" t="str">
        <f t="array" ref="G475">IF(B475="", "",
  LET(_xlpm.spell, IFERROR(IF(F475="", "", INDEX(_xlws.FILTER(Hairstyles!$F:$F, ISNUMBER(SEARCH(F475, Hairstyles!$B:$B))), 1)), "No Spell for Hairstyle"),
  _xlpm.vanillaPrefix, IF(LEFT(_xlpm.spell, 7)="Uvi_Wig", "", ";"),
  ";" &amp; IF(C475="", B475, C475) &amp; IF(M475="", "", " ("&amp;M475&amp;")") &amp; CHAR(10) &amp;
  _xlpm.vanillaPrefix &amp; "Keyword = Uvi_Wig_Distr_KYWD|" &amp; B475 &amp; CHAR(10) &amp;
  _xlpm.vanillaPrefix &amp; "Spell = " &amp; _xlpm.spell &amp; "|" &amp; B475
  )
)</f>
        <v>;Falas Selvayn
;Keyword = Uvi_Wig_Distr_KYWD|DLC2MerchMerchant
;Spell = No Spell for Hairstyle|DLC2MerchMerchant</v>
      </c>
    </row>
    <row r="476" ht="12.75" customHeight="1">
      <c r="A476" s="5" t="s">
        <v>2667</v>
      </c>
      <c r="B476" s="5" t="s">
        <v>2668</v>
      </c>
      <c r="C476" s="5" t="s">
        <v>2669</v>
      </c>
      <c r="D476" s="5" t="s">
        <v>45</v>
      </c>
      <c r="E476" s="5" t="s">
        <v>233</v>
      </c>
      <c r="F476" s="5" t="s">
        <v>68</v>
      </c>
      <c r="G476" s="14" t="str">
        <f t="array" ref="G476">IF(B476="", "",
  LET(_xlpm.spell, IFERROR(IF(F476="", "", INDEX(_xlws.FILTER(Hairstyles!$F:$F, ISNUMBER(SEARCH(F476, Hairstyles!$B:$B))), 1)), "No Spell for Hairstyle"),
  _xlpm.vanillaPrefix, IF(LEFT(_xlpm.spell, 7)="Uvi_Wig", "", ";"),
  ";" &amp; IF(C476="", B476, C476) &amp; IF(M476="", "", " ("&amp;M476&amp;")") &amp; CHAR(10) &amp;
  _xlpm.vanillaPrefix &amp; "Keyword = Uvi_Wig_Distr_KYWD|" &amp; B476 &amp; CHAR(10) &amp;
  _xlpm.vanillaPrefix &amp; "Spell = " &amp; _xlpm.spell &amp; "|" &amp; B476
  )
)</f>
        <v>;Faldrus
;Keyword = Uvi_Wig_Distr_KYWD|WEJS10Faldrus
;Spell = No Spell for Hairstyle|WEJS10Faldrus</v>
      </c>
    </row>
    <row r="477" ht="12.75" customHeight="1">
      <c r="A477" s="15" t="s">
        <v>2670</v>
      </c>
      <c r="B477" s="5" t="s">
        <v>2671</v>
      </c>
      <c r="C477" s="5" t="s">
        <v>2671</v>
      </c>
      <c r="D477" s="5" t="s">
        <v>83</v>
      </c>
      <c r="E477" s="5" t="s">
        <v>41</v>
      </c>
      <c r="F477" s="5" t="s">
        <v>905</v>
      </c>
      <c r="G477" s="14" t="str">
        <f t="array" ref="G477">IF(B477="", "",
  LET(_xlpm.spell, IFERROR(IF(F477="", "", INDEX(_xlws.FILTER(Hairstyles!$F:$F, ISNUMBER(SEARCH(F477, Hairstyles!$B:$B))), 1)), "No Spell for Hairstyle"),
  _xlpm.vanillaPrefix, IF(LEFT(_xlpm.spell, 7)="Uvi_Wig", "", ";"),
  ";" &amp; IF(C477="", B477, C477) &amp; IF(M477="", "", " ("&amp;M477&amp;")") &amp; CHAR(10) &amp;
  _xlpm.vanillaPrefix &amp; "Keyword = Uvi_Wig_Distr_KYWD|" &amp; B477 &amp; CHAR(10) &amp;
  _xlpm.vanillaPrefix &amp; "Spell = " &amp; _xlpm.spell &amp; "|" &amp; B477
  )
)</f>
        <v>;Faleen
;Keyword = Uvi_Wig_Distr_KYWD|Faleen
;Spell = No Spell for Hairstyle|Faleen</v>
      </c>
    </row>
    <row r="478" ht="12.75" customHeight="1">
      <c r="A478" s="15" t="s">
        <v>2672</v>
      </c>
      <c r="B478" s="5" t="s">
        <v>2673</v>
      </c>
      <c r="C478" s="5" t="s">
        <v>2673</v>
      </c>
      <c r="D478" s="5" t="s">
        <v>83</v>
      </c>
      <c r="E478" s="5" t="s">
        <v>233</v>
      </c>
      <c r="F478" s="5" t="s">
        <v>238</v>
      </c>
      <c r="G478" s="14" t="str">
        <f t="array" ref="G478">IF(B478="", "",
  LET(_xlpm.spell, IFERROR(IF(F478="", "", INDEX(_xlws.FILTER(Hairstyles!$F:$F, ISNUMBER(SEARCH(F478, Hairstyles!$B:$B))), 1)), "No Spell for Hairstyle"),
  _xlpm.vanillaPrefix, IF(LEFT(_xlpm.spell, 7)="Uvi_Wig", "", ";"),
  ";" &amp; IF(C478="", B478, C478) &amp; IF(M478="", "", " ("&amp;M478&amp;")") &amp; CHAR(10) &amp;
  _xlpm.vanillaPrefix &amp; "Keyword = Uvi_Wig_Distr_KYWD|" &amp; B478 &amp; CHAR(10) &amp;
  _xlpm.vanillaPrefix &amp; "Spell = " &amp; _xlpm.spell &amp; "|" &amp; B478
  )
)</f>
        <v>;Falion
;Keyword = Uvi_Wig_Distr_KYWD|Falion
;Spell = No Spell for Hairstyle|Falion</v>
      </c>
    </row>
    <row r="479" ht="12.75" customHeight="1">
      <c r="A479" s="15" t="s">
        <v>2674</v>
      </c>
      <c r="B479" s="5" t="s">
        <v>2675</v>
      </c>
      <c r="C479" s="5" t="s">
        <v>2676</v>
      </c>
      <c r="D479" s="5" t="s">
        <v>38</v>
      </c>
      <c r="E479" s="5" t="s">
        <v>233</v>
      </c>
      <c r="F479" s="5" t="s">
        <v>19</v>
      </c>
      <c r="G479" s="14" t="str">
        <f t="array" ref="G479">IF(B479="", "",
  LET(_xlpm.spell, IFERROR(IF(F479="", "", INDEX(_xlws.FILTER(Hairstyles!$F:$F, ISNUMBER(SEARCH(F479, Hairstyles!$B:$B))), 1)), "No Spell for Hairstyle"),
  _xlpm.vanillaPrefix, IF(LEFT(_xlpm.spell, 7)="Uvi_Wig", "", ";"),
  ";" &amp; IF(C479="", B479, C479) &amp; IF(M479="", "", " ("&amp;M479&amp;")") &amp; CHAR(10) &amp;
  _xlpm.vanillaPrefix &amp; "Keyword = Uvi_Wig_Distr_KYWD|" &amp; B479 &amp; CHAR(10) &amp;
  _xlpm.vanillaPrefix &amp; "Spell = " &amp; _xlpm.spell &amp; "|" &amp; B479
  )
)</f>
        <v>;Falk Firebeard
;Keyword = Uvi_Wig_Distr_KYWD|FalkFirebeard
;Spell = No Spell for Hairstyle|FalkFirebeard</v>
      </c>
    </row>
    <row r="480" ht="12.75" customHeight="1">
      <c r="A480" s="5" t="s">
        <v>2677</v>
      </c>
      <c r="B480" s="5" t="s">
        <v>2678</v>
      </c>
      <c r="C480" s="5" t="s">
        <v>2679</v>
      </c>
      <c r="D480" s="5" t="s">
        <v>38</v>
      </c>
      <c r="E480" s="5" t="s">
        <v>41</v>
      </c>
      <c r="F480" s="5" t="s">
        <v>905</v>
      </c>
      <c r="G480" s="14" t="str">
        <f t="array" ref="G480">IF(B480="", "",
  LET(_xlpm.spell, IFERROR(IF(F480="", "", INDEX(_xlws.FILTER(Hairstyles!$F:$F, ISNUMBER(SEARCH(F480, Hairstyles!$B:$B))), 1)), "No Spell for Hairstyle"),
  _xlpm.vanillaPrefix, IF(LEFT(_xlpm.spell, 7)="Uvi_Wig", "", ";"),
  ";" &amp; IF(C480="", B480, C480) &amp; IF(M480="", "", " ("&amp;M480&amp;")") &amp; CHAR(10) &amp;
  _xlpm.vanillaPrefix &amp; "Keyword = Uvi_Wig_Distr_KYWD|" &amp; B480 &amp; CHAR(10) &amp;
  _xlpm.vanillaPrefix &amp; "Spell = " &amp; _xlpm.spell &amp; "|" &amp; B480
  )
)</f>
        <v>;Fanari Strong-Voice
;Keyword = Uvi_Wig_Distr_KYWD|DLC2SVFanariStrongVoice
;Spell = No Spell for Hairstyle|DLC2SVFanariStrongVoice</v>
      </c>
    </row>
    <row r="481" ht="12.75" customHeight="1">
      <c r="A481" s="5" t="s">
        <v>2680</v>
      </c>
      <c r="B481" s="5" t="s">
        <v>2681</v>
      </c>
      <c r="C481" s="5" t="s">
        <v>2681</v>
      </c>
      <c r="D481" s="5" t="s">
        <v>57</v>
      </c>
      <c r="E481" s="5" t="s">
        <v>41</v>
      </c>
      <c r="F481" s="5" t="s">
        <v>92</v>
      </c>
      <c r="G481" s="14" t="str">
        <f t="array" ref="G481">IF(B481="", "",
  LET(_xlpm.spell, IFERROR(IF(F481="", "", INDEX(_xlws.FILTER(Hairstyles!$F:$F, ISNUMBER(SEARCH(F481, Hairstyles!$B:$B))), 1)), "No Spell for Hairstyle"),
  _xlpm.vanillaPrefix, IF(LEFT(_xlpm.spell, 7)="Uvi_Wig", "", ";"),
  ";" &amp; IF(C481="", B481, C481) &amp; IF(M481="", "", " ("&amp;M481&amp;")") &amp; CHAR(10) &amp;
  _xlpm.vanillaPrefix &amp; "Keyword = Uvi_Wig_Distr_KYWD|" &amp; B481 &amp; CHAR(10) &amp;
  _xlpm.vanillaPrefix &amp; "Spell = " &amp; _xlpm.spell &amp; "|" &amp; B481
  )
)</f>
        <v>;Faralda
;Keyword = Uvi_Wig_Distr_KYWD|Faralda
;Spell = No Spell for Hairstyle|Faralda</v>
      </c>
    </row>
    <row r="482" ht="12.75" customHeight="1">
      <c r="A482" s="5" t="s">
        <v>2682</v>
      </c>
      <c r="B482" s="5" t="s">
        <v>2683</v>
      </c>
      <c r="C482" s="5" t="s">
        <v>2684</v>
      </c>
      <c r="D482" s="5" t="s">
        <v>38</v>
      </c>
      <c r="E482" s="5" t="s">
        <v>233</v>
      </c>
      <c r="F482" s="5" t="s">
        <v>68</v>
      </c>
      <c r="G482" s="14" t="str">
        <f t="array" ref="G482">IF(B482="", "",
  LET(_xlpm.spell, IFERROR(IF(F482="", "", INDEX(_xlws.FILTER(Hairstyles!$F:$F, ISNUMBER(SEARCH(F482, Hairstyles!$B:$B))), 1)), "No Spell for Hairstyle"),
  _xlpm.vanillaPrefix, IF(LEFT(_xlpm.spell, 7)="Uvi_Wig", "", ";"),
  ";" &amp; IF(C482="", B482, C482) &amp; IF(M482="", "", " ("&amp;M482&amp;")") &amp; CHAR(10) &amp;
  _xlpm.vanillaPrefix &amp; "Keyword = Uvi_Wig_Distr_KYWD|" &amp; B482 &amp; CHAR(10) &amp;
  _xlpm.vanillaPrefix &amp; "Spell = " &amp; _xlpm.spell &amp; "|" &amp; B482
  )
)</f>
        <v>;Farengar Secret-Fire
;Keyword = Uvi_Wig_Distr_KYWD|FarengarSecretFire
;Spell = No Spell for Hairstyle|FarengarSecretFire</v>
      </c>
    </row>
    <row r="483" ht="12.75" customHeight="1">
      <c r="A483" s="5" t="s">
        <v>2685</v>
      </c>
      <c r="B483" s="5" t="s">
        <v>2686</v>
      </c>
      <c r="C483" s="5" t="s">
        <v>2686</v>
      </c>
      <c r="D483" s="5" t="s">
        <v>38</v>
      </c>
      <c r="E483" s="5" t="s">
        <v>233</v>
      </c>
      <c r="F483" s="5" t="s">
        <v>40</v>
      </c>
      <c r="G483" s="14" t="str">
        <f t="array" ref="G483">IF(B483="", "",
  LET(_xlpm.spell, IFERROR(IF(F483="", "", INDEX(_xlws.FILTER(Hairstyles!$F:$F, ISNUMBER(SEARCH(F483, Hairstyles!$B:$B))), 1)), "No Spell for Hairstyle"),
  _xlpm.vanillaPrefix, IF(LEFT(_xlpm.spell, 7)="Uvi_Wig", "", ";"),
  ";" &amp; IF(C483="", B483, C483) &amp; IF(M483="", "", " ("&amp;M483&amp;")") &amp; CHAR(10) &amp;
  _xlpm.vanillaPrefix &amp; "Keyword = Uvi_Wig_Distr_KYWD|" &amp; B483 &amp; CHAR(10) &amp;
  _xlpm.vanillaPrefix &amp; "Spell = " &amp; _xlpm.spell &amp; "|" &amp; B483
  )
)</f>
        <v>;Farkas
;Keyword = Uvi_Wig_Distr_KYWD|Farkas
;Spell = No Spell for Hairstyle|Farkas</v>
      </c>
    </row>
    <row r="484" ht="12.75" customHeight="1">
      <c r="A484" s="15" t="s">
        <v>2687</v>
      </c>
      <c r="B484" s="5" t="s">
        <v>2688</v>
      </c>
      <c r="C484" s="5" t="s">
        <v>2689</v>
      </c>
      <c r="D484" s="5" t="s">
        <v>38</v>
      </c>
      <c r="E484" s="5" t="s">
        <v>233</v>
      </c>
      <c r="F484" s="5" t="s">
        <v>19</v>
      </c>
      <c r="G484" s="14" t="str">
        <f t="array" ref="G484">IF(B484="", "",
  LET(_xlpm.spell, IFERROR(IF(F484="", "", INDEX(_xlws.FILTER(Hairstyles!$F:$F, ISNUMBER(SEARCH(F484, Hairstyles!$B:$B))), 1)), "No Spell for Hairstyle"),
  _xlpm.vanillaPrefix, IF(LEFT(_xlpm.spell, 7)="Uvi_Wig", "", ";"),
  ";" &amp; IF(C484="", B484, C484) &amp; IF(M484="", "", " ("&amp;M484&amp;")") &amp; CHAR(10) &amp;
  _xlpm.vanillaPrefix &amp; "Keyword = Uvi_Wig_Distr_KYWD|" &amp; B484 &amp; CHAR(10) &amp;
  _xlpm.vanillaPrefix &amp; "Spell = " &amp; _xlpm.spell &amp; "|" &amp; B484
  )
)</f>
        <v>;Farmer
;Keyword = Uvi_Wig_Distr_KYWD|DLC1WEDB02Farmer
;Spell = No Spell for Hairstyle|DLC1WEDB02Farmer</v>
      </c>
    </row>
    <row r="485" ht="12.75" customHeight="1">
      <c r="A485" s="5" t="s">
        <v>2690</v>
      </c>
      <c r="B485" s="5" t="s">
        <v>2691</v>
      </c>
      <c r="C485" s="5" t="s">
        <v>2689</v>
      </c>
      <c r="D485" s="5" t="s">
        <v>45</v>
      </c>
      <c r="E485" s="5" t="s">
        <v>233</v>
      </c>
      <c r="F485" s="5" t="s">
        <v>1684</v>
      </c>
      <c r="G485" s="14" t="str">
        <f t="array" ref="G485">IF(B485="", "",
  LET(_xlpm.spell, IFERROR(IF(F485="", "", INDEX(_xlws.FILTER(Hairstyles!$F:$F, ISNUMBER(SEARCH(F485, Hairstyles!$B:$B))), 1)), "No Spell for Hairstyle"),
  _xlpm.vanillaPrefix, IF(LEFT(_xlpm.spell, 7)="Uvi_Wig", "", ";"),
  ";" &amp; IF(C485="", B485, C485) &amp; IF(M485="", "", " ("&amp;M485&amp;")") &amp; CHAR(10) &amp;
  _xlpm.vanillaPrefix &amp; "Keyword = Uvi_Wig_Distr_KYWD|" &amp; B485 &amp; CHAR(10) &amp;
  _xlpm.vanillaPrefix &amp; "Spell = " &amp; _xlpm.spell &amp; "|" &amp; B485
  )
)</f>
        <v>;Farmer
;Keyword = Uvi_Wig_Distr_KYWD|WEDL13Farmer
;Spell = No Spell for Hairstyle|WEDL13Farmer</v>
      </c>
    </row>
    <row r="486" ht="12.75" customHeight="1">
      <c r="A486" s="5" t="s">
        <v>2692</v>
      </c>
      <c r="B486" s="5" t="s">
        <v>2693</v>
      </c>
      <c r="C486" s="5" t="s">
        <v>2689</v>
      </c>
      <c r="D486" s="5" t="s">
        <v>59</v>
      </c>
      <c r="E486" s="5" t="s">
        <v>233</v>
      </c>
      <c r="F486" s="5" t="s">
        <v>2694</v>
      </c>
      <c r="G486" s="14" t="str">
        <f t="array" ref="G486">IF(B486="", "",
  LET(_xlpm.spell, IFERROR(IF(F486="", "", INDEX(_xlws.FILTER(Hairstyles!$F:$F, ISNUMBER(SEARCH(F486, Hairstyles!$B:$B))), 1)), "No Spell for Hairstyle"),
  _xlpm.vanillaPrefix, IF(LEFT(_xlpm.spell, 7)="Uvi_Wig", "", ";"),
  ";" &amp; IF(C486="", B486, C486) &amp; IF(M486="", "", " ("&amp;M486&amp;")") &amp; CHAR(10) &amp;
  _xlpm.vanillaPrefix &amp; "Keyword = Uvi_Wig_Distr_KYWD|" &amp; B486 &amp; CHAR(10) &amp;
  _xlpm.vanillaPrefix &amp; "Spell = " &amp; _xlpm.spell &amp; "|" &amp; B486
  )
)</f>
        <v>;Farmer
;Keyword = Uvi_Wig_Distr_KYWD|WEDL14Farmer
;Spell = No Spell for Hairstyle|WEDL14Farmer</v>
      </c>
    </row>
    <row r="487" ht="12.75" customHeight="1">
      <c r="A487" s="15" t="s">
        <v>2695</v>
      </c>
      <c r="B487" s="5" t="s">
        <v>2696</v>
      </c>
      <c r="C487" s="5" t="s">
        <v>2689</v>
      </c>
      <c r="D487" s="5" t="s">
        <v>38</v>
      </c>
      <c r="E487" s="5" t="s">
        <v>41</v>
      </c>
      <c r="F487" s="5" t="s">
        <v>1996</v>
      </c>
      <c r="G487" s="14" t="str">
        <f t="array" ref="G487">IF(B487="", "",
  LET(_xlpm.spell, IFERROR(IF(F487="", "", INDEX(_xlws.FILTER(Hairstyles!$F:$F, ISNUMBER(SEARCH(F487, Hairstyles!$B:$B))), 1)), "No Spell for Hairstyle"),
  _xlpm.vanillaPrefix, IF(LEFT(_xlpm.spell, 7)="Uvi_Wig", "", ";"),
  ";" &amp; IF(C487="", B487, C487) &amp; IF(M487="", "", " ("&amp;M487&amp;")") &amp; CHAR(10) &amp;
  _xlpm.vanillaPrefix &amp; "Keyword = Uvi_Wig_Distr_KYWD|" &amp; B487 &amp; CHAR(10) &amp;
  _xlpm.vanillaPrefix &amp; "Spell = " &amp; _xlpm.spell &amp; "|" &amp; B487
  )
)</f>
        <v>;Farmer
;Keyword = Uvi_Wig_Distr_KYWD|WEFarmerFemale
;Spell = No Spell for Hairstyle|WEFarmerFemale</v>
      </c>
    </row>
    <row r="488" ht="12.75" customHeight="1">
      <c r="A488" s="15" t="s">
        <v>2697</v>
      </c>
      <c r="B488" s="5" t="s">
        <v>2698</v>
      </c>
      <c r="C488" s="5" t="s">
        <v>2689</v>
      </c>
      <c r="D488" s="5" t="s">
        <v>38</v>
      </c>
      <c r="E488" s="5" t="s">
        <v>233</v>
      </c>
      <c r="F488" s="5" t="s">
        <v>521</v>
      </c>
      <c r="G488" s="14" t="str">
        <f t="array" ref="G488">IF(B488="", "",
  LET(_xlpm.spell, IFERROR(IF(F488="", "", INDEX(_xlws.FILTER(Hairstyles!$F:$F, ISNUMBER(SEARCH(F488, Hairstyles!$B:$B))), 1)), "No Spell for Hairstyle"),
  _xlpm.vanillaPrefix, IF(LEFT(_xlpm.spell, 7)="Uvi_Wig", "", ";"),
  ";" &amp; IF(C488="", B488, C488) &amp; IF(M488="", "", " ("&amp;M488&amp;")") &amp; CHAR(10) &amp;
  _xlpm.vanillaPrefix &amp; "Keyword = Uvi_Wig_Distr_KYWD|" &amp; B488 &amp; CHAR(10) &amp;
  _xlpm.vanillaPrefix &amp; "Spell = " &amp; _xlpm.spell &amp; "|" &amp; B488
  )
)</f>
        <v>;Farmer
;Keyword = Uvi_Wig_Distr_KYWD|WEFarmerMale
;Spell = No Spell for Hairstyle|WEFarmerMale</v>
      </c>
    </row>
    <row r="489" ht="12.75" customHeight="1">
      <c r="A489" s="5" t="s">
        <v>2699</v>
      </c>
      <c r="B489" s="5" t="s">
        <v>2700</v>
      </c>
      <c r="C489" s="5" t="s">
        <v>2689</v>
      </c>
      <c r="D489" s="5" t="s">
        <v>38</v>
      </c>
      <c r="E489" s="5" t="s">
        <v>233</v>
      </c>
      <c r="F489" s="5" t="s">
        <v>424</v>
      </c>
      <c r="G489" s="14" t="str">
        <f t="array" ref="G489">IF(B489="", "",
  LET(_xlpm.spell, IFERROR(IF(F489="", "", INDEX(_xlws.FILTER(Hairstyles!$F:$F, ISNUMBER(SEARCH(F489, Hairstyles!$B:$B))), 1)), "No Spell for Hairstyle"),
  _xlpm.vanillaPrefix, IF(LEFT(_xlpm.spell, 7)="Uvi_Wig", "", ";"),
  ";" &amp; IF(C489="", B489, C489) &amp; IF(M489="", "", " ("&amp;M489&amp;")") &amp; CHAR(10) &amp;
  _xlpm.vanillaPrefix &amp; "Keyword = Uvi_Wig_Distr_KYWD|" &amp; B489 &amp; CHAR(10) &amp;
  _xlpm.vanillaPrefix &amp; "Spell = " &amp; _xlpm.spell &amp; "|" &amp; B489
  )
)</f>
        <v>;Farmer
;Keyword = Uvi_Wig_Distr_KYWD|WEFarmerMale02
;Spell = No Spell for Hairstyle|WEFarmerMale02</v>
      </c>
    </row>
    <row r="490" ht="12.75" customHeight="1">
      <c r="A490" s="15" t="s">
        <v>2701</v>
      </c>
      <c r="B490" s="5" t="s">
        <v>2702</v>
      </c>
      <c r="C490" s="5" t="s">
        <v>2703</v>
      </c>
      <c r="D490" s="5" t="s">
        <v>45</v>
      </c>
      <c r="E490" s="5" t="s">
        <v>233</v>
      </c>
      <c r="F490" s="5" t="s">
        <v>2583</v>
      </c>
      <c r="G490" s="14" t="str">
        <f t="array" ref="G490">IF(B490="", "",
  LET(_xlpm.spell, IFERROR(IF(F490="", "", INDEX(_xlws.FILTER(Hairstyles!$F:$F, ISNUMBER(SEARCH(F490, Hairstyles!$B:$B))), 1)), "No Spell for Hairstyle"),
  _xlpm.vanillaPrefix, IF(LEFT(_xlpm.spell, 7)="Uvi_Wig", "", ";"),
  ";" &amp; IF(C490="", B490, C490) &amp; IF(M490="", "", " ("&amp;M490&amp;")") &amp; CHAR(10) &amp;
  _xlpm.vanillaPrefix &amp; "Keyword = Uvi_Wig_Distr_KYWD|" &amp; B490 &amp; CHAR(10) &amp;
  _xlpm.vanillaPrefix &amp; "Spell = " &amp; _xlpm.spell &amp; "|" &amp; B490
  )
)</f>
        <v>;Faryl Atheron
;Keyword = Uvi_Wig_Distr_KYWD|FarylAtheron
;Spell = No Spell for Hairstyle|FarylAtheron</v>
      </c>
    </row>
    <row r="491" ht="12.75" customHeight="1">
      <c r="A491" s="5" t="s">
        <v>2704</v>
      </c>
      <c r="B491" s="5" t="s">
        <v>2705</v>
      </c>
      <c r="C491" s="5" t="s">
        <v>2705</v>
      </c>
      <c r="D491" s="5" t="s">
        <v>38</v>
      </c>
      <c r="E491" s="5" t="s">
        <v>41</v>
      </c>
      <c r="F491" s="5" t="s">
        <v>1996</v>
      </c>
      <c r="G491" s="14" t="str">
        <f t="array" ref="G491">IF(B491="", "",
  LET(_xlpm.spell, IFERROR(IF(F491="", "", INDEX(_xlws.FILTER(Hairstyles!$F:$F, ISNUMBER(SEARCH(F491, Hairstyles!$B:$B))), 1)), "No Spell for Hairstyle"),
  _xlpm.vanillaPrefix, IF(LEFT(_xlpm.spell, 7)="Uvi_Wig", "", ";"),
  ";" &amp; IF(C491="", B491, C491) &amp; IF(M491="", "", " ("&amp;M491&amp;")") &amp; CHAR(10) &amp;
  _xlpm.vanillaPrefix &amp; "Keyword = Uvi_Wig_Distr_KYWD|" &amp; B491 &amp; CHAR(10) &amp;
  _xlpm.vanillaPrefix &amp; "Spell = " &amp; _xlpm.spell &amp; "|" &amp; B491
  )
)</f>
        <v>;Fastred
;Keyword = Uvi_Wig_Distr_KYWD|Fastred
;Spell = No Spell for Hairstyle|Fastred</v>
      </c>
    </row>
    <row r="492" ht="12.75" customHeight="1">
      <c r="A492" s="15" t="s">
        <v>2706</v>
      </c>
      <c r="B492" s="5" t="s">
        <v>2707</v>
      </c>
      <c r="C492" s="5" t="s">
        <v>2708</v>
      </c>
      <c r="D492" s="5" t="s">
        <v>38</v>
      </c>
      <c r="E492" s="5" t="s">
        <v>233</v>
      </c>
      <c r="F492" s="5" t="s">
        <v>1678</v>
      </c>
      <c r="G492" s="14" t="str">
        <f t="array" ref="G492">IF(B492="", "",
  LET(_xlpm.spell, IFERROR(IF(F492="", "", INDEX(_xlws.FILTER(Hairstyles!$F:$F, ISNUMBER(SEARCH(F492, Hairstyles!$B:$B))), 1)), "No Spell for Hairstyle"),
  _xlpm.vanillaPrefix, IF(LEFT(_xlpm.spell, 7)="Uvi_Wig", "", ";"),
  ";" &amp; IF(C492="", B492, C492) &amp; IF(M492="", "", " ("&amp;M492&amp;")") &amp; CHAR(10) &amp;
  _xlpm.vanillaPrefix &amp; "Keyword = Uvi_Wig_Distr_KYWD|" &amp; B492 &amp; CHAR(10) &amp;
  _xlpm.vanillaPrefix &amp; "Spell = " &amp; _xlpm.spell &amp; "|" &amp; B492
  )
)</f>
        <v>;Felldir the Old
;Keyword = Uvi_Wig_Distr_KYWD|FelldirTheOld
;Spell = No Spell for Hairstyle|FelldirTheOld</v>
      </c>
    </row>
    <row r="493" ht="12.75" customHeight="1">
      <c r="A493" s="5" t="s">
        <v>2709</v>
      </c>
      <c r="B493" s="5" t="s">
        <v>2710</v>
      </c>
      <c r="C493" s="5" t="s">
        <v>2708</v>
      </c>
      <c r="D493" s="5" t="s">
        <v>38</v>
      </c>
      <c r="E493" s="5" t="s">
        <v>233</v>
      </c>
      <c r="F493" s="5" t="s">
        <v>1678</v>
      </c>
      <c r="G493" s="14" t="str">
        <f t="array" ref="G493">IF(B493="", "",
  LET(_xlpm.spell, IFERROR(IF(F493="", "", INDEX(_xlws.FILTER(Hairstyles!$F:$F, ISNUMBER(SEARCH(F493, Hairstyles!$B:$B))), 1)), "No Spell for Hairstyle"),
  _xlpm.vanillaPrefix, IF(LEFT(_xlpm.spell, 7)="Uvi_Wig", "", ";"),
  ";" &amp; IF(C493="", B493, C493) &amp; IF(M493="", "", " ("&amp;M493&amp;")") &amp; CHAR(10) &amp;
  _xlpm.vanillaPrefix &amp; "Keyword = Uvi_Wig_Distr_KYWD|" &amp; B493 &amp; CHAR(10) &amp;
  _xlpm.vanillaPrefix &amp; "Spell = " &amp; _xlpm.spell &amp; "|" &amp; B493
  )
)</f>
        <v>;Felldir the Old
;Keyword = Uvi_Wig_Distr_KYWD|MQ206Felldir
;Spell = No Spell for Hairstyle|MQ206Felldir</v>
      </c>
    </row>
    <row r="494" ht="12.75" customHeight="1">
      <c r="A494" s="5" t="s">
        <v>2711</v>
      </c>
      <c r="B494" s="5" t="s">
        <v>2712</v>
      </c>
      <c r="C494" s="5" t="s">
        <v>2708</v>
      </c>
      <c r="D494" s="5" t="s">
        <v>38</v>
      </c>
      <c r="E494" s="5" t="s">
        <v>233</v>
      </c>
      <c r="F494" s="5" t="s">
        <v>1678</v>
      </c>
      <c r="G494" s="14" t="str">
        <f t="array" ref="G494">IF(B494="", "",
  LET(_xlpm.spell, IFERROR(IF(F494="", "", INDEX(_xlws.FILTER(Hairstyles!$F:$F, ISNUMBER(SEARCH(F494, Hairstyles!$B:$B))), 1)), "No Spell for Hairstyle"),
  _xlpm.vanillaPrefix, IF(LEFT(_xlpm.spell, 7)="Uvi_Wig", "", ";"),
  ";" &amp; IF(C494="", B494, C494) &amp; IF(M494="", "", " ("&amp;M494&amp;")") &amp; CHAR(10) &amp;
  _xlpm.vanillaPrefix &amp; "Keyword = Uvi_Wig_Distr_KYWD|" &amp; B494 &amp; CHAR(10) &amp;
  _xlpm.vanillaPrefix &amp; "Spell = " &amp; _xlpm.spell &amp; "|" &amp; B494
  )
)</f>
        <v>;Felldir the Old
;Keyword = Uvi_Wig_Distr_KYWD|SummonFelldir
;Spell = No Spell for Hairstyle|SummonFelldir</v>
      </c>
    </row>
    <row r="495" ht="12.75" customHeight="1">
      <c r="A495" s="15" t="s">
        <v>2713</v>
      </c>
      <c r="B495" s="5" t="s">
        <v>2714</v>
      </c>
      <c r="C495" s="5" t="s">
        <v>2715</v>
      </c>
      <c r="D495" s="5" t="s">
        <v>38</v>
      </c>
      <c r="E495" s="5" t="s">
        <v>233</v>
      </c>
      <c r="F495" s="5" t="s">
        <v>235</v>
      </c>
      <c r="G495" s="14" t="str">
        <f t="array" ref="G495">IF(B495="", "",
  LET(_xlpm.spell, IFERROR(IF(F495="", "", INDEX(_xlws.FILTER(Hairstyles!$F:$F, ISNUMBER(SEARCH(F495, Hairstyles!$B:$B))), 1)), "No Spell for Hairstyle"),
  _xlpm.vanillaPrefix, IF(LEFT(_xlpm.spell, 7)="Uvi_Wig", "", ";"),
  ";" &amp; IF(C495="", B495, C495) &amp; IF(M495="", "", " ("&amp;M495&amp;")") &amp; CHAR(10) &amp;
  _xlpm.vanillaPrefix &amp; "Keyword = Uvi_Wig_Distr_KYWD|" &amp; B495 &amp; CHAR(10) &amp;
  _xlpm.vanillaPrefix &amp; "Spell = " &amp; _xlpm.spell &amp; "|" &amp; B495
  )
)</f>
        <v>;Fenrig
;Keyword = Uvi_Wig_Distr_KYWD|T02Fenrig
;Spell = No Spell for Hairstyle|T02Fenrig</v>
      </c>
    </row>
    <row r="496" ht="12.75" customHeight="1">
      <c r="A496" s="5" t="s">
        <v>2716</v>
      </c>
      <c r="B496" s="5" t="s">
        <v>2717</v>
      </c>
      <c r="C496" s="5" t="s">
        <v>2718</v>
      </c>
      <c r="D496" s="5" t="s">
        <v>58</v>
      </c>
      <c r="E496" s="5" t="s">
        <v>41</v>
      </c>
      <c r="F496" s="4" t="s">
        <v>1741</v>
      </c>
      <c r="G496" s="14" t="str">
        <f t="array" ref="G496">IF(B496="", "",
  LET(_xlpm.spell, IFERROR(IF(F496="", "", INDEX(_xlws.FILTER(Hairstyles!$F:$F, ISNUMBER(SEARCH(F496, Hairstyles!$B:$B))), 1)), "No Spell for Hairstyle"),
  _xlpm.vanillaPrefix, IF(LEFT(_xlpm.spell, 7)="Uvi_Wig", "", ";"),
  ";" &amp; IF(C496="", B496, C496) &amp; IF(M496="", "", " ("&amp;M496&amp;")") &amp; CHAR(10) &amp;
  _xlpm.vanillaPrefix &amp; "Keyword = Uvi_Wig_Distr_KYWD|" &amp; B496 &amp; CHAR(10) &amp;
  _xlpm.vanillaPrefix &amp; "Spell = " &amp; _xlpm.spell &amp; "|" &amp; B496
  )
)</f>
        <v>;Feral Vampire
;Keyword = Uvi_Wig_Distr_KYWD|DLC1VCDungeonFeralVampire
;Spell = No Spell for Hairstyle|DLC1VCDungeonFeralVampire</v>
      </c>
    </row>
    <row r="497" ht="12.75" customHeight="1">
      <c r="A497" s="15" t="s">
        <v>2719</v>
      </c>
      <c r="B497" s="5" t="s">
        <v>2720</v>
      </c>
      <c r="C497" s="5" t="s">
        <v>2721</v>
      </c>
      <c r="D497" s="5" t="s">
        <v>50</v>
      </c>
      <c r="E497" s="5" t="s">
        <v>233</v>
      </c>
      <c r="F497" s="5" t="s">
        <v>1787</v>
      </c>
      <c r="G497" s="14" t="str">
        <f t="array" ref="G497">IF(B497="", "",
  LET(_xlpm.spell, IFERROR(IF(F497="", "", INDEX(_xlws.FILTER(Hairstyles!$F:$F, ISNUMBER(SEARCH(F497, Hairstyles!$B:$B))), 1)), "No Spell for Hairstyle"),
  _xlpm.vanillaPrefix, IF(LEFT(_xlpm.spell, 7)="Uvi_Wig", "", ";"),
  ";" &amp; IF(C497="", B497, C497) &amp; IF(M497="", "", " ("&amp;M497&amp;")") &amp; CHAR(10) &amp;
  _xlpm.vanillaPrefix &amp; "Keyword = Uvi_Wig_Distr_KYWD|" &amp; B497 &amp; CHAR(10) &amp;
  _xlpm.vanillaPrefix &amp; "Spell = " &amp; _xlpm.spell &amp; "|" &amp; B497
  )
)</f>
        <v>;Feran Sadri
;Keyword = Uvi_Wig_Distr_KYWD|DLC1FeranSadri
;Spell = No Spell for Hairstyle|DLC1FeranSadri</v>
      </c>
    </row>
    <row r="498" ht="12.75" customHeight="1">
      <c r="A498" s="5" t="s">
        <v>2722</v>
      </c>
      <c r="B498" s="5" t="s">
        <v>2723</v>
      </c>
      <c r="C498" s="5" t="s">
        <v>2724</v>
      </c>
      <c r="D498" s="5" t="s">
        <v>38</v>
      </c>
      <c r="E498" s="5" t="s">
        <v>233</v>
      </c>
      <c r="F498" s="5" t="s">
        <v>521</v>
      </c>
      <c r="G498" s="14" t="str">
        <f t="array" ref="G498">IF(B498="", "",
  LET(_xlpm.spell, IFERROR(IF(F498="", "", INDEX(_xlws.FILTER(Hairstyles!$F:$F, ISNUMBER(SEARCH(F498, Hairstyles!$B:$B))), 1)), "No Spell for Hairstyle"),
  _xlpm.vanillaPrefix, IF(LEFT(_xlpm.spell, 7)="Uvi_Wig", "", ";"),
  ";" &amp; IF(C498="", B498, C498) &amp; IF(M498="", "", " ("&amp;M498&amp;")") &amp; CHAR(10) &amp;
  _xlpm.vanillaPrefix &amp; "Keyword = Uvi_Wig_Distr_KYWD|" &amp; B498 &amp; CHAR(10) &amp;
  _xlpm.vanillaPrefix &amp; "Spell = " &amp; _xlpm.spell &amp; "|" &amp; B498
  )
)</f>
        <v>;Ferryman
;Keyword = Uvi_Wig_Distr_KYWD|DLC1FerrymanTemplateNew
;Spell = No Spell for Hairstyle|DLC1FerrymanTemplateNew</v>
      </c>
    </row>
    <row r="499" ht="12.75" customHeight="1">
      <c r="A499" s="5" t="s">
        <v>2725</v>
      </c>
      <c r="B499" s="5" t="s">
        <v>2726</v>
      </c>
      <c r="C499" s="5" t="s">
        <v>2727</v>
      </c>
      <c r="D499" s="5" t="s">
        <v>51</v>
      </c>
      <c r="E499" s="5" t="s">
        <v>233</v>
      </c>
      <c r="F499" s="5" t="s">
        <v>1622</v>
      </c>
      <c r="G499" s="14" t="str">
        <f t="array" ref="G499">IF(B499="", "",
  LET(_xlpm.spell, IFERROR(IF(F499="", "", INDEX(_xlws.FILTER(Hairstyles!$F:$F, ISNUMBER(SEARCH(F499, Hairstyles!$B:$B))), 1)), "No Spell for Hairstyle"),
  _xlpm.vanillaPrefix, IF(LEFT(_xlpm.spell, 7)="Uvi_Wig", "", ";"),
  ";" &amp; IF(C499="", B499, C499) &amp; IF(M499="", "", " ("&amp;M499&amp;")") &amp; CHAR(10) &amp;
  _xlpm.vanillaPrefix &amp; "Keyword = Uvi_Wig_Distr_KYWD|" &amp; B499 &amp; CHAR(10) &amp;
  _xlpm.vanillaPrefix &amp; "Spell = " &amp; _xlpm.spell &amp; "|" &amp; B499
  )
)</f>
        <v>;Festus Krex
;Keyword = Uvi_Wig_Distr_KYWD|FestusKrex
;Spell = No Spell for Hairstyle|FestusKrex</v>
      </c>
    </row>
    <row r="500" ht="12.75" customHeight="1">
      <c r="A500" s="5" t="s">
        <v>2728</v>
      </c>
      <c r="B500" s="5" t="s">
        <v>2729</v>
      </c>
      <c r="C500" s="5" t="s">
        <v>2727</v>
      </c>
      <c r="D500" s="5" t="s">
        <v>51</v>
      </c>
      <c r="E500" s="5" t="s">
        <v>233</v>
      </c>
      <c r="F500" s="5" t="s">
        <v>1622</v>
      </c>
      <c r="G500" s="14" t="str">
        <f t="array" ref="G500">IF(B500="", "",
  LET(_xlpm.spell, IFERROR(IF(F500="", "", INDEX(_xlws.FILTER(Hairstyles!$F:$F, ISNUMBER(SEARCH(F500, Hairstyles!$B:$B))), 1)), "No Spell for Hairstyle"),
  _xlpm.vanillaPrefix, IF(LEFT(_xlpm.spell, 7)="Uvi_Wig", "", ";"),
  ";" &amp; IF(C500="", B500, C500) &amp; IF(M500="", "", " ("&amp;M500&amp;")") &amp; CHAR(10) &amp;
  _xlpm.vanillaPrefix &amp; "Keyword = Uvi_Wig_Distr_KYWD|" &amp; B500 &amp; CHAR(10) &amp;
  _xlpm.vanillaPrefix &amp; "Spell = " &amp; _xlpm.spell &amp; "|" &amp; B500
  )
)</f>
        <v>;Festus Krex
;Keyword = Uvi_Wig_Distr_KYWD|FestusKrexDead
;Spell = No Spell for Hairstyle|FestusKrexDead</v>
      </c>
    </row>
    <row r="501" ht="12.75" customHeight="1">
      <c r="A501" s="15" t="s">
        <v>2730</v>
      </c>
      <c r="B501" s="5" t="s">
        <v>2731</v>
      </c>
      <c r="C501" s="5" t="s">
        <v>2732</v>
      </c>
      <c r="D501" s="5" t="s">
        <v>45</v>
      </c>
      <c r="E501" s="5" t="s">
        <v>233</v>
      </c>
      <c r="F501" s="5" t="s">
        <v>534</v>
      </c>
      <c r="G501" s="14" t="str">
        <f t="array" ref="G501">IF(B501="", "",
  LET(_xlpm.spell, IFERROR(IF(F501="", "", INDEX(_xlws.FILTER(Hairstyles!$F:$F, ISNUMBER(SEARCH(F501, Hairstyles!$B:$B))), 1)), "No Spell for Hairstyle"),
  _xlpm.vanillaPrefix, IF(LEFT(_xlpm.spell, 7)="Uvi_Wig", "", ";"),
  ";" &amp; IF(C501="", B501, C501) &amp; IF(M501="", "", " ("&amp;M501&amp;")") &amp; CHAR(10) &amp;
  _xlpm.vanillaPrefix &amp; "Keyword = Uvi_Wig_Distr_KYWD|" &amp; B501 &amp; CHAR(10) &amp;
  _xlpm.vanillaPrefix &amp; "Spell = " &amp; _xlpm.spell &amp; "|" &amp; B501
  )
)</f>
        <v>;Fethis Alor
;Keyword = Uvi_Wig_Distr_KYWD|DLC2RRFethisAlor
;Spell = No Spell for Hairstyle|DLC2RRFethisAlor</v>
      </c>
    </row>
    <row r="502" ht="12.75" customHeight="1">
      <c r="A502" s="5" t="s">
        <v>2733</v>
      </c>
      <c r="B502" s="5" t="s">
        <v>2734</v>
      </c>
      <c r="C502" s="5" t="s">
        <v>2734</v>
      </c>
      <c r="D502" s="5" t="s">
        <v>16</v>
      </c>
      <c r="E502" s="5" t="s">
        <v>41</v>
      </c>
      <c r="F502" s="5" t="s">
        <v>22</v>
      </c>
      <c r="G502" s="14" t="str">
        <f t="array" ref="G502">IF(B502="", "",
  LET(_xlpm.spell, IFERROR(IF(F502="", "", INDEX(_xlws.FILTER(Hairstyles!$F:$F, ISNUMBER(SEARCH(F502, Hairstyles!$B:$B))), 1)), "No Spell for Hairstyle"),
  _xlpm.vanillaPrefix, IF(LEFT(_xlpm.spell, 7)="Uvi_Wig", "", ";"),
  ";" &amp; IF(C502="", B502, C502) &amp; IF(M502="", "", " ("&amp;M502&amp;")") &amp; CHAR(10) &amp;
  _xlpm.vanillaPrefix &amp; "Keyword = Uvi_Wig_Distr_KYWD|" &amp; B502 &amp; CHAR(10) &amp;
  _xlpm.vanillaPrefix &amp; "Spell = " &amp; _xlpm.spell &amp; "|" &amp; B502
  )
)</f>
        <v>;Fianna
;Keyword = Uvi_Wig_Distr_KYWD|Fianna
;Spell = No Spell for Hairstyle|Fianna</v>
      </c>
    </row>
    <row r="503" ht="12.75" customHeight="1">
      <c r="A503" s="15" t="s">
        <v>2735</v>
      </c>
      <c r="B503" s="5" t="s">
        <v>2736</v>
      </c>
      <c r="C503" s="5" t="s">
        <v>2736</v>
      </c>
      <c r="D503" s="5" t="s">
        <v>83</v>
      </c>
      <c r="E503" s="5" t="s">
        <v>233</v>
      </c>
      <c r="F503" s="5" t="s">
        <v>475</v>
      </c>
      <c r="G503" s="14" t="str">
        <f t="array" ref="G503">IF(B503="", "",
  LET(_xlpm.spell, IFERROR(IF(F503="", "", INDEX(_xlws.FILTER(Hairstyles!$F:$F, ISNUMBER(SEARCH(F503, Hairstyles!$B:$B))), 1)), "No Spell for Hairstyle"),
  _xlpm.vanillaPrefix, IF(LEFT(_xlpm.spell, 7)="Uvi_Wig", "", ";"),
  ";" &amp; IF(C503="", B503, C503) &amp; IF(M503="", "", " ("&amp;M503&amp;")") &amp; CHAR(10) &amp;
  _xlpm.vanillaPrefix &amp; "Keyword = Uvi_Wig_Distr_KYWD|" &amp; B503 &amp; CHAR(10) &amp;
  _xlpm.vanillaPrefix &amp; "Spell = " &amp; _xlpm.spell &amp; "|" &amp; B503
  )
)</f>
        <v>;Fihada
;Keyword = Uvi_Wig_Distr_KYWD|Fihada
;Spell = No Spell for Hairstyle|Fihada</v>
      </c>
    </row>
    <row r="504" ht="12.75" customHeight="1">
      <c r="A504" s="5" t="s">
        <v>2737</v>
      </c>
      <c r="B504" s="5" t="s">
        <v>2738</v>
      </c>
      <c r="C504" s="5" t="s">
        <v>2738</v>
      </c>
      <c r="D504" s="5" t="s">
        <v>38</v>
      </c>
      <c r="E504" s="5" t="s">
        <v>233</v>
      </c>
      <c r="F504" s="5" t="s">
        <v>1700</v>
      </c>
      <c r="G504" s="14" t="str">
        <f t="array" ref="G504">IF(B504="", "",
  LET(_xlpm.spell, IFERROR(IF(F504="", "", INDEX(_xlws.FILTER(Hairstyles!$F:$F, ISNUMBER(SEARCH(F504, Hairstyles!$B:$B))), 1)), "No Spell for Hairstyle"),
  _xlpm.vanillaPrefix, IF(LEFT(_xlpm.spell, 7)="Uvi_Wig", "", ";"),
  ";" &amp; IF(C504="", B504, C504) &amp; IF(M504="", "", " ("&amp;M504&amp;")") &amp; CHAR(10) &amp;
  _xlpm.vanillaPrefix &amp; "Keyword = Uvi_Wig_Distr_KYWD|" &amp; B504 &amp; CHAR(10) &amp;
  _xlpm.vanillaPrefix &amp; "Spell = " &amp; _xlpm.spell &amp; "|" &amp; B504
  )
)</f>
        <v>;Filnjar
;Keyword = Uvi_Wig_Distr_KYWD|Filnjar
;Spell = No Spell for Hairstyle|Filnjar</v>
      </c>
    </row>
    <row r="505" ht="12.75" customHeight="1">
      <c r="A505" s="5" t="s">
        <v>2739</v>
      </c>
      <c r="B505" s="5" t="s">
        <v>2740</v>
      </c>
      <c r="C505" s="5" t="s">
        <v>2741</v>
      </c>
      <c r="D505" s="5" t="s">
        <v>38</v>
      </c>
      <c r="E505" s="5" t="s">
        <v>41</v>
      </c>
      <c r="F505" s="5" t="s">
        <v>44</v>
      </c>
      <c r="G505" s="14" t="str">
        <f t="array" ref="G505">IF(B505="", "",
  LET(_xlpm.spell, IFERROR(IF(F505="", "", INDEX(_xlws.FILTER(Hairstyles!$F:$F, ISNUMBER(SEARCH(F505, Hairstyles!$B:$B))), 1)), "No Spell for Hairstyle"),
  _xlpm.vanillaPrefix, IF(LEFT(_xlpm.spell, 7)="Uvi_Wig", "", ";"),
  ";" &amp; IF(C505="", B505, C505) &amp; IF(M505="", "", " ("&amp;M505&amp;")") &amp; CHAR(10) &amp;
  _xlpm.vanillaPrefix &amp; "Keyword = Uvi_Wig_Distr_KYWD|" &amp; B505 &amp; CHAR(10) &amp;
  _xlpm.vanillaPrefix &amp; "Spell = " &amp; _xlpm.spell &amp; "|" &amp; B505
  )
)</f>
        <v>;Finna
;Keyword = Uvi_Wig_Distr_KYWD|DLC2SVFinna
;Spell = No Spell for Hairstyle|DLC2SVFinna</v>
      </c>
    </row>
    <row r="506" ht="12.75" customHeight="1">
      <c r="A506" s="5" t="s">
        <v>2742</v>
      </c>
      <c r="B506" s="5" t="s">
        <v>2743</v>
      </c>
      <c r="C506" s="5" t="s">
        <v>2744</v>
      </c>
      <c r="D506" s="5" t="s">
        <v>45</v>
      </c>
      <c r="E506" s="5" t="s">
        <v>233</v>
      </c>
      <c r="F506" s="5" t="s">
        <v>1787</v>
      </c>
      <c r="G506" s="14" t="str">
        <f t="array" ref="G506">IF(B506="", "",
  LET(_xlpm.spell, IFERROR(IF(F506="", "", INDEX(_xlws.FILTER(Hairstyles!$F:$F, ISNUMBER(SEARCH(F506, Hairstyles!$B:$B))), 1)), "No Spell for Hairstyle"),
  _xlpm.vanillaPrefix, IF(LEFT(_xlpm.spell, 7)="Uvi_Wig", "", ";"),
  ";" &amp; IF(C506="", B506, C506) &amp; IF(M506="", "", " ("&amp;M506&amp;")") &amp; CHAR(10) &amp;
  _xlpm.vanillaPrefix &amp; "Keyword = Uvi_Wig_Distr_KYWD|" &amp; B506 &amp; CHAR(10) &amp;
  _xlpm.vanillaPrefix &amp; "Spell = " &amp; _xlpm.spell &amp; "|" &amp; B506
  )
)</f>
        <v>;Fire Mage
;Keyword = Uvi_Wig_Distr_KYWD|EncWarlock04TemplateBossFire
;Spell = No Spell for Hairstyle|EncWarlock04TemplateBossFire</v>
      </c>
    </row>
    <row r="507" ht="12.75" customHeight="1">
      <c r="A507" s="5" t="s">
        <v>2745</v>
      </c>
      <c r="B507" s="5" t="s">
        <v>2746</v>
      </c>
      <c r="C507" s="5" t="s">
        <v>2744</v>
      </c>
      <c r="D507" s="5" t="s">
        <v>45</v>
      </c>
      <c r="E507" s="5" t="s">
        <v>233</v>
      </c>
      <c r="F507" s="5" t="s">
        <v>534</v>
      </c>
      <c r="G507" s="14" t="str">
        <f t="array" ref="G507">IF(B507="", "",
  LET(_xlpm.spell, IFERROR(IF(F507="", "", INDEX(_xlws.FILTER(Hairstyles!$F:$F, ISNUMBER(SEARCH(F507, Hairstyles!$B:$B))), 1)), "No Spell for Hairstyle"),
  _xlpm.vanillaPrefix, IF(LEFT(_xlpm.spell, 7)="Uvi_Wig", "", ";"),
  ";" &amp; IF(C507="", B507, C507) &amp; IF(M507="", "", " ("&amp;M507&amp;")") &amp; CHAR(10) &amp;
  _xlpm.vanillaPrefix &amp; "Keyword = Uvi_Wig_Distr_KYWD|" &amp; B507 &amp; CHAR(10) &amp;
  _xlpm.vanillaPrefix &amp; "Spell = " &amp; _xlpm.spell &amp; "|" &amp; B507
  )
)</f>
        <v>;Fire Mage
;Keyword = Uvi_Wig_Distr_KYWD|EncWarlock04TemplateFire
;Spell = No Spell for Hairstyle|EncWarlock04TemplateFire</v>
      </c>
    </row>
    <row r="508" ht="12.75" customHeight="1">
      <c r="A508" s="5" t="s">
        <v>2747</v>
      </c>
      <c r="B508" s="5" t="s">
        <v>2748</v>
      </c>
      <c r="C508" s="5" t="s">
        <v>2749</v>
      </c>
      <c r="D508" s="5" t="s">
        <v>45</v>
      </c>
      <c r="E508" s="5" t="s">
        <v>233</v>
      </c>
      <c r="F508" s="5" t="s">
        <v>47</v>
      </c>
      <c r="G508" s="14" t="str">
        <f t="array" ref="G508">IF(B508="", "",
  LET(_xlpm.spell, IFERROR(IF(F508="", "", INDEX(_xlws.FILTER(Hairstyles!$F:$F, ISNUMBER(SEARCH(F508, Hairstyles!$B:$B))), 1)), "No Spell for Hairstyle"),
  _xlpm.vanillaPrefix, IF(LEFT(_xlpm.spell, 7)="Uvi_Wig", "", ";"),
  ";" &amp; IF(C508="", B508, C508) &amp; IF(M508="", "", " ("&amp;M508&amp;")") &amp; CHAR(10) &amp;
  _xlpm.vanillaPrefix &amp; "Keyword = Uvi_Wig_Distr_KYWD|" &amp; B508 &amp; CHAR(10) &amp;
  _xlpm.vanillaPrefix &amp; "Spell = " &amp; _xlpm.spell &amp; "|" &amp; B508
  )
)</f>
        <v>;Fire Mage Adept
;Keyword = Uvi_Wig_Distr_KYWD|EncWarlock03TemplateBossFire
;Spell = No Spell for Hairstyle|EncWarlock03TemplateBossFire</v>
      </c>
    </row>
    <row r="509" ht="12.75" customHeight="1">
      <c r="A509" s="5" t="s">
        <v>2750</v>
      </c>
      <c r="B509" s="5" t="s">
        <v>2751</v>
      </c>
      <c r="C509" s="5" t="s">
        <v>2749</v>
      </c>
      <c r="D509" s="5" t="s">
        <v>45</v>
      </c>
      <c r="E509" s="5" t="s">
        <v>233</v>
      </c>
      <c r="F509" s="5" t="s">
        <v>1787</v>
      </c>
      <c r="G509" s="14" t="str">
        <f t="array" ref="G509">IF(B509="", "",
  LET(_xlpm.spell, IFERROR(IF(F509="", "", INDEX(_xlws.FILTER(Hairstyles!$F:$F, ISNUMBER(SEARCH(F509, Hairstyles!$B:$B))), 1)), "No Spell for Hairstyle"),
  _xlpm.vanillaPrefix, IF(LEFT(_xlpm.spell, 7)="Uvi_Wig", "", ";"),
  ";" &amp; IF(C509="", B509, C509) &amp; IF(M509="", "", " ("&amp;M509&amp;")") &amp; CHAR(10) &amp;
  _xlpm.vanillaPrefix &amp; "Keyword = Uvi_Wig_Distr_KYWD|" &amp; B509 &amp; CHAR(10) &amp;
  _xlpm.vanillaPrefix &amp; "Spell = " &amp; _xlpm.spell &amp; "|" &amp; B509
  )
)</f>
        <v>;Fire Mage Adept
;Keyword = Uvi_Wig_Distr_KYWD|EncWarlock03TemplateFire
;Spell = No Spell for Hairstyle|EncWarlock03TemplateFire</v>
      </c>
    </row>
    <row r="510" ht="12.75" customHeight="1">
      <c r="A510" s="5" t="s">
        <v>2752</v>
      </c>
      <c r="B510" s="5" t="s">
        <v>2753</v>
      </c>
      <c r="C510" s="5" t="s">
        <v>2754</v>
      </c>
      <c r="D510" s="5" t="s">
        <v>38</v>
      </c>
      <c r="E510" s="5" t="s">
        <v>41</v>
      </c>
      <c r="F510" s="5" t="s">
        <v>69</v>
      </c>
      <c r="G510" s="14" t="str">
        <f t="array" ref="G510">IF(B510="", "",
  LET(_xlpm.spell, IFERROR(IF(F510="", "", INDEX(_xlws.FILTER(Hairstyles!$F:$F, ISNUMBER(SEARCH(F510, Hairstyles!$B:$B))), 1)), "No Spell for Hairstyle"),
  _xlpm.vanillaPrefix, IF(LEFT(_xlpm.spell, 7)="Uvi_Wig", "", ";"),
  ";" &amp; IF(C510="", B510, C510) &amp; IF(M510="", "", " ("&amp;M510&amp;")") &amp; CHAR(10) &amp;
  _xlpm.vanillaPrefix &amp; "Keyword = Uvi_Wig_Distr_KYWD|" &amp; B510 &amp; CHAR(10) &amp;
  _xlpm.vanillaPrefix &amp; "Spell = " &amp; _xlpm.spell &amp; "|" &amp; B510
  )
)</f>
        <v>;Fire Spirit
;Keyword = Uvi_Wig_Distr_KYWD|dunLabyrinthianFireMagi
;Spell = No Spell for Hairstyle|dunLabyrinthianFireMagi</v>
      </c>
    </row>
    <row r="511" ht="12.75" customHeight="1">
      <c r="A511" s="5" t="s">
        <v>2755</v>
      </c>
      <c r="B511" s="5" t="s">
        <v>2756</v>
      </c>
      <c r="C511" s="5" t="s">
        <v>2757</v>
      </c>
      <c r="D511" s="5" t="s">
        <v>45</v>
      </c>
      <c r="E511" s="5" t="s">
        <v>233</v>
      </c>
      <c r="F511" s="5" t="s">
        <v>1684</v>
      </c>
      <c r="G511" s="14" t="str">
        <f t="array" ref="G511">IF(B511="", "",
  LET(_xlpm.spell, IFERROR(IF(F511="", "", INDEX(_xlws.FILTER(Hairstyles!$F:$F, ISNUMBER(SEARCH(F511, Hairstyles!$B:$B))), 1)), "No Spell for Hairstyle"),
  _xlpm.vanillaPrefix, IF(LEFT(_xlpm.spell, 7)="Uvi_Wig", "", ";"),
  ";" &amp; IF(C511="", B511, C511) &amp; IF(M511="", "", " ("&amp;M511&amp;")") &amp; CHAR(10) &amp;
  _xlpm.vanillaPrefix &amp; "Keyword = Uvi_Wig_Distr_KYWD|" &amp; B511 &amp; CHAR(10) &amp;
  _xlpm.vanillaPrefix &amp; "Spell = " &amp; _xlpm.spell &amp; "|" &amp; B511
  )
)</f>
        <v>;Fire Wizard
;Keyword = Uvi_Wig_Distr_KYWD|EncWarlock05TemplateBossFire
;Spell = No Spell for Hairstyle|EncWarlock05TemplateBossFire</v>
      </c>
    </row>
    <row r="512" ht="12.75" customHeight="1">
      <c r="A512" s="5" t="s">
        <v>2758</v>
      </c>
      <c r="B512" s="5" t="s">
        <v>2759</v>
      </c>
      <c r="C512" s="5" t="s">
        <v>2757</v>
      </c>
      <c r="D512" s="5" t="s">
        <v>45</v>
      </c>
      <c r="E512" s="5" t="s">
        <v>233</v>
      </c>
      <c r="F512" s="5" t="s">
        <v>47</v>
      </c>
      <c r="G512" s="14" t="str">
        <f t="array" ref="G512">IF(B512="", "",
  LET(_xlpm.spell, IFERROR(IF(F512="", "", INDEX(_xlws.FILTER(Hairstyles!$F:$F, ISNUMBER(SEARCH(F512, Hairstyles!$B:$B))), 1)), "No Spell for Hairstyle"),
  _xlpm.vanillaPrefix, IF(LEFT(_xlpm.spell, 7)="Uvi_Wig", "", ";"),
  ";" &amp; IF(C512="", B512, C512) &amp; IF(M512="", "", " ("&amp;M512&amp;")") &amp; CHAR(10) &amp;
  _xlpm.vanillaPrefix &amp; "Keyword = Uvi_Wig_Distr_KYWD|" &amp; B512 &amp; CHAR(10) &amp;
  _xlpm.vanillaPrefix &amp; "Spell = " &amp; _xlpm.spell &amp; "|" &amp; B512
  )
)</f>
        <v>;Fire Wizard
;Keyword = Uvi_Wig_Distr_KYWD|EncWarlock05TemplateFire
;Spell = No Spell for Hairstyle|EncWarlock05TemplateFire</v>
      </c>
    </row>
    <row r="513" ht="12.75" customHeight="1">
      <c r="A513" s="5" t="s">
        <v>2760</v>
      </c>
      <c r="B513" s="5" t="s">
        <v>2761</v>
      </c>
      <c r="C513" s="5" t="s">
        <v>2762</v>
      </c>
      <c r="D513" s="5" t="s">
        <v>83</v>
      </c>
      <c r="E513" s="5" t="s">
        <v>233</v>
      </c>
      <c r="F513" s="5" t="s">
        <v>762</v>
      </c>
      <c r="G513" s="14" t="str">
        <f t="array" ref="G513">IF(B513="", "",
  LET(_xlpm.spell, IFERROR(IF(F513="", "", INDEX(_xlws.FILTER(Hairstyles!$F:$F, ISNUMBER(SEARCH(F513, Hairstyles!$B:$B))), 1)), "No Spell for Hairstyle"),
  _xlpm.vanillaPrefix, IF(LEFT(_xlpm.spell, 7)="Uvi_Wig", "", ";"),
  ";" &amp; IF(C513="", B513, C513) &amp; IF(M513="", "", " ("&amp;M513&amp;")") &amp; CHAR(10) &amp;
  _xlpm.vanillaPrefix &amp; "Keyword = Uvi_Wig_Distr_KYWD|" &amp; B513 &amp; CHAR(10) &amp;
  _xlpm.vanillaPrefix &amp; "Spell = " &amp; _xlpm.spell &amp; "|" &amp; B513
  )
)</f>
        <v>;Firir
;Keyword = Uvi_Wig_Distr_KYWD|dunChillwindFalmerPrisonerFirir
;Spell = No Spell for Hairstyle|dunChillwindFalmerPrisonerFirir</v>
      </c>
    </row>
    <row r="514" ht="12.75" customHeight="1">
      <c r="A514" s="5" t="s">
        <v>2763</v>
      </c>
      <c r="B514" s="5" t="s">
        <v>2764</v>
      </c>
      <c r="C514" s="5" t="s">
        <v>2765</v>
      </c>
      <c r="D514" s="5" t="s">
        <v>38</v>
      </c>
      <c r="E514" s="5" t="s">
        <v>233</v>
      </c>
      <c r="F514" s="5" t="s">
        <v>1906</v>
      </c>
      <c r="G514" s="14" t="str">
        <f t="array" ref="G514">IF(B514="", "",
  LET(_xlpm.spell, IFERROR(IF(F514="", "", INDEX(_xlws.FILTER(Hairstyles!$F:$F, ISNUMBER(SEARCH(F514, Hairstyles!$B:$B))), 1)), "No Spell for Hairstyle"),
  _xlpm.vanillaPrefix, IF(LEFT(_xlpm.spell, 7)="Uvi_Wig", "", ";"),
  ";" &amp; IF(C514="", B514, C514) &amp; IF(M514="", "", " ("&amp;M514&amp;")") &amp; CHAR(10) &amp;
  _xlpm.vanillaPrefix &amp; "Keyword = Uvi_Wig_Distr_KYWD|" &amp; B514 &amp; CHAR(10) &amp;
  _xlpm.vanillaPrefix &amp; "Spell = " &amp; _xlpm.spell &amp; "|" &amp; B514
  )
)</f>
        <v>;Fish Hatchery
;Keyword = Uvi_Wig_Distr_KYWD|BYOHFishHatcheryNPC
;Spell = No Spell for Hairstyle|BYOHFishHatcheryNPC</v>
      </c>
    </row>
    <row r="515" ht="12.75" customHeight="1">
      <c r="A515" s="5" t="s">
        <v>2766</v>
      </c>
      <c r="B515" s="5" t="s">
        <v>2767</v>
      </c>
      <c r="C515" s="5" t="s">
        <v>2768</v>
      </c>
      <c r="D515" s="5" t="s">
        <v>38</v>
      </c>
      <c r="E515" s="5" t="s">
        <v>41</v>
      </c>
      <c r="F515" s="5" t="s">
        <v>1694</v>
      </c>
      <c r="G515" s="14" t="str">
        <f t="array" ref="G515">IF(B515="", "",
  LET(_xlpm.spell, IFERROR(IF(F515="", "", INDEX(_xlws.FILTER(Hairstyles!$F:$F, ISNUMBER(SEARCH(F515, Hairstyles!$B:$B))), 1)), "No Spell for Hairstyle"),
  _xlpm.vanillaPrefix, IF(LEFT(_xlpm.spell, 7)="Uvi_Wig", "", ";"),
  ";" &amp; IF(C515="", B515, C515) &amp; IF(M515="", "", " ("&amp;M515&amp;")") &amp; CHAR(10) &amp;
  _xlpm.vanillaPrefix &amp; "Keyword = Uvi_Wig_Distr_KYWD|" &amp; B515 &amp; CHAR(10) &amp;
  _xlpm.vanillaPrefix &amp; "Spell = " &amp; _xlpm.spell &amp; "|" &amp; B515
  )
)</f>
        <v>;Fjori
;Keyword = Uvi_Wig_Distr_KYWD|dunAnsilvundFemaleGhost
;Spell = No Spell for Hairstyle|dunAnsilvundFemaleGhost</v>
      </c>
    </row>
    <row r="516" ht="12.75" customHeight="1">
      <c r="A516" s="5" t="s">
        <v>2769</v>
      </c>
      <c r="B516" s="5" t="s">
        <v>2770</v>
      </c>
      <c r="C516" s="5" t="s">
        <v>2770</v>
      </c>
      <c r="D516" s="5" t="s">
        <v>74</v>
      </c>
      <c r="E516" s="5" t="s">
        <v>41</v>
      </c>
      <c r="F516" s="5" t="s">
        <v>62</v>
      </c>
      <c r="G516" s="14" t="str">
        <f t="array" ref="G516">IF(B516="", "",
  LET(_xlpm.spell, IFERROR(IF(F516="", "", INDEX(_xlws.FILTER(Hairstyles!$F:$F, ISNUMBER(SEARCH(F516, Hairstyles!$B:$B))), 1)), "No Spell for Hairstyle"),
  _xlpm.vanillaPrefix, IF(LEFT(_xlpm.spell, 7)="Uvi_Wig", "", ";"),
  ";" &amp; IF(C516="", B516, C516) &amp; IF(M516="", "", " ("&amp;M516&amp;")") &amp; CHAR(10) &amp;
  _xlpm.vanillaPrefix &amp; "Keyword = Uvi_Wig_Distr_KYWD|" &amp; B516 &amp; CHAR(10) &amp;
  _xlpm.vanillaPrefix &amp; "Spell = " &amp; _xlpm.spell &amp; "|" &amp; B516
  )
)</f>
        <v>;Fjotra
;Keyword = Uvi_Wig_Distr_KYWD|Fjotra
;Spell = No Spell for Hairstyle|Fjotra</v>
      </c>
    </row>
    <row r="517" ht="12.75" customHeight="1">
      <c r="A517" s="5" t="s">
        <v>2771</v>
      </c>
      <c r="B517" s="5" t="s">
        <v>2772</v>
      </c>
      <c r="C517" s="5" t="s">
        <v>2773</v>
      </c>
      <c r="D517" s="5" t="s">
        <v>59</v>
      </c>
      <c r="E517" s="5" t="s">
        <v>233</v>
      </c>
      <c r="F517" s="5" t="s">
        <v>84</v>
      </c>
      <c r="G517" s="14" t="str">
        <f t="array" ref="G517">IF(B517="", "",
  LET(_xlpm.spell, IFERROR(IF(F517="", "", INDEX(_xlws.FILTER(Hairstyles!$F:$F, ISNUMBER(SEARCH(F517, Hairstyles!$B:$B))), 1)), "No Spell for Hairstyle"),
  _xlpm.vanillaPrefix, IF(LEFT(_xlpm.spell, 7)="Uvi_Wig", "", ";"),
  ";" &amp; IF(C517="", B517, C517) &amp; IF(M517="", "", " ("&amp;M517&amp;")") &amp; CHAR(10) &amp;
  _xlpm.vanillaPrefix &amp; "Keyword = Uvi_Wig_Distr_KYWD|" &amp; B517 &amp; CHAR(10) &amp;
  _xlpm.vanillaPrefix &amp; "Spell = " &amp; _xlpm.spell &amp; "|" &amp; B517
  )
)</f>
        <v>;Florentius Baenius
;Keyword = Uvi_Wig_Distr_KYWD|DLC1FlorentiusBaenius
;Spell = No Spell for Hairstyle|DLC1FlorentiusBaenius</v>
      </c>
    </row>
    <row r="518" ht="12.75" customHeight="1">
      <c r="A518" s="5" t="s">
        <v>2774</v>
      </c>
      <c r="B518" s="5" t="s">
        <v>2775</v>
      </c>
      <c r="C518" s="5" t="s">
        <v>2776</v>
      </c>
      <c r="D518" s="5" t="s">
        <v>16</v>
      </c>
      <c r="E518" s="5" t="s">
        <v>233</v>
      </c>
      <c r="F518" s="5" t="s">
        <v>19</v>
      </c>
      <c r="G518" s="14" t="str">
        <f t="array" ref="G518">IF(B518="", "",
  LET(_xlpm.spell, IFERROR(IF(F518="", "", INDEX(_xlws.FILTER(Hairstyles!$F:$F, ISNUMBER(SEARCH(F518, Hairstyles!$B:$B))), 1)), "No Spell for Hairstyle"),
  _xlpm.vanillaPrefix, IF(LEFT(_xlpm.spell, 7)="Uvi_Wig", "", ";"),
  ";" &amp; IF(C518="", B518, C518) &amp; IF(M518="", "", " ("&amp;M518&amp;")") &amp; CHAR(10) &amp;
  _xlpm.vanillaPrefix &amp; "Keyword = Uvi_Wig_Distr_KYWD|" &amp; B518 &amp; CHAR(10) &amp;
  _xlpm.vanillaPrefix &amp; "Spell = " &amp; _xlpm.spell &amp; "|" &amp; B518
  )
)</f>
        <v>;Forsworn
;Keyword = Uvi_Wig_Distr_KYWD|EncForsworn00Template
;Spell = No Spell for Hairstyle|EncForsworn00Template</v>
      </c>
    </row>
    <row r="519" ht="12.75" customHeight="1">
      <c r="A519" s="5" t="s">
        <v>2777</v>
      </c>
      <c r="B519" s="5" t="s">
        <v>2778</v>
      </c>
      <c r="C519" s="5" t="s">
        <v>2779</v>
      </c>
      <c r="D519" s="5" t="s">
        <v>16</v>
      </c>
      <c r="E519" s="5" t="s">
        <v>233</v>
      </c>
      <c r="F519" s="5" t="s">
        <v>235</v>
      </c>
      <c r="G519" s="14" t="str">
        <f t="array" ref="G519">IF(B519="", "",
  LET(_xlpm.spell, IFERROR(IF(F519="", "", INDEX(_xlws.FILTER(Hairstyles!$F:$F, ISNUMBER(SEARCH(F519, Hairstyles!$B:$B))), 1)), "No Spell for Hairstyle"),
  _xlpm.vanillaPrefix, IF(LEFT(_xlpm.spell, 7)="Uvi_Wig", "", ";"),
  ";" &amp; IF(C519="", B519, C519) &amp; IF(M519="", "", " ("&amp;M519&amp;")") &amp; CHAR(10) &amp;
  _xlpm.vanillaPrefix &amp; "Keyword = Uvi_Wig_Distr_KYWD|" &amp; B519 &amp; CHAR(10) &amp;
  _xlpm.vanillaPrefix &amp; "Spell = " &amp; _xlpm.spell &amp; "|" &amp; B519
  )
)</f>
        <v>;Forsworn Briarheart
;Keyword = Uvi_Wig_Distr_KYWD|EncForsworn02TemplateBossMagic
;Spell = No Spell for Hairstyle|EncForsworn02TemplateBossMagic</v>
      </c>
    </row>
    <row r="520" ht="12.75" customHeight="1">
      <c r="A520" s="5" t="s">
        <v>2780</v>
      </c>
      <c r="B520" s="5" t="s">
        <v>2781</v>
      </c>
      <c r="C520" s="5" t="s">
        <v>2779</v>
      </c>
      <c r="D520" s="5" t="s">
        <v>16</v>
      </c>
      <c r="E520" s="5" t="s">
        <v>233</v>
      </c>
      <c r="F520" s="5" t="s">
        <v>84</v>
      </c>
      <c r="G520" s="14" t="str">
        <f t="array" ref="G520">IF(B520="", "",
  LET(_xlpm.spell, IFERROR(IF(F520="", "", INDEX(_xlws.FILTER(Hairstyles!$F:$F, ISNUMBER(SEARCH(F520, Hairstyles!$B:$B))), 1)), "No Spell for Hairstyle"),
  _xlpm.vanillaPrefix, IF(LEFT(_xlpm.spell, 7)="Uvi_Wig", "", ";"),
  ";" &amp; IF(C520="", B520, C520) &amp; IF(M520="", "", " ("&amp;M520&amp;")") &amp; CHAR(10) &amp;
  _xlpm.vanillaPrefix &amp; "Keyword = Uvi_Wig_Distr_KYWD|" &amp; B520 &amp; CHAR(10) &amp;
  _xlpm.vanillaPrefix &amp; "Spell = " &amp; _xlpm.spell &amp; "|" &amp; B520
  )
)</f>
        <v>;Forsworn Briarheart
;Keyword = Uvi_Wig_Distr_KYWD|EncForsworn02TemplateBossMelee
;Spell = No Spell for Hairstyle|EncForsworn02TemplateBossMelee</v>
      </c>
    </row>
    <row r="521" ht="12.75" customHeight="1">
      <c r="A521" s="5" t="s">
        <v>2782</v>
      </c>
      <c r="B521" s="5" t="s">
        <v>2783</v>
      </c>
      <c r="C521" s="5" t="s">
        <v>2779</v>
      </c>
      <c r="D521" s="5" t="s">
        <v>16</v>
      </c>
      <c r="E521" s="5" t="s">
        <v>233</v>
      </c>
      <c r="F521" s="5" t="s">
        <v>1700</v>
      </c>
      <c r="G521" s="14" t="str">
        <f t="array" ref="G521">IF(B521="", "",
  LET(_xlpm.spell, IFERROR(IF(F521="", "", INDEX(_xlws.FILTER(Hairstyles!$F:$F, ISNUMBER(SEARCH(F521, Hairstyles!$B:$B))), 1)), "No Spell for Hairstyle"),
  _xlpm.vanillaPrefix, IF(LEFT(_xlpm.spell, 7)="Uvi_Wig", "", ";"),
  ";" &amp; IF(C521="", B521, C521) &amp; IF(M521="", "", " ("&amp;M521&amp;")") &amp; CHAR(10) &amp;
  _xlpm.vanillaPrefix &amp; "Keyword = Uvi_Wig_Distr_KYWD|" &amp; B521 &amp; CHAR(10) &amp;
  _xlpm.vanillaPrefix &amp; "Spell = " &amp; _xlpm.spell &amp; "|" &amp; B521
  )
)</f>
        <v>;Forsworn Briarheart
;Keyword = Uvi_Wig_Distr_KYWD|EncForsworn03TemplateBossMagic
;Spell = No Spell for Hairstyle|EncForsworn03TemplateBossMagic</v>
      </c>
    </row>
    <row r="522" ht="12.75" customHeight="1">
      <c r="A522" s="5" t="s">
        <v>2784</v>
      </c>
      <c r="B522" s="5" t="s">
        <v>2785</v>
      </c>
      <c r="C522" s="5" t="s">
        <v>2779</v>
      </c>
      <c r="D522" s="5" t="s">
        <v>16</v>
      </c>
      <c r="E522" s="5" t="s">
        <v>233</v>
      </c>
      <c r="F522" s="5" t="s">
        <v>1622</v>
      </c>
      <c r="G522" s="14" t="str">
        <f t="array" ref="G522">IF(B522="", "",
  LET(_xlpm.spell, IFERROR(IF(F522="", "", INDEX(_xlws.FILTER(Hairstyles!$F:$F, ISNUMBER(SEARCH(F522, Hairstyles!$B:$B))), 1)), "No Spell for Hairstyle"),
  _xlpm.vanillaPrefix, IF(LEFT(_xlpm.spell, 7)="Uvi_Wig", "", ";"),
  ";" &amp; IF(C522="", B522, C522) &amp; IF(M522="", "", " ("&amp;M522&amp;")") &amp; CHAR(10) &amp;
  _xlpm.vanillaPrefix &amp; "Keyword = Uvi_Wig_Distr_KYWD|" &amp; B522 &amp; CHAR(10) &amp;
  _xlpm.vanillaPrefix &amp; "Spell = " &amp; _xlpm.spell &amp; "|" &amp; B522
  )
)</f>
        <v>;Forsworn Briarheart
;Keyword = Uvi_Wig_Distr_KYWD|EncForsworn03TemplateBossMelee
;Spell = No Spell for Hairstyle|EncForsworn03TemplateBossMelee</v>
      </c>
    </row>
    <row r="523" ht="12.75" customHeight="1">
      <c r="A523" s="5" t="s">
        <v>2786</v>
      </c>
      <c r="B523" s="5" t="s">
        <v>2787</v>
      </c>
      <c r="C523" s="5" t="s">
        <v>2779</v>
      </c>
      <c r="D523" s="5" t="s">
        <v>16</v>
      </c>
      <c r="E523" s="5" t="s">
        <v>233</v>
      </c>
      <c r="F523" s="5" t="s">
        <v>215</v>
      </c>
      <c r="G523" s="14" t="str">
        <f t="array" ref="G523">IF(B523="", "",
  LET(_xlpm.spell, IFERROR(IF(F523="", "", INDEX(_xlws.FILTER(Hairstyles!$F:$F, ISNUMBER(SEARCH(F523, Hairstyles!$B:$B))), 1)), "No Spell for Hairstyle"),
  _xlpm.vanillaPrefix, IF(LEFT(_xlpm.spell, 7)="Uvi_Wig", "", ";"),
  ";" &amp; IF(C523="", B523, C523) &amp; IF(M523="", "", " ("&amp;M523&amp;")") &amp; CHAR(10) &amp;
  _xlpm.vanillaPrefix &amp; "Keyword = Uvi_Wig_Distr_KYWD|" &amp; B523 &amp; CHAR(10) &amp;
  _xlpm.vanillaPrefix &amp; "Spell = " &amp; _xlpm.spell &amp; "|" &amp; B523
  )
)</f>
        <v>;Forsworn Briarheart
;Keyword = Uvi_Wig_Distr_KYWD|EncForsworn04TemplateBossMagic
;Spell = No Spell for Hairstyle|EncForsworn04TemplateBossMagic</v>
      </c>
    </row>
    <row r="524" ht="12.75" customHeight="1">
      <c r="A524" s="5" t="s">
        <v>2788</v>
      </c>
      <c r="B524" s="5" t="s">
        <v>2789</v>
      </c>
      <c r="C524" s="5" t="s">
        <v>2779</v>
      </c>
      <c r="D524" s="5" t="s">
        <v>16</v>
      </c>
      <c r="E524" s="5" t="s">
        <v>233</v>
      </c>
      <c r="F524" s="5" t="s">
        <v>1088</v>
      </c>
      <c r="G524" s="14" t="str">
        <f t="array" ref="G524">IF(B524="", "",
  LET(_xlpm.spell, IFERROR(IF(F524="", "", INDEX(_xlws.FILTER(Hairstyles!$F:$F, ISNUMBER(SEARCH(F524, Hairstyles!$B:$B))), 1)), "No Spell for Hairstyle"),
  _xlpm.vanillaPrefix, IF(LEFT(_xlpm.spell, 7)="Uvi_Wig", "", ";"),
  ";" &amp; IF(C524="", B524, C524) &amp; IF(M524="", "", " ("&amp;M524&amp;")") &amp; CHAR(10) &amp;
  _xlpm.vanillaPrefix &amp; "Keyword = Uvi_Wig_Distr_KYWD|" &amp; B524 &amp; CHAR(10) &amp;
  _xlpm.vanillaPrefix &amp; "Spell = " &amp; _xlpm.spell &amp; "|" &amp; B524
  )
)</f>
        <v>;Forsworn Briarheart
;Keyword = Uvi_Wig_Distr_KYWD|EncForsworn04TemplateBossMelee
;Spell = No Spell for Hairstyle|EncForsworn04TemplateBossMelee</v>
      </c>
    </row>
    <row r="525" ht="12.75" customHeight="1">
      <c r="A525" s="15" t="s">
        <v>2790</v>
      </c>
      <c r="B525" s="5" t="s">
        <v>2791</v>
      </c>
      <c r="C525" s="5" t="s">
        <v>2779</v>
      </c>
      <c r="D525" s="5" t="s">
        <v>16</v>
      </c>
      <c r="E525" s="5" t="s">
        <v>233</v>
      </c>
      <c r="F525" s="5" t="s">
        <v>1596</v>
      </c>
      <c r="G525" s="14" t="str">
        <f t="array" ref="G525">IF(B525="", "",
  LET(_xlpm.spell, IFERROR(IF(F525="", "", INDEX(_xlws.FILTER(Hairstyles!$F:$F, ISNUMBER(SEARCH(F525, Hairstyles!$B:$B))), 1)), "No Spell for Hairstyle"),
  _xlpm.vanillaPrefix, IF(LEFT(_xlpm.spell, 7)="Uvi_Wig", "", ";"),
  ";" &amp; IF(C525="", B525, C525) &amp; IF(M525="", "", " ("&amp;M525&amp;")") &amp; CHAR(10) &amp;
  _xlpm.vanillaPrefix &amp; "Keyword = Uvi_Wig_Distr_KYWD|" &amp; B525 &amp; CHAR(10) &amp;
  _xlpm.vanillaPrefix &amp; "Spell = " &amp; _xlpm.spell &amp; "|" &amp; B525
  )
)</f>
        <v>;Forsworn Briarheart
;Keyword = Uvi_Wig_Distr_KYWD|EncForsworn05TemplateBossMagic
;Spell = No Spell for Hairstyle|EncForsworn05TemplateBossMagic</v>
      </c>
    </row>
    <row r="526" ht="12.75" customHeight="1">
      <c r="A526" s="15" t="s">
        <v>2792</v>
      </c>
      <c r="B526" s="5" t="s">
        <v>2793</v>
      </c>
      <c r="C526" s="5" t="s">
        <v>2779</v>
      </c>
      <c r="D526" s="5" t="s">
        <v>16</v>
      </c>
      <c r="E526" s="5" t="s">
        <v>233</v>
      </c>
      <c r="F526" s="5" t="s">
        <v>1894</v>
      </c>
      <c r="G526" s="14" t="str">
        <f t="array" ref="G526">IF(B526="", "",
  LET(_xlpm.spell, IFERROR(IF(F526="", "", INDEX(_xlws.FILTER(Hairstyles!$F:$F, ISNUMBER(SEARCH(F526, Hairstyles!$B:$B))), 1)), "No Spell for Hairstyle"),
  _xlpm.vanillaPrefix, IF(LEFT(_xlpm.spell, 7)="Uvi_Wig", "", ";"),
  ";" &amp; IF(C526="", B526, C526) &amp; IF(M526="", "", " ("&amp;M526&amp;")") &amp; CHAR(10) &amp;
  _xlpm.vanillaPrefix &amp; "Keyword = Uvi_Wig_Distr_KYWD|" &amp; B526 &amp; CHAR(10) &amp;
  _xlpm.vanillaPrefix &amp; "Spell = " &amp; _xlpm.spell &amp; "|" &amp; B526
  )
)</f>
        <v>;Forsworn Briarheart
;Keyword = Uvi_Wig_Distr_KYWD|EncForsworn05TemplateBossMelee
;Spell = No Spell for Hairstyle|EncForsworn05TemplateBossMelee</v>
      </c>
    </row>
    <row r="527" ht="12.75" customHeight="1">
      <c r="A527" s="15" t="s">
        <v>2794</v>
      </c>
      <c r="B527" s="5" t="s">
        <v>2795</v>
      </c>
      <c r="C527" s="5" t="s">
        <v>2779</v>
      </c>
      <c r="D527" s="5" t="s">
        <v>16</v>
      </c>
      <c r="E527" s="5" t="s">
        <v>233</v>
      </c>
      <c r="F527" s="5" t="s">
        <v>1622</v>
      </c>
      <c r="G527" s="14" t="str">
        <f t="array" ref="G527">IF(B527="", "",
  LET(_xlpm.spell, IFERROR(IF(F527="", "", INDEX(_xlws.FILTER(Hairstyles!$F:$F, ISNUMBER(SEARCH(F527, Hairstyles!$B:$B))), 1)), "No Spell for Hairstyle"),
  _xlpm.vanillaPrefix, IF(LEFT(_xlpm.spell, 7)="Uvi_Wig", "", ";"),
  ";" &amp; IF(C527="", B527, C527) &amp; IF(M527="", "", " ("&amp;M527&amp;")") &amp; CHAR(10) &amp;
  _xlpm.vanillaPrefix &amp; "Keyword = Uvi_Wig_Distr_KYWD|" &amp; B527 &amp; CHAR(10) &amp;
  _xlpm.vanillaPrefix &amp; "Spell = " &amp; _xlpm.spell &amp; "|" &amp; B527
  )
)</f>
        <v>;Forsworn Briarheart
;Keyword = Uvi_Wig_Distr_KYWD|EncForsworn06TemplateBossMagic
;Spell = No Spell for Hairstyle|EncForsworn06TemplateBossMagic</v>
      </c>
    </row>
    <row r="528" ht="12.75" customHeight="1">
      <c r="A528" s="15" t="s">
        <v>2796</v>
      </c>
      <c r="B528" s="5" t="s">
        <v>2797</v>
      </c>
      <c r="C528" s="5" t="s">
        <v>2779</v>
      </c>
      <c r="D528" s="5" t="s">
        <v>16</v>
      </c>
      <c r="E528" s="5" t="s">
        <v>233</v>
      </c>
      <c r="F528" s="5" t="s">
        <v>234</v>
      </c>
      <c r="G528" s="14" t="str">
        <f t="array" ref="G528">IF(B528="", "",
  LET(_xlpm.spell, IFERROR(IF(F528="", "", INDEX(_xlws.FILTER(Hairstyles!$F:$F, ISNUMBER(SEARCH(F528, Hairstyles!$B:$B))), 1)), "No Spell for Hairstyle"),
  _xlpm.vanillaPrefix, IF(LEFT(_xlpm.spell, 7)="Uvi_Wig", "", ";"),
  ";" &amp; IF(C528="", B528, C528) &amp; IF(M528="", "", " ("&amp;M528&amp;")") &amp; CHAR(10) &amp;
  _xlpm.vanillaPrefix &amp; "Keyword = Uvi_Wig_Distr_KYWD|" &amp; B528 &amp; CHAR(10) &amp;
  _xlpm.vanillaPrefix &amp; "Spell = " &amp; _xlpm.spell &amp; "|" &amp; B528
  )
)</f>
        <v>;Forsworn Briarheart
;Keyword = Uvi_Wig_Distr_KYWD|EncForsworn06TemplateBossMelee
;Spell = No Spell for Hairstyle|EncForsworn06TemplateBossMelee</v>
      </c>
    </row>
    <row r="529" ht="12.75" customHeight="1">
      <c r="A529" s="5" t="s">
        <v>2798</v>
      </c>
      <c r="B529" s="5" t="s">
        <v>2799</v>
      </c>
      <c r="C529" s="5" t="s">
        <v>2800</v>
      </c>
      <c r="D529" s="5" t="s">
        <v>16</v>
      </c>
      <c r="E529" s="5" t="s">
        <v>233</v>
      </c>
      <c r="F529" s="5" t="s">
        <v>235</v>
      </c>
      <c r="G529" s="14" t="str">
        <f t="array" ref="G529">IF(B529="", "",
  LET(_xlpm.spell, IFERROR(IF(F529="", "", INDEX(_xlws.FILTER(Hairstyles!$F:$F, ISNUMBER(SEARCH(F529, Hairstyles!$B:$B))), 1)), "No Spell for Hairstyle"),
  _xlpm.vanillaPrefix, IF(LEFT(_xlpm.spell, 7)="Uvi_Wig", "", ";"),
  ";" &amp; IF(C529="", B529, C529) &amp; IF(M529="", "", " ("&amp;M529&amp;")") &amp; CHAR(10) &amp;
  _xlpm.vanillaPrefix &amp; "Keyword = Uvi_Wig_Distr_KYWD|" &amp; B529 &amp; CHAR(10) &amp;
  _xlpm.vanillaPrefix &amp; "Spell = " &amp; _xlpm.spell &amp; "|" &amp; B529
  )
)</f>
        <v>;Forsworn Forager
;Keyword = Uvi_Wig_Distr_KYWD|EncForsworn02TemplateMagic
;Spell = No Spell for Hairstyle|EncForsworn02TemplateMagic</v>
      </c>
    </row>
    <row r="530" ht="12.75" customHeight="1">
      <c r="A530" s="5" t="s">
        <v>2801</v>
      </c>
      <c r="B530" s="5" t="s">
        <v>2802</v>
      </c>
      <c r="C530" s="5" t="s">
        <v>2800</v>
      </c>
      <c r="D530" s="5" t="s">
        <v>16</v>
      </c>
      <c r="E530" s="5" t="s">
        <v>233</v>
      </c>
      <c r="F530" s="5" t="s">
        <v>19</v>
      </c>
      <c r="G530" s="14" t="str">
        <f t="array" ref="G530">IF(B530="", "",
  LET(_xlpm.spell, IFERROR(IF(F530="", "", INDEX(_xlws.FILTER(Hairstyles!$F:$F, ISNUMBER(SEARCH(F530, Hairstyles!$B:$B))), 1)), "No Spell for Hairstyle"),
  _xlpm.vanillaPrefix, IF(LEFT(_xlpm.spell, 7)="Uvi_Wig", "", ";"),
  ";" &amp; IF(C530="", B530, C530) &amp; IF(M530="", "", " ("&amp;M530&amp;")") &amp; CHAR(10) &amp;
  _xlpm.vanillaPrefix &amp; "Keyword = Uvi_Wig_Distr_KYWD|" &amp; B530 &amp; CHAR(10) &amp;
  _xlpm.vanillaPrefix &amp; "Spell = " &amp; _xlpm.spell &amp; "|" &amp; B530
  )
)</f>
        <v>;Forsworn Forager
;Keyword = Uvi_Wig_Distr_KYWD|EncForsworn02TemplateMelee
;Spell = No Spell for Hairstyle|EncForsworn02TemplateMelee</v>
      </c>
    </row>
    <row r="531" ht="12.75" customHeight="1">
      <c r="A531" s="5" t="s">
        <v>2803</v>
      </c>
      <c r="B531" s="5" t="s">
        <v>2804</v>
      </c>
      <c r="C531" s="5" t="s">
        <v>2800</v>
      </c>
      <c r="D531" s="5" t="s">
        <v>16</v>
      </c>
      <c r="E531" s="5" t="s">
        <v>233</v>
      </c>
      <c r="F531" s="5" t="s">
        <v>19</v>
      </c>
      <c r="G531" s="14" t="str">
        <f t="array" ref="G531">IF(B531="", "",
  LET(_xlpm.spell, IFERROR(IF(F531="", "", INDEX(_xlws.FILTER(Hairstyles!$F:$F, ISNUMBER(SEARCH(F531, Hairstyles!$B:$B))), 1)), "No Spell for Hairstyle"),
  _xlpm.vanillaPrefix, IF(LEFT(_xlpm.spell, 7)="Uvi_Wig", "", ";"),
  ";" &amp; IF(C531="", B531, C531) &amp; IF(M531="", "", " ("&amp;M531&amp;")") &amp; CHAR(10) &amp;
  _xlpm.vanillaPrefix &amp; "Keyword = Uvi_Wig_Distr_KYWD|" &amp; B531 &amp; CHAR(10) &amp;
  _xlpm.vanillaPrefix &amp; "Spell = " &amp; _xlpm.spell &amp; "|" &amp; B531
  )
)</f>
        <v>;Forsworn Forager
;Keyword = Uvi_Wig_Distr_KYWD|EncForsworn02TemplateMissile
;Spell = No Spell for Hairstyle|EncForsworn02TemplateMissile</v>
      </c>
    </row>
    <row r="532" ht="12.75" customHeight="1">
      <c r="A532" s="15" t="s">
        <v>2805</v>
      </c>
      <c r="B532" s="5" t="s">
        <v>2806</v>
      </c>
      <c r="C532" s="5" t="s">
        <v>2807</v>
      </c>
      <c r="D532" s="5" t="s">
        <v>16</v>
      </c>
      <c r="E532" s="5" t="s">
        <v>233</v>
      </c>
      <c r="F532" s="5" t="s">
        <v>1700</v>
      </c>
      <c r="G532" s="14" t="str">
        <f t="array" ref="G532">IF(B532="", "",
  LET(_xlpm.spell, IFERROR(IF(F532="", "", INDEX(_xlws.FILTER(Hairstyles!$F:$F, ISNUMBER(SEARCH(F532, Hairstyles!$B:$B))), 1)), "No Spell for Hairstyle"),
  _xlpm.vanillaPrefix, IF(LEFT(_xlpm.spell, 7)="Uvi_Wig", "", ";"),
  ";" &amp; IF(C532="", B532, C532) &amp; IF(M532="", "", " ("&amp;M532&amp;")") &amp; CHAR(10) &amp;
  _xlpm.vanillaPrefix &amp; "Keyword = Uvi_Wig_Distr_KYWD|" &amp; B532 &amp; CHAR(10) &amp;
  _xlpm.vanillaPrefix &amp; "Spell = " &amp; _xlpm.spell &amp; "|" &amp; B532
  )
)</f>
        <v>;Forsworn Looter
;Keyword = Uvi_Wig_Distr_KYWD|EncForsworn03TemplateMagic
;Spell = No Spell for Hairstyle|EncForsworn03TemplateMagic</v>
      </c>
    </row>
    <row r="533" ht="12.75" customHeight="1">
      <c r="A533" s="15" t="s">
        <v>2808</v>
      </c>
      <c r="B533" s="5" t="s">
        <v>2809</v>
      </c>
      <c r="C533" s="5" t="s">
        <v>2807</v>
      </c>
      <c r="D533" s="5" t="s">
        <v>16</v>
      </c>
      <c r="E533" s="5" t="s">
        <v>233</v>
      </c>
      <c r="F533" s="5" t="s">
        <v>19</v>
      </c>
      <c r="G533" s="14" t="str">
        <f t="array" ref="G533">IF(B533="", "",
  LET(_xlpm.spell, IFERROR(IF(F533="", "", INDEX(_xlws.FILTER(Hairstyles!$F:$F, ISNUMBER(SEARCH(F533, Hairstyles!$B:$B))), 1)), "No Spell for Hairstyle"),
  _xlpm.vanillaPrefix, IF(LEFT(_xlpm.spell, 7)="Uvi_Wig", "", ";"),
  ";" &amp; IF(C533="", B533, C533) &amp; IF(M533="", "", " ("&amp;M533&amp;")") &amp; CHAR(10) &amp;
  _xlpm.vanillaPrefix &amp; "Keyword = Uvi_Wig_Distr_KYWD|" &amp; B533 &amp; CHAR(10) &amp;
  _xlpm.vanillaPrefix &amp; "Spell = " &amp; _xlpm.spell &amp; "|" &amp; B533
  )
)</f>
        <v>;Forsworn Looter
;Keyword = Uvi_Wig_Distr_KYWD|EncForsworn03TemplateMelee
;Spell = No Spell for Hairstyle|EncForsworn03TemplateMelee</v>
      </c>
    </row>
    <row r="534" ht="12.75" customHeight="1">
      <c r="A534" s="15" t="s">
        <v>2810</v>
      </c>
      <c r="B534" s="5" t="s">
        <v>2811</v>
      </c>
      <c r="C534" s="5" t="s">
        <v>2807</v>
      </c>
      <c r="D534" s="5" t="s">
        <v>16</v>
      </c>
      <c r="E534" s="5" t="s">
        <v>233</v>
      </c>
      <c r="F534" s="5" t="s">
        <v>19</v>
      </c>
      <c r="G534" s="14" t="str">
        <f t="array" ref="G534">IF(B534="", "",
  LET(_xlpm.spell, IFERROR(IF(F534="", "", INDEX(_xlws.FILTER(Hairstyles!$F:$F, ISNUMBER(SEARCH(F534, Hairstyles!$B:$B))), 1)), "No Spell for Hairstyle"),
  _xlpm.vanillaPrefix, IF(LEFT(_xlpm.spell, 7)="Uvi_Wig", "", ";"),
  ";" &amp; IF(C534="", B534, C534) &amp; IF(M534="", "", " ("&amp;M534&amp;")") &amp; CHAR(10) &amp;
  _xlpm.vanillaPrefix &amp; "Keyword = Uvi_Wig_Distr_KYWD|" &amp; B534 &amp; CHAR(10) &amp;
  _xlpm.vanillaPrefix &amp; "Spell = " &amp; _xlpm.spell &amp; "|" &amp; B534
  )
)</f>
        <v>;Forsworn Looter
;Keyword = Uvi_Wig_Distr_KYWD|EncForsworn03TemplateMissile
;Spell = No Spell for Hairstyle|EncForsworn03TemplateMissile</v>
      </c>
    </row>
    <row r="535" ht="12.75" customHeight="1">
      <c r="A535" s="15" t="s">
        <v>2812</v>
      </c>
      <c r="B535" s="5" t="s">
        <v>2813</v>
      </c>
      <c r="C535" s="5" t="s">
        <v>2814</v>
      </c>
      <c r="D535" s="5" t="s">
        <v>16</v>
      </c>
      <c r="E535" s="5" t="s">
        <v>233</v>
      </c>
      <c r="F535" s="5" t="s">
        <v>215</v>
      </c>
      <c r="G535" s="14" t="str">
        <f t="array" ref="G535">IF(B535="", "",
  LET(_xlpm.spell, IFERROR(IF(F535="", "", INDEX(_xlws.FILTER(Hairstyles!$F:$F, ISNUMBER(SEARCH(F535, Hairstyles!$B:$B))), 1)), "No Spell for Hairstyle"),
  _xlpm.vanillaPrefix, IF(LEFT(_xlpm.spell, 7)="Uvi_Wig", "", ";"),
  ";" &amp; IF(C535="", B535, C535) &amp; IF(M535="", "", " ("&amp;M535&amp;")") &amp; CHAR(10) &amp;
  _xlpm.vanillaPrefix &amp; "Keyword = Uvi_Wig_Distr_KYWD|" &amp; B535 &amp; CHAR(10) &amp;
  _xlpm.vanillaPrefix &amp; "Spell = " &amp; _xlpm.spell &amp; "|" &amp; B535
  )
)</f>
        <v>;Forsworn Pillager
;Keyword = Uvi_Wig_Distr_KYWD|EncForsworn04TemplateMagic
;Spell = No Spell for Hairstyle|EncForsworn04TemplateMagic</v>
      </c>
    </row>
    <row r="536" ht="12.75" customHeight="1">
      <c r="A536" s="15" t="s">
        <v>2815</v>
      </c>
      <c r="B536" s="5" t="s">
        <v>2816</v>
      </c>
      <c r="C536" s="5" t="s">
        <v>2814</v>
      </c>
      <c r="D536" s="5" t="s">
        <v>16</v>
      </c>
      <c r="E536" s="5" t="s">
        <v>233</v>
      </c>
      <c r="F536" s="5" t="s">
        <v>19</v>
      </c>
      <c r="G536" s="14" t="str">
        <f t="array" ref="G536">IF(B536="", "",
  LET(_xlpm.spell, IFERROR(IF(F536="", "", INDEX(_xlws.FILTER(Hairstyles!$F:$F, ISNUMBER(SEARCH(F536, Hairstyles!$B:$B))), 1)), "No Spell for Hairstyle"),
  _xlpm.vanillaPrefix, IF(LEFT(_xlpm.spell, 7)="Uvi_Wig", "", ";"),
  ";" &amp; IF(C536="", B536, C536) &amp; IF(M536="", "", " ("&amp;M536&amp;")") &amp; CHAR(10) &amp;
  _xlpm.vanillaPrefix &amp; "Keyword = Uvi_Wig_Distr_KYWD|" &amp; B536 &amp; CHAR(10) &amp;
  _xlpm.vanillaPrefix &amp; "Spell = " &amp; _xlpm.spell &amp; "|" &amp; B536
  )
)</f>
        <v>;Forsworn Pillager
;Keyword = Uvi_Wig_Distr_KYWD|EncForsworn04TemplateMelee
;Spell = No Spell for Hairstyle|EncForsworn04TemplateMelee</v>
      </c>
    </row>
    <row r="537" ht="12.75" customHeight="1">
      <c r="A537" s="15" t="s">
        <v>2817</v>
      </c>
      <c r="B537" s="5" t="s">
        <v>2818</v>
      </c>
      <c r="C537" s="5" t="s">
        <v>2814</v>
      </c>
      <c r="D537" s="5" t="s">
        <v>16</v>
      </c>
      <c r="E537" s="5" t="s">
        <v>233</v>
      </c>
      <c r="F537" s="5" t="s">
        <v>19</v>
      </c>
      <c r="G537" s="14" t="str">
        <f t="array" ref="G537">IF(B537="", "",
  LET(_xlpm.spell, IFERROR(IF(F537="", "", INDEX(_xlws.FILTER(Hairstyles!$F:$F, ISNUMBER(SEARCH(F537, Hairstyles!$B:$B))), 1)), "No Spell for Hairstyle"),
  _xlpm.vanillaPrefix, IF(LEFT(_xlpm.spell, 7)="Uvi_Wig", "", ";"),
  ";" &amp; IF(C537="", B537, C537) &amp; IF(M537="", "", " ("&amp;M537&amp;")") &amp; CHAR(10) &amp;
  _xlpm.vanillaPrefix &amp; "Keyword = Uvi_Wig_Distr_KYWD|" &amp; B537 &amp; CHAR(10) &amp;
  _xlpm.vanillaPrefix &amp; "Spell = " &amp; _xlpm.spell &amp; "|" &amp; B537
  )
)</f>
        <v>;Forsworn Pillager
;Keyword = Uvi_Wig_Distr_KYWD|EncForsworn04TemplateMissile
;Spell = No Spell for Hairstyle|EncForsworn04TemplateMissile</v>
      </c>
    </row>
    <row r="538" ht="12.75" customHeight="1">
      <c r="A538" s="15" t="s">
        <v>2819</v>
      </c>
      <c r="B538" s="5" t="s">
        <v>2820</v>
      </c>
      <c r="C538" s="5" t="s">
        <v>2821</v>
      </c>
      <c r="D538" s="5" t="s">
        <v>16</v>
      </c>
      <c r="E538" s="5" t="s">
        <v>41</v>
      </c>
      <c r="F538" s="5" t="s">
        <v>1596</v>
      </c>
      <c r="G538" s="14" t="str">
        <f t="array" ref="G538">IF(B538="", "",
  LET(_xlpm.spell, IFERROR(IF(F538="", "", INDEX(_xlws.FILTER(Hairstyles!$F:$F, ISNUMBER(SEARCH(F538, Hairstyles!$B:$B))), 1)), "No Spell for Hairstyle"),
  _xlpm.vanillaPrefix, IF(LEFT(_xlpm.spell, 7)="Uvi_Wig", "", ";"),
  ";" &amp; IF(C538="", B538, C538) &amp; IF(M538="", "", " ("&amp;M538&amp;")") &amp; CHAR(10) &amp;
  _xlpm.vanillaPrefix &amp; "Keyword = Uvi_Wig_Distr_KYWD|" &amp; B538 &amp; CHAR(10) &amp;
  _xlpm.vanillaPrefix &amp; "Spell = " &amp; _xlpm.spell &amp; "|" &amp; B538
  )
)</f>
        <v>;Forsworn Ravager
;Keyword = Uvi_Wig_Distr_KYWD|EncForsworn05TemplateMagic
;Spell = No Spell for Hairstyle|EncForsworn05TemplateMagic</v>
      </c>
    </row>
    <row r="539" ht="12.75" customHeight="1">
      <c r="A539" s="15" t="s">
        <v>2822</v>
      </c>
      <c r="B539" s="5" t="s">
        <v>2823</v>
      </c>
      <c r="C539" s="5" t="s">
        <v>2821</v>
      </c>
      <c r="D539" s="5" t="s">
        <v>16</v>
      </c>
      <c r="E539" s="5" t="s">
        <v>233</v>
      </c>
      <c r="F539" s="5" t="s">
        <v>19</v>
      </c>
      <c r="G539" s="14" t="str">
        <f t="array" ref="G539">IF(B539="", "",
  LET(_xlpm.spell, IFERROR(IF(F539="", "", INDEX(_xlws.FILTER(Hairstyles!$F:$F, ISNUMBER(SEARCH(F539, Hairstyles!$B:$B))), 1)), "No Spell for Hairstyle"),
  _xlpm.vanillaPrefix, IF(LEFT(_xlpm.spell, 7)="Uvi_Wig", "", ";"),
  ";" &amp; IF(C539="", B539, C539) &amp; IF(M539="", "", " ("&amp;M539&amp;")") &amp; CHAR(10) &amp;
  _xlpm.vanillaPrefix &amp; "Keyword = Uvi_Wig_Distr_KYWD|" &amp; B539 &amp; CHAR(10) &amp;
  _xlpm.vanillaPrefix &amp; "Spell = " &amp; _xlpm.spell &amp; "|" &amp; B539
  )
)</f>
        <v>;Forsworn Ravager
;Keyword = Uvi_Wig_Distr_KYWD|EncForsworn05TemplateMelee
;Spell = No Spell for Hairstyle|EncForsworn05TemplateMelee</v>
      </c>
    </row>
    <row r="540" ht="12.75" customHeight="1">
      <c r="A540" s="15" t="s">
        <v>2824</v>
      </c>
      <c r="B540" s="5" t="s">
        <v>2825</v>
      </c>
      <c r="C540" s="5" t="s">
        <v>2821</v>
      </c>
      <c r="D540" s="5" t="s">
        <v>16</v>
      </c>
      <c r="E540" s="5" t="s">
        <v>233</v>
      </c>
      <c r="F540" s="5" t="s">
        <v>19</v>
      </c>
      <c r="G540" s="14" t="str">
        <f t="array" ref="G540">IF(B540="", "",
  LET(_xlpm.spell, IFERROR(IF(F540="", "", INDEX(_xlws.FILTER(Hairstyles!$F:$F, ISNUMBER(SEARCH(F540, Hairstyles!$B:$B))), 1)), "No Spell for Hairstyle"),
  _xlpm.vanillaPrefix, IF(LEFT(_xlpm.spell, 7)="Uvi_Wig", "", ";"),
  ";" &amp; IF(C540="", B540, C540) &amp; IF(M540="", "", " ("&amp;M540&amp;")") &amp; CHAR(10) &amp;
  _xlpm.vanillaPrefix &amp; "Keyword = Uvi_Wig_Distr_KYWD|" &amp; B540 &amp; CHAR(10) &amp;
  _xlpm.vanillaPrefix &amp; "Spell = " &amp; _xlpm.spell &amp; "|" &amp; B540
  )
)</f>
        <v>;Forsworn Ravager
;Keyword = Uvi_Wig_Distr_KYWD|EncForsworn05TemplateMissile
;Spell = No Spell for Hairstyle|EncForsworn05TemplateMissile</v>
      </c>
    </row>
    <row r="541" ht="12.75" customHeight="1">
      <c r="A541" s="5" t="s">
        <v>2826</v>
      </c>
      <c r="B541" s="5" t="s">
        <v>2827</v>
      </c>
      <c r="C541" s="5" t="s">
        <v>2828</v>
      </c>
      <c r="D541" s="5" t="s">
        <v>16</v>
      </c>
      <c r="E541" s="5" t="s">
        <v>41</v>
      </c>
      <c r="F541" s="5" t="s">
        <v>42</v>
      </c>
      <c r="G541" s="14" t="str">
        <f t="array" ref="G541">IF(B541="", "",
  LET(_xlpm.spell, IFERROR(IF(F541="", "", INDEX(_xlws.FILTER(Hairstyles!$F:$F, ISNUMBER(SEARCH(F541, Hairstyles!$B:$B))), 1)), "No Spell for Hairstyle"),
  _xlpm.vanillaPrefix, IF(LEFT(_xlpm.spell, 7)="Uvi_Wig", "", ";"),
  ";" &amp; IF(C541="", B541, C541) &amp; IF(M541="", "", " ("&amp;M541&amp;")") &amp; CHAR(10) &amp;
  _xlpm.vanillaPrefix &amp; "Keyword = Uvi_Wig_Distr_KYWD|" &amp; B541 &amp; CHAR(10) &amp;
  _xlpm.vanillaPrefix &amp; "Spell = " &amp; _xlpm.spell &amp; "|" &amp; B541
  )
)</f>
        <v>;Forsworn Shaman
;Keyword = Uvi_Wig_Distr_KYWD|EncForsworn01TemplateMagic
;Spell = No Spell for Hairstyle|EncForsworn01TemplateMagic</v>
      </c>
    </row>
    <row r="542" ht="12.75" customHeight="1">
      <c r="A542" s="15" t="s">
        <v>2829</v>
      </c>
      <c r="B542" s="5" t="s">
        <v>2830</v>
      </c>
      <c r="C542" s="5" t="s">
        <v>2831</v>
      </c>
      <c r="D542" s="5" t="s">
        <v>16</v>
      </c>
      <c r="E542" s="5" t="s">
        <v>233</v>
      </c>
      <c r="F542" s="5" t="s">
        <v>1622</v>
      </c>
      <c r="G542" s="14" t="str">
        <f t="array" ref="G542">IF(B542="", "",
  LET(_xlpm.spell, IFERROR(IF(F542="", "", INDEX(_xlws.FILTER(Hairstyles!$F:$F, ISNUMBER(SEARCH(F542, Hairstyles!$B:$B))), 1)), "No Spell for Hairstyle"),
  _xlpm.vanillaPrefix, IF(LEFT(_xlpm.spell, 7)="Uvi_Wig", "", ";"),
  ";" &amp; IF(C542="", B542, C542) &amp; IF(M542="", "", " ("&amp;M542&amp;")") &amp; CHAR(10) &amp;
  _xlpm.vanillaPrefix &amp; "Keyword = Uvi_Wig_Distr_KYWD|" &amp; B542 &amp; CHAR(10) &amp;
  _xlpm.vanillaPrefix &amp; "Spell = " &amp; _xlpm.spell &amp; "|" &amp; B542
  )
)</f>
        <v>;Forsworn Warlord
;Keyword = Uvi_Wig_Distr_KYWD|EncForsworn06TemplateMagic
;Spell = No Spell for Hairstyle|EncForsworn06TemplateMagic</v>
      </c>
    </row>
    <row r="543" ht="12.75" customHeight="1">
      <c r="A543" s="15" t="s">
        <v>2832</v>
      </c>
      <c r="B543" s="5" t="s">
        <v>2833</v>
      </c>
      <c r="C543" s="5" t="s">
        <v>2831</v>
      </c>
      <c r="D543" s="5" t="s">
        <v>16</v>
      </c>
      <c r="E543" s="5" t="s">
        <v>233</v>
      </c>
      <c r="F543" s="5" t="s">
        <v>19</v>
      </c>
      <c r="G543" s="14" t="str">
        <f t="array" ref="G543">IF(B543="", "",
  LET(_xlpm.spell, IFERROR(IF(F543="", "", INDEX(_xlws.FILTER(Hairstyles!$F:$F, ISNUMBER(SEARCH(F543, Hairstyles!$B:$B))), 1)), "No Spell for Hairstyle"),
  _xlpm.vanillaPrefix, IF(LEFT(_xlpm.spell, 7)="Uvi_Wig", "", ";"),
  ";" &amp; IF(C543="", B543, C543) &amp; IF(M543="", "", " ("&amp;M543&amp;")") &amp; CHAR(10) &amp;
  _xlpm.vanillaPrefix &amp; "Keyword = Uvi_Wig_Distr_KYWD|" &amp; B543 &amp; CHAR(10) &amp;
  _xlpm.vanillaPrefix &amp; "Spell = " &amp; _xlpm.spell &amp; "|" &amp; B543
  )
)</f>
        <v>;Forsworn Warlord
;Keyword = Uvi_Wig_Distr_KYWD|EncForsworn06TemplateMelee
;Spell = No Spell for Hairstyle|EncForsworn06TemplateMelee</v>
      </c>
    </row>
    <row r="544" ht="12.75" customHeight="1">
      <c r="A544" s="5" t="s">
        <v>2834</v>
      </c>
      <c r="B544" s="5" t="s">
        <v>2835</v>
      </c>
      <c r="C544" s="5" t="s">
        <v>2831</v>
      </c>
      <c r="D544" s="5" t="s">
        <v>16</v>
      </c>
      <c r="E544" s="5" t="s">
        <v>233</v>
      </c>
      <c r="F544" s="5" t="s">
        <v>19</v>
      </c>
      <c r="G544" s="14" t="str">
        <f t="array" ref="G544">IF(B544="", "",
  LET(_xlpm.spell, IFERROR(IF(F544="", "", INDEX(_xlws.FILTER(Hairstyles!$F:$F, ISNUMBER(SEARCH(F544, Hairstyles!$B:$B))), 1)), "No Spell for Hairstyle"),
  _xlpm.vanillaPrefix, IF(LEFT(_xlpm.spell, 7)="Uvi_Wig", "", ";"),
  ";" &amp; IF(C544="", B544, C544) &amp; IF(M544="", "", " ("&amp;M544&amp;")") &amp; CHAR(10) &amp;
  _xlpm.vanillaPrefix &amp; "Keyword = Uvi_Wig_Distr_KYWD|" &amp; B544 &amp; CHAR(10) &amp;
  _xlpm.vanillaPrefix &amp; "Spell = " &amp; _xlpm.spell &amp; "|" &amp; B544
  )
)</f>
        <v>;Forsworn Warlord
;Keyword = Uvi_Wig_Distr_KYWD|EncForsworn06TemplateMissile
;Spell = No Spell for Hairstyle|EncForsworn06TemplateMissile</v>
      </c>
    </row>
    <row r="545" ht="12.75" customHeight="1">
      <c r="A545" s="15" t="s">
        <v>2836</v>
      </c>
      <c r="B545" s="5" t="s">
        <v>2837</v>
      </c>
      <c r="C545" s="5" t="s">
        <v>2837</v>
      </c>
      <c r="D545" s="5" t="s">
        <v>38</v>
      </c>
      <c r="E545" s="5" t="s">
        <v>41</v>
      </c>
      <c r="F545" s="5" t="s">
        <v>1822</v>
      </c>
      <c r="G545" s="14" t="str">
        <f t="array" ref="G545">IF(B545="", "",
  LET(_xlpm.spell, IFERROR(IF(F545="", "", INDEX(_xlws.FILTER(Hairstyles!$F:$F, ISNUMBER(SEARCH(F545, Hairstyles!$B:$B))), 1)), "No Spell for Hairstyle"),
  _xlpm.vanillaPrefix, IF(LEFT(_xlpm.spell, 7)="Uvi_Wig", "", ";"),
  ";" &amp; IF(C545="", B545, C545) &amp; IF(M545="", "", " ("&amp;M545&amp;")") &amp; CHAR(10) &amp;
  _xlpm.vanillaPrefix &amp; "Keyword = Uvi_Wig_Distr_KYWD|" &amp; B545 &amp; CHAR(10) &amp;
  _xlpm.vanillaPrefix &amp; "Spell = " &amp; _xlpm.spell &amp; "|" &amp; B545
  )
)</f>
        <v>;Frabbi
;Keyword = Uvi_Wig_Distr_KYWD|Frabbi
;Spell = No Spell for Hairstyle|Frabbi</v>
      </c>
    </row>
    <row r="546" ht="12.75" customHeight="1">
      <c r="A546" s="5" t="s">
        <v>2838</v>
      </c>
      <c r="B546" s="5" t="s">
        <v>2839</v>
      </c>
      <c r="C546" s="5" t="s">
        <v>2840</v>
      </c>
      <c r="D546" s="5" t="s">
        <v>51</v>
      </c>
      <c r="E546" s="5" t="s">
        <v>41</v>
      </c>
      <c r="F546" s="5" t="s">
        <v>69</v>
      </c>
      <c r="G546" s="14" t="str">
        <f t="array" ref="G546">IF(B546="", "",
  LET(_xlpm.spell, IFERROR(IF(F546="", "", INDEX(_xlws.FILTER(Hairstyles!$F:$F, ISNUMBER(SEARCH(F546, Hairstyles!$B:$B))), 1)), "No Spell for Hairstyle"),
  _xlpm.vanillaPrefix, IF(LEFT(_xlpm.spell, 7)="Uvi_Wig", "", ";"),
  ";" &amp; IF(C546="", B546, C546) &amp; IF(M546="", "", " ("&amp;M546&amp;")") &amp; CHAR(10) &amp;
  _xlpm.vanillaPrefix &amp; "Keyword = Uvi_Wig_Distr_KYWD|" &amp; B546 &amp; CHAR(10) &amp;
  _xlpm.vanillaPrefix &amp; "Spell = " &amp; _xlpm.spell &amp; "|" &amp; B546
  )
)</f>
        <v>;Fralia Gray-Mane
;Keyword = Uvi_Wig_Distr_KYWD|FraliaGrayMane
;Spell = No Spell for Hairstyle|FraliaGrayMane</v>
      </c>
    </row>
    <row r="547" ht="12.75" customHeight="1">
      <c r="A547" s="15" t="s">
        <v>2841</v>
      </c>
      <c r="B547" s="5" t="s">
        <v>2842</v>
      </c>
      <c r="C547" s="5" t="s">
        <v>2843</v>
      </c>
      <c r="D547" s="5" t="s">
        <v>60</v>
      </c>
      <c r="E547" s="5" t="s">
        <v>233</v>
      </c>
      <c r="F547" s="5" t="s">
        <v>27</v>
      </c>
      <c r="G547" s="14" t="str">
        <f t="array" ref="G547">IF(B547="", "",
  LET(_xlpm.spell, IFERROR(IF(F547="", "", INDEX(_xlws.FILTER(Hairstyles!$F:$F, ISNUMBER(SEARCH(F547, Hairstyles!$B:$B))), 1)), "No Spell for Hairstyle"),
  _xlpm.vanillaPrefix, IF(LEFT(_xlpm.spell, 7)="Uvi_Wig", "", ";"),
  ";" &amp; IF(C547="", B547, C547) &amp; IF(M547="", "", " ("&amp;M547&amp;")") &amp; CHAR(10) &amp;
  _xlpm.vanillaPrefix &amp; "Keyword = Uvi_Wig_Distr_KYWD|" &amp; B547 &amp; CHAR(10) &amp;
  _xlpm.vanillaPrefix &amp; "Spell = " &amp; _xlpm.spell &amp; "|" &amp; B547
  )
)</f>
        <v>;Francois Beaufort
;Keyword = Uvi_Wig_Distr_KYWD|Francois
;Spell = No Spell for Hairstyle|Francois</v>
      </c>
    </row>
    <row r="548" ht="12.75" customHeight="1">
      <c r="A548" s="15" t="s">
        <v>2844</v>
      </c>
      <c r="B548" s="5" t="s">
        <v>2845</v>
      </c>
      <c r="C548" s="5" t="s">
        <v>2846</v>
      </c>
      <c r="D548" s="5" t="s">
        <v>38</v>
      </c>
      <c r="E548" s="5" t="s">
        <v>41</v>
      </c>
      <c r="F548" s="5" t="s">
        <v>22</v>
      </c>
      <c r="G548" s="14" t="str">
        <f t="array" ref="G548">IF(B548="", "",
  LET(_xlpm.spell, IFERROR(IF(F548="", "", INDEX(_xlws.FILTER(Hairstyles!$F:$F, ISNUMBER(SEARCH(F548, Hairstyles!$B:$B))), 1)), "No Spell for Hairstyle"),
  _xlpm.vanillaPrefix, IF(LEFT(_xlpm.spell, 7)="Uvi_Wig", "", ";"),
  ";" &amp; IF(C548="", B548, C548) &amp; IF(M548="", "", " ("&amp;M548&amp;")") &amp; CHAR(10) &amp;
  _xlpm.vanillaPrefix &amp; "Keyword = Uvi_Wig_Distr_KYWD|" &amp; B548 &amp; CHAR(10) &amp;
  _xlpm.vanillaPrefix &amp; "Spell = " &amp; _xlpm.spell &amp; "|" &amp; B548
  )
)</f>
        <v>;Frea
;Keyword = Uvi_Wig_Distr_KYWD|DLC2Frea
;Spell = No Spell for Hairstyle|DLC2Frea</v>
      </c>
    </row>
    <row r="549" ht="12.75" customHeight="1">
      <c r="A549" s="15" t="s">
        <v>2847</v>
      </c>
      <c r="B549" s="5" t="s">
        <v>2848</v>
      </c>
      <c r="C549" s="5" t="s">
        <v>2848</v>
      </c>
      <c r="D549" s="5" t="s">
        <v>38</v>
      </c>
      <c r="E549" s="5" t="s">
        <v>41</v>
      </c>
      <c r="F549" s="5" t="s">
        <v>69</v>
      </c>
      <c r="G549" s="14" t="str">
        <f t="array" ref="G549">IF(B549="", "",
  LET(_xlpm.spell, IFERROR(IF(F549="", "", INDEX(_xlws.FILTER(Hairstyles!$F:$F, ISNUMBER(SEARCH(F549, Hairstyles!$B:$B))), 1)), "No Spell for Hairstyle"),
  _xlpm.vanillaPrefix, IF(LEFT(_xlpm.spell, 7)="Uvi_Wig", "", ";"),
  ";" &amp; IF(C549="", B549, C549) &amp; IF(M549="", "", " ("&amp;M549&amp;")") &amp; CHAR(10) &amp;
  _xlpm.vanillaPrefix &amp; "Keyword = Uvi_Wig_Distr_KYWD|" &amp; B549 &amp; CHAR(10) &amp;
  _xlpm.vanillaPrefix &amp; "Spell = " &amp; _xlpm.spell &amp; "|" &amp; B549
  )
)</f>
        <v>;Freir
;Keyword = Uvi_Wig_Distr_KYWD|Freir
;Spell = No Spell for Hairstyle|Freir</v>
      </c>
    </row>
    <row r="550" ht="12.75" customHeight="1">
      <c r="A550" s="15" t="s">
        <v>2849</v>
      </c>
      <c r="B550" s="5" t="s">
        <v>2850</v>
      </c>
      <c r="C550" s="5" t="s">
        <v>2850</v>
      </c>
      <c r="D550" s="5" t="s">
        <v>51</v>
      </c>
      <c r="E550" s="5" t="s">
        <v>41</v>
      </c>
      <c r="F550" s="5" t="s">
        <v>270</v>
      </c>
      <c r="G550" s="14" t="str">
        <f t="array" ref="G550">IF(B550="", "",
  LET(_xlpm.spell, IFERROR(IF(F550="", "", INDEX(_xlws.FILTER(Hairstyles!$F:$F, ISNUMBER(SEARCH(F550, Hairstyles!$B:$B))), 1)), "No Spell for Hairstyle"),
  _xlpm.vanillaPrefix, IF(LEFT(_xlpm.spell, 7)="Uvi_Wig", "", ";"),
  ";" &amp; IF(C550="", B550, C550) &amp; IF(M550="", "", " ("&amp;M550&amp;")") &amp; CHAR(10) &amp;
  _xlpm.vanillaPrefix &amp; "Keyword = Uvi_Wig_Distr_KYWD|" &amp; B550 &amp; CHAR(10) &amp;
  _xlpm.vanillaPrefix &amp; "Spell = " &amp; _xlpm.spell &amp; "|" &amp; B550
  )
)</f>
        <v>;Frida
;Keyword = Uvi_Wig_Distr_KYWD|Frida
;Spell = No Spell for Hairstyle|Frida</v>
      </c>
    </row>
    <row r="551" ht="12.75" customHeight="1">
      <c r="A551" s="15" t="s">
        <v>2851</v>
      </c>
      <c r="B551" s="5" t="s">
        <v>2852</v>
      </c>
      <c r="C551" s="5" t="s">
        <v>2852</v>
      </c>
      <c r="D551" s="5" t="s">
        <v>38</v>
      </c>
      <c r="E551" s="5" t="s">
        <v>41</v>
      </c>
      <c r="F551" s="5" t="s">
        <v>69</v>
      </c>
      <c r="G551" s="14" t="str">
        <f t="array" ref="G551">IF(B551="", "",
  LET(_xlpm.spell, IFERROR(IF(F551="", "", INDEX(_xlws.FILTER(Hairstyles!$F:$F, ISNUMBER(SEARCH(F551, Hairstyles!$B:$B))), 1)), "No Spell for Hairstyle"),
  _xlpm.vanillaPrefix, IF(LEFT(_xlpm.spell, 7)="Uvi_Wig", "", ";"),
  ";" &amp; IF(C551="", B551, C551) &amp; IF(M551="", "", " ("&amp;M551&amp;")") &amp; CHAR(10) &amp;
  _xlpm.vanillaPrefix &amp; "Keyword = Uvi_Wig_Distr_KYWD|" &amp; B551 &amp; CHAR(10) &amp;
  _xlpm.vanillaPrefix &amp; "Spell = " &amp; _xlpm.spell &amp; "|" &amp; B551
  )
)</f>
        <v>;Fridrika
;Keyword = Uvi_Wig_Distr_KYWD|Fridrika
;Spell = No Spell for Hairstyle|Fridrika</v>
      </c>
    </row>
    <row r="552" ht="12.75" customHeight="1">
      <c r="A552" s="5" t="s">
        <v>2853</v>
      </c>
      <c r="B552" s="5" t="s">
        <v>2854</v>
      </c>
      <c r="C552" s="5" t="s">
        <v>2855</v>
      </c>
      <c r="D552" s="5" t="s">
        <v>38</v>
      </c>
      <c r="E552" s="5" t="s">
        <v>41</v>
      </c>
      <c r="F552" s="5" t="s">
        <v>42</v>
      </c>
      <c r="G552" s="14" t="str">
        <f t="array" ref="G552">IF(B552="", "",
  LET(_xlpm.spell, IFERROR(IF(F552="", "", INDEX(_xlws.FILTER(Hairstyles!$F:$F, ISNUMBER(SEARCH(F552, Hairstyles!$B:$B))), 1)), "No Spell for Hairstyle"),
  _xlpm.vanillaPrefix, IF(LEFT(_xlpm.spell, 7)="Uvi_Wig", "", ";"),
  ";" &amp; IF(C552="", B552, C552) &amp; IF(M552="", "", " ("&amp;M552&amp;")") &amp; CHAR(10) &amp;
  _xlpm.vanillaPrefix &amp; "Keyword = Uvi_Wig_Distr_KYWD|" &amp; B552 &amp; CHAR(10) &amp;
  _xlpm.vanillaPrefix &amp; "Spell = " &amp; _xlpm.spell &amp; "|" &amp; B552
  )
)</f>
        <v>;Frightened Woman
;Keyword = Uvi_Wig_Distr_KYWD|dunMistwatchPrisonerWERJ01
;Spell = No Spell for Hairstyle|dunMistwatchPrisonerWERJ01</v>
      </c>
    </row>
    <row r="553" ht="12.75" customHeight="1">
      <c r="A553" s="5" t="s">
        <v>2856</v>
      </c>
      <c r="B553" s="5" t="s">
        <v>2857</v>
      </c>
      <c r="C553" s="5" t="s">
        <v>2857</v>
      </c>
      <c r="D553" s="5" t="s">
        <v>74</v>
      </c>
      <c r="E553" s="5" t="s">
        <v>233</v>
      </c>
      <c r="F553" s="5" t="s">
        <v>76</v>
      </c>
      <c r="G553" s="14" t="str">
        <f t="array" ref="G553">IF(B553="", "",
  LET(_xlpm.spell, IFERROR(IF(F553="", "", INDEX(_xlws.FILTER(Hairstyles!$F:$F, ISNUMBER(SEARCH(F553, Hairstyles!$B:$B))), 1)), "No Spell for Hairstyle"),
  _xlpm.vanillaPrefix, IF(LEFT(_xlpm.spell, 7)="Uvi_Wig", "", ";"),
  ";" &amp; IF(C553="", B553, C553) &amp; IF(M553="", "", " ("&amp;M553&amp;")") &amp; CHAR(10) &amp;
  _xlpm.vanillaPrefix &amp; "Keyword = Uvi_Wig_Distr_KYWD|" &amp; B553 &amp; CHAR(10) &amp;
  _xlpm.vanillaPrefix &amp; "Spell = " &amp; _xlpm.spell &amp; "|" &amp; B553
  )
)</f>
        <v>;Frodnar
;Keyword = Uvi_Wig_Distr_KYWD|Frodnar
;Spell = No Spell for Hairstyle|Frodnar</v>
      </c>
    </row>
    <row r="554" ht="12.75" customHeight="1">
      <c r="A554" s="5" t="s">
        <v>2858</v>
      </c>
      <c r="B554" s="5" t="s">
        <v>2859</v>
      </c>
      <c r="C554" s="5" t="s">
        <v>2860</v>
      </c>
      <c r="D554" s="5" t="s">
        <v>38</v>
      </c>
      <c r="E554" s="5" t="s">
        <v>233</v>
      </c>
      <c r="F554" s="5" t="s">
        <v>762</v>
      </c>
      <c r="G554" s="14" t="str">
        <f t="array" ref="G554">IF(B554="", "",
  LET(_xlpm.spell, IFERROR(IF(F554="", "", INDEX(_xlws.FILTER(Hairstyles!$F:$F, ISNUMBER(SEARCH(F554, Hairstyles!$B:$B))), 1)), "No Spell for Hairstyle"),
  _xlpm.vanillaPrefix, IF(LEFT(_xlpm.spell, 7)="Uvi_Wig", "", ";"),
  ";" &amp; IF(C554="", B554, C554) &amp; IF(M554="", "", " ("&amp;M554&amp;")") &amp; CHAR(10) &amp;
  _xlpm.vanillaPrefix &amp; "Keyword = Uvi_Wig_Distr_KYWD|" &amp; B554 &amp; CHAR(10) &amp;
  _xlpm.vanillaPrefix &amp; "Spell = " &amp; _xlpm.spell &amp; "|" &amp; B554
  )
)</f>
        <v>;Frofnir Trollsbane
;Keyword = Uvi_Wig_Distr_KYWD|dunPOIReachTrollslayer
;Spell = No Spell for Hairstyle|dunPOIReachTrollslayer</v>
      </c>
    </row>
    <row r="555" ht="12.75" customHeight="1">
      <c r="A555" s="5" t="s">
        <v>2861</v>
      </c>
      <c r="B555" s="5" t="s">
        <v>2862</v>
      </c>
      <c r="C555" s="5" t="s">
        <v>2863</v>
      </c>
      <c r="D555" s="5" t="s">
        <v>51</v>
      </c>
      <c r="E555" s="5" t="s">
        <v>233</v>
      </c>
      <c r="F555" s="5" t="s">
        <v>762</v>
      </c>
      <c r="G555" s="14" t="str">
        <f t="array" ref="G555">IF(B555="", "",
  LET(_xlpm.spell, IFERROR(IF(F555="", "", INDEX(_xlws.FILTER(Hairstyles!$F:$F, ISNUMBER(SEARCH(F555, Hairstyles!$B:$B))), 1)), "No Spell for Hairstyle"),
  _xlpm.vanillaPrefix, IF(LEFT(_xlpm.spell, 7)="Uvi_Wig", "", ";"),
  ";" &amp; IF(C555="", B555, C555) &amp; IF(M555="", "", " ("&amp;M555&amp;")") &amp; CHAR(10) &amp;
  _xlpm.vanillaPrefix &amp; "Keyword = Uvi_Wig_Distr_KYWD|" &amp; B555 &amp; CHAR(10) &amp;
  _xlpm.vanillaPrefix &amp; "Spell = " &amp; _xlpm.spell &amp; "|" &amp; B555
  )
)</f>
        <v>;Froki Whetted-Blade
;Keyword = Uvi_Wig_Distr_KYWD|dunHunterFroki
;Spell = No Spell for Hairstyle|dunHunterFroki</v>
      </c>
    </row>
    <row r="556" ht="12.75" customHeight="1">
      <c r="A556" s="5" t="s">
        <v>2864</v>
      </c>
      <c r="B556" s="5" t="s">
        <v>2865</v>
      </c>
      <c r="C556" s="5" t="s">
        <v>2866</v>
      </c>
      <c r="D556" s="5" t="s">
        <v>10</v>
      </c>
      <c r="E556" s="5" t="s">
        <v>41</v>
      </c>
      <c r="F556" s="5" t="s">
        <v>2867</v>
      </c>
      <c r="G556" s="14" t="str">
        <f t="array" ref="G556">IF(B556="", "",
  LET(_xlpm.spell, IFERROR(IF(F556="", "", INDEX(_xlws.FILTER(Hairstyles!$F:$F, ISNUMBER(SEARCH(F556, Hairstyles!$B:$B))), 1)), "No Spell for Hairstyle"),
  _xlpm.vanillaPrefix, IF(LEFT(_xlpm.spell, 7)="Uvi_Wig", "", ";"),
  ";" &amp; IF(C556="", B556, C556) &amp; IF(M556="", "", " ("&amp;M556&amp;")") &amp; CHAR(10) &amp;
  _xlpm.vanillaPrefix &amp; "Keyword = Uvi_Wig_Distr_KYWD|" &amp; B556 &amp; CHAR(10) &amp;
  _xlpm.vanillaPrefix &amp; "Spell = " &amp; _xlpm.spell &amp; "|" &amp; B556
  )
)</f>
        <v>;From-Deepest-Fathoms
;Keyword = Uvi_Wig_Distr_KYWD|FromDeepestFathoms
;Spell = No Spell for Hairstyle|FromDeepestFathoms</v>
      </c>
    </row>
    <row r="557" ht="12.75" customHeight="1">
      <c r="A557" s="15" t="s">
        <v>2868</v>
      </c>
      <c r="B557" s="5" t="s">
        <v>2869</v>
      </c>
      <c r="C557" s="5" t="s">
        <v>2870</v>
      </c>
      <c r="D557" s="5" t="s">
        <v>38</v>
      </c>
      <c r="E557" s="5" t="s">
        <v>233</v>
      </c>
      <c r="F557" s="5" t="s">
        <v>990</v>
      </c>
      <c r="G557" s="14" t="str">
        <f t="array" ref="G557">IF(B557="", "",
  LET(_xlpm.spell, IFERROR(IF(F557="", "", INDEX(_xlws.FILTER(Hairstyles!$F:$F, ISNUMBER(SEARCH(F557, Hairstyles!$B:$B))), 1)), "No Spell for Hairstyle"),
  _xlpm.vanillaPrefix, IF(LEFT(_xlpm.spell, 7)="Uvi_Wig", "", ";"),
  ";" &amp; IF(C557="", B557, C557) &amp; IF(M557="", "", " ("&amp;M557&amp;")") &amp; CHAR(10) &amp;
  _xlpm.vanillaPrefix &amp; "Keyword = Uvi_Wig_Distr_KYWD|" &amp; B557 &amp; CHAR(10) &amp;
  _xlpm.vanillaPrefix &amp; "Spell = " &amp; _xlpm.spell &amp; "|" &amp; B557
  )
)</f>
        <v>;Frorkmar Banner-Torn
;Keyword = Uvi_Wig_Distr_KYWD|CWFieldCOSonsPale
;Spell = No Spell for Hairstyle|CWFieldCOSonsPale</v>
      </c>
    </row>
    <row r="558" ht="12.75" customHeight="1">
      <c r="A558" s="5" t="s">
        <v>2871</v>
      </c>
      <c r="B558" s="5" t="s">
        <v>2872</v>
      </c>
      <c r="C558" s="5" t="s">
        <v>2873</v>
      </c>
      <c r="D558" s="5" t="s">
        <v>38</v>
      </c>
      <c r="E558" s="5" t="s">
        <v>233</v>
      </c>
      <c r="F558" s="5" t="s">
        <v>68</v>
      </c>
      <c r="G558" s="14" t="str">
        <f t="array" ref="G558">IF(B558="", "",
  LET(_xlpm.spell, IFERROR(IF(F558="", "", INDEX(_xlws.FILTER(Hairstyles!$F:$F, ISNUMBER(SEARCH(F558, Hairstyles!$B:$B))), 1)), "No Spell for Hairstyle"),
  _xlpm.vanillaPrefix, IF(LEFT(_xlpm.spell, 7)="Uvi_Wig", "", ";"),
  ";" &amp; IF(C558="", B558, C558) &amp; IF(M558="", "", " ("&amp;M558&amp;")") &amp; CHAR(10) &amp;
  _xlpm.vanillaPrefix &amp; "Keyword = Uvi_Wig_Distr_KYWD|" &amp; B558 &amp; CHAR(10) &amp;
  _xlpm.vanillaPrefix &amp; "Spell = " &amp; _xlpm.spell &amp; "|" &amp; B558
  )
)</f>
        <v>;Frost Spirit
;Keyword = Uvi_Wig_Distr_KYWD|dunLabyrinthianFrostMagi
;Spell = No Spell for Hairstyle|dunLabyrinthianFrostMagi</v>
      </c>
    </row>
    <row r="559" ht="12.75" customHeight="1">
      <c r="A559" s="5" t="s">
        <v>2874</v>
      </c>
      <c r="B559" s="5" t="s">
        <v>2875</v>
      </c>
      <c r="C559" s="5" t="s">
        <v>2875</v>
      </c>
      <c r="D559" s="5" t="s">
        <v>74</v>
      </c>
      <c r="E559" s="5" t="s">
        <v>233</v>
      </c>
      <c r="F559" s="5" t="s">
        <v>27</v>
      </c>
      <c r="G559" s="14" t="str">
        <f t="array" ref="G559">IF(B559="", "",
  LET(_xlpm.spell, IFERROR(IF(F559="", "", INDEX(_xlws.FILTER(Hairstyles!$F:$F, ISNUMBER(SEARCH(F559, Hairstyles!$B:$B))), 1)), "No Spell for Hairstyle"),
  _xlpm.vanillaPrefix, IF(LEFT(_xlpm.spell, 7)="Uvi_Wig", "", ";"),
  ";" &amp; IF(C559="", B559, C559) &amp; IF(M559="", "", " ("&amp;M559&amp;")") &amp; CHAR(10) &amp;
  _xlpm.vanillaPrefix &amp; "Keyword = Uvi_Wig_Distr_KYWD|" &amp; B559 &amp; CHAR(10) &amp;
  _xlpm.vanillaPrefix &amp; "Spell = " &amp; _xlpm.spell &amp; "|" &amp; B559
  )
)</f>
        <v>;Frothar
;Keyword = Uvi_Wig_Distr_KYWD|Frothar
;Spell = No Spell for Hairstyle|Frothar</v>
      </c>
    </row>
    <row r="560" ht="12.75" customHeight="1">
      <c r="A560" s="15" t="s">
        <v>2876</v>
      </c>
      <c r="B560" s="5" t="s">
        <v>2877</v>
      </c>
      <c r="C560" s="5" t="s">
        <v>2877</v>
      </c>
      <c r="D560" s="5" t="s">
        <v>38</v>
      </c>
      <c r="E560" s="5" t="s">
        <v>41</v>
      </c>
      <c r="F560" s="5" t="s">
        <v>1063</v>
      </c>
      <c r="G560" s="14" t="str">
        <f t="array" ref="G560">IF(B560="", "",
  LET(_xlpm.spell, IFERROR(IF(F560="", "", INDEX(_xlws.FILTER(Hairstyles!$F:$F, ISNUMBER(SEARCH(F560, Hairstyles!$B:$B))), 1)), "No Spell for Hairstyle"),
  _xlpm.vanillaPrefix, IF(LEFT(_xlpm.spell, 7)="Uvi_Wig", "", ";"),
  ";" &amp; IF(C560="", B560, C560) &amp; IF(M560="", "", " ("&amp;M560&amp;")") &amp; CHAR(10) &amp;
  _xlpm.vanillaPrefix &amp; "Keyword = Uvi_Wig_Distr_KYWD|" &amp; B560 &amp; CHAR(10) &amp;
  _xlpm.vanillaPrefix &amp; "Spell = " &amp; _xlpm.spell &amp; "|" &amp; B560
  )
)</f>
        <v>;Fruki
;Keyword = Uvi_Wig_Distr_KYWD|Fruki
;Spell = No Spell for Hairstyle|Fruki</v>
      </c>
    </row>
    <row r="561" ht="12.75" customHeight="1">
      <c r="A561" s="5" t="s">
        <v>2878</v>
      </c>
      <c r="B561" s="5" t="s">
        <v>2879</v>
      </c>
      <c r="C561" s="5" t="s">
        <v>2879</v>
      </c>
      <c r="D561" s="5" t="s">
        <v>38</v>
      </c>
      <c r="E561" s="5" t="s">
        <v>233</v>
      </c>
      <c r="F561" s="5" t="s">
        <v>224</v>
      </c>
      <c r="G561" s="14" t="str">
        <f t="array" ref="G561">IF(B561="", "",
  LET(_xlpm.spell, IFERROR(IF(F561="", "", INDEX(_xlws.FILTER(Hairstyles!$F:$F, ISNUMBER(SEARCH(F561, Hairstyles!$B:$B))), 1)), "No Spell for Hairstyle"),
  _xlpm.vanillaPrefix, IF(LEFT(_xlpm.spell, 7)="Uvi_Wig", "", ";"),
  ";" &amp; IF(C561="", B561, C561) &amp; IF(M561="", "", " ("&amp;M561&amp;")") &amp; CHAR(10) &amp;
  _xlpm.vanillaPrefix &amp; "Keyword = Uvi_Wig_Distr_KYWD|" &amp; B561 &amp; CHAR(10) &amp;
  _xlpm.vanillaPrefix &amp; "Spell = " &amp; _xlpm.spell &amp; "|" &amp; B561
  )
)</f>
        <v>;Fultheim
;Keyword = Uvi_Wig_Distr_KYWD|Fultheim
;Spell = No Spell for Hairstyle|Fultheim</v>
      </c>
    </row>
    <row r="562" ht="12.75" customHeight="1">
      <c r="A562" s="5" t="s">
        <v>2880</v>
      </c>
      <c r="B562" s="5" t="s">
        <v>2881</v>
      </c>
      <c r="C562" s="5" t="s">
        <v>2882</v>
      </c>
      <c r="D562" s="5" t="s">
        <v>38</v>
      </c>
      <c r="E562" s="5" t="s">
        <v>233</v>
      </c>
      <c r="F562" s="5" t="s">
        <v>424</v>
      </c>
      <c r="G562" s="14" t="str">
        <f t="array" ref="G562">IF(B562="", "",
  LET(_xlpm.spell, IFERROR(IF(F562="", "", INDEX(_xlws.FILTER(Hairstyles!$F:$F, ISNUMBER(SEARCH(F562, Hairstyles!$B:$B))), 1)), "No Spell for Hairstyle"),
  _xlpm.vanillaPrefix, IF(LEFT(_xlpm.spell, 7)="Uvi_Wig", "", ";"),
  ";" &amp; IF(C562="", B562, C562) &amp; IF(M562="", "", " ("&amp;M562&amp;")") &amp; CHAR(10) &amp;
  _xlpm.vanillaPrefix &amp; "Keyword = Uvi_Wig_Distr_KYWD|" &amp; B562 &amp; CHAR(10) &amp;
  _xlpm.vanillaPrefix &amp; "Spell = " &amp; _xlpm.spell &amp; "|" &amp; B562
  )
)</f>
        <v>;Fultheim the Fearless
;Keyword = Uvi_Wig_Distr_KYWD|DB02Captive1
;Spell = No Spell for Hairstyle|DB02Captive1</v>
      </c>
    </row>
    <row r="563" ht="12.75" customHeight="1">
      <c r="A563" s="15" t="s">
        <v>2883</v>
      </c>
      <c r="B563" s="5" t="s">
        <v>2884</v>
      </c>
      <c r="C563" s="5" t="s">
        <v>2885</v>
      </c>
      <c r="D563" s="5" t="s">
        <v>79</v>
      </c>
      <c r="E563" s="5" t="s">
        <v>41</v>
      </c>
      <c r="F563" s="5" t="s">
        <v>1996</v>
      </c>
      <c r="G563" s="14" t="str">
        <f t="array" ref="G563">IF(B563="", "",
  LET(_xlpm.spell, IFERROR(IF(F563="", "", INDEX(_xlws.FILTER(Hairstyles!$F:$F, ISNUMBER(SEARCH(F563, Hairstyles!$B:$B))), 1)), "No Spell for Hairstyle"),
  _xlpm.vanillaPrefix, IF(LEFT(_xlpm.spell, 7)="Uvi_Wig", "", ";"),
  ";" &amp; IF(C563="", B563, C563) &amp; IF(M563="", "", " ("&amp;M563&amp;")") &amp; CHAR(10) &amp;
  _xlpm.vanillaPrefix &amp; "Keyword = Uvi_Wig_Distr_KYWD|" &amp; B563 &amp; CHAR(10) &amp;
  _xlpm.vanillaPrefix &amp; "Spell = " &amp; _xlpm.spell &amp; "|" &amp; B563
  )
)</f>
        <v>;Fura Bloodmouth
;Keyword = Uvi_Wig_Distr_KYWD|DLC1FuraBloodmouth
;Spell = No Spell for Hairstyle|DLC1FuraBloodmouth</v>
      </c>
    </row>
    <row r="564" ht="12.75" customHeight="1">
      <c r="A564" s="5" t="s">
        <v>2886</v>
      </c>
      <c r="B564" s="5" t="s">
        <v>2887</v>
      </c>
      <c r="C564" s="5" t="s">
        <v>2887</v>
      </c>
      <c r="D564" s="5" t="s">
        <v>45</v>
      </c>
      <c r="E564" s="5" t="s">
        <v>41</v>
      </c>
      <c r="F564" s="5" t="s">
        <v>512</v>
      </c>
      <c r="G564" s="14" t="str">
        <f t="array" ref="G564">IF(B564="", "",
  LET(_xlpm.spell, IFERROR(IF(F564="", "", INDEX(_xlws.FILTER(Hairstyles!$F:$F, ISNUMBER(SEARCH(F564, Hairstyles!$B:$B))), 1)), "No Spell for Hairstyle"),
  _xlpm.vanillaPrefix, IF(LEFT(_xlpm.spell, 7)="Uvi_Wig", "", ";"),
  ";" &amp; IF(C564="", B564, C564) &amp; IF(M564="", "", " ("&amp;M564&amp;")") &amp; CHAR(10) &amp;
  _xlpm.vanillaPrefix &amp; "Keyword = Uvi_Wig_Distr_KYWD|" &amp; B564 &amp; CHAR(10) &amp;
  _xlpm.vanillaPrefix &amp; "Spell = " &amp; _xlpm.spell &amp; "|" &amp; B564
  )
)</f>
        <v>;Gabriella
;Keyword = Uvi_Wig_Distr_KYWD|Gabriella
;Spell = No Spell for Hairstyle|Gabriella</v>
      </c>
    </row>
    <row r="565" ht="12.75" customHeight="1">
      <c r="A565" s="5" t="s">
        <v>2888</v>
      </c>
      <c r="B565" s="5" t="s">
        <v>2889</v>
      </c>
      <c r="C565" s="5" t="s">
        <v>2887</v>
      </c>
      <c r="D565" s="5" t="s">
        <v>45</v>
      </c>
      <c r="E565" s="5" t="s">
        <v>41</v>
      </c>
      <c r="F565" s="5" t="s">
        <v>512</v>
      </c>
      <c r="G565" s="14" t="str">
        <f t="array" ref="G565">IF(B565="", "",
  LET(_xlpm.spell, IFERROR(IF(F565="", "", INDEX(_xlws.FILTER(Hairstyles!$F:$F, ISNUMBER(SEARCH(F565, Hairstyles!$B:$B))), 1)), "No Spell for Hairstyle"),
  _xlpm.vanillaPrefix, IF(LEFT(_xlpm.spell, 7)="Uvi_Wig", "", ";"),
  ";" &amp; IF(C565="", B565, C565) &amp; IF(M565="", "", " ("&amp;M565&amp;")") &amp; CHAR(10) &amp;
  _xlpm.vanillaPrefix &amp; "Keyword = Uvi_Wig_Distr_KYWD|" &amp; B565 &amp; CHAR(10) &amp;
  _xlpm.vanillaPrefix &amp; "Spell = " &amp; _xlpm.spell &amp; "|" &amp; B565
  )
)</f>
        <v>;Gabriella
;Keyword = Uvi_Wig_Distr_KYWD|GabriellaDead
;Spell = No Spell for Hairstyle|GabriellaDead</v>
      </c>
    </row>
    <row r="566" ht="12.75" customHeight="1">
      <c r="A566" s="5" t="s">
        <v>2890</v>
      </c>
      <c r="B566" s="5" t="s">
        <v>2891</v>
      </c>
      <c r="C566" s="5" t="s">
        <v>2892</v>
      </c>
      <c r="D566" s="5" t="s">
        <v>80</v>
      </c>
      <c r="E566" s="5" t="s">
        <v>233</v>
      </c>
      <c r="F566" s="5" t="s">
        <v>458</v>
      </c>
      <c r="G566" s="14" t="str">
        <f t="array" ref="G566">IF(B566="", "",
  LET(_xlpm.spell, IFERROR(IF(F566="", "", INDEX(_xlws.FILTER(Hairstyles!$F:$F, ISNUMBER(SEARCH(F566, Hairstyles!$B:$B))), 1)), "No Spell for Hairstyle"),
  _xlpm.vanillaPrefix, IF(LEFT(_xlpm.spell, 7)="Uvi_Wig", "", ";"),
  ";" &amp; IF(C566="", B566, C566) &amp; IF(M566="", "", " ("&amp;M566&amp;")") &amp; CHAR(10) &amp;
  _xlpm.vanillaPrefix &amp; "Keyword = Uvi_Wig_Distr_KYWD|" &amp; B566 &amp; CHAR(10) &amp;
  _xlpm.vanillaPrefix &amp; "Spell = " &amp; _xlpm.spell &amp; "|" &amp; B566
  )
)</f>
        <v>;Gadba gro-Largash
;Keyword = Uvi_Wig_Distr_KYWD|GadbaGroLargash
;Spell = No Spell for Hairstyle|GadbaGroLargash</v>
      </c>
    </row>
    <row r="567" ht="12.75" customHeight="1">
      <c r="A567" s="5" t="s">
        <v>2893</v>
      </c>
      <c r="B567" s="5" t="s">
        <v>2894</v>
      </c>
      <c r="C567" s="5" t="s">
        <v>2894</v>
      </c>
      <c r="D567" s="5" t="s">
        <v>90</v>
      </c>
      <c r="E567" s="5" t="s">
        <v>233</v>
      </c>
      <c r="F567" s="5" t="s">
        <v>2583</v>
      </c>
      <c r="G567" s="14" t="str">
        <f t="array" ref="G567">IF(B567="", "",
  LET(_xlpm.spell, IFERROR(IF(F567="", "", INDEX(_xlws.FILTER(Hairstyles!$F:$F, ISNUMBER(SEARCH(F567, Hairstyles!$B:$B))), 1)), "No Spell for Hairstyle"),
  _xlpm.vanillaPrefix, IF(LEFT(_xlpm.spell, 7)="Uvi_Wig", "", ";"),
  ";" &amp; IF(C567="", B567, C567) &amp; IF(M567="", "", " ("&amp;M567&amp;")") &amp; CHAR(10) &amp;
  _xlpm.vanillaPrefix &amp; "Keyword = Uvi_Wig_Distr_KYWD|" &amp; B567 &amp; CHAR(10) &amp;
  _xlpm.vanillaPrefix &amp; "Spell = " &amp; _xlpm.spell &amp; "|" &amp; B567
  )
)</f>
        <v>;Gadnor
;Keyword = Uvi_Wig_Distr_KYWD|Gadnor
;Spell = No Spell for Hairstyle|Gadnor</v>
      </c>
    </row>
    <row r="568" ht="12.75" customHeight="1">
      <c r="A568" s="15" t="s">
        <v>2895</v>
      </c>
      <c r="B568" s="5" t="s">
        <v>2896</v>
      </c>
      <c r="C568" s="5" t="s">
        <v>2897</v>
      </c>
      <c r="D568" s="5" t="s">
        <v>59</v>
      </c>
      <c r="E568" s="5" t="s">
        <v>233</v>
      </c>
      <c r="F568" s="5" t="s">
        <v>40</v>
      </c>
      <c r="G568" s="14" t="str">
        <f t="array" ref="G568">IF(B568="", "",
  LET(_xlpm.spell, IFERROR(IF(F568="", "", INDEX(_xlws.FILTER(Hairstyles!$F:$F, ISNUMBER(SEARCH(F568, Hairstyles!$B:$B))), 1)), "No Spell for Hairstyle"),
  _xlpm.vanillaPrefix, IF(LEFT(_xlpm.spell, 7)="Uvi_Wig", "", ";"),
  ";" &amp; IF(C568="", B568, C568) &amp; IF(M568="", "", " ("&amp;M568&amp;")") &amp; CHAR(10) &amp;
  _xlpm.vanillaPrefix &amp; "Keyword = Uvi_Wig_Distr_KYWD|" &amp; B568 &amp; CHAR(10) &amp;
  _xlpm.vanillaPrefix &amp; "Spell = " &amp; _xlpm.spell &amp; "|" &amp; B568
  )
)</f>
        <v>;Gaius Maro
;Keyword = Uvi_Wig_Distr_KYWD|GaiusMaro
;Spell = No Spell for Hairstyle|GaiusMaro</v>
      </c>
    </row>
    <row r="569" ht="12.75" customHeight="1">
      <c r="A569" s="15" t="s">
        <v>2898</v>
      </c>
      <c r="B569" s="5" t="s">
        <v>2899</v>
      </c>
      <c r="C569" s="5" t="s">
        <v>2900</v>
      </c>
      <c r="D569" s="5" t="s">
        <v>90</v>
      </c>
      <c r="E569" s="5" t="s">
        <v>41</v>
      </c>
      <c r="F569" s="5" t="s">
        <v>2034</v>
      </c>
      <c r="G569" s="14" t="str">
        <f t="array" ref="G569">IF(B569="", "",
  LET(_xlpm.spell, IFERROR(IF(F569="", "", INDEX(_xlws.FILTER(Hairstyles!$F:$F, ISNUMBER(SEARCH(F569, Hairstyles!$B:$B))), 1)), "No Spell for Hairstyle"),
  _xlpm.vanillaPrefix, IF(LEFT(_xlpm.spell, 7)="Uvi_Wig", "", ";"),
  ";" &amp; IF(C569="", B569, C569) &amp; IF(M569="", "", " ("&amp;M569&amp;")") &amp; CHAR(10) &amp;
  _xlpm.vanillaPrefix &amp; "Keyword = Uvi_Wig_Distr_KYWD|" &amp; B569 &amp; CHAR(10) &amp;
  _xlpm.vanillaPrefix &amp; "Spell = " &amp; _xlpm.spell &amp; "|" &amp; B569
  )
)</f>
        <v>;Galathil
;Keyword = Uvi_Wig_Distr_KYWD|DLC1Surgeon
;Spell = No Spell for Hairstyle|DLC1Surgeon</v>
      </c>
    </row>
    <row r="570" ht="12.75" customHeight="1">
      <c r="A570" s="5" t="s">
        <v>2901</v>
      </c>
      <c r="B570" s="5" t="s">
        <v>2902</v>
      </c>
      <c r="C570" s="5" t="s">
        <v>2903</v>
      </c>
      <c r="D570" s="5" t="s">
        <v>45</v>
      </c>
      <c r="E570" s="5" t="s">
        <v>233</v>
      </c>
      <c r="F570" s="5" t="s">
        <v>91</v>
      </c>
      <c r="G570" s="14" t="str">
        <f t="array" ref="G570">IF(B570="", "",
  LET(_xlpm.spell, IFERROR(IF(F570="", "", INDEX(_xlws.FILTER(Hairstyles!$F:$F, ISNUMBER(SEARCH(F570, Hairstyles!$B:$B))), 1)), "No Spell for Hairstyle"),
  _xlpm.vanillaPrefix, IF(LEFT(_xlpm.spell, 7)="Uvi_Wig", "", ";"),
  ";" &amp; IF(C570="", B570, C570) &amp; IF(M570="", "", " ("&amp;M570&amp;")") &amp; CHAR(10) &amp;
  _xlpm.vanillaPrefix &amp; "Keyword = Uvi_Wig_Distr_KYWD|" &amp; B570 &amp; CHAR(10) &amp;
  _xlpm.vanillaPrefix &amp; "Spell = " &amp; _xlpm.spell &amp; "|" &amp; B570
  )
)</f>
        <v>;Galdrus Hlervu
;Keyword = Uvi_Wig_Distr_KYWD|DLC2RRGaldrusHlervu
;Spell = No Spell for Hairstyle|DLC2RRGaldrusHlervu</v>
      </c>
    </row>
    <row r="571" ht="12.75" customHeight="1">
      <c r="A571" s="5" t="s">
        <v>2904</v>
      </c>
      <c r="B571" s="5" t="s">
        <v>2905</v>
      </c>
      <c r="C571" s="5" t="s">
        <v>2906</v>
      </c>
      <c r="D571" s="5" t="s">
        <v>38</v>
      </c>
      <c r="E571" s="5" t="s">
        <v>233</v>
      </c>
      <c r="F571" s="5" t="s">
        <v>521</v>
      </c>
      <c r="G571" s="14" t="str">
        <f t="array" ref="G571">IF(B571="", "",
  LET(_xlpm.spell, IFERROR(IF(F571="", "", INDEX(_xlws.FILTER(Hairstyles!$F:$F, ISNUMBER(SEARCH(F571, Hairstyles!$B:$B))), 1)), "No Spell for Hairstyle"),
  _xlpm.vanillaPrefix, IF(LEFT(_xlpm.spell, 7)="Uvi_Wig", "", ";"),
  ";" &amp; IF(C571="", B571, C571) &amp; IF(M571="", "", " ("&amp;M571&amp;")") &amp; CHAR(10) &amp;
  _xlpm.vanillaPrefix &amp; "Keyword = Uvi_Wig_Distr_KYWD|" &amp; B571 &amp; CHAR(10) &amp;
  _xlpm.vanillaPrefix &amp; "Spell = " &amp; _xlpm.spell &amp; "|" &amp; B571
  )
)</f>
        <v>;Galmar Stone-Fist
;Keyword = Uvi_Wig_Distr_KYWD|CWBattleGalmar
;Spell = No Spell for Hairstyle|CWBattleGalmar</v>
      </c>
    </row>
    <row r="572" ht="12.75" customHeight="1">
      <c r="A572" s="15" t="s">
        <v>2907</v>
      </c>
      <c r="B572" s="5" t="s">
        <v>2908</v>
      </c>
      <c r="C572" s="5" t="s">
        <v>2906</v>
      </c>
      <c r="D572" s="5" t="s">
        <v>38</v>
      </c>
      <c r="E572" s="5" t="s">
        <v>233</v>
      </c>
      <c r="F572" s="5" t="s">
        <v>521</v>
      </c>
      <c r="G572" s="14" t="str">
        <f t="array" ref="G572">IF(B572="", "",
  LET(_xlpm.spell, IFERROR(IF(F572="", "", INDEX(_xlws.FILTER(Hairstyles!$F:$F, ISNUMBER(SEARCH(F572, Hairstyles!$B:$B))), 1)), "No Spell for Hairstyle"),
  _xlpm.vanillaPrefix, IF(LEFT(_xlpm.spell, 7)="Uvi_Wig", "", ";"),
  ";" &amp; IF(C572="", B572, C572) &amp; IF(M572="", "", " ("&amp;M572&amp;")") &amp; CHAR(10) &amp;
  _xlpm.vanillaPrefix &amp; "Keyword = Uvi_Wig_Distr_KYWD|" &amp; B572 &amp; CHAR(10) &amp;
  _xlpm.vanillaPrefix &amp; "Spell = " &amp; _xlpm.spell &amp; "|" &amp; B572
  )
)</f>
        <v>;Galmar Stone-Fist
;Keyword = Uvi_Wig_Distr_KYWD|Galmar
;Spell = No Spell for Hairstyle|Galmar</v>
      </c>
    </row>
    <row r="573" ht="12.75" customHeight="1">
      <c r="A573" s="5" t="s">
        <v>2909</v>
      </c>
      <c r="B573" s="5" t="s">
        <v>2910</v>
      </c>
      <c r="C573" s="5" t="s">
        <v>2911</v>
      </c>
      <c r="D573" s="5" t="s">
        <v>59</v>
      </c>
      <c r="E573" s="5" t="s">
        <v>41</v>
      </c>
      <c r="F573" s="5" t="s">
        <v>2912</v>
      </c>
      <c r="G573" s="14" t="str">
        <f t="array" ref="G573">IF(B573="", "",
  LET(_xlpm.spell, IFERROR(IF(F573="", "", INDEX(_xlws.FILTER(Hairstyles!$F:$F, ISNUMBER(SEARCH(F573, Hairstyles!$B:$B))), 1)), "No Spell for Hairstyle"),
  _xlpm.vanillaPrefix, IF(LEFT(_xlpm.spell, 7)="Uvi_Wig", "", ";"),
  ";" &amp; IF(C573="", B573, C573) &amp; IF(M573="", "", " ("&amp;M573&amp;")") &amp; CHAR(10) &amp;
  _xlpm.vanillaPrefix &amp; "Keyword = Uvi_Wig_Distr_KYWD|" &amp; B573 &amp; CHAR(10) &amp;
  _xlpm.vanillaPrefix &amp; "Spell = " &amp; _xlpm.spell &amp; "|" &amp; B573
  )
)</f>
        <v>;Ganna Uriel
;Keyword = Uvi_Wig_Distr_KYWD|GannaUriel
;Spell = No Spell for Hairstyle|GannaUriel</v>
      </c>
    </row>
    <row r="574" ht="12.75" customHeight="1">
      <c r="A574" s="5" t="s">
        <v>2913</v>
      </c>
      <c r="B574" s="5" t="s">
        <v>2914</v>
      </c>
      <c r="C574" s="5" t="s">
        <v>2914</v>
      </c>
      <c r="D574" s="5" t="s">
        <v>80</v>
      </c>
      <c r="E574" s="5" t="s">
        <v>41</v>
      </c>
      <c r="F574" s="5" t="s">
        <v>449</v>
      </c>
      <c r="G574" s="14" t="str">
        <f t="array" ref="G574">IF(B574="", "",
  LET(_xlpm.spell, IFERROR(IF(F574="", "", INDEX(_xlws.FILTER(Hairstyles!$F:$F, ISNUMBER(SEARCH(F574, Hairstyles!$B:$B))), 1)), "No Spell for Hairstyle"),
  _xlpm.vanillaPrefix, IF(LEFT(_xlpm.spell, 7)="Uvi_Wig", "", ";"),
  ";" &amp; IF(C574="", B574, C574) &amp; IF(M574="", "", " ("&amp;M574&amp;")") &amp; CHAR(10) &amp;
  _xlpm.vanillaPrefix &amp; "Keyword = Uvi_Wig_Distr_KYWD|" &amp; B574 &amp; CHAR(10) &amp;
  _xlpm.vanillaPrefix &amp; "Spell = " &amp; _xlpm.spell &amp; "|" &amp; B574
  )
)</f>
        <v>;Garakh
;Keyword = Uvi_Wig_Distr_KYWD|Garakh
;Spell = No Spell for Hairstyle|Garakh</v>
      </c>
    </row>
    <row r="575" ht="12.75" customHeight="1">
      <c r="A575" s="15" t="s">
        <v>2915</v>
      </c>
      <c r="B575" s="5" t="s">
        <v>2916</v>
      </c>
      <c r="C575" s="5" t="s">
        <v>2917</v>
      </c>
      <c r="D575" s="5" t="s">
        <v>50</v>
      </c>
      <c r="E575" s="5" t="s">
        <v>233</v>
      </c>
      <c r="F575" s="5" t="s">
        <v>525</v>
      </c>
      <c r="G575" s="14" t="str">
        <f t="array" ref="G575">IF(B575="", "",
  LET(_xlpm.spell, IFERROR(IF(F575="", "", INDEX(_xlws.FILTER(Hairstyles!$F:$F, ISNUMBER(SEARCH(F575, Hairstyles!$B:$B))), 1)), "No Spell for Hairstyle"),
  _xlpm.vanillaPrefix, IF(LEFT(_xlpm.spell, 7)="Uvi_Wig", "", ";"),
  ";" &amp; IF(C575="", B575, C575) &amp; IF(M575="", "", " ("&amp;M575&amp;")") &amp; CHAR(10) &amp;
  _xlpm.vanillaPrefix &amp; "Keyword = Uvi_Wig_Distr_KYWD|" &amp; B575 &amp; CHAR(10) &amp;
  _xlpm.vanillaPrefix &amp; "Spell = " &amp; _xlpm.spell &amp; "|" &amp; B575
  )
)</f>
        <v>;Garan Marethi
;Keyword = Uvi_Wig_Distr_KYWD|DLC1GaranMarethi
;Spell = No Spell for Hairstyle|DLC1GaranMarethi</v>
      </c>
    </row>
    <row r="576" ht="12.75" customHeight="1">
      <c r="A576" s="5" t="s">
        <v>2918</v>
      </c>
      <c r="B576" s="5" t="s">
        <v>2919</v>
      </c>
      <c r="C576" s="5" t="s">
        <v>2919</v>
      </c>
      <c r="D576" s="5" t="s">
        <v>38</v>
      </c>
      <c r="E576" s="5" t="s">
        <v>233</v>
      </c>
      <c r="F576" s="5" t="s">
        <v>1906</v>
      </c>
      <c r="G576" s="14" t="str">
        <f t="array" ref="G576">IF(B576="", "",
  LET(_xlpm.spell, IFERROR(IF(F576="", "", INDEX(_xlws.FILTER(Hairstyles!$F:$F, ISNUMBER(SEARCH(F576, Hairstyles!$B:$B))), 1)), "No Spell for Hairstyle"),
  _xlpm.vanillaPrefix, IF(LEFT(_xlpm.spell, 7)="Uvi_Wig", "", ";"),
  ";" &amp; IF(C576="", B576, C576) &amp; IF(M576="", "", " ("&amp;M576&amp;")") &amp; CHAR(10) &amp;
  _xlpm.vanillaPrefix &amp; "Keyword = Uvi_Wig_Distr_KYWD|" &amp; B576 &amp; CHAR(10) &amp;
  _xlpm.vanillaPrefix &amp; "Spell = " &amp; _xlpm.spell &amp; "|" &amp; B576
  )
)</f>
        <v>;Garthar
;Keyword = Uvi_Wig_Distr_KYWD|Garthar
;Spell = No Spell for Hairstyle|Garthar</v>
      </c>
    </row>
    <row r="577" ht="12.75" customHeight="1">
      <c r="A577" s="5" t="s">
        <v>2920</v>
      </c>
      <c r="B577" s="5" t="s">
        <v>2921</v>
      </c>
      <c r="C577" s="5" t="s">
        <v>2922</v>
      </c>
      <c r="D577" s="5" t="s">
        <v>38</v>
      </c>
      <c r="E577" s="5" t="s">
        <v>233</v>
      </c>
      <c r="F577" s="5" t="s">
        <v>1622</v>
      </c>
      <c r="G577" s="14" t="str">
        <f t="array" ref="G577">IF(B577="", "",
  LET(_xlpm.spell, IFERROR(IF(F577="", "", INDEX(_xlws.FILTER(Hairstyles!$F:$F, ISNUMBER(SEARCH(F577, Hairstyles!$B:$B))), 1)), "No Spell for Hairstyle"),
  _xlpm.vanillaPrefix, IF(LEFT(_xlpm.spell, 7)="Uvi_Wig", "", ";"),
  ";" &amp; IF(C577="", B577, C577) &amp; IF(M577="", "", " ("&amp;M577&amp;")") &amp; CHAR(10) &amp;
  _xlpm.vanillaPrefix &amp; "Keyword = Uvi_Wig_Distr_KYWD|" &amp; B577 &amp; CHAR(10) &amp;
  _xlpm.vanillaPrefix &amp; "Spell = " &amp; _xlpm.spell &amp; "|" &amp; B577
  )
)</f>
        <v>;Garuk Windrime
;Keyword = Uvi_Wig_Distr_KYWD|DLC2dunHaknirGarukWindrime
;Spell = No Spell for Hairstyle|DLC2dunHaknirGarukWindrime</v>
      </c>
    </row>
    <row r="578" ht="12.75" customHeight="1">
      <c r="A578" s="5" t="s">
        <v>2923</v>
      </c>
      <c r="B578" s="5" t="s">
        <v>2924</v>
      </c>
      <c r="C578" s="5" t="s">
        <v>2924</v>
      </c>
      <c r="D578" s="5" t="s">
        <v>16</v>
      </c>
      <c r="E578" s="5" t="s">
        <v>233</v>
      </c>
      <c r="F578" s="5" t="s">
        <v>1894</v>
      </c>
      <c r="G578" s="14" t="str">
        <f t="array" ref="G578">IF(B578="", "",
  LET(_xlpm.spell, IFERROR(IF(F578="", "", INDEX(_xlws.FILTER(Hairstyles!$F:$F, ISNUMBER(SEARCH(F578, Hairstyles!$B:$B))), 1)), "No Spell for Hairstyle"),
  _xlpm.vanillaPrefix, IF(LEFT(_xlpm.spell, 7)="Uvi_Wig", "", ";"),
  ";" &amp; IF(C578="", B578, C578) &amp; IF(M578="", "", " ("&amp;M578&amp;")") &amp; CHAR(10) &amp;
  _xlpm.vanillaPrefix &amp; "Keyword = Uvi_Wig_Distr_KYWD|" &amp; B578 &amp; CHAR(10) &amp;
  _xlpm.vanillaPrefix &amp; "Spell = " &amp; _xlpm.spell &amp; "|" &amp; B578
  )
)</f>
        <v>;Garvey
;Keyword = Uvi_Wig_Distr_KYWD|Garvey
;Spell = No Spell for Hairstyle|Garvey</v>
      </c>
    </row>
    <row r="579" ht="12.75" customHeight="1">
      <c r="A579" s="5" t="s">
        <v>2925</v>
      </c>
      <c r="B579" s="5" t="s">
        <v>2926</v>
      </c>
      <c r="C579" s="5" t="s">
        <v>2927</v>
      </c>
      <c r="D579" s="5" t="s">
        <v>45</v>
      </c>
      <c r="E579" s="5" t="s">
        <v>233</v>
      </c>
      <c r="F579" s="5" t="s">
        <v>1937</v>
      </c>
      <c r="G579" s="14" t="str">
        <f t="array" ref="G579">IF(B579="", "",
  LET(_xlpm.spell, IFERROR(IF(F579="", "", INDEX(_xlws.FILTER(Hairstyles!$F:$F, ISNUMBER(SEARCH(F579, Hairstyles!$B:$B))), 1)), "No Spell for Hairstyle"),
  _xlpm.vanillaPrefix, IF(LEFT(_xlpm.spell, 7)="Uvi_Wig", "", ";"),
  ";" &amp; IF(C579="", B579, C579) &amp; IF(M579="", "", " ("&amp;M579&amp;")") &amp; CHAR(10) &amp;
  _xlpm.vanillaPrefix &amp; "Keyword = Uvi_Wig_Distr_KYWD|" &amp; B579 &amp; CHAR(10) &amp;
  _xlpm.vanillaPrefix &amp; "Spell = " &amp; _xlpm.spell &amp; "|" &amp; B579
  )
)</f>
        <v>;Garyn Ienth
;Keyword = Uvi_Wig_Distr_KYWD|DLC2RRGarynIenth
;Spell = No Spell for Hairstyle|DLC2RRGarynIenth</v>
      </c>
    </row>
    <row r="580" ht="12.75" customHeight="1">
      <c r="A580" s="5" t="s">
        <v>2928</v>
      </c>
      <c r="B580" s="5" t="s">
        <v>2929</v>
      </c>
      <c r="C580" s="5" t="s">
        <v>2930</v>
      </c>
      <c r="D580" s="5" t="s">
        <v>80</v>
      </c>
      <c r="E580" s="5" t="s">
        <v>233</v>
      </c>
      <c r="F580" s="5" t="s">
        <v>443</v>
      </c>
      <c r="G580" s="14" t="str">
        <f t="array" ref="G580">IF(B580="", "",
  LET(_xlpm.spell, IFERROR(IF(F580="", "", INDEX(_xlws.FILTER(Hairstyles!$F:$F, ISNUMBER(SEARCH(F580, Hairstyles!$B:$B))), 1)), "No Spell for Hairstyle"),
  _xlpm.vanillaPrefix, IF(LEFT(_xlpm.spell, 7)="Uvi_Wig", "", ";"),
  ";" &amp; IF(C580="", B580, C580) &amp; IF(M580="", "", " ("&amp;M580&amp;")") &amp; CHAR(10) &amp;
  _xlpm.vanillaPrefix &amp; "Keyword = Uvi_Wig_Distr_KYWD|" &amp; B580 &amp; CHAR(10) &amp;
  _xlpm.vanillaPrefix &amp; "Spell = " &amp; _xlpm.spell &amp; "|" &amp; B580
  )
)</f>
        <v>;Gat gro-Shargakh
;Keyword = Uvi_Wig_Distr_KYWD|GatgroShargakh
;Spell = No Spell for Hairstyle|GatgroShargakh</v>
      </c>
    </row>
    <row r="581" ht="12.75" customHeight="1">
      <c r="A581" s="5" t="s">
        <v>2931</v>
      </c>
      <c r="B581" s="5" t="s">
        <v>2932</v>
      </c>
      <c r="C581" s="5" t="s">
        <v>2933</v>
      </c>
      <c r="D581" s="5" t="s">
        <v>16</v>
      </c>
      <c r="E581" s="5" t="s">
        <v>233</v>
      </c>
      <c r="F581" s="5" t="s">
        <v>19</v>
      </c>
      <c r="G581" s="14" t="str">
        <f t="array" ref="G581">IF(B581="", "",
  LET(_xlpm.spell, IFERROR(IF(F581="", "", INDEX(_xlws.FILTER(Hairstyles!$F:$F, ISNUMBER(SEARCH(F581, Hairstyles!$B:$B))), 1)), "No Spell for Hairstyle"),
  _xlpm.vanillaPrefix, IF(LEFT(_xlpm.spell, 7)="Uvi_Wig", "", ";"),
  ";" &amp; IF(C581="", B581, C581) &amp; IF(M581="", "", " ("&amp;M581&amp;")") &amp; CHAR(10) &amp;
  _xlpm.vanillaPrefix &amp; "Keyword = Uvi_Wig_Distr_KYWD|" &amp; B581 &amp; CHAR(10) &amp;
  _xlpm.vanillaPrefix &amp; "Spell = " &amp; _xlpm.spell &amp; "|" &amp; B581
  )
)</f>
        <v>;Gauldur
;Keyword = Uvi_Wig_Distr_KYWD|dunReachwaterRockGauldur
;Spell = No Spell for Hairstyle|dunReachwaterRockGauldur</v>
      </c>
    </row>
    <row r="582" ht="12.75" customHeight="1">
      <c r="A582" s="5" t="s">
        <v>2934</v>
      </c>
      <c r="B582" s="5" t="s">
        <v>2935</v>
      </c>
      <c r="C582" s="5" t="s">
        <v>2936</v>
      </c>
      <c r="D582" s="5" t="s">
        <v>59</v>
      </c>
      <c r="E582" s="5" t="s">
        <v>233</v>
      </c>
      <c r="F582" s="5" t="s">
        <v>84</v>
      </c>
      <c r="G582" s="14" t="str">
        <f t="array" ref="G582">IF(B582="", "",
  LET(_xlpm.spell, IFERROR(IF(F582="", "", INDEX(_xlws.FILTER(Hairstyles!$F:$F, ISNUMBER(SEARCH(F582, Hairstyles!$B:$B))), 1)), "No Spell for Hairstyle"),
  _xlpm.vanillaPrefix, IF(LEFT(_xlpm.spell, 7)="Uvi_Wig", "", ";"),
  ";" &amp; IF(C582="", B582, C582) &amp; IF(M582="", "", " ("&amp;M582&amp;")") &amp; CHAR(10) &amp;
  _xlpm.vanillaPrefix &amp; "Keyword = Uvi_Wig_Distr_KYWD|" &amp; B582 &amp; CHAR(10) &amp;
  _xlpm.vanillaPrefix &amp; "Spell = " &amp; _xlpm.spell &amp; "|" &amp; B582
  )
)</f>
        <v>;Gavros Plinius
;Keyword = Uvi_Wig_Distr_KYWD|GavrosPlinius
;Spell = No Spell for Hairstyle|GavrosPlinius</v>
      </c>
    </row>
    <row r="583" ht="12.75" customHeight="1">
      <c r="A583" s="5" t="s">
        <v>2937</v>
      </c>
      <c r="B583" s="5" t="s">
        <v>2938</v>
      </c>
      <c r="C583" s="5" t="s">
        <v>2938</v>
      </c>
      <c r="D583" s="5" t="s">
        <v>38</v>
      </c>
      <c r="E583" s="5" t="s">
        <v>233</v>
      </c>
      <c r="F583" s="5" t="s">
        <v>990</v>
      </c>
      <c r="G583" s="14" t="str">
        <f t="array" ref="G583">IF(B583="", "",
  LET(_xlpm.spell, IFERROR(IF(F583="", "", INDEX(_xlws.FILTER(Hairstyles!$F:$F, ISNUMBER(SEARCH(F583, Hairstyles!$B:$B))), 1)), "No Spell for Hairstyle"),
  _xlpm.vanillaPrefix, IF(LEFT(_xlpm.spell, 7)="Uvi_Wig", "", ";"),
  ";" &amp; IF(C583="", B583, C583) &amp; IF(M583="", "", " ("&amp;M583&amp;")") &amp; CHAR(10) &amp;
  _xlpm.vanillaPrefix &amp; "Keyword = Uvi_Wig_Distr_KYWD|" &amp; B583 &amp; CHAR(10) &amp;
  _xlpm.vanillaPrefix &amp; "Spell = " &amp; _xlpm.spell &amp; "|" &amp; B583
  )
)</f>
        <v>;Geimund
;Keyword = Uvi_Wig_Distr_KYWD|Geimund
;Spell = No Spell for Hairstyle|Geimund</v>
      </c>
    </row>
    <row r="584" ht="12.75" customHeight="1">
      <c r="A584" s="5" t="s">
        <v>2939</v>
      </c>
      <c r="B584" s="5" t="s">
        <v>2940</v>
      </c>
      <c r="C584" s="5" t="s">
        <v>2941</v>
      </c>
      <c r="D584" s="5" t="s">
        <v>38</v>
      </c>
      <c r="E584" s="5" t="s">
        <v>233</v>
      </c>
      <c r="F584" s="5" t="s">
        <v>424</v>
      </c>
      <c r="G584" s="14" t="str">
        <f t="array" ref="G584">IF(B584="", "",
  LET(_xlpm.spell, IFERROR(IF(F584="", "", INDEX(_xlws.FILTER(Hairstyles!$F:$F, ISNUMBER(SEARCH(F584, Hairstyles!$B:$B))), 1)), "No Spell for Hairstyle"),
  _xlpm.vanillaPrefix, IF(LEFT(_xlpm.spell, 7)="Uvi_Wig", "", ";"),
  ";" &amp; IF(C584="", B584, C584) &amp; IF(M584="", "", " ("&amp;M584&amp;")") &amp; CHAR(10) &amp;
  _xlpm.vanillaPrefix &amp; "Keyword = Uvi_Wig_Distr_KYWD|" &amp; B584 &amp; CHAR(10) &amp;
  _xlpm.vanillaPrefix &amp; "Spell = " &amp; _xlpm.spell &amp; "|" &amp; B584
  )
)</f>
        <v>;Geirlund
;Keyword = Uvi_Wig_Distr_KYWD|MS09Geirlund
;Spell = No Spell for Hairstyle|MS09Geirlund</v>
      </c>
    </row>
    <row r="585" ht="12.75" customHeight="1">
      <c r="A585" s="15" t="s">
        <v>2942</v>
      </c>
      <c r="B585" s="5" t="s">
        <v>2943</v>
      </c>
      <c r="C585" s="5" t="s">
        <v>2944</v>
      </c>
      <c r="D585" s="5" t="s">
        <v>45</v>
      </c>
      <c r="E585" s="5" t="s">
        <v>233</v>
      </c>
      <c r="F585" s="5" t="s">
        <v>525</v>
      </c>
      <c r="G585" s="14" t="str">
        <f t="array" ref="G585">IF(B585="", "",
  LET(_xlpm.spell, IFERROR(IF(F585="", "", INDEX(_xlws.FILTER(Hairstyles!$F:$F, ISNUMBER(SEARCH(F585, Hairstyles!$B:$B))), 1)), "No Spell for Hairstyle"),
  _xlpm.vanillaPrefix, IF(LEFT(_xlpm.spell, 7)="Uvi_Wig", "", ";"),
  ";" &amp; IF(C585="", B585, C585) &amp; IF(M585="", "", " ("&amp;M585&amp;")") &amp; CHAR(10) &amp;
  _xlpm.vanillaPrefix &amp; "Keyword = Uvi_Wig_Distr_KYWD|" &amp; B585 &amp; CHAR(10) &amp;
  _xlpm.vanillaPrefix &amp; "Spell = " &amp; _xlpm.spell &amp; "|" &amp; B585
  )
)</f>
        <v>;Geldis Sadri
;Keyword = Uvi_Wig_Distr_KYWD|DLC2RRGeldisSadri
;Spell = No Spell for Hairstyle|DLC2RRGeldisSadri</v>
      </c>
    </row>
    <row r="586" ht="12.75" customHeight="1">
      <c r="A586" s="5" t="s">
        <v>2945</v>
      </c>
      <c r="B586" s="5" t="s">
        <v>2946</v>
      </c>
      <c r="C586" s="5" t="s">
        <v>2946</v>
      </c>
      <c r="D586" s="5" t="s">
        <v>90</v>
      </c>
      <c r="E586" s="5" t="s">
        <v>233</v>
      </c>
      <c r="F586" s="5" t="s">
        <v>1787</v>
      </c>
      <c r="G586" s="14" t="str">
        <f t="array" ref="G586">IF(B586="", "",
  LET(_xlpm.spell, IFERROR(IF(F586="", "", INDEX(_xlws.FILTER(Hairstyles!$F:$F, ISNUMBER(SEARCH(F586, Hairstyles!$B:$B))), 1)), "No Spell for Hairstyle"),
  _xlpm.vanillaPrefix, IF(LEFT(_xlpm.spell, 7)="Uvi_Wig", "", ";"),
  ";" &amp; IF(C586="", B586, C586) &amp; IF(M586="", "", " ("&amp;M586&amp;")") &amp; CHAR(10) &amp;
  _xlpm.vanillaPrefix &amp; "Keyword = Uvi_Wig_Distr_KYWD|" &amp; B586 &amp; CHAR(10) &amp;
  _xlpm.vanillaPrefix &amp; "Spell = " &amp; _xlpm.spell &amp; "|" &amp; B586
  )
)</f>
        <v>;Gelebros
;Keyword = Uvi_Wig_Distr_KYWD|Gelebros
;Spell = No Spell for Hairstyle|Gelebros</v>
      </c>
    </row>
    <row r="587" ht="12.75" customHeight="1">
      <c r="A587" s="15" t="s">
        <v>2947</v>
      </c>
      <c r="B587" s="5" t="s">
        <v>2948</v>
      </c>
      <c r="C587" s="5" t="s">
        <v>2949</v>
      </c>
      <c r="D587" s="5" t="s">
        <v>59</v>
      </c>
      <c r="E587" s="5" t="s">
        <v>41</v>
      </c>
      <c r="F587" s="5" t="s">
        <v>69</v>
      </c>
      <c r="G587" s="14" t="str">
        <f t="array" ref="G587">IF(B587="", "",
  LET(_xlpm.spell, IFERROR(IF(F587="", "", INDEX(_xlws.FILTER(Hairstyles!$F:$F, ISNUMBER(SEARCH(F587, Hairstyles!$B:$B))), 1)), "No Spell for Hairstyle"),
  _xlpm.vanillaPrefix, IF(LEFT(_xlpm.spell, 7)="Uvi_Wig", "", ";"),
  ";" &amp; IF(C587="", B587, C587) &amp; IF(M587="", "", " ("&amp;M587&amp;")") &amp; CHAR(10) &amp;
  _xlpm.vanillaPrefix &amp; "Keyword = Uvi_Wig_Distr_KYWD|" &amp; B587 &amp; CHAR(10) &amp;
  _xlpm.vanillaPrefix &amp; "Spell = " &amp; _xlpm.spell &amp; "|" &amp; B587
  )
)</f>
        <v>;Gemma Uriel
;Keyword = Uvi_Wig_Distr_KYWD|GemmaUriel
;Spell = No Spell for Hairstyle|GemmaUriel</v>
      </c>
    </row>
    <row r="588" ht="12.75" customHeight="1">
      <c r="A588" s="5" t="s">
        <v>2950</v>
      </c>
      <c r="B588" s="5" t="s">
        <v>2951</v>
      </c>
      <c r="C588" s="5" t="s">
        <v>2952</v>
      </c>
      <c r="D588" s="5" t="s">
        <v>59</v>
      </c>
      <c r="E588" s="5" t="s">
        <v>233</v>
      </c>
      <c r="F588" s="5" t="s">
        <v>19</v>
      </c>
      <c r="G588" s="14" t="str">
        <f t="array" ref="G588">IF(B588="", "",
  LET(_xlpm.spell, IFERROR(IF(F588="", "", INDEX(_xlws.FILTER(Hairstyles!$F:$F, ISNUMBER(SEARCH(F588, Hairstyles!$B:$B))), 1)), "No Spell for Hairstyle"),
  _xlpm.vanillaPrefix, IF(LEFT(_xlpm.spell, 7)="Uvi_Wig", "", ";"),
  ";" &amp; IF(C588="", B588, C588) &amp; IF(M588="", "", " ("&amp;M588&amp;")") &amp; CHAR(10) &amp;
  _xlpm.vanillaPrefix &amp; "Keyword = Uvi_Wig_Distr_KYWD|" &amp; B588 &amp; CHAR(10) &amp;
  _xlpm.vanillaPrefix &amp; "Spell = " &amp; _xlpm.spell &amp; "|" &amp; B588
  )
)</f>
        <v>;General Falx Carius
;Keyword = Uvi_Wig_Distr_KYWD|DLC2GeneralCarius
;Spell = No Spell for Hairstyle|DLC2GeneralCarius</v>
      </c>
    </row>
    <row r="589" ht="12.75" customHeight="1">
      <c r="A589" s="5" t="s">
        <v>2953</v>
      </c>
      <c r="B589" s="5" t="s">
        <v>2954</v>
      </c>
      <c r="C589" s="5" t="s">
        <v>2955</v>
      </c>
      <c r="D589" s="5" t="s">
        <v>59</v>
      </c>
      <c r="E589" s="5" t="s">
        <v>233</v>
      </c>
      <c r="F589" s="5" t="s">
        <v>19</v>
      </c>
      <c r="G589" s="14" t="str">
        <f t="array" ref="G589">IF(B589="", "",
  LET(_xlpm.spell, IFERROR(IF(F589="", "", INDEX(_xlws.FILTER(Hairstyles!$F:$F, ISNUMBER(SEARCH(F589, Hairstyles!$B:$B))), 1)), "No Spell for Hairstyle"),
  _xlpm.vanillaPrefix, IF(LEFT(_xlpm.spell, 7)="Uvi_Wig", "", ";"),
  ";" &amp; IF(C589="", B589, C589) &amp; IF(M589="", "", " ("&amp;M589&amp;")") &amp; CHAR(10) &amp;
  _xlpm.vanillaPrefix &amp; "Keyword = Uvi_Wig_Distr_KYWD|" &amp; B589 &amp; CHAR(10) &amp;
  _xlpm.vanillaPrefix &amp; "Spell = " &amp; _xlpm.spell &amp; "|" &amp; B589
  )
)</f>
        <v>;General Tullius
;Keyword = Uvi_Wig_Distr_KYWD|CWBattleTullius
;Spell = No Spell for Hairstyle|CWBattleTullius</v>
      </c>
    </row>
    <row r="590" ht="12.75" customHeight="1">
      <c r="A590" s="5" t="s">
        <v>2956</v>
      </c>
      <c r="B590" s="5" t="s">
        <v>2957</v>
      </c>
      <c r="C590" s="5" t="s">
        <v>2955</v>
      </c>
      <c r="D590" s="5" t="s">
        <v>59</v>
      </c>
      <c r="E590" s="5" t="s">
        <v>233</v>
      </c>
      <c r="F590" s="5" t="s">
        <v>19</v>
      </c>
      <c r="G590" s="14" t="str">
        <f t="array" ref="G590">IF(B590="", "",
  LET(_xlpm.spell, IFERROR(IF(F590="", "", INDEX(_xlws.FILTER(Hairstyles!$F:$F, ISNUMBER(SEARCH(F590, Hairstyles!$B:$B))), 1)), "No Spell for Hairstyle"),
  _xlpm.vanillaPrefix, IF(LEFT(_xlpm.spell, 7)="Uvi_Wig", "", ";"),
  ";" &amp; IF(C590="", B590, C590) &amp; IF(M590="", "", " ("&amp;M590&amp;")") &amp; CHAR(10) &amp;
  _xlpm.vanillaPrefix &amp; "Keyword = Uvi_Wig_Distr_KYWD|" &amp; B590 &amp; CHAR(10) &amp;
  _xlpm.vanillaPrefix &amp; "Spell = " &amp; _xlpm.spell &amp; "|" &amp; B590
  )
)</f>
        <v>;General Tullius
;Keyword = Uvi_Wig_Distr_KYWD|GeneralTullius
;Spell = No Spell for Hairstyle|GeneralTullius</v>
      </c>
    </row>
    <row r="591" ht="12.75" customHeight="1">
      <c r="A591" s="5" t="s">
        <v>2958</v>
      </c>
      <c r="B591" s="5" t="s">
        <v>2959</v>
      </c>
      <c r="C591" s="5" t="s">
        <v>2959</v>
      </c>
      <c r="D591" s="5" t="s">
        <v>38</v>
      </c>
      <c r="E591" s="5" t="s">
        <v>41</v>
      </c>
      <c r="F591" s="5" t="s">
        <v>2912</v>
      </c>
      <c r="G591" s="14" t="str">
        <f t="array" ref="G591">IF(B591="", "",
  LET(_xlpm.spell, IFERROR(IF(F591="", "", INDEX(_xlws.FILTER(Hairstyles!$F:$F, ISNUMBER(SEARCH(F591, Hairstyles!$B:$B))), 1)), "No Spell for Hairstyle"),
  _xlpm.vanillaPrefix, IF(LEFT(_xlpm.spell, 7)="Uvi_Wig", "", ";"),
  ";" &amp; IF(C591="", B591, C591) &amp; IF(M591="", "", " ("&amp;M591&amp;")") &amp; CHAR(10) &amp;
  _xlpm.vanillaPrefix &amp; "Keyword = Uvi_Wig_Distr_KYWD|" &amp; B591 &amp; CHAR(10) &amp;
  _xlpm.vanillaPrefix &amp; "Spell = " &amp; _xlpm.spell &amp; "|" &amp; B591
  )
)</f>
        <v>;Gerda
;Keyword = Uvi_Wig_Distr_KYWD|Gerda
;Spell = No Spell for Hairstyle|Gerda</v>
      </c>
    </row>
    <row r="592" ht="12.75" customHeight="1">
      <c r="A592" s="5" t="s">
        <v>2960</v>
      </c>
      <c r="B592" s="5" t="s">
        <v>2961</v>
      </c>
      <c r="C592" s="5" t="s">
        <v>2961</v>
      </c>
      <c r="D592" s="5" t="s">
        <v>38</v>
      </c>
      <c r="E592" s="5" t="s">
        <v>41</v>
      </c>
      <c r="F592" s="5" t="s">
        <v>1822</v>
      </c>
      <c r="G592" s="14" t="str">
        <f t="array" ref="G592">IF(B592="", "",
  LET(_xlpm.spell, IFERROR(IF(F592="", "", INDEX(_xlws.FILTER(Hairstyles!$F:$F, ISNUMBER(SEARCH(F592, Hairstyles!$B:$B))), 1)), "No Spell for Hairstyle"),
  _xlpm.vanillaPrefix, IF(LEFT(_xlpm.spell, 7)="Uvi_Wig", "", ";"),
  ";" &amp; IF(C592="", B592, C592) &amp; IF(M592="", "", " ("&amp;M592&amp;")") &amp; CHAR(10) &amp;
  _xlpm.vanillaPrefix &amp; "Keyword = Uvi_Wig_Distr_KYWD|" &amp; B592 &amp; CHAR(10) &amp;
  _xlpm.vanillaPrefix &amp; "Spell = " &amp; _xlpm.spell &amp; "|" &amp; B592
  )
)</f>
        <v>;Gerdur
;Keyword = Uvi_Wig_Distr_KYWD|Gerdur
;Spell = No Spell for Hairstyle|Gerdur</v>
      </c>
    </row>
    <row r="593" ht="12.75" customHeight="1">
      <c r="A593" s="15" t="s">
        <v>2962</v>
      </c>
      <c r="B593" s="5" t="s">
        <v>2963</v>
      </c>
      <c r="C593" s="5" t="s">
        <v>2964</v>
      </c>
      <c r="D593" s="5" t="s">
        <v>38</v>
      </c>
      <c r="E593" s="5" t="s">
        <v>233</v>
      </c>
      <c r="F593" s="5" t="s">
        <v>235</v>
      </c>
      <c r="G593" s="14" t="str">
        <f t="array" ref="G593">IF(B593="", "",
  LET(_xlpm.spell, IFERROR(IF(F593="", "", INDEX(_xlws.FILTER(Hairstyles!$F:$F, ISNUMBER(SEARCH(F593, Hairstyles!$B:$B))), 1)), "No Spell for Hairstyle"),
  _xlpm.vanillaPrefix, IF(LEFT(_xlpm.spell, 7)="Uvi_Wig", "", ";"),
  ";" &amp; IF(C593="", B593, C593) &amp; IF(M593="", "", " ("&amp;M593&amp;")") &amp; CHAR(10) &amp;
  _xlpm.vanillaPrefix &amp; "Keyword = Uvi_Wig_Distr_KYWD|" &amp; B593 &amp; CHAR(10) &amp;
  _xlpm.vanillaPrefix &amp; "Spell = " &amp; _xlpm.spell &amp; "|" &amp; B593
  )
)</f>
        <v>;Gestur Rockbreaker
;Keyword = Uvi_Wig_Distr_KYWD|GesturRockbreaker
;Spell = No Spell for Hairstyle|GesturRockbreaker</v>
      </c>
    </row>
    <row r="594" ht="12.75" customHeight="1">
      <c r="A594" s="5" t="s">
        <v>2965</v>
      </c>
      <c r="B594" s="5" t="s">
        <v>2966</v>
      </c>
      <c r="C594" s="5" t="s">
        <v>2966</v>
      </c>
      <c r="D594" s="5" t="s">
        <v>80</v>
      </c>
      <c r="E594" s="5" t="s">
        <v>41</v>
      </c>
      <c r="F594" s="5" t="s">
        <v>430</v>
      </c>
      <c r="G594" s="14" t="str">
        <f t="array" ref="G594">IF(B594="", "",
  LET(_xlpm.spell, IFERROR(IF(F594="", "", INDEX(_xlws.FILTER(Hairstyles!$F:$F, ISNUMBER(SEARCH(F594, Hairstyles!$B:$B))), 1)), "No Spell for Hairstyle"),
  _xlpm.vanillaPrefix, IF(LEFT(_xlpm.spell, 7)="Uvi_Wig", "", ";"),
  ";" &amp; IF(C594="", B594, C594) &amp; IF(M594="", "", " ("&amp;M594&amp;")") &amp; CHAR(10) &amp;
  _xlpm.vanillaPrefix &amp; "Keyword = Uvi_Wig_Distr_KYWD|" &amp; B594 &amp; CHAR(10) &amp;
  _xlpm.vanillaPrefix &amp; "Spell = " &amp; _xlpm.spell &amp; "|" &amp; B594
  )
)</f>
        <v>;Ghak
;Keyword = Uvi_Wig_Distr_KYWD|Ghak
;Spell = No Spell for Hairstyle|Ghak</v>
      </c>
    </row>
    <row r="595" ht="12.75" customHeight="1">
      <c r="A595" s="5" t="s">
        <v>2967</v>
      </c>
      <c r="B595" s="5" t="s">
        <v>2968</v>
      </c>
      <c r="C595" s="5" t="s">
        <v>2968</v>
      </c>
      <c r="D595" s="5" t="s">
        <v>80</v>
      </c>
      <c r="E595" s="5" t="s">
        <v>233</v>
      </c>
      <c r="F595" s="5" t="s">
        <v>458</v>
      </c>
      <c r="G595" s="14" t="str">
        <f t="array" ref="G595">IF(B595="", "",
  LET(_xlpm.spell, IFERROR(IF(F595="", "", INDEX(_xlws.FILTER(Hairstyles!$F:$F, ISNUMBER(SEARCH(F595, Hairstyles!$B:$B))), 1)), "No Spell for Hairstyle"),
  _xlpm.vanillaPrefix, IF(LEFT(_xlpm.spell, 7)="Uvi_Wig", "", ";"),
  ";" &amp; IF(C595="", B595, C595) &amp; IF(M595="", "", " ("&amp;M595&amp;")") &amp; CHAR(10) &amp;
  _xlpm.vanillaPrefix &amp; "Keyword = Uvi_Wig_Distr_KYWD|" &amp; B595 &amp; CHAR(10) &amp;
  _xlpm.vanillaPrefix &amp; "Spell = " &amp; _xlpm.spell &amp; "|" &amp; B595
  )
)</f>
        <v>;Ghamorz
;Keyword = Uvi_Wig_Distr_KYWD|Ghamorz
;Spell = No Spell for Hairstyle|Ghamorz</v>
      </c>
    </row>
    <row r="596" ht="12.75" customHeight="1">
      <c r="A596" s="5" t="s">
        <v>2969</v>
      </c>
      <c r="B596" s="5" t="s">
        <v>2970</v>
      </c>
      <c r="C596" s="5" t="s">
        <v>2970</v>
      </c>
      <c r="D596" s="5" t="s">
        <v>80</v>
      </c>
      <c r="E596" s="5" t="s">
        <v>41</v>
      </c>
      <c r="F596" s="5" t="s">
        <v>372</v>
      </c>
      <c r="G596" s="14" t="str">
        <f t="array" ref="G596">IF(B596="", "",
  LET(_xlpm.spell, IFERROR(IF(F596="", "", INDEX(_xlws.FILTER(Hairstyles!$F:$F, ISNUMBER(SEARCH(F596, Hairstyles!$B:$B))), 1)), "No Spell for Hairstyle"),
  _xlpm.vanillaPrefix, IF(LEFT(_xlpm.spell, 7)="Uvi_Wig", "", ";"),
  ";" &amp; IF(C596="", B596, C596) &amp; IF(M596="", "", " ("&amp;M596&amp;")") &amp; CHAR(10) &amp;
  _xlpm.vanillaPrefix &amp; "Keyword = Uvi_Wig_Distr_KYWD|" &amp; B596 &amp; CHAR(10) &amp;
  _xlpm.vanillaPrefix &amp; "Spell = " &amp; _xlpm.spell &amp; "|" &amp; B596
  )
)</f>
        <v>;Gharol
;Keyword = Uvi_Wig_Distr_KYWD|Gharol
;Spell = No Spell for Hairstyle|Gharol</v>
      </c>
    </row>
    <row r="597" ht="12.75" customHeight="1">
      <c r="A597" s="5" t="s">
        <v>2971</v>
      </c>
      <c r="B597" s="5" t="s">
        <v>2972</v>
      </c>
      <c r="C597" s="5" t="s">
        <v>2973</v>
      </c>
      <c r="D597" s="5" t="s">
        <v>80</v>
      </c>
      <c r="E597" s="5" t="s">
        <v>233</v>
      </c>
      <c r="F597" s="5" t="s">
        <v>434</v>
      </c>
      <c r="G597" s="14" t="str">
        <f t="array" ref="G597">IF(B597="", "",
  LET(_xlpm.spell, IFERROR(IF(F597="", "", INDEX(_xlws.FILTER(Hairstyles!$F:$F, ISNUMBER(SEARCH(F597, Hairstyles!$B:$B))), 1)), "No Spell for Hairstyle"),
  _xlpm.vanillaPrefix, IF(LEFT(_xlpm.spell, 7)="Uvi_Wig", "", ";"),
  ";" &amp; IF(C597="", B597, C597) &amp; IF(M597="", "", " ("&amp;M597&amp;")") &amp; CHAR(10) &amp;
  _xlpm.vanillaPrefix &amp; "Keyword = Uvi_Wig_Distr_KYWD|" &amp; B597 &amp; CHAR(10) &amp;
  _xlpm.vanillaPrefix &amp; "Spell = " &amp; _xlpm.spell &amp; "|" &amp; B597
  )
)</f>
        <v>;Ghorbash the Iron Hand
;Keyword = Uvi_Wig_Distr_KYWD|Ghorbash
;Spell = No Spell for Hairstyle|Ghorbash</v>
      </c>
    </row>
    <row r="598" ht="12.75" customHeight="1">
      <c r="A598" s="5" t="s">
        <v>2974</v>
      </c>
      <c r="B598" s="5" t="s">
        <v>2975</v>
      </c>
      <c r="C598" s="5" t="s">
        <v>2976</v>
      </c>
      <c r="D598" s="5" t="s">
        <v>80</v>
      </c>
      <c r="E598" s="5" t="s">
        <v>41</v>
      </c>
      <c r="F598" s="5" t="s">
        <v>449</v>
      </c>
      <c r="G598" s="14" t="str">
        <f t="array" ref="G598">IF(B598="", "",
  LET(_xlpm.spell, IFERROR(IF(F598="", "", INDEX(_xlws.FILTER(Hairstyles!$F:$F, ISNUMBER(SEARCH(F598, Hairstyles!$B:$B))), 1)), "No Spell for Hairstyle"),
  _xlpm.vanillaPrefix, IF(LEFT(_xlpm.spell, 7)="Uvi_Wig", "", ";"),
  ";" &amp; IF(C598="", B598, C598) &amp; IF(M598="", "", " ("&amp;M598&amp;")") &amp; CHAR(10) &amp;
  _xlpm.vanillaPrefix &amp; "Keyword = Uvi_Wig_Distr_KYWD|" &amp; B598 &amp; CHAR(10) &amp;
  _xlpm.vanillaPrefix &amp; "Spell = " &amp; _xlpm.spell &amp; "|" &amp; B598
  )
)</f>
        <v>;Ghorza gra-Bagol
;Keyword = Uvi_Wig_Distr_KYWD|GhorzaGraBagol
;Spell = No Spell for Hairstyle|GhorzaGraBagol</v>
      </c>
    </row>
    <row r="599" ht="12.75" customHeight="1">
      <c r="A599" s="5" t="s">
        <v>2977</v>
      </c>
      <c r="B599" s="5" t="s">
        <v>2978</v>
      </c>
      <c r="C599" s="5" t="s">
        <v>2979</v>
      </c>
      <c r="D599" s="5" t="s">
        <v>38</v>
      </c>
      <c r="E599" s="5" t="s">
        <v>233</v>
      </c>
      <c r="F599" s="5" t="s">
        <v>762</v>
      </c>
      <c r="G599" s="14" t="str">
        <f t="array" ref="G599">IF(B599="", "",
  LET(_xlpm.spell, IFERROR(IF(F599="", "", INDEX(_xlws.FILTER(Hairstyles!$F:$F, ISNUMBER(SEARCH(F599, Hairstyles!$B:$B))), 1)), "No Spell for Hairstyle"),
  _xlpm.vanillaPrefix, IF(LEFT(_xlpm.spell, 7)="Uvi_Wig", "", ";"),
  ";" &amp; IF(C599="", B599, C599) &amp; IF(M599="", "", " ("&amp;M599&amp;")") &amp; CHAR(10) &amp;
  _xlpm.vanillaPrefix &amp; "Keyword = Uvi_Wig_Distr_KYWD|" &amp; B599 &amp; CHAR(10) &amp;
  _xlpm.vanillaPrefix &amp; "Spell = " &amp; _xlpm.spell &amp; "|" &amp; B599
  )
)</f>
        <v>;Ghost
;Keyword = Uvi_Wig_Distr_KYWD|dunSnowyPOIGhost
;Spell = No Spell for Hairstyle|dunSnowyPOIGhost</v>
      </c>
    </row>
    <row r="600" ht="12.75" customHeight="1">
      <c r="A600" s="5" t="s">
        <v>2980</v>
      </c>
      <c r="B600" s="5" t="s">
        <v>2981</v>
      </c>
      <c r="C600" s="5" t="s">
        <v>2979</v>
      </c>
      <c r="D600" s="5" t="s">
        <v>38</v>
      </c>
      <c r="E600" s="5" t="s">
        <v>233</v>
      </c>
      <c r="F600" s="5" t="s">
        <v>218</v>
      </c>
      <c r="G600" s="14" t="str">
        <f t="array" ref="G600">IF(B600="", "",
  LET(_xlpm.spell, IFERROR(IF(F600="", "", INDEX(_xlws.FILTER(Hairstyles!$F:$F, ISNUMBER(SEARCH(F600, Hairstyles!$B:$B))), 1)), "No Spell for Hairstyle"),
  _xlpm.vanillaPrefix, IF(LEFT(_xlpm.spell, 7)="Uvi_Wig", "", ";"),
  ";" &amp; IF(C600="", B600, C600) &amp; IF(M600="", "", " ("&amp;M600&amp;")") &amp; CHAR(10) &amp;
  _xlpm.vanillaPrefix &amp; "Keyword = Uvi_Wig_Distr_KYWD|" &amp; B600 &amp; CHAR(10) &amp;
  _xlpm.vanillaPrefix &amp; "Spell = " &amp; _xlpm.spell &amp; "|" &amp; B600
  )
)</f>
        <v>;Ghost
;Keyword = Uvi_Wig_Distr_KYWD|encGhost01Magic
;Spell = No Spell for Hairstyle|encGhost01Magic</v>
      </c>
    </row>
    <row r="601" ht="12.75" customHeight="1">
      <c r="A601" s="5" t="s">
        <v>2982</v>
      </c>
      <c r="B601" s="5" t="s">
        <v>2983</v>
      </c>
      <c r="C601" s="5" t="s">
        <v>2979</v>
      </c>
      <c r="D601" s="5" t="s">
        <v>38</v>
      </c>
      <c r="E601" s="5" t="s">
        <v>233</v>
      </c>
      <c r="F601" s="5" t="s">
        <v>1906</v>
      </c>
      <c r="G601" s="14" t="str">
        <f t="array" ref="G601">IF(B601="", "",
  LET(_xlpm.spell, IFERROR(IF(F601="", "", INDEX(_xlws.FILTER(Hairstyles!$F:$F, ISNUMBER(SEARCH(F601, Hairstyles!$B:$B))), 1)), "No Spell for Hairstyle"),
  _xlpm.vanillaPrefix, IF(LEFT(_xlpm.spell, 7)="Uvi_Wig", "", ";"),
  ";" &amp; IF(C601="", B601, C601) &amp; IF(M601="", "", " ("&amp;M601&amp;")") &amp; CHAR(10) &amp;
  _xlpm.vanillaPrefix &amp; "Keyword = Uvi_Wig_Distr_KYWD|" &amp; B601 &amp; CHAR(10) &amp;
  _xlpm.vanillaPrefix &amp; "Spell = " &amp; _xlpm.spell &amp; "|" &amp; B601
  )
)</f>
        <v>;Ghost
;Keyword = Uvi_Wig_Distr_KYWD|encGhost02Magic
;Spell = No Spell for Hairstyle|encGhost02Magic</v>
      </c>
    </row>
    <row r="602" ht="12.75" customHeight="1">
      <c r="A602" s="5" t="s">
        <v>2984</v>
      </c>
      <c r="B602" s="5" t="s">
        <v>2985</v>
      </c>
      <c r="C602" s="5" t="s">
        <v>2979</v>
      </c>
      <c r="D602" s="5" t="s">
        <v>38</v>
      </c>
      <c r="E602" s="5" t="s">
        <v>233</v>
      </c>
      <c r="F602" s="5" t="s">
        <v>1622</v>
      </c>
      <c r="G602" s="14" t="str">
        <f t="array" ref="G602">IF(B602="", "",
  LET(_xlpm.spell, IFERROR(IF(F602="", "", INDEX(_xlws.FILTER(Hairstyles!$F:$F, ISNUMBER(SEARCH(F602, Hairstyles!$B:$B))), 1)), "No Spell for Hairstyle"),
  _xlpm.vanillaPrefix, IF(LEFT(_xlpm.spell, 7)="Uvi_Wig", "", ";"),
  ";" &amp; IF(C602="", B602, C602) &amp; IF(M602="", "", " ("&amp;M602&amp;")") &amp; CHAR(10) &amp;
  _xlpm.vanillaPrefix &amp; "Keyword = Uvi_Wig_Distr_KYWD|" &amp; B602 &amp; CHAR(10) &amp;
  _xlpm.vanillaPrefix &amp; "Spell = " &amp; _xlpm.spell &amp; "|" &amp; B602
  )
)</f>
        <v>;Ghost
;Keyword = Uvi_Wig_Distr_KYWD|encGhost03Magic
;Spell = No Spell for Hairstyle|encGhost03Magic</v>
      </c>
    </row>
    <row r="603" ht="12.75" customHeight="1">
      <c r="A603" s="5" t="s">
        <v>2986</v>
      </c>
      <c r="B603" s="5" t="s">
        <v>2987</v>
      </c>
      <c r="C603" s="5" t="s">
        <v>2979</v>
      </c>
      <c r="D603" s="5" t="s">
        <v>38</v>
      </c>
      <c r="E603" s="5" t="s">
        <v>233</v>
      </c>
      <c r="F603" s="5" t="s">
        <v>1894</v>
      </c>
      <c r="G603" s="14" t="str">
        <f t="array" ref="G603">IF(B603="", "",
  LET(_xlpm.spell, IFERROR(IF(F603="", "", INDEX(_xlws.FILTER(Hairstyles!$F:$F, ISNUMBER(SEARCH(F603, Hairstyles!$B:$B))), 1)), "No Spell for Hairstyle"),
  _xlpm.vanillaPrefix, IF(LEFT(_xlpm.spell, 7)="Uvi_Wig", "", ";"),
  ";" &amp; IF(C603="", B603, C603) &amp; IF(M603="", "", " ("&amp;M603&amp;")") &amp; CHAR(10) &amp;
  _xlpm.vanillaPrefix &amp; "Keyword = Uvi_Wig_Distr_KYWD|" &amp; B603 &amp; CHAR(10) &amp;
  _xlpm.vanillaPrefix &amp; "Spell = " &amp; _xlpm.spell &amp; "|" &amp; B603
  )
)</f>
        <v>;Ghost
;Keyword = Uvi_Wig_Distr_KYWD|encGhost04Magic
;Spell = No Spell for Hairstyle|encGhost04Magic</v>
      </c>
    </row>
    <row r="604" ht="12.75" customHeight="1">
      <c r="A604" s="5" t="s">
        <v>2988</v>
      </c>
      <c r="B604" s="5" t="s">
        <v>2989</v>
      </c>
      <c r="C604" s="5" t="s">
        <v>2979</v>
      </c>
      <c r="D604" s="5" t="s">
        <v>38</v>
      </c>
      <c r="E604" s="5" t="s">
        <v>233</v>
      </c>
      <c r="F604" s="5" t="s">
        <v>1906</v>
      </c>
      <c r="G604" s="14" t="str">
        <f t="array" ref="G604">IF(B604="", "",
  LET(_xlpm.spell, IFERROR(IF(F604="", "", INDEX(_xlws.FILTER(Hairstyles!$F:$F, ISNUMBER(SEARCH(F604, Hairstyles!$B:$B))), 1)), "No Spell for Hairstyle"),
  _xlpm.vanillaPrefix, IF(LEFT(_xlpm.spell, 7)="Uvi_Wig", "", ";"),
  ";" &amp; IF(C604="", B604, C604) &amp; IF(M604="", "", " ("&amp;M604&amp;")") &amp; CHAR(10) &amp;
  _xlpm.vanillaPrefix &amp; "Keyword = Uvi_Wig_Distr_KYWD|" &amp; B604 &amp; CHAR(10) &amp;
  _xlpm.vanillaPrefix &amp; "Spell = " &amp; _xlpm.spell &amp; "|" &amp; B604
  )
)</f>
        <v>;Ghost
;Keyword = Uvi_Wig_Distr_KYWD|encGhost05Magic
;Spell = No Spell for Hairstyle|encGhost05Magic</v>
      </c>
    </row>
    <row r="605" ht="12.75" customHeight="1">
      <c r="A605" s="5" t="s">
        <v>2990</v>
      </c>
      <c r="B605" s="5" t="s">
        <v>2991</v>
      </c>
      <c r="C605" s="5" t="s">
        <v>2979</v>
      </c>
      <c r="D605" s="5" t="s">
        <v>38</v>
      </c>
      <c r="E605" s="5" t="s">
        <v>233</v>
      </c>
      <c r="F605" s="5" t="s">
        <v>990</v>
      </c>
      <c r="G605" s="14" t="str">
        <f t="array" ref="G605">IF(B605="", "",
  LET(_xlpm.spell, IFERROR(IF(F605="", "", INDEX(_xlws.FILTER(Hairstyles!$F:$F, ISNUMBER(SEARCH(F605, Hairstyles!$B:$B))), 1)), "No Spell for Hairstyle"),
  _xlpm.vanillaPrefix, IF(LEFT(_xlpm.spell, 7)="Uvi_Wig", "", ";"),
  ";" &amp; IF(C605="", B605, C605) &amp; IF(M605="", "", " ("&amp;M605&amp;")") &amp; CHAR(10) &amp;
  _xlpm.vanillaPrefix &amp; "Keyword = Uvi_Wig_Distr_KYWD|" &amp; B605 &amp; CHAR(10) &amp;
  _xlpm.vanillaPrefix &amp; "Spell = " &amp; _xlpm.spell &amp; "|" &amp; B605
  )
)</f>
        <v>;Ghost
;Keyword = Uvi_Wig_Distr_KYWD|encGhost06Magic
;Spell = No Spell for Hairstyle|encGhost06Magic</v>
      </c>
    </row>
    <row r="606" ht="12.75" customHeight="1">
      <c r="A606" s="5" t="s">
        <v>2992</v>
      </c>
      <c r="B606" s="5" t="s">
        <v>2993</v>
      </c>
      <c r="C606" s="5" t="s">
        <v>2979</v>
      </c>
      <c r="D606" s="5" t="s">
        <v>38</v>
      </c>
      <c r="E606" s="5" t="s">
        <v>41</v>
      </c>
      <c r="F606" s="5" t="s">
        <v>44</v>
      </c>
      <c r="G606" s="14" t="str">
        <f t="array" ref="G606">IF(B606="", "",
  LET(_xlpm.spell, IFERROR(IF(F606="", "", INDEX(_xlws.FILTER(Hairstyles!$F:$F, ISNUMBER(SEARCH(F606, Hairstyles!$B:$B))), 1)), "No Spell for Hairstyle"),
  _xlpm.vanillaPrefix, IF(LEFT(_xlpm.spell, 7)="Uvi_Wig", "", ";"),
  ";" &amp; IF(C606="", B606, C606) &amp; IF(M606="", "", " ("&amp;M606&amp;")") &amp; CHAR(10) &amp;
  _xlpm.vanillaPrefix &amp; "Keyword = Uvi_Wig_Distr_KYWD|" &amp; B606 &amp; CHAR(10) &amp;
  _xlpm.vanillaPrefix &amp; "Spell = " &amp; _xlpm.spell &amp; "|" &amp; B606
  )
)</f>
        <v>;Ghost
;Keyword = Uvi_Wig_Distr_KYWD|LvlBanditGhostMelee1HFemale
;Spell = No Spell for Hairstyle|LvlBanditGhostMelee1HFemale</v>
      </c>
    </row>
    <row r="607" ht="12.75" customHeight="1">
      <c r="A607" s="5" t="s">
        <v>2994</v>
      </c>
      <c r="B607" s="5" t="s">
        <v>2995</v>
      </c>
      <c r="C607" s="5" t="s">
        <v>2979</v>
      </c>
      <c r="D607" s="5" t="s">
        <v>38</v>
      </c>
      <c r="E607" s="5" t="s">
        <v>233</v>
      </c>
      <c r="F607" s="5" t="s">
        <v>1622</v>
      </c>
      <c r="G607" s="14" t="str">
        <f t="array" ref="G607">IF(B607="", "",
  LET(_xlpm.spell, IFERROR(IF(F607="", "", INDEX(_xlws.FILTER(Hairstyles!$F:$F, ISNUMBER(SEARCH(F607, Hairstyles!$B:$B))), 1)), "No Spell for Hairstyle"),
  _xlpm.vanillaPrefix, IF(LEFT(_xlpm.spell, 7)="Uvi_Wig", "", ";"),
  ";" &amp; IF(C607="", B607, C607) &amp; IF(M607="", "", " ("&amp;M607&amp;")") &amp; CHAR(10) &amp;
  _xlpm.vanillaPrefix &amp; "Keyword = Uvi_Wig_Distr_KYWD|" &amp; B607 &amp; CHAR(10) &amp;
  _xlpm.vanillaPrefix &amp; "Spell = " &amp; _xlpm.spell &amp; "|" &amp; B607
  )
)</f>
        <v>;Ghost
;Keyword = Uvi_Wig_Distr_KYWD|LvlBanditGhostMelee1HMale
;Spell = No Spell for Hairstyle|LvlBanditGhostMelee1HMale</v>
      </c>
    </row>
    <row r="608" ht="12.75" customHeight="1">
      <c r="A608" s="5" t="s">
        <v>2996</v>
      </c>
      <c r="B608" s="5" t="s">
        <v>2997</v>
      </c>
      <c r="C608" s="5" t="s">
        <v>2979</v>
      </c>
      <c r="D608" s="5" t="s">
        <v>38</v>
      </c>
      <c r="E608" s="5" t="s">
        <v>41</v>
      </c>
      <c r="F608" s="5" t="s">
        <v>1041</v>
      </c>
      <c r="G608" s="14" t="str">
        <f t="array" ref="G608">IF(B608="", "",
  LET(_xlpm.spell, IFERROR(IF(F608="", "", INDEX(_xlws.FILTER(Hairstyles!$F:$F, ISNUMBER(SEARCH(F608, Hairstyles!$B:$B))), 1)), "No Spell for Hairstyle"),
  _xlpm.vanillaPrefix, IF(LEFT(_xlpm.spell, 7)="Uvi_Wig", "", ";"),
  ";" &amp; IF(C608="", B608, C608) &amp; IF(M608="", "", " ("&amp;M608&amp;")") &amp; CHAR(10) &amp;
  _xlpm.vanillaPrefix &amp; "Keyword = Uvi_Wig_Distr_KYWD|" &amp; B608 &amp; CHAR(10) &amp;
  _xlpm.vanillaPrefix &amp; "Spell = " &amp; _xlpm.spell &amp; "|" &amp; B608
  )
)</f>
        <v>;Ghost
;Keyword = Uvi_Wig_Distr_KYWD|LvlBanditGhostMelee2HFemale
;Spell = No Spell for Hairstyle|LvlBanditGhostMelee2HFemale</v>
      </c>
    </row>
    <row r="609" ht="12.75" customHeight="1">
      <c r="A609" s="5" t="s">
        <v>2998</v>
      </c>
      <c r="B609" s="5" t="s">
        <v>2999</v>
      </c>
      <c r="C609" s="5" t="s">
        <v>2979</v>
      </c>
      <c r="D609" s="5" t="s">
        <v>38</v>
      </c>
      <c r="E609" s="5" t="s">
        <v>233</v>
      </c>
      <c r="F609" s="5" t="s">
        <v>1906</v>
      </c>
      <c r="G609" s="14" t="str">
        <f t="array" ref="G609">IF(B609="", "",
  LET(_xlpm.spell, IFERROR(IF(F609="", "", INDEX(_xlws.FILTER(Hairstyles!$F:$F, ISNUMBER(SEARCH(F609, Hairstyles!$B:$B))), 1)), "No Spell for Hairstyle"),
  _xlpm.vanillaPrefix, IF(LEFT(_xlpm.spell, 7)="Uvi_Wig", "", ";"),
  ";" &amp; IF(C609="", B609, C609) &amp; IF(M609="", "", " ("&amp;M609&amp;")") &amp; CHAR(10) &amp;
  _xlpm.vanillaPrefix &amp; "Keyword = Uvi_Wig_Distr_KYWD|" &amp; B609 &amp; CHAR(10) &amp;
  _xlpm.vanillaPrefix &amp; "Spell = " &amp; _xlpm.spell &amp; "|" &amp; B609
  )
)</f>
        <v>;Ghost
;Keyword = Uvi_Wig_Distr_KYWD|LvlBanditGhostMelee2HMale
;Spell = No Spell for Hairstyle|LvlBanditGhostMelee2HMale</v>
      </c>
    </row>
    <row r="610" ht="12.75" customHeight="1">
      <c r="A610" s="5" t="s">
        <v>3000</v>
      </c>
      <c r="B610" s="5" t="s">
        <v>3001</v>
      </c>
      <c r="C610" s="5" t="s">
        <v>2979</v>
      </c>
      <c r="D610" s="5" t="s">
        <v>38</v>
      </c>
      <c r="E610" s="5" t="s">
        <v>41</v>
      </c>
      <c r="F610" s="5" t="s">
        <v>371</v>
      </c>
      <c r="G610" s="14" t="str">
        <f t="array" ref="G610">IF(B610="", "",
  LET(_xlpm.spell, IFERROR(IF(F610="", "", INDEX(_xlws.FILTER(Hairstyles!$F:$F, ISNUMBER(SEARCH(F610, Hairstyles!$B:$B))), 1)), "No Spell for Hairstyle"),
  _xlpm.vanillaPrefix, IF(LEFT(_xlpm.spell, 7)="Uvi_Wig", "", ";"),
  ";" &amp; IF(C610="", B610, C610) &amp; IF(M610="", "", " ("&amp;M610&amp;")") &amp; CHAR(10) &amp;
  _xlpm.vanillaPrefix &amp; "Keyword = Uvi_Wig_Distr_KYWD|" &amp; B610 &amp; CHAR(10) &amp;
  _xlpm.vanillaPrefix &amp; "Spell = " &amp; _xlpm.spell &amp; "|" &amp; B610
  )
)</f>
        <v>;Ghost
;Keyword = Uvi_Wig_Distr_KYWD|LvlBanditGhostMeleeBerserkerFemale
;Spell = No Spell for Hairstyle|LvlBanditGhostMeleeBerserkerFemale</v>
      </c>
    </row>
    <row r="611" ht="12.75" customHeight="1">
      <c r="A611" s="5" t="s">
        <v>3002</v>
      </c>
      <c r="B611" s="5" t="s">
        <v>3003</v>
      </c>
      <c r="C611" s="5" t="s">
        <v>2979</v>
      </c>
      <c r="D611" s="5" t="s">
        <v>38</v>
      </c>
      <c r="E611" s="5" t="s">
        <v>233</v>
      </c>
      <c r="F611" s="5" t="s">
        <v>346</v>
      </c>
      <c r="G611" s="14" t="str">
        <f t="array" ref="G611">IF(B611="", "",
  LET(_xlpm.spell, IFERROR(IF(F611="", "", INDEX(_xlws.FILTER(Hairstyles!$F:$F, ISNUMBER(SEARCH(F611, Hairstyles!$B:$B))), 1)), "No Spell for Hairstyle"),
  _xlpm.vanillaPrefix, IF(LEFT(_xlpm.spell, 7)="Uvi_Wig", "", ";"),
  ";" &amp; IF(C611="", B611, C611) &amp; IF(M611="", "", " ("&amp;M611&amp;")") &amp; CHAR(10) &amp;
  _xlpm.vanillaPrefix &amp; "Keyword = Uvi_Wig_Distr_KYWD|" &amp; B611 &amp; CHAR(10) &amp;
  _xlpm.vanillaPrefix &amp; "Spell = " &amp; _xlpm.spell &amp; "|" &amp; B611
  )
)</f>
        <v>;Ghost
;Keyword = Uvi_Wig_Distr_KYWD|LvlBanditGhostMeleeBerserkerMale
;Spell = No Spell for Hairstyle|LvlBanditGhostMeleeBerserkerMale</v>
      </c>
    </row>
    <row r="612" ht="12.75" customHeight="1">
      <c r="A612" s="5" t="s">
        <v>3004</v>
      </c>
      <c r="B612" s="5" t="s">
        <v>3005</v>
      </c>
      <c r="C612" s="5" t="s">
        <v>2979</v>
      </c>
      <c r="D612" s="5" t="s">
        <v>38</v>
      </c>
      <c r="E612" s="5" t="s">
        <v>41</v>
      </c>
      <c r="F612" s="5" t="s">
        <v>2912</v>
      </c>
      <c r="G612" s="14" t="str">
        <f t="array" ref="G612">IF(B612="", "",
  LET(_xlpm.spell, IFERROR(IF(F612="", "", INDEX(_xlws.FILTER(Hairstyles!$F:$F, ISNUMBER(SEARCH(F612, Hairstyles!$B:$B))), 1)), "No Spell for Hairstyle"),
  _xlpm.vanillaPrefix, IF(LEFT(_xlpm.spell, 7)="Uvi_Wig", "", ";"),
  ";" &amp; IF(C612="", B612, C612) &amp; IF(M612="", "", " ("&amp;M612&amp;")") &amp; CHAR(10) &amp;
  _xlpm.vanillaPrefix &amp; "Keyword = Uvi_Wig_Distr_KYWD|" &amp; B612 &amp; CHAR(10) &amp;
  _xlpm.vanillaPrefix &amp; "Spell = " &amp; _xlpm.spell &amp; "|" &amp; B612
  )
)</f>
        <v>;Ghost
;Keyword = Uvi_Wig_Distr_KYWD|LvlBanditGhostMeleeTankFemale
;Spell = No Spell for Hairstyle|LvlBanditGhostMeleeTankFemale</v>
      </c>
    </row>
    <row r="613" ht="12.75" customHeight="1">
      <c r="A613" s="5" t="s">
        <v>3006</v>
      </c>
      <c r="B613" s="5" t="s">
        <v>3007</v>
      </c>
      <c r="C613" s="5" t="s">
        <v>2979</v>
      </c>
      <c r="D613" s="5" t="s">
        <v>38</v>
      </c>
      <c r="E613" s="5" t="s">
        <v>233</v>
      </c>
      <c r="F613" s="5" t="s">
        <v>68</v>
      </c>
      <c r="G613" s="14" t="str">
        <f t="array" ref="G613">IF(B613="", "",
  LET(_xlpm.spell, IFERROR(IF(F613="", "", INDEX(_xlws.FILTER(Hairstyles!$F:$F, ISNUMBER(SEARCH(F613, Hairstyles!$B:$B))), 1)), "No Spell for Hairstyle"),
  _xlpm.vanillaPrefix, IF(LEFT(_xlpm.spell, 7)="Uvi_Wig", "", ";"),
  ";" &amp; IF(C613="", B613, C613) &amp; IF(M613="", "", " ("&amp;M613&amp;")") &amp; CHAR(10) &amp;
  _xlpm.vanillaPrefix &amp; "Keyword = Uvi_Wig_Distr_KYWD|" &amp; B613 &amp; CHAR(10) &amp;
  _xlpm.vanillaPrefix &amp; "Spell = " &amp; _xlpm.spell &amp; "|" &amp; B613
  )
)</f>
        <v>;Ghost
;Keyword = Uvi_Wig_Distr_KYWD|LvlBanditGhostMeleeTankMale
;Spell = No Spell for Hairstyle|LvlBanditGhostMeleeTankMale</v>
      </c>
    </row>
    <row r="614" ht="12.75" customHeight="1">
      <c r="A614" s="5" t="s">
        <v>3008</v>
      </c>
      <c r="B614" s="5" t="s">
        <v>3009</v>
      </c>
      <c r="C614" s="5" t="s">
        <v>2979</v>
      </c>
      <c r="D614" s="5" t="s">
        <v>38</v>
      </c>
      <c r="E614" s="5" t="s">
        <v>41</v>
      </c>
      <c r="F614" s="5" t="s">
        <v>343</v>
      </c>
      <c r="G614" s="14" t="str">
        <f t="array" ref="G614">IF(B614="", "",
  LET(_xlpm.spell, IFERROR(IF(F614="", "", INDEX(_xlws.FILTER(Hairstyles!$F:$F, ISNUMBER(SEARCH(F614, Hairstyles!$B:$B))), 1)), "No Spell for Hairstyle"),
  _xlpm.vanillaPrefix, IF(LEFT(_xlpm.spell, 7)="Uvi_Wig", "", ";"),
  ";" &amp; IF(C614="", B614, C614) &amp; IF(M614="", "", " ("&amp;M614&amp;")") &amp; CHAR(10) &amp;
  _xlpm.vanillaPrefix &amp; "Keyword = Uvi_Wig_Distr_KYWD|" &amp; B614 &amp; CHAR(10) &amp;
  _xlpm.vanillaPrefix &amp; "Spell = " &amp; _xlpm.spell &amp; "|" &amp; B614
  )
)</f>
        <v>;Ghost
;Keyword = Uvi_Wig_Distr_KYWD|LvlBanditGhostMissileFemale
;Spell = No Spell for Hairstyle|LvlBanditGhostMissileFemale</v>
      </c>
    </row>
    <row r="615" ht="12.75" customHeight="1">
      <c r="A615" s="5" t="s">
        <v>3010</v>
      </c>
      <c r="B615" s="5" t="s">
        <v>3011</v>
      </c>
      <c r="C615" s="5" t="s">
        <v>2979</v>
      </c>
      <c r="D615" s="5" t="s">
        <v>38</v>
      </c>
      <c r="E615" s="5" t="s">
        <v>233</v>
      </c>
      <c r="F615" s="5" t="s">
        <v>990</v>
      </c>
      <c r="G615" s="14" t="str">
        <f t="array" ref="G615">IF(B615="", "",
  LET(_xlpm.spell, IFERROR(IF(F615="", "", INDEX(_xlws.FILTER(Hairstyles!$F:$F, ISNUMBER(SEARCH(F615, Hairstyles!$B:$B))), 1)), "No Spell for Hairstyle"),
  _xlpm.vanillaPrefix, IF(LEFT(_xlpm.spell, 7)="Uvi_Wig", "", ";"),
  ";" &amp; IF(C615="", B615, C615) &amp; IF(M615="", "", " ("&amp;M615&amp;")") &amp; CHAR(10) &amp;
  _xlpm.vanillaPrefix &amp; "Keyword = Uvi_Wig_Distr_KYWD|" &amp; B615 &amp; CHAR(10) &amp;
  _xlpm.vanillaPrefix &amp; "Spell = " &amp; _xlpm.spell &amp; "|" &amp; B615
  )
)</f>
        <v>;Ghost
;Keyword = Uvi_Wig_Distr_KYWD|LvlBanditGhostMissileMale
;Spell = No Spell for Hairstyle|LvlBanditGhostMissileMale</v>
      </c>
    </row>
    <row r="616" ht="12.75" customHeight="1">
      <c r="A616" s="5" t="s">
        <v>3012</v>
      </c>
      <c r="B616" s="5" t="s">
        <v>3013</v>
      </c>
      <c r="C616" s="5" t="s">
        <v>2979</v>
      </c>
      <c r="D616" s="5" t="s">
        <v>38</v>
      </c>
      <c r="E616" s="5" t="s">
        <v>41</v>
      </c>
      <c r="F616" s="5" t="s">
        <v>270</v>
      </c>
      <c r="G616" s="14" t="str">
        <f t="array" ref="G616">IF(B616="", "",
  LET(_xlpm.spell, IFERROR(IF(F616="", "", INDEX(_xlws.FILTER(Hairstyles!$F:$F, ISNUMBER(SEARCH(F616, Hairstyles!$B:$B))), 1)), "No Spell for Hairstyle"),
  _xlpm.vanillaPrefix, IF(LEFT(_xlpm.spell, 7)="Uvi_Wig", "", ";"),
  ";" &amp; IF(C616="", B616, C616) &amp; IF(M616="", "", " ("&amp;M616&amp;")") &amp; CHAR(10) &amp;
  _xlpm.vanillaPrefix &amp; "Keyword = Uvi_Wig_Distr_KYWD|" &amp; B616 &amp; CHAR(10) &amp;
  _xlpm.vanillaPrefix &amp; "Spell = " &amp; _xlpm.spell &amp; "|" &amp; B616
  )
)</f>
        <v>;Ghost
;Keyword = Uvi_Wig_Distr_KYWD|LvlBanditGhostWizardFemale
;Spell = No Spell for Hairstyle|LvlBanditGhostWizardFemale</v>
      </c>
    </row>
    <row r="617" ht="12.75" customHeight="1">
      <c r="A617" s="5" t="s">
        <v>3014</v>
      </c>
      <c r="B617" s="5" t="s">
        <v>3015</v>
      </c>
      <c r="C617" s="5" t="s">
        <v>2979</v>
      </c>
      <c r="D617" s="5" t="s">
        <v>38</v>
      </c>
      <c r="E617" s="5" t="s">
        <v>233</v>
      </c>
      <c r="F617" s="5" t="s">
        <v>40</v>
      </c>
      <c r="G617" s="14" t="str">
        <f t="array" ref="G617">IF(B617="", "",
  LET(_xlpm.spell, IFERROR(IF(F617="", "", INDEX(_xlws.FILTER(Hairstyles!$F:$F, ISNUMBER(SEARCH(F617, Hairstyles!$B:$B))), 1)), "No Spell for Hairstyle"),
  _xlpm.vanillaPrefix, IF(LEFT(_xlpm.spell, 7)="Uvi_Wig", "", ";"),
  ";" &amp; IF(C617="", B617, C617) &amp; IF(M617="", "", " ("&amp;M617&amp;")") &amp; CHAR(10) &amp;
  _xlpm.vanillaPrefix &amp; "Keyword = Uvi_Wig_Distr_KYWD|" &amp; B617 &amp; CHAR(10) &amp;
  _xlpm.vanillaPrefix &amp; "Spell = " &amp; _xlpm.spell &amp; "|" &amp; B617
  )
)</f>
        <v>;Ghost
;Keyword = Uvi_Wig_Distr_KYWD|LvlBanditGhostWizardMale
;Spell = No Spell for Hairstyle|LvlBanditGhostWizardMale</v>
      </c>
    </row>
    <row r="618" ht="12.75" customHeight="1">
      <c r="A618" s="5" t="s">
        <v>3016</v>
      </c>
      <c r="B618" s="5" t="s">
        <v>3017</v>
      </c>
      <c r="C618" s="5" t="s">
        <v>2979</v>
      </c>
      <c r="D618" s="5" t="s">
        <v>16</v>
      </c>
      <c r="E618" s="5" t="s">
        <v>41</v>
      </c>
      <c r="F618" s="5" t="s">
        <v>1041</v>
      </c>
      <c r="G618" s="14" t="str">
        <f t="array" ref="G618">IF(B618="", "",
  LET(_xlpm.spell, IFERROR(IF(F618="", "", INDEX(_xlws.FILTER(Hairstyles!$F:$F, ISNUMBER(SEARCH(F618, Hairstyles!$B:$B))), 1)), "No Spell for Hairstyle"),
  _xlpm.vanillaPrefix, IF(LEFT(_xlpm.spell, 7)="Uvi_Wig", "", ";"),
  ";" &amp; IF(C618="", B618, C618) &amp; IF(M618="", "", " ("&amp;M618&amp;")") &amp; CHAR(10) &amp;
  _xlpm.vanillaPrefix &amp; "Keyword = Uvi_Wig_Distr_KYWD|" &amp; B618 &amp; CHAR(10) &amp;
  _xlpm.vanillaPrefix &amp; "Spell = " &amp; _xlpm.spell &amp; "|" &amp; B618
  )
)</f>
        <v>;Ghost
;Keyword = Uvi_Wig_Distr_KYWD|WEJS01AvengeGhost
;Spell = No Spell for Hairstyle|WEJS01AvengeGhost</v>
      </c>
    </row>
    <row r="619" ht="12.75" customHeight="1">
      <c r="A619" s="5" t="s">
        <v>3018</v>
      </c>
      <c r="B619" s="5" t="s">
        <v>3019</v>
      </c>
      <c r="C619" s="5" t="s">
        <v>2979</v>
      </c>
      <c r="D619" s="5" t="s">
        <v>16</v>
      </c>
      <c r="E619" s="5" t="s">
        <v>41</v>
      </c>
      <c r="F619" s="5" t="s">
        <v>1063</v>
      </c>
      <c r="G619" s="14" t="str">
        <f t="array" ref="G619">IF(B619="", "",
  LET(_xlpm.spell, IFERROR(IF(F619="", "", INDEX(_xlws.FILTER(Hairstyles!$F:$F, ISNUMBER(SEARCH(F619, Hairstyles!$B:$B))), 1)), "No Spell for Hairstyle"),
  _xlpm.vanillaPrefix, IF(LEFT(_xlpm.spell, 7)="Uvi_Wig", "", ";"),
  ";" &amp; IF(C619="", B619, C619) &amp; IF(M619="", "", " ("&amp;M619&amp;")") &amp; CHAR(10) &amp;
  _xlpm.vanillaPrefix &amp; "Keyword = Uvi_Wig_Distr_KYWD|" &amp; B619 &amp; CHAR(10) &amp;
  _xlpm.vanillaPrefix &amp; "Spell = " &amp; _xlpm.spell &amp; "|" &amp; B619
  )
)</f>
        <v>;Ghost
;Keyword = Uvi_Wig_Distr_KYWD|WEJS01Ghost
;Spell = No Spell for Hairstyle|WEJS01Ghost</v>
      </c>
    </row>
    <row r="620" ht="12.75" customHeight="1">
      <c r="A620" s="5" t="s">
        <v>3020</v>
      </c>
      <c r="B620" s="5" t="s">
        <v>3021</v>
      </c>
      <c r="C620" s="5" t="s">
        <v>3022</v>
      </c>
      <c r="D620" s="5" t="s">
        <v>38</v>
      </c>
      <c r="E620" s="5" t="s">
        <v>233</v>
      </c>
      <c r="F620" s="5" t="s">
        <v>1700</v>
      </c>
      <c r="G620" s="14" t="str">
        <f t="array" ref="G620">IF(B620="", "",
  LET(_xlpm.spell, IFERROR(IF(F620="", "", INDEX(_xlws.FILTER(Hairstyles!$F:$F, ISNUMBER(SEARCH(F620, Hairstyles!$B:$B))), 1)), "No Spell for Hairstyle"),
  _xlpm.vanillaPrefix, IF(LEFT(_xlpm.spell, 7)="Uvi_Wig", "", ";"),
  ";" &amp; IF(C620="", B620, C620) &amp; IF(M620="", "", " ("&amp;M620&amp;")") &amp; CHAR(10) &amp;
  _xlpm.vanillaPrefix &amp; "Keyword = Uvi_Wig_Distr_KYWD|" &amp; B620 &amp; CHAR(10) &amp;
  _xlpm.vanillaPrefix &amp; "Spell = " &amp; _xlpm.spell &amp; "|" &amp; B620
  )
)</f>
        <v>;Ghost of Old Hroldan
;Keyword = Uvi_Wig_Distr_KYWD|FreeformOldHroldanBGhost
;Spell = No Spell for Hairstyle|FreeformOldHroldanBGhost</v>
      </c>
    </row>
    <row r="621" ht="12.75" customHeight="1">
      <c r="A621" s="5" t="s">
        <v>3023</v>
      </c>
      <c r="B621" s="5" t="s">
        <v>3024</v>
      </c>
      <c r="C621" s="5" t="s">
        <v>3025</v>
      </c>
      <c r="D621" s="5" t="s">
        <v>59</v>
      </c>
      <c r="E621" s="5" t="s">
        <v>233</v>
      </c>
      <c r="F621" s="5" t="s">
        <v>1700</v>
      </c>
      <c r="G621" s="14" t="str">
        <f t="array" ref="G621">IF(B621="", "",
  LET(_xlpm.spell, IFERROR(IF(F621="", "", INDEX(_xlws.FILTER(Hairstyles!$F:$F, ISNUMBER(SEARCH(F621, Hairstyles!$B:$B))), 1)), "No Spell for Hairstyle"),
  _xlpm.vanillaPrefix, IF(LEFT(_xlpm.spell, 7)="Uvi_Wig", "", ";"),
  ";" &amp; IF(C621="", B621, C621) &amp; IF(M621="", "", " ("&amp;M621&amp;")") &amp; CHAR(10) &amp;
  _xlpm.vanillaPrefix &amp; "Keyword = Uvi_Wig_Distr_KYWD|" &amp; B621 &amp; CHAR(10) &amp;
  _xlpm.vanillaPrefix &amp; "Spell = " &amp; _xlpm.spell &amp; "|" &amp; B621
  )
)</f>
        <v>;Gian the Fist
;Keyword = Uvi_Wig_Distr_KYWD|dunRatwayGian
;Spell = No Spell for Hairstyle|dunRatwayGian</v>
      </c>
    </row>
    <row r="622" ht="12.75" customHeight="1">
      <c r="A622" s="5" t="s">
        <v>3026</v>
      </c>
      <c r="B622" s="5" t="s">
        <v>3027</v>
      </c>
      <c r="C622" s="5" t="s">
        <v>3027</v>
      </c>
      <c r="D622" s="5" t="s">
        <v>59</v>
      </c>
      <c r="E622" s="5" t="s">
        <v>41</v>
      </c>
      <c r="F622" s="5" t="s">
        <v>1557</v>
      </c>
      <c r="G622" s="14" t="str">
        <f t="array" ref="G622">IF(B622="", "",
  LET(_xlpm.spell, IFERROR(IF(F622="", "", INDEX(_xlws.FILTER(Hairstyles!$F:$F, ISNUMBER(SEARCH(F622, Hairstyles!$B:$B))), 1)), "No Spell for Hairstyle"),
  _xlpm.vanillaPrefix, IF(LEFT(_xlpm.spell, 7)="Uvi_Wig", "", ";"),
  ";" &amp; IF(C622="", B622, C622) &amp; IF(M622="", "", " ("&amp;M622&amp;")") &amp; CHAR(10) &amp;
  _xlpm.vanillaPrefix &amp; "Keyword = Uvi_Wig_Distr_KYWD|" &amp; B622 &amp; CHAR(10) &amp;
  _xlpm.vanillaPrefix &amp; "Spell = " &amp; _xlpm.spell &amp; "|" &amp; B622
  )
)</f>
        <v>;Gianna
;Keyword = Uvi_Wig_Distr_KYWD|Gianna
;Spell = No Spell for Hairstyle|Gianna</v>
      </c>
    </row>
    <row r="623" ht="12.75" customHeight="1">
      <c r="A623" s="5" t="s">
        <v>3028</v>
      </c>
      <c r="B623" s="5" t="s">
        <v>3029</v>
      </c>
      <c r="C623" s="5" t="s">
        <v>3029</v>
      </c>
      <c r="D623" s="5" t="s">
        <v>59</v>
      </c>
      <c r="E623" s="5" t="s">
        <v>41</v>
      </c>
      <c r="F623" s="5" t="s">
        <v>42</v>
      </c>
      <c r="G623" s="14" t="str">
        <f t="array" ref="G623">IF(B623="", "",
  LET(_xlpm.spell, IFERROR(IF(F623="", "", INDEX(_xlws.FILTER(Hairstyles!$F:$F, ISNUMBER(SEARCH(F623, Hairstyles!$B:$B))), 1)), "No Spell for Hairstyle"),
  _xlpm.vanillaPrefix, IF(LEFT(_xlpm.spell, 7)="Uvi_Wig", "", ";"),
  ";" &amp; IF(C623="", B623, C623) &amp; IF(M623="", "", " ("&amp;M623&amp;")") &amp; CHAR(10) &amp;
  _xlpm.vanillaPrefix &amp; "Keyword = Uvi_Wig_Distr_KYWD|" &amp; B623 &amp; CHAR(10) &amp;
  _xlpm.vanillaPrefix &amp; "Spell = " &amp; _xlpm.spell &amp; "|" &amp; B623
  )
)</f>
        <v>;Gilfre
;Keyword = Uvi_Wig_Distr_KYWD|Gilfre
;Spell = No Spell for Hairstyle|Gilfre</v>
      </c>
    </row>
    <row r="624" ht="12.75" customHeight="1">
      <c r="A624" s="15" t="s">
        <v>3030</v>
      </c>
      <c r="B624" s="5" t="s">
        <v>3031</v>
      </c>
      <c r="C624" s="5" t="s">
        <v>3032</v>
      </c>
      <c r="D624" s="5" t="s">
        <v>16</v>
      </c>
      <c r="E624" s="5" t="s">
        <v>233</v>
      </c>
      <c r="F624" s="5" t="s">
        <v>1709</v>
      </c>
      <c r="G624" s="14" t="str">
        <f t="array" ref="G624">IF(B624="", "",
  LET(_xlpm.spell, IFERROR(IF(F624="", "", INDEX(_xlws.FILTER(Hairstyles!$F:$F, ISNUMBER(SEARCH(F624, Hairstyles!$B:$B))), 1)), "No Spell for Hairstyle"),
  _xlpm.vanillaPrefix, IF(LEFT(_xlpm.spell, 7)="Uvi_Wig", "", ";"),
  ";" &amp; IF(C624="", B624, C624) &amp; IF(M624="", "", " ("&amp;M624&amp;")") &amp; CHAR(10) &amp;
  _xlpm.vanillaPrefix &amp; "Keyword = Uvi_Wig_Distr_KYWD|" &amp; B624 &amp; CHAR(10) &amp;
  _xlpm.vanillaPrefix &amp; "Spell = " &amp; _xlpm.spell &amp; "|" &amp; B624
  )
)</f>
        <v>;Giraud Gemane
;Keyword = Uvi_Wig_Distr_KYWD|GiraudGemane
;Spell = No Spell for Hairstyle|GiraudGemane</v>
      </c>
    </row>
    <row r="625" ht="12.75" customHeight="1">
      <c r="A625" s="5" t="s">
        <v>3033</v>
      </c>
      <c r="B625" s="5" t="s">
        <v>3034</v>
      </c>
      <c r="C625" s="5" t="s">
        <v>3035</v>
      </c>
      <c r="D625" s="5" t="s">
        <v>90</v>
      </c>
      <c r="E625" s="5" t="s">
        <v>233</v>
      </c>
      <c r="F625" s="5" t="s">
        <v>47</v>
      </c>
      <c r="G625" s="14" t="str">
        <f t="array" ref="G625">IF(B625="", "",
  LET(_xlpm.spell, IFERROR(IF(F625="", "", INDEX(_xlws.FILTER(Hairstyles!$F:$F, ISNUMBER(SEARCH(F625, Hairstyles!$B:$B))), 1)), "No Spell for Hairstyle"),
  _xlpm.vanillaPrefix, IF(LEFT(_xlpm.spell, 7)="Uvi_Wig", "", ";"),
  ";" &amp; IF(C625="", B625, C625) &amp; IF(M625="", "", " ("&amp;M625&amp;")") &amp; CHAR(10) &amp;
  _xlpm.vanillaPrefix &amp; "Keyword = Uvi_Wig_Distr_KYWD|" &amp; B625 &amp; CHAR(10) &amp;
  _xlpm.vanillaPrefix &amp; "Spell = " &amp; _xlpm.spell &amp; "|" &amp; B625
  )
)</f>
        <v>;Girduin
;Keyword = Uvi_Wig_Distr_KYWD|MG07GirduinGhost
;Spell = No Spell for Hairstyle|MG07GirduinGhost</v>
      </c>
    </row>
    <row r="626" ht="12.75" customHeight="1">
      <c r="A626" s="15" t="s">
        <v>3036</v>
      </c>
      <c r="B626" s="5" t="s">
        <v>3037</v>
      </c>
      <c r="C626" s="5" t="s">
        <v>3037</v>
      </c>
      <c r="D626" s="5" t="s">
        <v>38</v>
      </c>
      <c r="E626" s="5" t="s">
        <v>41</v>
      </c>
      <c r="F626" s="5" t="s">
        <v>371</v>
      </c>
      <c r="G626" s="14" t="str">
        <f t="array" ref="G626">IF(B626="", "",
  LET(_xlpm.spell, IFERROR(IF(F626="", "", INDEX(_xlws.FILTER(Hairstyles!$F:$F, ISNUMBER(SEARCH(F626, Hairstyles!$B:$B))), 1)), "No Spell for Hairstyle"),
  _xlpm.vanillaPrefix, IF(LEFT(_xlpm.spell, 7)="Uvi_Wig", "", ";"),
  ";" &amp; IF(C626="", B626, C626) &amp; IF(M626="", "", " ("&amp;M626&amp;")") &amp; CHAR(10) &amp;
  _xlpm.vanillaPrefix &amp; "Keyword = Uvi_Wig_Distr_KYWD|" &amp; B626 &amp; CHAR(10) &amp;
  _xlpm.vanillaPrefix &amp; "Spell = " &amp; _xlpm.spell &amp; "|" &amp; B626
  )
)</f>
        <v>;Gisli
;Keyword = Uvi_Wig_Distr_KYWD|Gisli
;Spell = No Spell for Hairstyle|Gisli</v>
      </c>
    </row>
    <row r="627" ht="12.75" customHeight="1">
      <c r="A627" s="5" t="s">
        <v>3038</v>
      </c>
      <c r="B627" s="5" t="s">
        <v>3039</v>
      </c>
      <c r="C627" s="5" t="s">
        <v>3039</v>
      </c>
      <c r="D627" s="5" t="s">
        <v>38</v>
      </c>
      <c r="E627" s="5" t="s">
        <v>233</v>
      </c>
      <c r="F627" s="5" t="s">
        <v>1906</v>
      </c>
      <c r="G627" s="14" t="str">
        <f t="array" ref="G627">IF(B627="", "",
  LET(_xlpm.spell, IFERROR(IF(F627="", "", INDEX(_xlws.FILTER(Hairstyles!$F:$F, ISNUMBER(SEARCH(F627, Hairstyles!$B:$B))), 1)), "No Spell for Hairstyle"),
  _xlpm.vanillaPrefix, IF(LEFT(_xlpm.spell, 7)="Uvi_Wig", "", ";"),
  ";" &amp; IF(C627="", B627, C627) &amp; IF(M627="", "", " ("&amp;M627&amp;")") &amp; CHAR(10) &amp;
  _xlpm.vanillaPrefix &amp; "Keyword = Uvi_Wig_Distr_KYWD|" &amp; B627 &amp; CHAR(10) &amp;
  _xlpm.vanillaPrefix &amp; "Spell = " &amp; _xlpm.spell &amp; "|" &amp; B627
  )
)</f>
        <v>;Gissur
;Keyword = Uvi_Wig_Distr_KYWD|Gissur
;Spell = No Spell for Hairstyle|Gissur</v>
      </c>
    </row>
    <row r="628" ht="12.75" customHeight="1">
      <c r="A628" s="5" t="s">
        <v>3040</v>
      </c>
      <c r="B628" s="5" t="s">
        <v>3041</v>
      </c>
      <c r="C628" s="5" t="s">
        <v>3041</v>
      </c>
      <c r="D628" s="5" t="s">
        <v>38</v>
      </c>
      <c r="E628" s="5" t="s">
        <v>233</v>
      </c>
      <c r="F628" s="5" t="s">
        <v>40</v>
      </c>
      <c r="G628" s="14" t="str">
        <f t="array" ref="G628">IF(B628="", "",
  LET(_xlpm.spell, IFERROR(IF(F628="", "", INDEX(_xlws.FILTER(Hairstyles!$F:$F, ISNUMBER(SEARCH(F628, Hairstyles!$B:$B))), 1)), "No Spell for Hairstyle"),
  _xlpm.vanillaPrefix, IF(LEFT(_xlpm.spell, 7)="Uvi_Wig", "", ";"),
  ";" &amp; IF(C628="", B628, C628) &amp; IF(M628="", "", " ("&amp;M628&amp;")") &amp; CHAR(10) &amp;
  _xlpm.vanillaPrefix &amp; "Keyword = Uvi_Wig_Distr_KYWD|" &amp; B628 &amp; CHAR(10) &amp;
  _xlpm.vanillaPrefix &amp; "Spell = " &amp; _xlpm.spell &amp; "|" &amp; B628
  )
)</f>
        <v>;Gjak
;Keyword = Uvi_Wig_Distr_KYWD|Gjak
;Spell = No Spell for Hairstyle|Gjak</v>
      </c>
    </row>
    <row r="629" ht="12.75" customHeight="1">
      <c r="A629" s="5" t="s">
        <v>3042</v>
      </c>
      <c r="B629" s="5" t="s">
        <v>3043</v>
      </c>
      <c r="C629" s="5" t="s">
        <v>3044</v>
      </c>
      <c r="D629" s="5" t="s">
        <v>38</v>
      </c>
      <c r="E629" s="5" t="s">
        <v>233</v>
      </c>
      <c r="F629" s="5" t="s">
        <v>234</v>
      </c>
      <c r="G629" s="14" t="str">
        <f t="array" ref="G629">IF(B629="", "",
  LET(_xlpm.spell, IFERROR(IF(F629="", "", INDEX(_xlws.FILTER(Hairstyles!$F:$F, ISNUMBER(SEARCH(F629, Hairstyles!$B:$B))), 1)), "No Spell for Hairstyle"),
  _xlpm.vanillaPrefix, IF(LEFT(_xlpm.spell, 7)="Uvi_Wig", "", ";"),
  ";" &amp; IF(C629="", B629, C629) &amp; IF(M629="", "", " ("&amp;M629&amp;")") &amp; CHAR(10) &amp;
  _xlpm.vanillaPrefix &amp; "Keyword = Uvi_Wig_Distr_KYWD|" &amp; B629 &amp; CHAR(10) &amp;
  _xlpm.vanillaPrefix &amp; "Spell = " &amp; _xlpm.spell &amp; "|" &amp; B629
  )
)</f>
        <v>;Gjalund Salt-Sage
;Keyword = Uvi_Wig_Distr_KYWD|DLC2RRGjalundSaltSageWindhelm
;Spell = No Spell for Hairstyle|DLC2RRGjalundSaltSageWindhelm</v>
      </c>
    </row>
    <row r="630" ht="12.75" customHeight="1">
      <c r="A630" s="15" t="s">
        <v>3045</v>
      </c>
      <c r="B630" s="5" t="s">
        <v>3046</v>
      </c>
      <c r="C630" s="5" t="s">
        <v>3047</v>
      </c>
      <c r="D630" s="5" t="s">
        <v>38</v>
      </c>
      <c r="E630" s="5" t="s">
        <v>233</v>
      </c>
      <c r="F630" s="5" t="s">
        <v>84</v>
      </c>
      <c r="G630" s="14" t="str">
        <f t="array" ref="G630">IF(B630="", "",
  LET(_xlpm.spell, IFERROR(IF(F630="", "", INDEX(_xlws.FILTER(Hairstyles!$F:$F, ISNUMBER(SEARCH(F630, Hairstyles!$B:$B))), 1)), "No Spell for Hairstyle"),
  _xlpm.vanillaPrefix, IF(LEFT(_xlpm.spell, 7)="Uvi_Wig", "", ";"),
  ";" &amp; IF(C630="", B630, C630) &amp; IF(M630="", "", " ("&amp;M630&amp;")") &amp; CHAR(10) &amp;
  _xlpm.vanillaPrefix &amp; "Keyword = Uvi_Wig_Distr_KYWD|" &amp; B630 &amp; CHAR(10) &amp;
  _xlpm.vanillaPrefix &amp; "Spell = " &amp; _xlpm.spell &amp; "|" &amp; B630
  )
)</f>
        <v>;Gjuk
;Keyword = Uvi_Wig_Distr_KYWD|MS10Pirate3
;Spell = No Spell for Hairstyle|MS10Pirate3</v>
      </c>
    </row>
    <row r="631" ht="12.75" customHeight="1">
      <c r="A631" s="5" t="s">
        <v>3048</v>
      </c>
      <c r="B631" s="5" t="s">
        <v>3049</v>
      </c>
      <c r="C631" s="5" t="s">
        <v>3049</v>
      </c>
      <c r="D631" s="5" t="s">
        <v>38</v>
      </c>
      <c r="E631" s="5" t="s">
        <v>233</v>
      </c>
      <c r="F631" s="5" t="s">
        <v>19</v>
      </c>
      <c r="G631" s="14" t="str">
        <f t="array" ref="G631">IF(B631="", "",
  LET(_xlpm.spell, IFERROR(IF(F631="", "", INDEX(_xlws.FILTER(Hairstyles!$F:$F, ISNUMBER(SEARCH(F631, Hairstyles!$B:$B))), 1)), "No Spell for Hairstyle"),
  _xlpm.vanillaPrefix, IF(LEFT(_xlpm.spell, 7)="Uvi_Wig", "", ";"),
  ";" &amp; IF(C631="", B631, C631) &amp; IF(M631="", "", " ("&amp;M631&amp;")") &amp; CHAR(10) &amp;
  _xlpm.vanillaPrefix &amp; "Keyword = Uvi_Wig_Distr_KYWD|" &amp; B631 &amp; CHAR(10) &amp;
  _xlpm.vanillaPrefix &amp; "Spell = " &amp; _xlpm.spell &amp; "|" &amp; B631
  )
)</f>
        <v>;Gloth
;Keyword = Uvi_Wig_Distr_KYWD|Gloth
;Spell = No Spell for Hairstyle|Gloth</v>
      </c>
    </row>
    <row r="632" ht="12.75" customHeight="1">
      <c r="A632" s="5" t="s">
        <v>3050</v>
      </c>
      <c r="B632" s="5" t="s">
        <v>3051</v>
      </c>
      <c r="C632" s="5" t="s">
        <v>3052</v>
      </c>
      <c r="D632" s="5" t="s">
        <v>16</v>
      </c>
      <c r="E632" s="5" t="s">
        <v>233</v>
      </c>
      <c r="F632" s="5" t="s">
        <v>1622</v>
      </c>
      <c r="G632" s="14" t="str">
        <f t="array" ref="G632">IF(B632="", "",
  LET(_xlpm.spell, IFERROR(IF(F632="", "", INDEX(_xlws.FILTER(Hairstyles!$F:$F, ISNUMBER(SEARCH(F632, Hairstyles!$B:$B))), 1)), "No Spell for Hairstyle"),
  _xlpm.vanillaPrefix, IF(LEFT(_xlpm.spell, 7)="Uvi_Wig", "", ";"),
  ";" &amp; IF(C632="", B632, C632) &amp; IF(M632="", "", " ("&amp;M632&amp;")") &amp; CHAR(10) &amp;
  _xlpm.vanillaPrefix &amp; "Keyword = Uvi_Wig_Distr_KYWD|" &amp; B632 &amp; CHAR(10) &amp;
  _xlpm.vanillaPrefix &amp; "Spell = " &amp; _xlpm.spell &amp; "|" &amp; B632
  )
)</f>
        <v>;Glover Mallory
;Keyword = Uvi_Wig_Distr_KYWD|DLC2RRGloverMallory
;Spell = No Spell for Hairstyle|DLC2RRGloverMallory</v>
      </c>
    </row>
    <row r="633" ht="12.75" customHeight="1">
      <c r="A633" s="5" t="s">
        <v>3053</v>
      </c>
      <c r="B633" s="5" t="s">
        <v>3054</v>
      </c>
      <c r="C633" s="5" t="s">
        <v>3054</v>
      </c>
      <c r="D633" s="5" t="s">
        <v>38</v>
      </c>
      <c r="E633" s="5" t="s">
        <v>233</v>
      </c>
      <c r="F633" s="5" t="s">
        <v>346</v>
      </c>
      <c r="G633" s="14" t="str">
        <f t="array" ref="G633">IF(B633="", "",
  LET(_xlpm.spell, IFERROR(IF(F633="", "", INDEX(_xlws.FILTER(Hairstyles!$F:$F, ISNUMBER(SEARCH(F633, Hairstyles!$B:$B))), 1)), "No Spell for Hairstyle"),
  _xlpm.vanillaPrefix, IF(LEFT(_xlpm.spell, 7)="Uvi_Wig", "", ";"),
  ";" &amp; IF(C633="", B633, C633) &amp; IF(M633="", "", " ("&amp;M633&amp;")") &amp; CHAR(10) &amp;
  _xlpm.vanillaPrefix &amp; "Keyword = Uvi_Wig_Distr_KYWD|" &amp; B633 &amp; CHAR(10) &amp;
  _xlpm.vanillaPrefix &amp; "Spell = " &amp; _xlpm.spell &amp; "|" &amp; B633
  )
)</f>
        <v>;Golldir
;Keyword = Uvi_Wig_Distr_KYWD|Golldir
;Spell = No Spell for Hairstyle|Golldir</v>
      </c>
    </row>
    <row r="634" ht="12.75" customHeight="1">
      <c r="A634" s="5" t="s">
        <v>3055</v>
      </c>
      <c r="B634" s="5" t="s">
        <v>3056</v>
      </c>
      <c r="C634" s="5" t="s">
        <v>3057</v>
      </c>
      <c r="D634" s="5" t="s">
        <v>38</v>
      </c>
      <c r="E634" s="5" t="s">
        <v>233</v>
      </c>
      <c r="F634" s="5" t="s">
        <v>1622</v>
      </c>
      <c r="G634" s="14" t="str">
        <f t="array" ref="G634">IF(B634="", "",
  LET(_xlpm.spell, IFERROR(IF(F634="", "", INDEX(_xlws.FILTER(Hairstyles!$F:$F, ISNUMBER(SEARCH(F634, Hairstyles!$B:$B))), 1)), "No Spell for Hairstyle"),
  _xlpm.vanillaPrefix, IF(LEFT(_xlpm.spell, 7)="Uvi_Wig", "", ";"),
  ";" &amp; IF(C634="", B634, C634) &amp; IF(M634="", "", " ("&amp;M634&amp;")") &amp; CHAR(10) &amp;
  _xlpm.vanillaPrefix &amp; "Keyword = Uvi_Wig_Distr_KYWD|" &amp; B634 &amp; CHAR(10) &amp;
  _xlpm.vanillaPrefix &amp; "Spell = " &amp; _xlpm.spell &amp; "|" &amp; B634
  )
)</f>
        <v>;Gonnar Oath-Giver
;Keyword = Uvi_Wig_Distr_KYWD|CWFieldCOSonsRift
;Spell = No Spell for Hairstyle|CWFieldCOSonsRift</v>
      </c>
    </row>
    <row r="635" ht="12.75" customHeight="1">
      <c r="A635" s="5" t="s">
        <v>3058</v>
      </c>
      <c r="B635" s="5" t="s">
        <v>3059</v>
      </c>
      <c r="C635" s="5" t="s">
        <v>3059</v>
      </c>
      <c r="D635" s="5" t="s">
        <v>38</v>
      </c>
      <c r="E635" s="5" t="s">
        <v>233</v>
      </c>
      <c r="F635" s="5" t="s">
        <v>2694</v>
      </c>
      <c r="G635" s="14" t="str">
        <f t="array" ref="G635">IF(B635="", "",
  LET(_xlpm.spell, IFERROR(IF(F635="", "", INDEX(_xlws.FILTER(Hairstyles!$F:$F, ISNUMBER(SEARCH(F635, Hairstyles!$B:$B))), 1)), "No Spell for Hairstyle"),
  _xlpm.vanillaPrefix, IF(LEFT(_xlpm.spell, 7)="Uvi_Wig", "", ";"),
  ";" &amp; IF(C635="", B635, C635) &amp; IF(M635="", "", " ("&amp;M635&amp;")") &amp; CHAR(10) &amp;
  _xlpm.vanillaPrefix &amp; "Keyword = Uvi_Wig_Distr_KYWD|" &amp; B635 &amp; CHAR(10) &amp;
  _xlpm.vanillaPrefix &amp; "Spell = " &amp; _xlpm.spell &amp; "|" &amp; B635
  )
)</f>
        <v>;Gorm
;Keyword = Uvi_Wig_Distr_KYWD|Gorm
;Spell = No Spell for Hairstyle|Gorm</v>
      </c>
    </row>
    <row r="636" ht="12.75" customHeight="1">
      <c r="A636" s="15" t="s">
        <v>3060</v>
      </c>
      <c r="B636" s="5" t="s">
        <v>3061</v>
      </c>
      <c r="C636" s="5" t="s">
        <v>3062</v>
      </c>
      <c r="D636" s="5" t="s">
        <v>38</v>
      </c>
      <c r="E636" s="5" t="s">
        <v>41</v>
      </c>
      <c r="F636" s="5" t="s">
        <v>1041</v>
      </c>
      <c r="G636" s="14" t="str">
        <f t="array" ref="G636">IF(B636="", "",
  LET(_xlpm.spell, IFERROR(IF(F636="", "", INDEX(_xlws.FILTER(Hairstyles!$F:$F, ISNUMBER(SEARCH(F636, Hairstyles!$B:$B))), 1)), "No Spell for Hairstyle"),
  _xlpm.vanillaPrefix, IF(LEFT(_xlpm.spell, 7)="Uvi_Wig", "", ";"),
  ";" &amp; IF(C636="", B636, C636) &amp; IF(M636="", "", " ("&amp;M636&amp;")") &amp; CHAR(10) &amp;
  _xlpm.vanillaPrefix &amp; "Keyword = Uvi_Wig_Distr_KYWD|" &amp; B636 &amp; CHAR(10) &amp;
  _xlpm.vanillaPrefix &amp; "Spell = " &amp; _xlpm.spell &amp; "|" &amp; B636
  )
)</f>
        <v>;Gormlaith Golden-Hilt
;Keyword = Uvi_Wig_Distr_KYWD|GormlaithGoldenHilt
;Spell = No Spell for Hairstyle|GormlaithGoldenHilt</v>
      </c>
    </row>
    <row r="637" ht="12.75" customHeight="1">
      <c r="A637" s="5" t="s">
        <v>3063</v>
      </c>
      <c r="B637" s="5" t="s">
        <v>3064</v>
      </c>
      <c r="C637" s="5" t="s">
        <v>3062</v>
      </c>
      <c r="D637" s="5" t="s">
        <v>38</v>
      </c>
      <c r="E637" s="5" t="s">
        <v>41</v>
      </c>
      <c r="F637" s="5" t="s">
        <v>1041</v>
      </c>
      <c r="G637" s="14" t="str">
        <f t="array" ref="G637">IF(B637="", "",
  LET(_xlpm.spell, IFERROR(IF(F637="", "", INDEX(_xlws.FILTER(Hairstyles!$F:$F, ISNUMBER(SEARCH(F637, Hairstyles!$B:$B))), 1)), "No Spell for Hairstyle"),
  _xlpm.vanillaPrefix, IF(LEFT(_xlpm.spell, 7)="Uvi_Wig", "", ";"),
  ";" &amp; IF(C637="", B637, C637) &amp; IF(M637="", "", " ("&amp;M637&amp;")") &amp; CHAR(10) &amp;
  _xlpm.vanillaPrefix &amp; "Keyword = Uvi_Wig_Distr_KYWD|" &amp; B637 &amp; CHAR(10) &amp;
  _xlpm.vanillaPrefix &amp; "Spell = " &amp; _xlpm.spell &amp; "|" &amp; B637
  )
)</f>
        <v>;Gormlaith Golden-Hilt
;Keyword = Uvi_Wig_Distr_KYWD|MQ206Gormlaith
;Spell = No Spell for Hairstyle|MQ206Gormlaith</v>
      </c>
    </row>
    <row r="638" ht="12.75" customHeight="1">
      <c r="A638" s="5" t="s">
        <v>3065</v>
      </c>
      <c r="B638" s="5" t="s">
        <v>3066</v>
      </c>
      <c r="C638" s="5" t="s">
        <v>3062</v>
      </c>
      <c r="D638" s="5" t="s">
        <v>38</v>
      </c>
      <c r="E638" s="5" t="s">
        <v>41</v>
      </c>
      <c r="F638" s="5" t="s">
        <v>1041</v>
      </c>
      <c r="G638" s="14" t="str">
        <f t="array" ref="G638">IF(B638="", "",
  LET(_xlpm.spell, IFERROR(IF(F638="", "", INDEX(_xlws.FILTER(Hairstyles!$F:$F, ISNUMBER(SEARCH(F638, Hairstyles!$B:$B))), 1)), "No Spell for Hairstyle"),
  _xlpm.vanillaPrefix, IF(LEFT(_xlpm.spell, 7)="Uvi_Wig", "", ";"),
  ";" &amp; IF(C638="", B638, C638) &amp; IF(M638="", "", " ("&amp;M638&amp;")") &amp; CHAR(10) &amp;
  _xlpm.vanillaPrefix &amp; "Keyword = Uvi_Wig_Distr_KYWD|" &amp; B638 &amp; CHAR(10) &amp;
  _xlpm.vanillaPrefix &amp; "Spell = " &amp; _xlpm.spell &amp; "|" &amp; B638
  )
)</f>
        <v>;Gormlaith Golden-Hilt
;Keyword = Uvi_Wig_Distr_KYWD|SummonGormlaith
;Spell = No Spell for Hairstyle|SummonGormlaith</v>
      </c>
    </row>
    <row r="639" ht="12.75" customHeight="1">
      <c r="A639" s="5" t="s">
        <v>3067</v>
      </c>
      <c r="B639" s="5" t="s">
        <v>3068</v>
      </c>
      <c r="C639" s="5" t="s">
        <v>3069</v>
      </c>
      <c r="D639" s="5" t="s">
        <v>38</v>
      </c>
      <c r="E639" s="5" t="s">
        <v>233</v>
      </c>
      <c r="F639" s="5" t="s">
        <v>1622</v>
      </c>
      <c r="G639" s="14" t="str">
        <f t="array" ref="G639">IF(B639="", "",
  LET(_xlpm.spell, IFERROR(IF(F639="", "", INDEX(_xlws.FILTER(Hairstyles!$F:$F, ISNUMBER(SEARCH(F639, Hairstyles!$B:$B))), 1)), "No Spell for Hairstyle"),
  _xlpm.vanillaPrefix, IF(LEFT(_xlpm.spell, 7)="Uvi_Wig", "", ";"),
  ";" &amp; IF(C639="", B639, C639) &amp; IF(M639="", "", " ("&amp;M639&amp;")") &amp; CHAR(10) &amp;
  _xlpm.vanillaPrefix &amp; "Keyword = Uvi_Wig_Distr_KYWD|" &amp; B639 &amp; CHAR(10) &amp;
  _xlpm.vanillaPrefix &amp; "Spell = " &amp; _xlpm.spell &amp; "|" &amp; B639
  )
)</f>
        <v>;Gort
;Keyword = Uvi_Wig_Distr_KYWD|DLC1FerrymanWindhelm
;Spell = No Spell for Hairstyle|DLC1FerrymanWindhelm</v>
      </c>
    </row>
    <row r="640" ht="12.75" customHeight="1">
      <c r="A640" s="5" t="s">
        <v>3070</v>
      </c>
      <c r="B640" s="5" t="s">
        <v>3071</v>
      </c>
      <c r="C640" s="5" t="s">
        <v>3071</v>
      </c>
      <c r="D640" s="5" t="s">
        <v>74</v>
      </c>
      <c r="E640" s="5" t="s">
        <v>233</v>
      </c>
      <c r="F640" s="5" t="s">
        <v>27</v>
      </c>
      <c r="G640" s="14" t="str">
        <f t="array" ref="G640">IF(B640="", "",
  LET(_xlpm.spell, IFERROR(IF(F640="", "", INDEX(_xlws.FILTER(Hairstyles!$F:$F, ISNUMBER(SEARCH(F640, Hairstyles!$B:$B))), 1)), "No Spell for Hairstyle"),
  _xlpm.vanillaPrefix, IF(LEFT(_xlpm.spell, 7)="Uvi_Wig", "", ";"),
  ";" &amp; IF(C640="", B640, C640) &amp; IF(M640="", "", " ("&amp;M640&amp;")") &amp; CHAR(10) &amp;
  _xlpm.vanillaPrefix &amp; "Keyword = Uvi_Wig_Distr_KYWD|" &amp; B640 &amp; CHAR(10) &amp;
  _xlpm.vanillaPrefix &amp; "Spell = " &amp; _xlpm.spell &amp; "|" &amp; B640
  )
)</f>
        <v>;Gralnach
;Keyword = Uvi_Wig_Distr_KYWD|Gralnach
;Spell = No Spell for Hairstyle|Gralnach</v>
      </c>
    </row>
    <row r="641" ht="12.75" customHeight="1">
      <c r="A641" s="5" t="s">
        <v>3072</v>
      </c>
      <c r="B641" s="5" t="s">
        <v>3073</v>
      </c>
      <c r="C641" s="5" t="s">
        <v>3074</v>
      </c>
      <c r="D641" s="5" t="s">
        <v>38</v>
      </c>
      <c r="E641" s="5" t="s">
        <v>233</v>
      </c>
      <c r="F641" s="5" t="s">
        <v>1622</v>
      </c>
      <c r="G641" s="14" t="str">
        <f t="array" ref="G641">IF(B641="", "",
  LET(_xlpm.spell, IFERROR(IF(F641="", "", INDEX(_xlws.FILTER(Hairstyles!$F:$F, ISNUMBER(SEARCH(F641, Hairstyles!$B:$B))), 1)), "No Spell for Hairstyle"),
  _xlpm.vanillaPrefix, IF(LEFT(_xlpm.spell, 7)="Uvi_Wig", "", ";"),
  ";" &amp; IF(C641="", B641, C641) &amp; IF(M641="", "", " ("&amp;M641&amp;")") &amp; CHAR(10) &amp;
  _xlpm.vanillaPrefix &amp; "Keyword = Uvi_Wig_Distr_KYWD|" &amp; B641 &amp; CHAR(10) &amp;
  _xlpm.vanillaPrefix &amp; "Spell = " &amp; _xlpm.spell &amp; "|" &amp; B641
  )
)</f>
        <v>;Gregor
;Keyword = Uvi_Wig_Distr_KYWD|BYOHHousecarlPale
;Spell = No Spell for Hairstyle|BYOHHousecarlPale</v>
      </c>
    </row>
    <row r="642" ht="12.75" customHeight="1">
      <c r="A642" s="5" t="s">
        <v>3075</v>
      </c>
      <c r="B642" s="5" t="s">
        <v>3076</v>
      </c>
      <c r="C642" s="5" t="s">
        <v>3076</v>
      </c>
      <c r="D642" s="5" t="s">
        <v>38</v>
      </c>
      <c r="E642" s="5" t="s">
        <v>41</v>
      </c>
      <c r="F642" s="5" t="s">
        <v>22</v>
      </c>
      <c r="G642" s="14" t="str">
        <f t="array" ref="G642">IF(B642="", "",
  LET(_xlpm.spell, IFERROR(IF(F642="", "", INDEX(_xlws.FILTER(Hairstyles!$F:$F, ISNUMBER(SEARCH(F642, Hairstyles!$B:$B))), 1)), "No Spell for Hairstyle"),
  _xlpm.vanillaPrefix, IF(LEFT(_xlpm.spell, 7)="Uvi_Wig", "", ";"),
  ";" &amp; IF(C642="", B642, C642) &amp; IF(M642="", "", " ("&amp;M642&amp;")") &amp; CHAR(10) &amp;
  _xlpm.vanillaPrefix &amp; "Keyword = Uvi_Wig_Distr_KYWD|" &amp; B642 &amp; CHAR(10) &amp;
  _xlpm.vanillaPrefix &amp; "Spell = " &amp; _xlpm.spell &amp; "|" &amp; B642
  )
)</f>
        <v>;Grelka
;Keyword = Uvi_Wig_Distr_KYWD|Grelka
;Spell = No Spell for Hairstyle|Grelka</v>
      </c>
    </row>
    <row r="643" ht="12.75" customHeight="1">
      <c r="A643" s="5" t="s">
        <v>3077</v>
      </c>
      <c r="B643" s="5" t="s">
        <v>3078</v>
      </c>
      <c r="C643" s="5" t="s">
        <v>3079</v>
      </c>
      <c r="D643" s="5" t="s">
        <v>51</v>
      </c>
      <c r="E643" s="5" t="s">
        <v>41</v>
      </c>
      <c r="F643" s="5" t="s">
        <v>53</v>
      </c>
      <c r="G643" s="14" t="str">
        <f t="array" ref="G643">IF(B643="", "",
  LET(_xlpm.spell, IFERROR(IF(F643="", "", INDEX(_xlws.FILTER(Hairstyles!$F:$F, ISNUMBER(SEARCH(F643, Hairstyles!$B:$B))), 1)), "No Spell for Hairstyle"),
  _xlpm.vanillaPrefix, IF(LEFT(_xlpm.spell, 7)="Uvi_Wig", "", ";"),
  ";" &amp; IF(C643="", B643, C643) &amp; IF(M643="", "", " ("&amp;M643&amp;")") &amp; CHAR(10) &amp;
  _xlpm.vanillaPrefix &amp; "Keyword = Uvi_Wig_Distr_KYWD|" &amp; B643 &amp; CHAR(10) &amp;
  _xlpm.vanillaPrefix &amp; "Spell = " &amp; _xlpm.spell &amp; "|" &amp; B643
  )
)</f>
        <v>;Grelod the Kind
;Keyword = Uvi_Wig_Distr_KYWD|Grelod
;Spell = No Spell for Hairstyle|Grelod</v>
      </c>
    </row>
    <row r="644" ht="12.75" customHeight="1">
      <c r="A644" s="15" t="s">
        <v>3080</v>
      </c>
      <c r="B644" s="5" t="s">
        <v>3081</v>
      </c>
      <c r="C644" s="5" t="s">
        <v>3081</v>
      </c>
      <c r="D644" s="5" t="s">
        <v>38</v>
      </c>
      <c r="E644" s="5" t="s">
        <v>41</v>
      </c>
      <c r="F644" s="5" t="s">
        <v>42</v>
      </c>
      <c r="G644" s="14" t="str">
        <f t="array" ref="G644">IF(B644="", "",
  LET(_xlpm.spell, IFERROR(IF(F644="", "", INDEX(_xlws.FILTER(Hairstyles!$F:$F, ISNUMBER(SEARCH(F644, Hairstyles!$B:$B))), 1)), "No Spell for Hairstyle"),
  _xlpm.vanillaPrefix, IF(LEFT(_xlpm.spell, 7)="Uvi_Wig", "", ";"),
  ";" &amp; IF(C644="", B644, C644) &amp; IF(M644="", "", " ("&amp;M644&amp;")") &amp; CHAR(10) &amp;
  _xlpm.vanillaPrefix &amp; "Keyword = Uvi_Wig_Distr_KYWD|" &amp; B644 &amp; CHAR(10) &amp;
  _xlpm.vanillaPrefix &amp; "Spell = " &amp; _xlpm.spell &amp; "|" &amp; B644
  )
)</f>
        <v>;Greta
;Keyword = Uvi_Wig_Distr_KYWD|Greta
;Spell = No Spell for Hairstyle|Greta</v>
      </c>
    </row>
    <row r="645" ht="12.75" customHeight="1">
      <c r="A645" s="5" t="s">
        <v>3082</v>
      </c>
      <c r="B645" s="5" t="s">
        <v>3083</v>
      </c>
      <c r="C645" s="5" t="s">
        <v>3084</v>
      </c>
      <c r="D645" s="5" t="s">
        <v>38</v>
      </c>
      <c r="E645" s="5" t="s">
        <v>41</v>
      </c>
      <c r="F645" s="5" t="s">
        <v>22</v>
      </c>
      <c r="G645" s="14" t="str">
        <f t="array" ref="G645">IF(B645="", "",
  LET(_xlpm.spell, IFERROR(IF(F645="", "", INDEX(_xlws.FILTER(Hairstyles!$F:$F, ISNUMBER(SEARCH(F645, Hairstyles!$B:$B))), 1)), "No Spell for Hairstyle"),
  _xlpm.vanillaPrefix, IF(LEFT(_xlpm.spell, 7)="Uvi_Wig", "", ";"),
  ";" &amp; IF(C645="", B645, C645) &amp; IF(M645="", "", " ("&amp;M645&amp;")") &amp; CHAR(10) &amp;
  _xlpm.vanillaPrefix &amp; "Keyword = Uvi_Wig_Distr_KYWD|" &amp; B645 &amp; CHAR(10) &amp;
  _xlpm.vanillaPrefix &amp; "Spell = " &amp; _xlpm.spell &amp; "|" &amp; B645
  )
)</f>
        <v>;Grete
;Keyword = Uvi_Wig_Distr_KYWD|MQ201Bard
;Spell = No Spell for Hairstyle|MQ201Bard</v>
      </c>
    </row>
    <row r="646" ht="12.75" customHeight="1">
      <c r="A646" s="5" t="s">
        <v>3085</v>
      </c>
      <c r="B646" s="5" t="s">
        <v>3086</v>
      </c>
      <c r="C646" s="5" t="s">
        <v>3087</v>
      </c>
      <c r="D646" s="5" t="s">
        <v>38</v>
      </c>
      <c r="E646" s="5" t="s">
        <v>233</v>
      </c>
      <c r="F646" s="5" t="s">
        <v>1700</v>
      </c>
      <c r="G646" s="14" t="str">
        <f t="array" ref="G646">IF(B646="", "",
  LET(_xlpm.spell, IFERROR(IF(F646="", "", INDEX(_xlws.FILTER(Hairstyles!$F:$F, ISNUMBER(SEARCH(F646, Hairstyles!$B:$B))), 1)), "No Spell for Hairstyle"),
  _xlpm.vanillaPrefix, IF(LEFT(_xlpm.spell, 7)="Uvi_Wig", "", ";"),
  ";" &amp; IF(C646="", B646, C646) &amp; IF(M646="", "", " ("&amp;M646&amp;")") &amp; CHAR(10) &amp;
  _xlpm.vanillaPrefix &amp; "Keyword = Uvi_Wig_Distr_KYWD|" &amp; B646 &amp; CHAR(10) &amp;
  _xlpm.vanillaPrefix &amp; "Spell = " &amp; _xlpm.spell &amp; "|" &amp; B646
  )
)</f>
        <v>;Griefstricken Chef
;Keyword = Uvi_Wig_Distr_KYWD|DBRecurringContact9Heljarchen
;Spell = No Spell for Hairstyle|DBRecurringContact9Heljarchen</v>
      </c>
    </row>
    <row r="647" ht="12.75" customHeight="1">
      <c r="A647" s="5" t="s">
        <v>3088</v>
      </c>
      <c r="B647" s="5" t="s">
        <v>3089</v>
      </c>
      <c r="C647" s="5" t="s">
        <v>3090</v>
      </c>
      <c r="D647" s="5" t="s">
        <v>38</v>
      </c>
      <c r="E647" s="5" t="s">
        <v>41</v>
      </c>
      <c r="F647" s="5" t="s">
        <v>371</v>
      </c>
      <c r="G647" s="14" t="str">
        <f t="array" ref="G647">IF(B647="", "",
  LET(_xlpm.spell, IFERROR(IF(F647="", "", INDEX(_xlws.FILTER(Hairstyles!$F:$F, ISNUMBER(SEARCH(F647, Hairstyles!$B:$B))), 1)), "No Spell for Hairstyle"),
  _xlpm.vanillaPrefix, IF(LEFT(_xlpm.spell, 7)="Uvi_Wig", "", ";"),
  ";" &amp; IF(C647="", B647, C647) &amp; IF(M647="", "", " ("&amp;M647&amp;")") &amp; CHAR(10) &amp;
  _xlpm.vanillaPrefix &amp; "Keyword = Uvi_Wig_Distr_KYWD|" &amp; B647 &amp; CHAR(10) &amp;
  _xlpm.vanillaPrefix &amp; "Spell = " &amp; _xlpm.spell &amp; "|" &amp; B647
  )
)</f>
        <v>;Grim Shieldmaiden
;Keyword = Uvi_Wig_Distr_KYWD|DBRecurringTarget7Markarth
;Spell = No Spell for Hairstyle|DBRecurringTarget7Markarth</v>
      </c>
    </row>
    <row r="648" ht="12.75" customHeight="1">
      <c r="A648" s="15" t="s">
        <v>3091</v>
      </c>
      <c r="B648" s="5" t="s">
        <v>3092</v>
      </c>
      <c r="C648" s="5" t="s">
        <v>3093</v>
      </c>
      <c r="D648" s="5" t="s">
        <v>74</v>
      </c>
      <c r="E648" s="5" t="s">
        <v>233</v>
      </c>
      <c r="F648" s="5" t="s">
        <v>76</v>
      </c>
      <c r="G648" s="14" t="str">
        <f t="array" ref="G648">IF(B648="", "",
  LET(_xlpm.spell, IFERROR(IF(F648="", "", INDEX(_xlws.FILTER(Hairstyles!$F:$F, ISNUMBER(SEARCH(F648, Hairstyles!$B:$B))), 1)), "No Spell for Hairstyle"),
  _xlpm.vanillaPrefix, IF(LEFT(_xlpm.spell, 7)="Uvi_Wig", "", ";"),
  ";" &amp; IF(C648="", B648, C648) &amp; IF(M648="", "", " ("&amp;M648&amp;")") &amp; CHAR(10) &amp;
  _xlpm.vanillaPrefix &amp; "Keyword = Uvi_Wig_Distr_KYWD|" &amp; B648 &amp; CHAR(10) &amp;
  _xlpm.vanillaPrefix &amp; "Spell = " &amp; _xlpm.spell &amp; "|" &amp; B648
  )
)</f>
        <v>;Grimvar Cruel-Sea
;Keyword = Uvi_Wig_Distr_KYWD|Grimvar
;Spell = No Spell for Hairstyle|Grimvar</v>
      </c>
    </row>
    <row r="649" ht="12.75" customHeight="1">
      <c r="A649" s="5" t="s">
        <v>3094</v>
      </c>
      <c r="B649" s="5" t="s">
        <v>3095</v>
      </c>
      <c r="C649" s="5" t="s">
        <v>3096</v>
      </c>
      <c r="D649" s="5" t="s">
        <v>38</v>
      </c>
      <c r="E649" s="5" t="s">
        <v>233</v>
      </c>
      <c r="F649" s="5" t="s">
        <v>1709</v>
      </c>
      <c r="G649" s="14" t="str">
        <f t="array" ref="G649">IF(B649="", "",
  LET(_xlpm.spell, IFERROR(IF(F649="", "", INDEX(_xlws.FILTER(Hairstyles!$F:$F, ISNUMBER(SEARCH(F649, Hairstyles!$B:$B))), 1)), "No Spell for Hairstyle"),
  _xlpm.vanillaPrefix, IF(LEFT(_xlpm.spell, 7)="Uvi_Wig", "", ";"),
  ";" &amp; IF(C649="", B649, C649) &amp; IF(M649="", "", " ("&amp;M649&amp;")") &amp; CHAR(10) &amp;
  _xlpm.vanillaPrefix &amp; "Keyword = Uvi_Wig_Distr_KYWD|" &amp; B649 &amp; CHAR(10) &amp;
  _xlpm.vanillaPrefix &amp; "Spell = " &amp; _xlpm.spell &amp; "|" &amp; B649
  )
)</f>
        <v>;Grisvar the Unlucky
;Keyword = Uvi_Wig_Distr_KYWD|Grisvar
;Spell = No Spell for Hairstyle|Grisvar</v>
      </c>
    </row>
    <row r="650" ht="12.75" customHeight="1">
      <c r="A650" s="5" t="s">
        <v>3097</v>
      </c>
      <c r="B650" s="5" t="s">
        <v>3098</v>
      </c>
      <c r="C650" s="5" t="s">
        <v>3099</v>
      </c>
      <c r="D650" s="5" t="s">
        <v>80</v>
      </c>
      <c r="E650" s="5" t="s">
        <v>233</v>
      </c>
      <c r="F650" s="5" t="s">
        <v>206</v>
      </c>
      <c r="G650" s="14" t="str">
        <f t="array" ref="G650">IF(B650="", "",
  LET(_xlpm.spell, IFERROR(IF(F650="", "", INDEX(_xlws.FILTER(Hairstyles!$F:$F, ISNUMBER(SEARCH(F650, Hairstyles!$B:$B))), 1)), "No Spell for Hairstyle"),
  _xlpm.vanillaPrefix, IF(LEFT(_xlpm.spell, 7)="Uvi_Wig", "", ";"),
  ";" &amp; IF(C650="", B650, C650) &amp; IF(M650="", "", " ("&amp;M650&amp;")") &amp; CHAR(10) &amp;
  _xlpm.vanillaPrefix &amp; "Keyword = Uvi_Wig_Distr_KYWD|" &amp; B650 &amp; CHAR(10) &amp;
  _xlpm.vanillaPrefix &amp; "Spell = " &amp; _xlpm.spell &amp; "|" &amp; B650
  )
)</f>
        <v>;Grogmar gro-Burzag
;Keyword = Uvi_Wig_Distr_KYWD|GrogmarGroBurzag
;Spell = No Spell for Hairstyle|GrogmarGroBurzag</v>
      </c>
    </row>
    <row r="651" ht="12.75" customHeight="1">
      <c r="A651" s="5" t="s">
        <v>3100</v>
      </c>
      <c r="B651" s="5" t="s">
        <v>3101</v>
      </c>
      <c r="C651" s="5" t="s">
        <v>3101</v>
      </c>
      <c r="D651" s="5" t="s">
        <v>38</v>
      </c>
      <c r="E651" s="5" t="s">
        <v>41</v>
      </c>
      <c r="F651" s="5" t="s">
        <v>2118</v>
      </c>
      <c r="G651" s="14" t="str">
        <f t="array" ref="G651">IF(B651="", "",
  LET(_xlpm.spell, IFERROR(IF(F651="", "", INDEX(_xlws.FILTER(Hairstyles!$F:$F, ISNUMBER(SEARCH(F651, Hairstyles!$B:$B))), 1)), "No Spell for Hairstyle"),
  _xlpm.vanillaPrefix, IF(LEFT(_xlpm.spell, 7)="Uvi_Wig", "", ";"),
  ";" &amp; IF(C651="", B651, C651) &amp; IF(M651="", "", " ("&amp;M651&amp;")") &amp; CHAR(10) &amp;
  _xlpm.vanillaPrefix &amp; "Keyword = Uvi_Wig_Distr_KYWD|" &amp; B651 &amp; CHAR(10) &amp;
  _xlpm.vanillaPrefix &amp; "Spell = " &amp; _xlpm.spell &amp; "|" &amp; B651
  )
)</f>
        <v>;Grosta
;Keyword = Uvi_Wig_Distr_KYWD|Grosta
;Spell = No Spell for Hairstyle|Grosta</v>
      </c>
    </row>
    <row r="652" ht="12.75" customHeight="1">
      <c r="A652" s="5" t="s">
        <v>3102</v>
      </c>
      <c r="B652" s="5" t="s">
        <v>3103</v>
      </c>
      <c r="C652" s="5" t="s">
        <v>3103</v>
      </c>
      <c r="D652" s="5" t="s">
        <v>80</v>
      </c>
      <c r="E652" s="5" t="s">
        <v>233</v>
      </c>
      <c r="F652" s="5" t="s">
        <v>458</v>
      </c>
      <c r="G652" s="14" t="str">
        <f t="array" ref="G652">IF(B652="", "",
  LET(_xlpm.spell, IFERROR(IF(F652="", "", INDEX(_xlws.FILTER(Hairstyles!$F:$F, ISNUMBER(SEARCH(F652, Hairstyles!$B:$B))), 1)), "No Spell for Hairstyle"),
  _xlpm.vanillaPrefix, IF(LEFT(_xlpm.spell, 7)="Uvi_Wig", "", ";"),
  ";" &amp; IF(C652="", B652, C652) &amp; IF(M652="", "", " ("&amp;M652&amp;")") &amp; CHAR(10) &amp;
  _xlpm.vanillaPrefix &amp; "Keyword = Uvi_Wig_Distr_KYWD|" &amp; B652 &amp; CHAR(10) &amp;
  _xlpm.vanillaPrefix &amp; "Spell = " &amp; _xlpm.spell &amp; "|" &amp; B652
  )
)</f>
        <v>;Grushnag
;Keyword = Uvi_Wig_Distr_KYWD|Grushnag
;Spell = No Spell for Hairstyle|Grushnag</v>
      </c>
    </row>
    <row r="653" ht="12.75" customHeight="1">
      <c r="A653" s="5" t="s">
        <v>3104</v>
      </c>
      <c r="B653" s="5" t="s">
        <v>3105</v>
      </c>
      <c r="C653" s="5" t="s">
        <v>3105</v>
      </c>
      <c r="D653" s="5" t="s">
        <v>80</v>
      </c>
      <c r="E653" s="5" t="s">
        <v>41</v>
      </c>
      <c r="F653" s="5" t="s">
        <v>3106</v>
      </c>
      <c r="G653" s="14" t="str">
        <f t="array" ref="G653">IF(B653="", "",
  LET(_xlpm.spell, IFERROR(IF(F653="", "", INDEX(_xlws.FILTER(Hairstyles!$F:$F, ISNUMBER(SEARCH(F653, Hairstyles!$B:$B))), 1)), "No Spell for Hairstyle"),
  _xlpm.vanillaPrefix, IF(LEFT(_xlpm.spell, 7)="Uvi_Wig", "", ";"),
  ";" &amp; IF(C653="", B653, C653) &amp; IF(M653="", "", " ("&amp;M653&amp;")") &amp; CHAR(10) &amp;
  _xlpm.vanillaPrefix &amp; "Keyword = Uvi_Wig_Distr_KYWD|" &amp; B653 &amp; CHAR(10) &amp;
  _xlpm.vanillaPrefix &amp; "Spell = " &amp; _xlpm.spell &amp; "|" &amp; B653
  )
)</f>
        <v>;Gul
;Keyword = Uvi_Wig_Distr_KYWD|Gul
;Spell = No Spell for Hairstyle|Gul</v>
      </c>
    </row>
    <row r="654" ht="12.75" customHeight="1">
      <c r="A654" s="15" t="s">
        <v>3107</v>
      </c>
      <c r="B654" s="5" t="s">
        <v>3108</v>
      </c>
      <c r="C654" s="5" t="s">
        <v>3108</v>
      </c>
      <c r="D654" s="5" t="s">
        <v>80</v>
      </c>
      <c r="E654" s="5" t="s">
        <v>233</v>
      </c>
      <c r="F654" s="5" t="s">
        <v>452</v>
      </c>
      <c r="G654" s="14" t="str">
        <f t="array" ref="G654">IF(B654="", "",
  LET(_xlpm.spell, IFERROR(IF(F654="", "", INDEX(_xlws.FILTER(Hairstyles!$F:$F, ISNUMBER(SEARCH(F654, Hairstyles!$B:$B))), 1)), "No Spell for Hairstyle"),
  _xlpm.vanillaPrefix, IF(LEFT(_xlpm.spell, 7)="Uvi_Wig", "", ";"),
  ";" &amp; IF(C654="", B654, C654) &amp; IF(M654="", "", " ("&amp;M654&amp;")") &amp; CHAR(10) &amp;
  _xlpm.vanillaPrefix &amp; "Keyword = Uvi_Wig_Distr_KYWD|" &amp; B654 &amp; CHAR(10) &amp;
  _xlpm.vanillaPrefix &amp; "Spell = " &amp; _xlpm.spell &amp; "|" &amp; B654
  )
)</f>
        <v>;Gularzob
;Keyword = Uvi_Wig_Distr_KYWD|Gularzob
;Spell = No Spell for Hairstyle|Gularzob</v>
      </c>
    </row>
    <row r="655" ht="12.75" customHeight="1">
      <c r="A655" s="15" t="s">
        <v>3109</v>
      </c>
      <c r="B655" s="5" t="s">
        <v>3110</v>
      </c>
      <c r="C655" s="5" t="s">
        <v>3111</v>
      </c>
      <c r="D655" s="5" t="s">
        <v>10</v>
      </c>
      <c r="E655" s="5" t="s">
        <v>233</v>
      </c>
      <c r="F655" s="5" t="s">
        <v>1755</v>
      </c>
      <c r="G655" s="14" t="str">
        <f t="array" ref="G655">IF(B655="", "",
  LET(_xlpm.spell, IFERROR(IF(F655="", "", INDEX(_xlws.FILTER(Hairstyles!$F:$F, ISNUMBER(SEARCH(F655, Hairstyles!$B:$B))), 1)), "No Spell for Hairstyle"),
  _xlpm.vanillaPrefix, IF(LEFT(_xlpm.spell, 7)="Uvi_Wig", "", ";"),
  ";" &amp; IF(C655="", B655, C655) &amp; IF(M655="", "", " ("&amp;M655&amp;")") &amp; CHAR(10) &amp;
  _xlpm.vanillaPrefix &amp; "Keyword = Uvi_Wig_Distr_KYWD|" &amp; B655 &amp; CHAR(10) &amp;
  _xlpm.vanillaPrefix &amp; "Spell = " &amp; _xlpm.spell &amp; "|" &amp; B655
  )
)</f>
        <v>;Gulum-Ei
;Keyword = Uvi_Wig_Distr_KYWD|GulumEi
;Spell = No Spell for Hairstyle|GulumEi</v>
      </c>
    </row>
    <row r="656" ht="12.75" customHeight="1">
      <c r="A656" s="5" t="s">
        <v>3112</v>
      </c>
      <c r="B656" s="5" t="s">
        <v>3113</v>
      </c>
      <c r="C656" s="5" t="s">
        <v>3113</v>
      </c>
      <c r="D656" s="5" t="s">
        <v>38</v>
      </c>
      <c r="E656" s="5" t="s">
        <v>233</v>
      </c>
      <c r="F656" s="5" t="s">
        <v>424</v>
      </c>
      <c r="G656" s="14" t="str">
        <f t="array" ref="G656">IF(B656="", "",
  LET(_xlpm.spell, IFERROR(IF(F656="", "", INDEX(_xlws.FILTER(Hairstyles!$F:$F, ISNUMBER(SEARCH(F656, Hairstyles!$B:$B))), 1)), "No Spell for Hairstyle"),
  _xlpm.vanillaPrefix, IF(LEFT(_xlpm.spell, 7)="Uvi_Wig", "", ";"),
  ";" &amp; IF(C656="", B656, C656) &amp; IF(M656="", "", " ("&amp;M656&amp;")") &amp; CHAR(10) &amp;
  _xlpm.vanillaPrefix &amp; "Keyword = Uvi_Wig_Distr_KYWD|" &amp; B656 &amp; CHAR(10) &amp;
  _xlpm.vanillaPrefix &amp; "Spell = " &amp; _xlpm.spell &amp; "|" &amp; B656
  )
)</f>
        <v>;Gunding
;Keyword = Uvi_Wig_Distr_KYWD|Gunding
;Spell = No Spell for Hairstyle|Gunding</v>
      </c>
    </row>
    <row r="657" ht="12.75" customHeight="1">
      <c r="A657" s="5" t="s">
        <v>3114</v>
      </c>
      <c r="B657" s="5" t="s">
        <v>3115</v>
      </c>
      <c r="C657" s="5" t="s">
        <v>3116</v>
      </c>
      <c r="D657" s="5" t="s">
        <v>38</v>
      </c>
      <c r="E657" s="5" t="s">
        <v>233</v>
      </c>
      <c r="F657" s="5" t="s">
        <v>1709</v>
      </c>
      <c r="G657" s="14" t="str">
        <f t="array" ref="G657">IF(B657="", "",
  LET(_xlpm.spell, IFERROR(IF(F657="", "", INDEX(_xlws.FILTER(Hairstyles!$F:$F, ISNUMBER(SEARCH(F657, Hairstyles!$B:$B))), 1)), "No Spell for Hairstyle"),
  _xlpm.vanillaPrefix, IF(LEFT(_xlpm.spell, 7)="Uvi_Wig", "", ";"),
  ";" &amp; IF(C657="", B657, C657) &amp; IF(M657="", "", " ("&amp;M657&amp;")") &amp; CHAR(10) &amp;
  _xlpm.vanillaPrefix &amp; "Keyword = Uvi_Wig_Distr_KYWD|" &amp; B657 &amp; CHAR(10) &amp;
  _xlpm.vanillaPrefix &amp; "Spell = " &amp; _xlpm.spell &amp; "|" &amp; B657
  )
)</f>
        <v>;Gunjar
;Keyword = Uvi_Wig_Distr_KYWD|BYOHCarriageDriver1
;Spell = No Spell for Hairstyle|BYOHCarriageDriver1</v>
      </c>
    </row>
    <row r="658" ht="12.75" customHeight="1">
      <c r="A658" s="5" t="s">
        <v>3117</v>
      </c>
      <c r="B658" s="5" t="s">
        <v>3118</v>
      </c>
      <c r="C658" s="5" t="s">
        <v>3116</v>
      </c>
      <c r="D658" s="5" t="s">
        <v>38</v>
      </c>
      <c r="E658" s="5" t="s">
        <v>233</v>
      </c>
      <c r="F658" s="5" t="s">
        <v>2030</v>
      </c>
      <c r="G658" s="14" t="str">
        <f t="array" ref="G658">IF(B658="", "",
  LET(_xlpm.spell, IFERROR(IF(F658="", "", INDEX(_xlws.FILTER(Hairstyles!$F:$F, ISNUMBER(SEARCH(F658, Hairstyles!$B:$B))), 1)), "No Spell for Hairstyle"),
  _xlpm.vanillaPrefix, IF(LEFT(_xlpm.spell, 7)="Uvi_Wig", "", ";"),
  ";" &amp; IF(C658="", B658, C658) &amp; IF(M658="", "", " ("&amp;M658&amp;")") &amp; CHAR(10) &amp;
  _xlpm.vanillaPrefix &amp; "Keyword = Uvi_Wig_Distr_KYWD|" &amp; B658 &amp; CHAR(10) &amp;
  _xlpm.vanillaPrefix &amp; "Spell = " &amp; _xlpm.spell &amp; "|" &amp; B658
  )
)</f>
        <v>;Gunjar
;Keyword = Uvi_Wig_Distr_KYWD|MQ101CorpseSons01
;Spell = No Spell for Hairstyle|MQ101CorpseSons01</v>
      </c>
    </row>
    <row r="659" ht="12.75" customHeight="1">
      <c r="A659" s="5" t="s">
        <v>3119</v>
      </c>
      <c r="B659" s="5" t="s">
        <v>3120</v>
      </c>
      <c r="C659" s="5" t="s">
        <v>3121</v>
      </c>
      <c r="D659" s="5" t="s">
        <v>38</v>
      </c>
      <c r="E659" s="5" t="s">
        <v>233</v>
      </c>
      <c r="F659" s="5" t="s">
        <v>2030</v>
      </c>
      <c r="G659" s="14" t="str">
        <f t="array" ref="G659">IF(B659="", "",
  LET(_xlpm.spell, IFERROR(IF(F659="", "", INDEX(_xlws.FILTER(Hairstyles!$F:$F, ISNUMBER(SEARCH(F659, Hairstyles!$B:$B))), 1)), "No Spell for Hairstyle"),
  _xlpm.vanillaPrefix, IF(LEFT(_xlpm.spell, 7)="Uvi_Wig", "", ";"),
  ";" &amp; IF(C659="", B659, C659) &amp; IF(M659="", "", " ("&amp;M659&amp;")") &amp; CHAR(10) &amp;
  _xlpm.vanillaPrefix &amp; "Keyword = Uvi_Wig_Distr_KYWD|" &amp; B659 &amp; CHAR(10) &amp;
  _xlpm.vanillaPrefix &amp; "Spell = " &amp; _xlpm.spell &amp; "|" &amp; B659
  )
)</f>
        <v>;Gunmar
;Keyword = Uvi_Wig_Distr_KYWD|DLC1Gunmar
;Spell = No Spell for Hairstyle|DLC1Gunmar</v>
      </c>
    </row>
    <row r="660" ht="12.75" customHeight="1">
      <c r="A660" s="15" t="s">
        <v>3122</v>
      </c>
      <c r="B660" s="5" t="s">
        <v>3123</v>
      </c>
      <c r="C660" s="5" t="s">
        <v>3124</v>
      </c>
      <c r="D660" s="5" t="s">
        <v>51</v>
      </c>
      <c r="E660" s="5" t="s">
        <v>233</v>
      </c>
      <c r="F660" s="4" t="s">
        <v>1741</v>
      </c>
      <c r="G660" s="14" t="str">
        <f t="array" ref="G660">IF(B660="", "",
  LET(_xlpm.spell, IFERROR(IF(F660="", "", INDEX(_xlws.FILTER(Hairstyles!$F:$F, ISNUMBER(SEARCH(F660, Hairstyles!$B:$B))), 1)), "No Spell for Hairstyle"),
  _xlpm.vanillaPrefix, IF(LEFT(_xlpm.spell, 7)="Uvi_Wig", "", ";"),
  ";" &amp; IF(C660="", B660, C660) &amp; IF(M660="", "", " ("&amp;M660&amp;")") &amp; CHAR(10) &amp;
  _xlpm.vanillaPrefix &amp; "Keyword = Uvi_Wig_Distr_KYWD|" &amp; B660 &amp; CHAR(10) &amp;
  _xlpm.vanillaPrefix &amp; "Spell = " &amp; _xlpm.spell &amp; "|" &amp; B660
  )
)</f>
        <v>;Gunnar Stone-Eye
;Keyword = Uvi_Wig_Distr_KYWD|GunnarStoneEye
;Spell = No Spell for Hairstyle|GunnarStoneEye</v>
      </c>
    </row>
    <row r="661" ht="12.75" customHeight="1">
      <c r="A661" s="15" t="s">
        <v>3125</v>
      </c>
      <c r="B661" s="5" t="s">
        <v>3126</v>
      </c>
      <c r="C661" s="5" t="s">
        <v>3126</v>
      </c>
      <c r="D661" s="5" t="s">
        <v>38</v>
      </c>
      <c r="E661" s="5" t="s">
        <v>233</v>
      </c>
      <c r="F661" s="5" t="s">
        <v>990</v>
      </c>
      <c r="G661" s="14" t="str">
        <f t="array" ref="G661">IF(B661="", "",
  LET(_xlpm.spell, IFERROR(IF(F661="", "", INDEX(_xlws.FILTER(Hairstyles!$F:$F, ISNUMBER(SEARCH(F661, Hairstyles!$B:$B))), 1)), "No Spell for Hairstyle"),
  _xlpm.vanillaPrefix, IF(LEFT(_xlpm.spell, 7)="Uvi_Wig", "", ";"),
  ";" &amp; IF(C661="", B661, C661) &amp; IF(M661="", "", " ("&amp;M661&amp;")") &amp; CHAR(10) &amp;
  _xlpm.vanillaPrefix &amp; "Keyword = Uvi_Wig_Distr_KYWD|" &amp; B661 &amp; CHAR(10) &amp;
  _xlpm.vanillaPrefix &amp; "Spell = " &amp; _xlpm.spell &amp; "|" &amp; B661
  )
)</f>
        <v>;Guthrum
;Keyword = Uvi_Wig_Distr_KYWD|Guthrum
;Spell = No Spell for Hairstyle|Guthrum</v>
      </c>
    </row>
    <row r="662" ht="12.75" customHeight="1">
      <c r="A662" s="5" t="s">
        <v>3127</v>
      </c>
      <c r="B662" s="5" t="s">
        <v>3128</v>
      </c>
      <c r="C662" s="5" t="s">
        <v>3128</v>
      </c>
      <c r="D662" s="5" t="s">
        <v>38</v>
      </c>
      <c r="E662" s="5" t="s">
        <v>41</v>
      </c>
      <c r="F662" s="5" t="s">
        <v>69</v>
      </c>
      <c r="G662" s="14" t="str">
        <f t="array" ref="G662">IF(B662="", "",
  LET(_xlpm.spell, IFERROR(IF(F662="", "", INDEX(_xlws.FILTER(Hairstyles!$F:$F, ISNUMBER(SEARCH(F662, Hairstyles!$B:$B))), 1)), "No Spell for Hairstyle"),
  _xlpm.vanillaPrefix, IF(LEFT(_xlpm.spell, 7)="Uvi_Wig", "", ";"),
  ";" &amp; IF(C662="", B662, C662) &amp; IF(M662="", "", " ("&amp;M662&amp;")") &amp; CHAR(10) &amp;
  _xlpm.vanillaPrefix &amp; "Keyword = Uvi_Wig_Distr_KYWD|" &amp; B662 &amp; CHAR(10) &amp;
  _xlpm.vanillaPrefix &amp; "Spell = " &amp; _xlpm.spell &amp; "|" &amp; B662
  )
)</f>
        <v>;Gwendolyn
;Keyword = Uvi_Wig_Distr_KYWD|Gwendolyn
;Spell = No Spell for Hairstyle|Gwendolyn</v>
      </c>
    </row>
    <row r="663" ht="12.75" customHeight="1">
      <c r="A663" s="5" t="s">
        <v>3129</v>
      </c>
      <c r="B663" s="5" t="s">
        <v>3130</v>
      </c>
      <c r="C663" s="5" t="s">
        <v>3130</v>
      </c>
      <c r="D663" s="5" t="s">
        <v>90</v>
      </c>
      <c r="E663" s="5" t="s">
        <v>233</v>
      </c>
      <c r="F663" s="5" t="s">
        <v>525</v>
      </c>
      <c r="G663" s="14" t="str">
        <f t="array" ref="G663">IF(B663="", "",
  LET(_xlpm.spell, IFERROR(IF(F663="", "", INDEX(_xlws.FILTER(Hairstyles!$F:$F, ISNUMBER(SEARCH(F663, Hairstyles!$B:$B))), 1)), "No Spell for Hairstyle"),
  _xlpm.vanillaPrefix, IF(LEFT(_xlpm.spell, 7)="Uvi_Wig", "", ";"),
  ";" &amp; IF(C663="", B663, C663) &amp; IF(M663="", "", " ("&amp;M663&amp;")") &amp; CHAR(10) &amp;
  _xlpm.vanillaPrefix &amp; "Keyword = Uvi_Wig_Distr_KYWD|" &amp; B663 &amp; CHAR(10) &amp;
  _xlpm.vanillaPrefix &amp; "Spell = " &amp; _xlpm.spell &amp; "|" &amp; B663
  )
)</f>
        <v>;Gwilin
;Keyword = Uvi_Wig_Distr_KYWD|Gwilin
;Spell = No Spell for Hairstyle|Gwilin</v>
      </c>
    </row>
    <row r="664" ht="12.75" customHeight="1">
      <c r="A664" s="15" t="s">
        <v>3131</v>
      </c>
      <c r="B664" s="5" t="s">
        <v>3132</v>
      </c>
      <c r="C664" s="5" t="s">
        <v>3132</v>
      </c>
      <c r="D664" s="5" t="s">
        <v>38</v>
      </c>
      <c r="E664" s="5" t="s">
        <v>233</v>
      </c>
      <c r="F664" s="5" t="s">
        <v>224</v>
      </c>
      <c r="G664" s="14" t="str">
        <f t="array" ref="G664">IF(B664="", "",
  LET(_xlpm.spell, IFERROR(IF(F664="", "", INDEX(_xlws.FILTER(Hairstyles!$F:$F, ISNUMBER(SEARCH(F664, Hairstyles!$B:$B))), 1)), "No Spell for Hairstyle"),
  _xlpm.vanillaPrefix, IF(LEFT(_xlpm.spell, 7)="Uvi_Wig", "", ";"),
  ";" &amp; IF(C664="", B664, C664) &amp; IF(M664="", "", " ("&amp;M664&amp;")") &amp; CHAR(10) &amp;
  _xlpm.vanillaPrefix &amp; "Keyword = Uvi_Wig_Distr_KYWD|" &amp; B664 &amp; CHAR(10) &amp;
  _xlpm.vanillaPrefix &amp; "Spell = " &amp; _xlpm.spell &amp; "|" &amp; B664
  )
)</f>
        <v>;Hadring
;Keyword = Uvi_Wig_Distr_KYWD|Hadring
;Spell = No Spell for Hairstyle|Hadring</v>
      </c>
    </row>
    <row r="665" ht="12.75" customHeight="1">
      <c r="A665" s="5" t="s">
        <v>3133</v>
      </c>
      <c r="B665" s="5" t="s">
        <v>3134</v>
      </c>
      <c r="C665" s="5" t="s">
        <v>3134</v>
      </c>
      <c r="D665" s="5" t="s">
        <v>38</v>
      </c>
      <c r="E665" s="5" t="s">
        <v>233</v>
      </c>
      <c r="F665" s="5" t="s">
        <v>521</v>
      </c>
      <c r="G665" s="14" t="str">
        <f t="array" ref="G665">IF(B665="", "",
  LET(_xlpm.spell, IFERROR(IF(F665="", "", INDEX(_xlws.FILTER(Hairstyles!$F:$F, ISNUMBER(SEARCH(F665, Hairstyles!$B:$B))), 1)), "No Spell for Hairstyle"),
  _xlpm.vanillaPrefix, IF(LEFT(_xlpm.spell, 7)="Uvi_Wig", "", ";"),
  ";" &amp; IF(C665="", B665, C665) &amp; IF(M665="", "", " ("&amp;M665&amp;")") &amp; CHAR(10) &amp;
  _xlpm.vanillaPrefix &amp; "Keyword = Uvi_Wig_Distr_KYWD|" &amp; B665 &amp; CHAR(10) &amp;
  _xlpm.vanillaPrefix &amp; "Spell = " &amp; _xlpm.spell &amp; "|" &amp; B665
  )
)</f>
        <v>;Hadvar
;Keyword = Uvi_Wig_Distr_KYWD|Hadvar
;Spell = No Spell for Hairstyle|Hadvar</v>
      </c>
    </row>
    <row r="666" ht="12.75" customHeight="1">
      <c r="A666" s="5" t="s">
        <v>3135</v>
      </c>
      <c r="B666" s="5" t="s">
        <v>3136</v>
      </c>
      <c r="C666" s="5" t="s">
        <v>3136</v>
      </c>
      <c r="D666" s="5" t="s">
        <v>38</v>
      </c>
      <c r="E666" s="5" t="s">
        <v>41</v>
      </c>
      <c r="F666" s="5" t="s">
        <v>270</v>
      </c>
      <c r="G666" s="14" t="str">
        <f t="array" ref="G666">IF(B666="", "",
  LET(_xlpm.spell, IFERROR(IF(F666="", "", INDEX(_xlws.FILTER(Hairstyles!$F:$F, ISNUMBER(SEARCH(F666, Hairstyles!$B:$B))), 1)), "No Spell for Hairstyle"),
  _xlpm.vanillaPrefix, IF(LEFT(_xlpm.spell, 7)="Uvi_Wig", "", ";"),
  ";" &amp; IF(C666="", B666, C666) &amp; IF(M666="", "", " ("&amp;M666&amp;")") &amp; CHAR(10) &amp;
  _xlpm.vanillaPrefix &amp; "Keyword = Uvi_Wig_Distr_KYWD|" &amp; B666 &amp; CHAR(10) &amp;
  _xlpm.vanillaPrefix &amp; "Spell = " &amp; _xlpm.spell &amp; "|" &amp; B666
  )
)</f>
        <v>;Haelga
;Keyword = Uvi_Wig_Distr_KYWD|Haelga
;Spell = No Spell for Hairstyle|Haelga</v>
      </c>
    </row>
    <row r="667" ht="12.75" customHeight="1">
      <c r="A667" s="15" t="s">
        <v>3137</v>
      </c>
      <c r="B667" s="5" t="s">
        <v>3138</v>
      </c>
      <c r="C667" s="5" t="s">
        <v>3138</v>
      </c>
      <c r="D667" s="5" t="s">
        <v>51</v>
      </c>
      <c r="E667" s="5" t="s">
        <v>41</v>
      </c>
      <c r="F667" s="5" t="s">
        <v>1822</v>
      </c>
      <c r="G667" s="14" t="str">
        <f t="array" ref="G667">IF(B667="", "",
  LET(_xlpm.spell, IFERROR(IF(F667="", "", INDEX(_xlws.FILTER(Hairstyles!$F:$F, ISNUMBER(SEARCH(F667, Hairstyles!$B:$B))), 1)), "No Spell for Hairstyle"),
  _xlpm.vanillaPrefix, IF(LEFT(_xlpm.spell, 7)="Uvi_Wig", "", ";"),
  ";" &amp; IF(C667="", B667, C667) &amp; IF(M667="", "", " ("&amp;M667&amp;")") &amp; CHAR(10) &amp;
  _xlpm.vanillaPrefix &amp; "Keyword = Uvi_Wig_Distr_KYWD|" &amp; B667 &amp; CHAR(10) &amp;
  _xlpm.vanillaPrefix &amp; "Spell = " &amp; _xlpm.spell &amp; "|" &amp; B667
  )
)</f>
        <v>;Hafjorg
;Keyword = Uvi_Wig_Distr_KYWD|Hafjorg
;Spell = No Spell for Hairstyle|Hafjorg</v>
      </c>
    </row>
    <row r="668" ht="12.75" customHeight="1">
      <c r="A668" s="5" t="s">
        <v>3139</v>
      </c>
      <c r="B668" s="5" t="s">
        <v>3140</v>
      </c>
      <c r="C668" s="5" t="s">
        <v>3141</v>
      </c>
      <c r="D668" s="5" t="s">
        <v>38</v>
      </c>
      <c r="E668" s="5" t="s">
        <v>233</v>
      </c>
      <c r="F668" s="5" t="s">
        <v>40</v>
      </c>
      <c r="G668" s="14" t="str">
        <f t="array" ref="G668">IF(B668="", "",
  LET(_xlpm.spell, IFERROR(IF(F668="", "", INDEX(_xlws.FILTER(Hairstyles!$F:$F, ISNUMBER(SEARCH(F668, Hairstyles!$B:$B))), 1)), "No Spell for Hairstyle"),
  _xlpm.vanillaPrefix, IF(LEFT(_xlpm.spell, 7)="Uvi_Wig", "", ";"),
  ";" &amp; IF(C668="", B668, C668) &amp; IF(M668="", "", " ("&amp;M668&amp;")") &amp; CHAR(10) &amp;
  _xlpm.vanillaPrefix &amp; "Keyword = Uvi_Wig_Distr_KYWD|" &amp; B668 &amp; CHAR(10) &amp;
  _xlpm.vanillaPrefix &amp; "Spell = " &amp; _xlpm.spell &amp; "|" &amp; B668
  )
)</f>
        <v>;Hafnar Ice-Fist
;Keyword = Uvi_Wig_Distr_KYWD|MG07HafnarGhost
;Spell = No Spell for Hairstyle|MG07HafnarGhost</v>
      </c>
    </row>
    <row r="669" ht="12.75" customHeight="1">
      <c r="A669" s="5" t="s">
        <v>3142</v>
      </c>
      <c r="B669" s="5" t="s">
        <v>3143</v>
      </c>
      <c r="C669" s="5" t="s">
        <v>3144</v>
      </c>
      <c r="D669" s="5" t="s">
        <v>45</v>
      </c>
      <c r="E669" s="5" t="s">
        <v>233</v>
      </c>
      <c r="F669" s="5" t="s">
        <v>47</v>
      </c>
      <c r="G669" s="14" t="str">
        <f t="array" ref="G669">IF(B669="", "",
  LET(_xlpm.spell, IFERROR(IF(F669="", "", INDEX(_xlws.FILTER(Hairstyles!$F:$F, ISNUMBER(SEARCH(F669, Hairstyles!$B:$B))), 1)), "No Spell for Hairstyle"),
  _xlpm.vanillaPrefix, IF(LEFT(_xlpm.spell, 7)="Uvi_Wig", "", ";"),
  ";" &amp; IF(C669="", B669, C669) &amp; IF(M669="", "", " ("&amp;M669&amp;")") &amp; CHAR(10) &amp;
  _xlpm.vanillaPrefix &amp; "Keyword = Uvi_Wig_Distr_KYWD|" &amp; B669 &amp; CHAR(10) &amp;
  _xlpm.vanillaPrefix &amp; "Spell = " &amp; _xlpm.spell &amp; "|" &amp; B669
  )
)</f>
        <v>;Hag
;Keyword = Uvi_Wig_Distr_KYWD|EncWitch02TemplateFire
;Spell = No Spell for Hairstyle|EncWitch02TemplateFire</v>
      </c>
    </row>
    <row r="670" ht="12.75" customHeight="1">
      <c r="A670" s="5" t="s">
        <v>3145</v>
      </c>
      <c r="B670" s="5" t="s">
        <v>3146</v>
      </c>
      <c r="C670" s="5" t="s">
        <v>3144</v>
      </c>
      <c r="D670" s="5" t="s">
        <v>38</v>
      </c>
      <c r="E670" s="5" t="s">
        <v>233</v>
      </c>
      <c r="F670" s="5" t="s">
        <v>1622</v>
      </c>
      <c r="G670" s="14" t="str">
        <f t="array" ref="G670">IF(B670="", "",
  LET(_xlpm.spell, IFERROR(IF(F670="", "", INDEX(_xlws.FILTER(Hairstyles!$F:$F, ISNUMBER(SEARCH(F670, Hairstyles!$B:$B))), 1)), "No Spell for Hairstyle"),
  _xlpm.vanillaPrefix, IF(LEFT(_xlpm.spell, 7)="Uvi_Wig", "", ";"),
  ";" &amp; IF(C670="", B670, C670) &amp; IF(M670="", "", " ("&amp;M670&amp;")") &amp; CHAR(10) &amp;
  _xlpm.vanillaPrefix &amp; "Keyword = Uvi_Wig_Distr_KYWD|" &amp; B670 &amp; CHAR(10) &amp;
  _xlpm.vanillaPrefix &amp; "Spell = " &amp; _xlpm.spell &amp; "|" &amp; B670
  )
)</f>
        <v>;Hag
;Keyword = Uvi_Wig_Distr_KYWD|EncWitch02TemplateIce
;Spell = No Spell for Hairstyle|EncWitch02TemplateIce</v>
      </c>
    </row>
    <row r="671" ht="12.75" customHeight="1">
      <c r="A671" s="5" t="s">
        <v>3147</v>
      </c>
      <c r="B671" s="5" t="s">
        <v>3148</v>
      </c>
      <c r="C671" s="5" t="s">
        <v>3144</v>
      </c>
      <c r="D671" s="5" t="s">
        <v>57</v>
      </c>
      <c r="E671" s="5" t="s">
        <v>233</v>
      </c>
      <c r="F671" s="5" t="s">
        <v>91</v>
      </c>
      <c r="G671" s="14" t="str">
        <f t="array" ref="G671">IF(B671="", "",
  LET(_xlpm.spell, IFERROR(IF(F671="", "", INDEX(_xlws.FILTER(Hairstyles!$F:$F, ISNUMBER(SEARCH(F671, Hairstyles!$B:$B))), 1)), "No Spell for Hairstyle"),
  _xlpm.vanillaPrefix, IF(LEFT(_xlpm.spell, 7)="Uvi_Wig", "", ";"),
  ";" &amp; IF(C671="", B671, C671) &amp; IF(M671="", "", " ("&amp;M671&amp;")") &amp; CHAR(10) &amp;
  _xlpm.vanillaPrefix &amp; "Keyword = Uvi_Wig_Distr_KYWD|" &amp; B671 &amp; CHAR(10) &amp;
  _xlpm.vanillaPrefix &amp; "Spell = " &amp; _xlpm.spell &amp; "|" &amp; B671
  )
)</f>
        <v>;Hag
;Keyword = Uvi_Wig_Distr_KYWD|EncWitch02TemplateStorm
;Spell = No Spell for Hairstyle|EncWitch02TemplateStorm</v>
      </c>
    </row>
    <row r="672" ht="12.75" customHeight="1">
      <c r="A672" s="5" t="s">
        <v>3149</v>
      </c>
      <c r="B672" s="5" t="s">
        <v>3150</v>
      </c>
      <c r="C672" s="5" t="s">
        <v>3151</v>
      </c>
      <c r="D672" s="5" t="s">
        <v>38</v>
      </c>
      <c r="E672" s="5" t="s">
        <v>233</v>
      </c>
      <c r="F672" s="5" t="s">
        <v>990</v>
      </c>
      <c r="G672" s="14" t="str">
        <f t="array" ref="G672">IF(B672="", "",
  LET(_xlpm.spell, IFERROR(IF(F672="", "", INDEX(_xlws.FILTER(Hairstyles!$F:$F, ISNUMBER(SEARCH(F672, Hairstyles!$B:$B))), 1)), "No Spell for Hairstyle"),
  _xlpm.vanillaPrefix, IF(LEFT(_xlpm.spell, 7)="Uvi_Wig", "", ";"),
  ";" &amp; IF(C672="", B672, C672) &amp; IF(M672="", "", " ("&amp;M672&amp;")") &amp; CHAR(10) &amp;
  _xlpm.vanillaPrefix &amp; "Keyword = Uvi_Wig_Distr_KYWD|" &amp; B672 &amp; CHAR(10) &amp;
  _xlpm.vanillaPrefix &amp; "Spell = " &amp; _xlpm.spell &amp; "|" &amp; B672
  )
)</f>
        <v>;Haknir Death-Brand
;Keyword = Uvi_Wig_Distr_KYWD|DLC2dunHaknir
;Spell = No Spell for Hairstyle|DLC2dunHaknir</v>
      </c>
    </row>
    <row r="673" ht="12.75" customHeight="1">
      <c r="A673" s="5" t="s">
        <v>3152</v>
      </c>
      <c r="B673" s="5" t="s">
        <v>3153</v>
      </c>
      <c r="C673" s="5" t="s">
        <v>3154</v>
      </c>
      <c r="D673" s="5" t="s">
        <v>38</v>
      </c>
      <c r="E673" s="5" t="s">
        <v>41</v>
      </c>
      <c r="F673" s="5" t="s">
        <v>44</v>
      </c>
      <c r="G673" s="14" t="str">
        <f t="array" ref="G673">IF(B673="", "",
  LET(_xlpm.spell, IFERROR(IF(F673="", "", INDEX(_xlws.FILTER(Hairstyles!$F:$F, ISNUMBER(SEARCH(F673, Hairstyles!$B:$B))), 1)), "No Spell for Hairstyle"),
  _xlpm.vanillaPrefix, IF(LEFT(_xlpm.spell, 7)="Uvi_Wig", "", ";"),
  ";" &amp; IF(C673="", B673, C673) &amp; IF(M673="", "", " ("&amp;M673&amp;")") &amp; CHAR(10) &amp;
  _xlpm.vanillaPrefix &amp; "Keyword = Uvi_Wig_Distr_KYWD|" &amp; B673 &amp; CHAR(10) &amp;
  _xlpm.vanillaPrefix &amp; "Spell = " &amp; _xlpm.spell &amp; "|" &amp; B673
  )
)</f>
        <v>;Haknir's Crew
;Keyword = Uvi_Wig_Distr_KYWD|DLC2dunHaknir_LvlBanditGhostMelee1HFemale
;Spell = No Spell for Hairstyle|DLC2dunHaknir_LvlBanditGhostMelee1HFemale</v>
      </c>
    </row>
    <row r="674" ht="12.75" customHeight="1">
      <c r="A674" s="15" t="s">
        <v>3155</v>
      </c>
      <c r="B674" s="5" t="s">
        <v>3156</v>
      </c>
      <c r="C674" s="5" t="s">
        <v>3154</v>
      </c>
      <c r="D674" s="5" t="s">
        <v>38</v>
      </c>
      <c r="E674" s="5" t="s">
        <v>41</v>
      </c>
      <c r="F674" s="5" t="s">
        <v>44</v>
      </c>
      <c r="G674" s="14" t="str">
        <f t="array" ref="G674">IF(B674="", "",
  LET(_xlpm.spell, IFERROR(IF(F674="", "", INDEX(_xlws.FILTER(Hairstyles!$F:$F, ISNUMBER(SEARCH(F674, Hairstyles!$B:$B))), 1)), "No Spell for Hairstyle"),
  _xlpm.vanillaPrefix, IF(LEFT(_xlpm.spell, 7)="Uvi_Wig", "", ";"),
  ";" &amp; IF(C674="", B674, C674) &amp; IF(M674="", "", " ("&amp;M674&amp;")") &amp; CHAR(10) &amp;
  _xlpm.vanillaPrefix &amp; "Keyword = Uvi_Wig_Distr_KYWD|" &amp; B674 &amp; CHAR(10) &amp;
  _xlpm.vanillaPrefix &amp; "Spell = " &amp; _xlpm.spell &amp; "|" &amp; B674
  )
)</f>
        <v>;Haknir's Crew
;Keyword = Uvi_Wig_Distr_KYWD|DLC2dunHaknir_LvlBanditGhostMelee1HFemale_Weak
;Spell = No Spell for Hairstyle|DLC2dunHaknir_LvlBanditGhostMelee1HFemale_Weak</v>
      </c>
    </row>
    <row r="675" ht="12.75" customHeight="1">
      <c r="A675" s="5" t="s">
        <v>3157</v>
      </c>
      <c r="B675" s="5" t="s">
        <v>3158</v>
      </c>
      <c r="C675" s="5" t="s">
        <v>3154</v>
      </c>
      <c r="D675" s="5" t="s">
        <v>38</v>
      </c>
      <c r="E675" s="5" t="s">
        <v>233</v>
      </c>
      <c r="F675" s="5" t="s">
        <v>1622</v>
      </c>
      <c r="G675" s="14" t="str">
        <f t="array" ref="G675">IF(B675="", "",
  LET(_xlpm.spell, IFERROR(IF(F675="", "", INDEX(_xlws.FILTER(Hairstyles!$F:$F, ISNUMBER(SEARCH(F675, Hairstyles!$B:$B))), 1)), "No Spell for Hairstyle"),
  _xlpm.vanillaPrefix, IF(LEFT(_xlpm.spell, 7)="Uvi_Wig", "", ";"),
  ";" &amp; IF(C675="", B675, C675) &amp; IF(M675="", "", " ("&amp;M675&amp;")") &amp; CHAR(10) &amp;
  _xlpm.vanillaPrefix &amp; "Keyword = Uvi_Wig_Distr_KYWD|" &amp; B675 &amp; CHAR(10) &amp;
  _xlpm.vanillaPrefix &amp; "Spell = " &amp; _xlpm.spell &amp; "|" &amp; B675
  )
)</f>
        <v>;Haknir's Crew
;Keyword = Uvi_Wig_Distr_KYWD|DLC2dunHaknir_LvlBanditGhostMelee1HMale
;Spell = No Spell for Hairstyle|DLC2dunHaknir_LvlBanditGhostMelee1HMale</v>
      </c>
    </row>
    <row r="676" ht="12.75" customHeight="1">
      <c r="A676" s="15" t="s">
        <v>3159</v>
      </c>
      <c r="B676" s="5" t="s">
        <v>3160</v>
      </c>
      <c r="C676" s="5" t="s">
        <v>3154</v>
      </c>
      <c r="D676" s="5" t="s">
        <v>38</v>
      </c>
      <c r="E676" s="5" t="s">
        <v>233</v>
      </c>
      <c r="F676" s="5" t="s">
        <v>1622</v>
      </c>
      <c r="G676" s="14" t="str">
        <f t="array" ref="G676">IF(B676="", "",
  LET(_xlpm.spell, IFERROR(IF(F676="", "", INDEX(_xlws.FILTER(Hairstyles!$F:$F, ISNUMBER(SEARCH(F676, Hairstyles!$B:$B))), 1)), "No Spell for Hairstyle"),
  _xlpm.vanillaPrefix, IF(LEFT(_xlpm.spell, 7)="Uvi_Wig", "", ";"),
  ";" &amp; IF(C676="", B676, C676) &amp; IF(M676="", "", " ("&amp;M676&amp;")") &amp; CHAR(10) &amp;
  _xlpm.vanillaPrefix &amp; "Keyword = Uvi_Wig_Distr_KYWD|" &amp; B676 &amp; CHAR(10) &amp;
  _xlpm.vanillaPrefix &amp; "Spell = " &amp; _xlpm.spell &amp; "|" &amp; B676
  )
)</f>
        <v>;Haknir's Crew
;Keyword = Uvi_Wig_Distr_KYWD|DLC2dunHaknir_LvlBanditGhostMelee1HMale_Weak
;Spell = No Spell for Hairstyle|DLC2dunHaknir_LvlBanditGhostMelee1HMale_Weak</v>
      </c>
    </row>
    <row r="677" ht="12.75" customHeight="1">
      <c r="A677" s="5" t="s">
        <v>3161</v>
      </c>
      <c r="B677" s="5" t="s">
        <v>3162</v>
      </c>
      <c r="C677" s="5" t="s">
        <v>3154</v>
      </c>
      <c r="D677" s="5" t="s">
        <v>38</v>
      </c>
      <c r="E677" s="5" t="s">
        <v>41</v>
      </c>
      <c r="F677" s="5" t="s">
        <v>1041</v>
      </c>
      <c r="G677" s="14" t="str">
        <f t="array" ref="G677">IF(B677="", "",
  LET(_xlpm.spell, IFERROR(IF(F677="", "", INDEX(_xlws.FILTER(Hairstyles!$F:$F, ISNUMBER(SEARCH(F677, Hairstyles!$B:$B))), 1)), "No Spell for Hairstyle"),
  _xlpm.vanillaPrefix, IF(LEFT(_xlpm.spell, 7)="Uvi_Wig", "", ";"),
  ";" &amp; IF(C677="", B677, C677) &amp; IF(M677="", "", " ("&amp;M677&amp;")") &amp; CHAR(10) &amp;
  _xlpm.vanillaPrefix &amp; "Keyword = Uvi_Wig_Distr_KYWD|" &amp; B677 &amp; CHAR(10) &amp;
  _xlpm.vanillaPrefix &amp; "Spell = " &amp; _xlpm.spell &amp; "|" &amp; B677
  )
)</f>
        <v>;Haknir's Crew
;Keyword = Uvi_Wig_Distr_KYWD|DLC2dunHaknir_LvlBanditGhostMelee2HFemale
;Spell = No Spell for Hairstyle|DLC2dunHaknir_LvlBanditGhostMelee2HFemale</v>
      </c>
    </row>
    <row r="678" ht="12.75" customHeight="1">
      <c r="A678" s="15" t="s">
        <v>3163</v>
      </c>
      <c r="B678" s="5" t="s">
        <v>3164</v>
      </c>
      <c r="C678" s="5" t="s">
        <v>3154</v>
      </c>
      <c r="D678" s="5" t="s">
        <v>38</v>
      </c>
      <c r="E678" s="5" t="s">
        <v>41</v>
      </c>
      <c r="F678" s="5" t="s">
        <v>1041</v>
      </c>
      <c r="G678" s="14" t="str">
        <f t="array" ref="G678">IF(B678="", "",
  LET(_xlpm.spell, IFERROR(IF(F678="", "", INDEX(_xlws.FILTER(Hairstyles!$F:$F, ISNUMBER(SEARCH(F678, Hairstyles!$B:$B))), 1)), "No Spell for Hairstyle"),
  _xlpm.vanillaPrefix, IF(LEFT(_xlpm.spell, 7)="Uvi_Wig", "", ";"),
  ";" &amp; IF(C678="", B678, C678) &amp; IF(M678="", "", " ("&amp;M678&amp;")") &amp; CHAR(10) &amp;
  _xlpm.vanillaPrefix &amp; "Keyword = Uvi_Wig_Distr_KYWD|" &amp; B678 &amp; CHAR(10) &amp;
  _xlpm.vanillaPrefix &amp; "Spell = " &amp; _xlpm.spell &amp; "|" &amp; B678
  )
)</f>
        <v>;Haknir's Crew
;Keyword = Uvi_Wig_Distr_KYWD|DLC2dunHaknir_LvlBanditGhostMelee2HFemale_Weak
;Spell = No Spell for Hairstyle|DLC2dunHaknir_LvlBanditGhostMelee2HFemale_Weak</v>
      </c>
    </row>
    <row r="679" ht="12.75" customHeight="1">
      <c r="A679" s="5" t="s">
        <v>3165</v>
      </c>
      <c r="B679" s="5" t="s">
        <v>3166</v>
      </c>
      <c r="C679" s="5" t="s">
        <v>3154</v>
      </c>
      <c r="D679" s="5" t="s">
        <v>38</v>
      </c>
      <c r="E679" s="5" t="s">
        <v>233</v>
      </c>
      <c r="F679" s="5" t="s">
        <v>1906</v>
      </c>
      <c r="G679" s="14" t="str">
        <f t="array" ref="G679">IF(B679="", "",
  LET(_xlpm.spell, IFERROR(IF(F679="", "", INDEX(_xlws.FILTER(Hairstyles!$F:$F, ISNUMBER(SEARCH(F679, Hairstyles!$B:$B))), 1)), "No Spell for Hairstyle"),
  _xlpm.vanillaPrefix, IF(LEFT(_xlpm.spell, 7)="Uvi_Wig", "", ";"),
  ";" &amp; IF(C679="", B679, C679) &amp; IF(M679="", "", " ("&amp;M679&amp;")") &amp; CHAR(10) &amp;
  _xlpm.vanillaPrefix &amp; "Keyword = Uvi_Wig_Distr_KYWD|" &amp; B679 &amp; CHAR(10) &amp;
  _xlpm.vanillaPrefix &amp; "Spell = " &amp; _xlpm.spell &amp; "|" &amp; B679
  )
)</f>
        <v>;Haknir's Crew
;Keyword = Uvi_Wig_Distr_KYWD|DLC2dunHaknir_LvlBanditGhostMelee2HMale
;Spell = No Spell for Hairstyle|DLC2dunHaknir_LvlBanditGhostMelee2HMale</v>
      </c>
    </row>
    <row r="680" ht="12.75" customHeight="1">
      <c r="A680" s="15" t="s">
        <v>3167</v>
      </c>
      <c r="B680" s="5" t="s">
        <v>3168</v>
      </c>
      <c r="C680" s="5" t="s">
        <v>3154</v>
      </c>
      <c r="D680" s="5" t="s">
        <v>38</v>
      </c>
      <c r="E680" s="5" t="s">
        <v>233</v>
      </c>
      <c r="F680" s="5" t="s">
        <v>1906</v>
      </c>
      <c r="G680" s="14" t="str">
        <f t="array" ref="G680">IF(B680="", "",
  LET(_xlpm.spell, IFERROR(IF(F680="", "", INDEX(_xlws.FILTER(Hairstyles!$F:$F, ISNUMBER(SEARCH(F680, Hairstyles!$B:$B))), 1)), "No Spell for Hairstyle"),
  _xlpm.vanillaPrefix, IF(LEFT(_xlpm.spell, 7)="Uvi_Wig", "", ";"),
  ";" &amp; IF(C680="", B680, C680) &amp; IF(M680="", "", " ("&amp;M680&amp;")") &amp; CHAR(10) &amp;
  _xlpm.vanillaPrefix &amp; "Keyword = Uvi_Wig_Distr_KYWD|" &amp; B680 &amp; CHAR(10) &amp;
  _xlpm.vanillaPrefix &amp; "Spell = " &amp; _xlpm.spell &amp; "|" &amp; B680
  )
)</f>
        <v>;Haknir's Crew
;Keyword = Uvi_Wig_Distr_KYWD|DLC2dunHaknir_LvlBanditGhostMelee2HMale_Weak
;Spell = No Spell for Hairstyle|DLC2dunHaknir_LvlBanditGhostMelee2HMale_Weak</v>
      </c>
    </row>
    <row r="681" ht="12.75" customHeight="1">
      <c r="A681" s="5" t="s">
        <v>3169</v>
      </c>
      <c r="B681" s="5" t="s">
        <v>3170</v>
      </c>
      <c r="C681" s="5" t="s">
        <v>3154</v>
      </c>
      <c r="D681" s="5" t="s">
        <v>38</v>
      </c>
      <c r="E681" s="5" t="s">
        <v>41</v>
      </c>
      <c r="F681" s="5" t="s">
        <v>371</v>
      </c>
      <c r="G681" s="14" t="str">
        <f t="array" ref="G681">IF(B681="", "",
  LET(_xlpm.spell, IFERROR(IF(F681="", "", INDEX(_xlws.FILTER(Hairstyles!$F:$F, ISNUMBER(SEARCH(F681, Hairstyles!$B:$B))), 1)), "No Spell for Hairstyle"),
  _xlpm.vanillaPrefix, IF(LEFT(_xlpm.spell, 7)="Uvi_Wig", "", ";"),
  ";" &amp; IF(C681="", B681, C681) &amp; IF(M681="", "", " ("&amp;M681&amp;")") &amp; CHAR(10) &amp;
  _xlpm.vanillaPrefix &amp; "Keyword = Uvi_Wig_Distr_KYWD|" &amp; B681 &amp; CHAR(10) &amp;
  _xlpm.vanillaPrefix &amp; "Spell = " &amp; _xlpm.spell &amp; "|" &amp; B681
  )
)</f>
        <v>;Haknir's Crew
;Keyword = Uvi_Wig_Distr_KYWD|DLC2dunHaknir_LvlBanditGhostMeleeBerserkerFemale
;Spell = No Spell for Hairstyle|DLC2dunHaknir_LvlBanditGhostMeleeBerserkerFemale</v>
      </c>
    </row>
    <row r="682" ht="12.75" customHeight="1">
      <c r="A682" s="15" t="s">
        <v>3171</v>
      </c>
      <c r="B682" s="5" t="s">
        <v>3172</v>
      </c>
      <c r="C682" s="5" t="s">
        <v>3154</v>
      </c>
      <c r="D682" s="5" t="s">
        <v>38</v>
      </c>
      <c r="E682" s="5" t="s">
        <v>41</v>
      </c>
      <c r="F682" s="5" t="s">
        <v>371</v>
      </c>
      <c r="G682" s="14" t="str">
        <f t="array" ref="G682">IF(B682="", "",
  LET(_xlpm.spell, IFERROR(IF(F682="", "", INDEX(_xlws.FILTER(Hairstyles!$F:$F, ISNUMBER(SEARCH(F682, Hairstyles!$B:$B))), 1)), "No Spell for Hairstyle"),
  _xlpm.vanillaPrefix, IF(LEFT(_xlpm.spell, 7)="Uvi_Wig", "", ";"),
  ";" &amp; IF(C682="", B682, C682) &amp; IF(M682="", "", " ("&amp;M682&amp;")") &amp; CHAR(10) &amp;
  _xlpm.vanillaPrefix &amp; "Keyword = Uvi_Wig_Distr_KYWD|" &amp; B682 &amp; CHAR(10) &amp;
  _xlpm.vanillaPrefix &amp; "Spell = " &amp; _xlpm.spell &amp; "|" &amp; B682
  )
)</f>
        <v>;Haknir's Crew
;Keyword = Uvi_Wig_Distr_KYWD|DLC2dunHaknir_LvlBanditGhostMeleeBerserkerFemale_Weak
;Spell = No Spell for Hairstyle|DLC2dunHaknir_LvlBanditGhostMeleeBerserkerFemale_Weak</v>
      </c>
    </row>
    <row r="683" ht="12.75" customHeight="1">
      <c r="A683" s="5" t="s">
        <v>3173</v>
      </c>
      <c r="B683" s="5" t="s">
        <v>3174</v>
      </c>
      <c r="C683" s="5" t="s">
        <v>3154</v>
      </c>
      <c r="D683" s="5" t="s">
        <v>38</v>
      </c>
      <c r="E683" s="5" t="s">
        <v>233</v>
      </c>
      <c r="F683" s="5" t="s">
        <v>346</v>
      </c>
      <c r="G683" s="14" t="str">
        <f t="array" ref="G683">IF(B683="", "",
  LET(_xlpm.spell, IFERROR(IF(F683="", "", INDEX(_xlws.FILTER(Hairstyles!$F:$F, ISNUMBER(SEARCH(F683, Hairstyles!$B:$B))), 1)), "No Spell for Hairstyle"),
  _xlpm.vanillaPrefix, IF(LEFT(_xlpm.spell, 7)="Uvi_Wig", "", ";"),
  ";" &amp; IF(C683="", B683, C683) &amp; IF(M683="", "", " ("&amp;M683&amp;")") &amp; CHAR(10) &amp;
  _xlpm.vanillaPrefix &amp; "Keyword = Uvi_Wig_Distr_KYWD|" &amp; B683 &amp; CHAR(10) &amp;
  _xlpm.vanillaPrefix &amp; "Spell = " &amp; _xlpm.spell &amp; "|" &amp; B683
  )
)</f>
        <v>;Haknir's Crew
;Keyword = Uvi_Wig_Distr_KYWD|DLC2dunHaknir_LvlBanditGhostMeleeBerserkerMale
;Spell = No Spell for Hairstyle|DLC2dunHaknir_LvlBanditGhostMeleeBerserkerMale</v>
      </c>
    </row>
    <row r="684" ht="12.75" customHeight="1">
      <c r="A684" s="15" t="s">
        <v>3175</v>
      </c>
      <c r="B684" s="5" t="s">
        <v>3176</v>
      </c>
      <c r="C684" s="5" t="s">
        <v>3154</v>
      </c>
      <c r="D684" s="5" t="s">
        <v>38</v>
      </c>
      <c r="E684" s="5" t="s">
        <v>233</v>
      </c>
      <c r="F684" s="5" t="s">
        <v>346</v>
      </c>
      <c r="G684" s="14" t="str">
        <f t="array" ref="G684">IF(B684="", "",
  LET(_xlpm.spell, IFERROR(IF(F684="", "", INDEX(_xlws.FILTER(Hairstyles!$F:$F, ISNUMBER(SEARCH(F684, Hairstyles!$B:$B))), 1)), "No Spell for Hairstyle"),
  _xlpm.vanillaPrefix, IF(LEFT(_xlpm.spell, 7)="Uvi_Wig", "", ";"),
  ";" &amp; IF(C684="", B684, C684) &amp; IF(M684="", "", " ("&amp;M684&amp;")") &amp; CHAR(10) &amp;
  _xlpm.vanillaPrefix &amp; "Keyword = Uvi_Wig_Distr_KYWD|" &amp; B684 &amp; CHAR(10) &amp;
  _xlpm.vanillaPrefix &amp; "Spell = " &amp; _xlpm.spell &amp; "|" &amp; B684
  )
)</f>
        <v>;Haknir's Crew
;Keyword = Uvi_Wig_Distr_KYWD|DLC2dunHaknir_LvlBanditGhostMeleeBerserkerMale_Weak
;Spell = No Spell for Hairstyle|DLC2dunHaknir_LvlBanditGhostMeleeBerserkerMale_Weak</v>
      </c>
    </row>
    <row r="685" ht="12.75" customHeight="1">
      <c r="A685" s="5" t="s">
        <v>3177</v>
      </c>
      <c r="B685" s="5" t="s">
        <v>3178</v>
      </c>
      <c r="C685" s="5" t="s">
        <v>3154</v>
      </c>
      <c r="D685" s="5" t="s">
        <v>38</v>
      </c>
      <c r="E685" s="5" t="s">
        <v>41</v>
      </c>
      <c r="F685" s="5" t="s">
        <v>343</v>
      </c>
      <c r="G685" s="14" t="str">
        <f t="array" ref="G685">IF(B685="", "",
  LET(_xlpm.spell, IFERROR(IF(F685="", "", INDEX(_xlws.FILTER(Hairstyles!$F:$F, ISNUMBER(SEARCH(F685, Hairstyles!$B:$B))), 1)), "No Spell for Hairstyle"),
  _xlpm.vanillaPrefix, IF(LEFT(_xlpm.spell, 7)="Uvi_Wig", "", ";"),
  ";" &amp; IF(C685="", B685, C685) &amp; IF(M685="", "", " ("&amp;M685&amp;")") &amp; CHAR(10) &amp;
  _xlpm.vanillaPrefix &amp; "Keyword = Uvi_Wig_Distr_KYWD|" &amp; B685 &amp; CHAR(10) &amp;
  _xlpm.vanillaPrefix &amp; "Spell = " &amp; _xlpm.spell &amp; "|" &amp; B685
  )
)</f>
        <v>;Haknir's Crew
;Keyword = Uvi_Wig_Distr_KYWD|DLC2dunHaknir_LvlBanditGhostMeleeMissileFemale
;Spell = No Spell for Hairstyle|DLC2dunHaknir_LvlBanditGhostMeleeMissileFemale</v>
      </c>
    </row>
    <row r="686" ht="12.75" customHeight="1">
      <c r="A686" s="15" t="s">
        <v>3179</v>
      </c>
      <c r="B686" s="5" t="s">
        <v>3180</v>
      </c>
      <c r="C686" s="5" t="s">
        <v>3154</v>
      </c>
      <c r="D686" s="5" t="s">
        <v>38</v>
      </c>
      <c r="E686" s="5" t="s">
        <v>41</v>
      </c>
      <c r="F686" s="5" t="s">
        <v>343</v>
      </c>
      <c r="G686" s="14" t="str">
        <f t="array" ref="G686">IF(B686="", "",
  LET(_xlpm.spell, IFERROR(IF(F686="", "", INDEX(_xlws.FILTER(Hairstyles!$F:$F, ISNUMBER(SEARCH(F686, Hairstyles!$B:$B))), 1)), "No Spell for Hairstyle"),
  _xlpm.vanillaPrefix, IF(LEFT(_xlpm.spell, 7)="Uvi_Wig", "", ";"),
  ";" &amp; IF(C686="", B686, C686) &amp; IF(M686="", "", " ("&amp;M686&amp;")") &amp; CHAR(10) &amp;
  _xlpm.vanillaPrefix &amp; "Keyword = Uvi_Wig_Distr_KYWD|" &amp; B686 &amp; CHAR(10) &amp;
  _xlpm.vanillaPrefix &amp; "Spell = " &amp; _xlpm.spell &amp; "|" &amp; B686
  )
)</f>
        <v>;Haknir's Crew
;Keyword = Uvi_Wig_Distr_KYWD|DLC2dunHaknir_LvlBanditGhostMeleeMissileFemale_Weak
;Spell = No Spell for Hairstyle|DLC2dunHaknir_LvlBanditGhostMeleeMissileFemale_Weak</v>
      </c>
    </row>
    <row r="687" ht="12.75" customHeight="1">
      <c r="A687" s="5" t="s">
        <v>3181</v>
      </c>
      <c r="B687" s="5" t="s">
        <v>3182</v>
      </c>
      <c r="C687" s="5" t="s">
        <v>3154</v>
      </c>
      <c r="D687" s="5" t="s">
        <v>38</v>
      </c>
      <c r="E687" s="5" t="s">
        <v>233</v>
      </c>
      <c r="F687" s="5" t="s">
        <v>990</v>
      </c>
      <c r="G687" s="14" t="str">
        <f t="array" ref="G687">IF(B687="", "",
  LET(_xlpm.spell, IFERROR(IF(F687="", "", INDEX(_xlws.FILTER(Hairstyles!$F:$F, ISNUMBER(SEARCH(F687, Hairstyles!$B:$B))), 1)), "No Spell for Hairstyle"),
  _xlpm.vanillaPrefix, IF(LEFT(_xlpm.spell, 7)="Uvi_Wig", "", ";"),
  ";" &amp; IF(C687="", B687, C687) &amp; IF(M687="", "", " ("&amp;M687&amp;")") &amp; CHAR(10) &amp;
  _xlpm.vanillaPrefix &amp; "Keyword = Uvi_Wig_Distr_KYWD|" &amp; B687 &amp; CHAR(10) &amp;
  _xlpm.vanillaPrefix &amp; "Spell = " &amp; _xlpm.spell &amp; "|" &amp; B687
  )
)</f>
        <v>;Haknir's Crew
;Keyword = Uvi_Wig_Distr_KYWD|DLC2dunHaknir_LvlBanditGhostMeleeMissileMale
;Spell = No Spell for Hairstyle|DLC2dunHaknir_LvlBanditGhostMeleeMissileMale</v>
      </c>
    </row>
    <row r="688" ht="12.75" customHeight="1">
      <c r="A688" s="15" t="s">
        <v>3183</v>
      </c>
      <c r="B688" s="5" t="s">
        <v>3184</v>
      </c>
      <c r="C688" s="5" t="s">
        <v>3154</v>
      </c>
      <c r="D688" s="5" t="s">
        <v>38</v>
      </c>
      <c r="E688" s="5" t="s">
        <v>233</v>
      </c>
      <c r="F688" s="5" t="s">
        <v>990</v>
      </c>
      <c r="G688" s="14" t="str">
        <f t="array" ref="G688">IF(B688="", "",
  LET(_xlpm.spell, IFERROR(IF(F688="", "", INDEX(_xlws.FILTER(Hairstyles!$F:$F, ISNUMBER(SEARCH(F688, Hairstyles!$B:$B))), 1)), "No Spell for Hairstyle"),
  _xlpm.vanillaPrefix, IF(LEFT(_xlpm.spell, 7)="Uvi_Wig", "", ";"),
  ";" &amp; IF(C688="", B688, C688) &amp; IF(M688="", "", " ("&amp;M688&amp;")") &amp; CHAR(10) &amp;
  _xlpm.vanillaPrefix &amp; "Keyword = Uvi_Wig_Distr_KYWD|" &amp; B688 &amp; CHAR(10) &amp;
  _xlpm.vanillaPrefix &amp; "Spell = " &amp; _xlpm.spell &amp; "|" &amp; B688
  )
)</f>
        <v>;Haknir's Crew
;Keyword = Uvi_Wig_Distr_KYWD|DLC2dunHaknir_LvlBanditGhostMeleeMissileMale_Weak
;Spell = No Spell for Hairstyle|DLC2dunHaknir_LvlBanditGhostMeleeMissileMale_Weak</v>
      </c>
    </row>
    <row r="689" ht="12.75" customHeight="1">
      <c r="A689" s="5" t="s">
        <v>3185</v>
      </c>
      <c r="B689" s="5" t="s">
        <v>3186</v>
      </c>
      <c r="C689" s="5" t="s">
        <v>3154</v>
      </c>
      <c r="D689" s="5" t="s">
        <v>38</v>
      </c>
      <c r="E689" s="5" t="s">
        <v>41</v>
      </c>
      <c r="F689" s="5" t="s">
        <v>2912</v>
      </c>
      <c r="G689" s="14" t="str">
        <f t="array" ref="G689">IF(B689="", "",
  LET(_xlpm.spell, IFERROR(IF(F689="", "", INDEX(_xlws.FILTER(Hairstyles!$F:$F, ISNUMBER(SEARCH(F689, Hairstyles!$B:$B))), 1)), "No Spell for Hairstyle"),
  _xlpm.vanillaPrefix, IF(LEFT(_xlpm.spell, 7)="Uvi_Wig", "", ";"),
  ";" &amp; IF(C689="", B689, C689) &amp; IF(M689="", "", " ("&amp;M689&amp;")") &amp; CHAR(10) &amp;
  _xlpm.vanillaPrefix &amp; "Keyword = Uvi_Wig_Distr_KYWD|" &amp; B689 &amp; CHAR(10) &amp;
  _xlpm.vanillaPrefix &amp; "Spell = " &amp; _xlpm.spell &amp; "|" &amp; B689
  )
)</f>
        <v>;Haknir's Crew
;Keyword = Uvi_Wig_Distr_KYWD|DLC2dunHaknir_LvlBanditGhostMeleeTankFemale
;Spell = No Spell for Hairstyle|DLC2dunHaknir_LvlBanditGhostMeleeTankFemale</v>
      </c>
    </row>
    <row r="690" ht="12.75" customHeight="1">
      <c r="A690" s="15" t="s">
        <v>3187</v>
      </c>
      <c r="B690" s="5" t="s">
        <v>3188</v>
      </c>
      <c r="C690" s="5" t="s">
        <v>3154</v>
      </c>
      <c r="D690" s="5" t="s">
        <v>38</v>
      </c>
      <c r="E690" s="5" t="s">
        <v>41</v>
      </c>
      <c r="F690" s="5" t="s">
        <v>2912</v>
      </c>
      <c r="G690" s="14" t="str">
        <f t="array" ref="G690">IF(B690="", "",
  LET(_xlpm.spell, IFERROR(IF(F690="", "", INDEX(_xlws.FILTER(Hairstyles!$F:$F, ISNUMBER(SEARCH(F690, Hairstyles!$B:$B))), 1)), "No Spell for Hairstyle"),
  _xlpm.vanillaPrefix, IF(LEFT(_xlpm.spell, 7)="Uvi_Wig", "", ";"),
  ";" &amp; IF(C690="", B690, C690) &amp; IF(M690="", "", " ("&amp;M690&amp;")") &amp; CHAR(10) &amp;
  _xlpm.vanillaPrefix &amp; "Keyword = Uvi_Wig_Distr_KYWD|" &amp; B690 &amp; CHAR(10) &amp;
  _xlpm.vanillaPrefix &amp; "Spell = " &amp; _xlpm.spell &amp; "|" &amp; B690
  )
)</f>
        <v>;Haknir's Crew
;Keyword = Uvi_Wig_Distr_KYWD|DLC2dunHaknir_LvlBanditGhostMeleeTankFemale_Weak
;Spell = No Spell for Hairstyle|DLC2dunHaknir_LvlBanditGhostMeleeTankFemale_Weak</v>
      </c>
    </row>
    <row r="691" ht="12.75" customHeight="1">
      <c r="A691" s="5" t="s">
        <v>3189</v>
      </c>
      <c r="B691" s="5" t="s">
        <v>3190</v>
      </c>
      <c r="C691" s="5" t="s">
        <v>3154</v>
      </c>
      <c r="D691" s="5" t="s">
        <v>38</v>
      </c>
      <c r="E691" s="5" t="s">
        <v>233</v>
      </c>
      <c r="F691" s="5" t="s">
        <v>68</v>
      </c>
      <c r="G691" s="14" t="str">
        <f t="array" ref="G691">IF(B691="", "",
  LET(_xlpm.spell, IFERROR(IF(F691="", "", INDEX(_xlws.FILTER(Hairstyles!$F:$F, ISNUMBER(SEARCH(F691, Hairstyles!$B:$B))), 1)), "No Spell for Hairstyle"),
  _xlpm.vanillaPrefix, IF(LEFT(_xlpm.spell, 7)="Uvi_Wig", "", ";"),
  ";" &amp; IF(C691="", B691, C691) &amp; IF(M691="", "", " ("&amp;M691&amp;")") &amp; CHAR(10) &amp;
  _xlpm.vanillaPrefix &amp; "Keyword = Uvi_Wig_Distr_KYWD|" &amp; B691 &amp; CHAR(10) &amp;
  _xlpm.vanillaPrefix &amp; "Spell = " &amp; _xlpm.spell &amp; "|" &amp; B691
  )
)</f>
        <v>;Haknir's Crew
;Keyword = Uvi_Wig_Distr_KYWD|DLC2dunHaknir_LvlBanditGhostMeleeTankMale
;Spell = No Spell for Hairstyle|DLC2dunHaknir_LvlBanditGhostMeleeTankMale</v>
      </c>
    </row>
    <row r="692" ht="12.75" customHeight="1">
      <c r="A692" s="5" t="s">
        <v>3191</v>
      </c>
      <c r="B692" s="5" t="s">
        <v>3192</v>
      </c>
      <c r="C692" s="5" t="s">
        <v>3154</v>
      </c>
      <c r="D692" s="5" t="s">
        <v>38</v>
      </c>
      <c r="E692" s="5" t="s">
        <v>233</v>
      </c>
      <c r="F692" s="5" t="s">
        <v>68</v>
      </c>
      <c r="G692" s="14" t="str">
        <f t="array" ref="G692">IF(B692="", "",
  LET(_xlpm.spell, IFERROR(IF(F692="", "", INDEX(_xlws.FILTER(Hairstyles!$F:$F, ISNUMBER(SEARCH(F692, Hairstyles!$B:$B))), 1)), "No Spell for Hairstyle"),
  _xlpm.vanillaPrefix, IF(LEFT(_xlpm.spell, 7)="Uvi_Wig", "", ";"),
  ";" &amp; IF(C692="", B692, C692) &amp; IF(M692="", "", " ("&amp;M692&amp;")") &amp; CHAR(10) &amp;
  _xlpm.vanillaPrefix &amp; "Keyword = Uvi_Wig_Distr_KYWD|" &amp; B692 &amp; CHAR(10) &amp;
  _xlpm.vanillaPrefix &amp; "Spell = " &amp; _xlpm.spell &amp; "|" &amp; B692
  )
)</f>
        <v>;Haknir's Crew
;Keyword = Uvi_Wig_Distr_KYWD|DLC2dunHaknir_LvlBanditGhostMeleeTankMale_Weak
;Spell = No Spell for Hairstyle|DLC2dunHaknir_LvlBanditGhostMeleeTankMale_Weak</v>
      </c>
    </row>
    <row r="693" ht="12.75" customHeight="1">
      <c r="A693" s="5" t="s">
        <v>3193</v>
      </c>
      <c r="B693" s="5" t="s">
        <v>3194</v>
      </c>
      <c r="C693" s="5" t="s">
        <v>3154</v>
      </c>
      <c r="D693" s="5" t="s">
        <v>38</v>
      </c>
      <c r="E693" s="5" t="s">
        <v>41</v>
      </c>
      <c r="F693" s="5" t="s">
        <v>270</v>
      </c>
      <c r="G693" s="14" t="str">
        <f t="array" ref="G693">IF(B693="", "",
  LET(_xlpm.spell, IFERROR(IF(F693="", "", INDEX(_xlws.FILTER(Hairstyles!$F:$F, ISNUMBER(SEARCH(F693, Hairstyles!$B:$B))), 1)), "No Spell for Hairstyle"),
  _xlpm.vanillaPrefix, IF(LEFT(_xlpm.spell, 7)="Uvi_Wig", "", ";"),
  ";" &amp; IF(C693="", B693, C693) &amp; IF(M693="", "", " ("&amp;M693&amp;")") &amp; CHAR(10) &amp;
  _xlpm.vanillaPrefix &amp; "Keyword = Uvi_Wig_Distr_KYWD|" &amp; B693 &amp; CHAR(10) &amp;
  _xlpm.vanillaPrefix &amp; "Spell = " &amp; _xlpm.spell &amp; "|" &amp; B693
  )
)</f>
        <v>;Haknir's Crew
;Keyword = Uvi_Wig_Distr_KYWD|DLC2dunHaknir_LvlBanditGhostWizardFemale
;Spell = No Spell for Hairstyle|DLC2dunHaknir_LvlBanditGhostWizardFemale</v>
      </c>
    </row>
    <row r="694" ht="12.75" customHeight="1">
      <c r="A694" s="5" t="s">
        <v>3195</v>
      </c>
      <c r="B694" s="5" t="s">
        <v>3196</v>
      </c>
      <c r="C694" s="5" t="s">
        <v>3154</v>
      </c>
      <c r="D694" s="5" t="s">
        <v>38</v>
      </c>
      <c r="E694" s="5" t="s">
        <v>41</v>
      </c>
      <c r="F694" s="5" t="s">
        <v>270</v>
      </c>
      <c r="G694" s="14" t="str">
        <f t="array" ref="G694">IF(B694="", "",
  LET(_xlpm.spell, IFERROR(IF(F694="", "", INDEX(_xlws.FILTER(Hairstyles!$F:$F, ISNUMBER(SEARCH(F694, Hairstyles!$B:$B))), 1)), "No Spell for Hairstyle"),
  _xlpm.vanillaPrefix, IF(LEFT(_xlpm.spell, 7)="Uvi_Wig", "", ";"),
  ";" &amp; IF(C694="", B694, C694) &amp; IF(M694="", "", " ("&amp;M694&amp;")") &amp; CHAR(10) &amp;
  _xlpm.vanillaPrefix &amp; "Keyword = Uvi_Wig_Distr_KYWD|" &amp; B694 &amp; CHAR(10) &amp;
  _xlpm.vanillaPrefix &amp; "Spell = " &amp; _xlpm.spell &amp; "|" &amp; B694
  )
)</f>
        <v>;Haknir's Crew
;Keyword = Uvi_Wig_Distr_KYWD|DLC2dunHaknir_LvlBanditGhostWizardFemale_Weak
;Spell = No Spell for Hairstyle|DLC2dunHaknir_LvlBanditGhostWizardFemale_Weak</v>
      </c>
    </row>
    <row r="695" ht="12.75" customHeight="1">
      <c r="A695" s="5" t="s">
        <v>3197</v>
      </c>
      <c r="B695" s="5" t="s">
        <v>3198</v>
      </c>
      <c r="C695" s="5" t="s">
        <v>3154</v>
      </c>
      <c r="D695" s="5" t="s">
        <v>38</v>
      </c>
      <c r="E695" s="5" t="s">
        <v>233</v>
      </c>
      <c r="F695" s="5" t="s">
        <v>40</v>
      </c>
      <c r="G695" s="14" t="str">
        <f t="array" ref="G695">IF(B695="", "",
  LET(_xlpm.spell, IFERROR(IF(F695="", "", INDEX(_xlws.FILTER(Hairstyles!$F:$F, ISNUMBER(SEARCH(F695, Hairstyles!$B:$B))), 1)), "No Spell for Hairstyle"),
  _xlpm.vanillaPrefix, IF(LEFT(_xlpm.spell, 7)="Uvi_Wig", "", ";"),
  ";" &amp; IF(C695="", B695, C695) &amp; IF(M695="", "", " ("&amp;M695&amp;")") &amp; CHAR(10) &amp;
  _xlpm.vanillaPrefix &amp; "Keyword = Uvi_Wig_Distr_KYWD|" &amp; B695 &amp; CHAR(10) &amp;
  _xlpm.vanillaPrefix &amp; "Spell = " &amp; _xlpm.spell &amp; "|" &amp; B695
  )
)</f>
        <v>;Haknir's Crew
;Keyword = Uvi_Wig_Distr_KYWD|DLC2dunHaknir_LvlBanditGhostWizardMale
;Spell = No Spell for Hairstyle|DLC2dunHaknir_LvlBanditGhostWizardMale</v>
      </c>
    </row>
    <row r="696" ht="12.75" customHeight="1">
      <c r="A696" s="5" t="s">
        <v>3199</v>
      </c>
      <c r="B696" s="5" t="s">
        <v>3200</v>
      </c>
      <c r="C696" s="5" t="s">
        <v>3154</v>
      </c>
      <c r="D696" s="5" t="s">
        <v>38</v>
      </c>
      <c r="E696" s="5" t="s">
        <v>233</v>
      </c>
      <c r="F696" s="5" t="s">
        <v>40</v>
      </c>
      <c r="G696" s="14" t="str">
        <f t="array" ref="G696">IF(B696="", "",
  LET(_xlpm.spell, IFERROR(IF(F696="", "", INDEX(_xlws.FILTER(Hairstyles!$F:$F, ISNUMBER(SEARCH(F696, Hairstyles!$B:$B))), 1)), "No Spell for Hairstyle"),
  _xlpm.vanillaPrefix, IF(LEFT(_xlpm.spell, 7)="Uvi_Wig", "", ";"),
  ";" &amp; IF(C696="", B696, C696) &amp; IF(M696="", "", " ("&amp;M696&amp;")") &amp; CHAR(10) &amp;
  _xlpm.vanillaPrefix &amp; "Keyword = Uvi_Wig_Distr_KYWD|" &amp; B696 &amp; CHAR(10) &amp;
  _xlpm.vanillaPrefix &amp; "Spell = " &amp; _xlpm.spell &amp; "|" &amp; B696
  )
)</f>
        <v>;Haknir's Crew
;Keyword = Uvi_Wig_Distr_KYWD|DLC2dunHaknir_LvlBanditGhostWizardMale_Weak
;Spell = No Spell for Hairstyle|DLC2dunHaknir_LvlBanditGhostWizardMale_Weak</v>
      </c>
    </row>
    <row r="697" ht="12.75" customHeight="1">
      <c r="A697" s="15" t="s">
        <v>3201</v>
      </c>
      <c r="B697" s="5" t="s">
        <v>3202</v>
      </c>
      <c r="C697" s="5" t="s">
        <v>3203</v>
      </c>
      <c r="D697" s="5" t="s">
        <v>38</v>
      </c>
      <c r="E697" s="5" t="s">
        <v>233</v>
      </c>
      <c r="F697" s="5" t="s">
        <v>695</v>
      </c>
      <c r="G697" s="14" t="str">
        <f t="array" ref="G697">IF(B697="", "",
  LET(_xlpm.spell, IFERROR(IF(F697="", "", INDEX(_xlws.FILTER(Hairstyles!$F:$F, ISNUMBER(SEARCH(F697, Hairstyles!$B:$B))), 1)), "No Spell for Hairstyle"),
  _xlpm.vanillaPrefix, IF(LEFT(_xlpm.spell, 7)="Uvi_Wig", "", ";"),
  ";" &amp; IF(C697="", B697, C697) &amp; IF(M697="", "", " ("&amp;M697&amp;")") &amp; CHAR(10) &amp;
  _xlpm.vanillaPrefix &amp; "Keyword = Uvi_Wig_Distr_KYWD|" &amp; B697 &amp; CHAR(10) &amp;
  _xlpm.vanillaPrefix &amp; "Spell = " &amp; _xlpm.spell &amp; "|" &amp; B697
  )
)</f>
        <v>;Hakon One-Eye
;Keyword = Uvi_Wig_Distr_KYWD|HakonOneEye
;Spell = No Spell for Hairstyle|HakonOneEye</v>
      </c>
    </row>
    <row r="698" ht="12.75" customHeight="1">
      <c r="A698" s="5" t="s">
        <v>3204</v>
      </c>
      <c r="B698" s="5" t="s">
        <v>3205</v>
      </c>
      <c r="C698" s="5" t="s">
        <v>3203</v>
      </c>
      <c r="D698" s="5" t="s">
        <v>38</v>
      </c>
      <c r="E698" s="5" t="s">
        <v>233</v>
      </c>
      <c r="F698" s="5" t="s">
        <v>695</v>
      </c>
      <c r="G698" s="14" t="str">
        <f t="array" ref="G698">IF(B698="", "",
  LET(_xlpm.spell, IFERROR(IF(F698="", "", INDEX(_xlws.FILTER(Hairstyles!$F:$F, ISNUMBER(SEARCH(F698, Hairstyles!$B:$B))), 1)), "No Spell for Hairstyle"),
  _xlpm.vanillaPrefix, IF(LEFT(_xlpm.spell, 7)="Uvi_Wig", "", ";"),
  ";" &amp; IF(C698="", B698, C698) &amp; IF(M698="", "", " ("&amp;M698&amp;")") &amp; CHAR(10) &amp;
  _xlpm.vanillaPrefix &amp; "Keyword = Uvi_Wig_Distr_KYWD|" &amp; B698 &amp; CHAR(10) &amp;
  _xlpm.vanillaPrefix &amp; "Spell = " &amp; _xlpm.spell &amp; "|" &amp; B698
  )
)</f>
        <v>;Hakon One-Eye
;Keyword = Uvi_Wig_Distr_KYWD|MQ206Hakon
;Spell = No Spell for Hairstyle|MQ206Hakon</v>
      </c>
    </row>
    <row r="699" ht="12.75" customHeight="1">
      <c r="A699" s="5" t="s">
        <v>3206</v>
      </c>
      <c r="B699" s="5" t="s">
        <v>3207</v>
      </c>
      <c r="C699" s="5" t="s">
        <v>3203</v>
      </c>
      <c r="D699" s="5" t="s">
        <v>38</v>
      </c>
      <c r="E699" s="5" t="s">
        <v>233</v>
      </c>
      <c r="F699" s="5" t="s">
        <v>695</v>
      </c>
      <c r="G699" s="14" t="str">
        <f t="array" ref="G699">IF(B699="", "",
  LET(_xlpm.spell, IFERROR(IF(F699="", "", INDEX(_xlws.FILTER(Hairstyles!$F:$F, ISNUMBER(SEARCH(F699, Hairstyles!$B:$B))), 1)), "No Spell for Hairstyle"),
  _xlpm.vanillaPrefix, IF(LEFT(_xlpm.spell, 7)="Uvi_Wig", "", ";"),
  ";" &amp; IF(C699="", B699, C699) &amp; IF(M699="", "", " ("&amp;M699&amp;")") &amp; CHAR(10) &amp;
  _xlpm.vanillaPrefix &amp; "Keyword = Uvi_Wig_Distr_KYWD|" &amp; B699 &amp; CHAR(10) &amp;
  _xlpm.vanillaPrefix &amp; "Spell = " &amp; _xlpm.spell &amp; "|" &amp; B699
  )
)</f>
        <v>;Hakon One-Eye
;Keyword = Uvi_Wig_Distr_KYWD|SummonHakon
;Spell = No Spell for Hairstyle|SummonHakon</v>
      </c>
    </row>
    <row r="700" ht="12.75" customHeight="1">
      <c r="A700" s="5" t="s">
        <v>3208</v>
      </c>
      <c r="B700" s="5" t="s">
        <v>3209</v>
      </c>
      <c r="C700" s="5" t="s">
        <v>3210</v>
      </c>
      <c r="D700" s="5" t="s">
        <v>38</v>
      </c>
      <c r="E700" s="5" t="s">
        <v>233</v>
      </c>
      <c r="F700" s="5" t="s">
        <v>346</v>
      </c>
      <c r="G700" s="14" t="str">
        <f t="array" ref="G700">IF(B700="", "",
  LET(_xlpm.spell, IFERROR(IF(F700="", "", INDEX(_xlws.FILTER(Hairstyles!$F:$F, ISNUMBER(SEARCH(F700, Hairstyles!$B:$B))), 1)), "No Spell for Hairstyle"),
  _xlpm.vanillaPrefix, IF(LEFT(_xlpm.spell, 7)="Uvi_Wig", "", ";"),
  ";" &amp; IF(C700="", B700, C700) &amp; IF(M700="", "", " ("&amp;M700&amp;")") &amp; CHAR(10) &amp;
  _xlpm.vanillaPrefix &amp; "Keyword = Uvi_Wig_Distr_KYWD|" &amp; B700 &amp; CHAR(10) &amp;
  _xlpm.vanillaPrefix &amp; "Spell = " &amp; _xlpm.spell &amp; "|" &amp; B700
  )
)</f>
        <v>;Halbarn Iron-Fur
;Keyword = Uvi_Wig_Distr_KYWD|DLC2Halbarn
;Spell = No Spell for Hairstyle|DLC2Halbarn</v>
      </c>
    </row>
    <row r="701" ht="12.75" customHeight="1">
      <c r="A701" s="5" t="s">
        <v>3211</v>
      </c>
      <c r="B701" s="5" t="s">
        <v>3212</v>
      </c>
      <c r="C701" s="5" t="s">
        <v>3213</v>
      </c>
      <c r="D701" s="5" t="s">
        <v>83</v>
      </c>
      <c r="E701" s="5" t="s">
        <v>233</v>
      </c>
      <c r="F701" s="5" t="s">
        <v>245</v>
      </c>
      <c r="G701" s="14" t="str">
        <f t="array" ref="G701">IF(B701="", "",
  LET(_xlpm.spell, IFERROR(IF(F701="", "", INDEX(_xlws.FILTER(Hairstyles!$F:$F, ISNUMBER(SEARCH(F701, Hairstyles!$B:$B))), 1)), "No Spell for Hairstyle"),
  _xlpm.vanillaPrefix, IF(LEFT(_xlpm.spell, 7)="Uvi_Wig", "", ";"),
  ";" &amp; IF(C701="", B701, C701) &amp; IF(M701="", "", " ("&amp;M701&amp;")") &amp; CHAR(10) &amp;
  _xlpm.vanillaPrefix &amp; "Keyword = Uvi_Wig_Distr_KYWD|" &amp; B701 &amp; CHAR(10) &amp;
  _xlpm.vanillaPrefix &amp; "Spell = " &amp; _xlpm.spell &amp; "|" &amp; B701
  )
)</f>
        <v>;Haldyn
;Keyword = Uvi_Wig_Distr_KYWD|MS10Haldyn
;Spell = No Spell for Hairstyle|MS10Haldyn</v>
      </c>
    </row>
    <row r="702" ht="12.75" customHeight="1">
      <c r="A702" s="5" t="s">
        <v>3214</v>
      </c>
      <c r="B702" s="5" t="s">
        <v>3215</v>
      </c>
      <c r="C702" s="5" t="s">
        <v>3215</v>
      </c>
      <c r="D702" s="5" t="s">
        <v>38</v>
      </c>
      <c r="E702" s="5" t="s">
        <v>41</v>
      </c>
      <c r="F702" s="5" t="s">
        <v>1694</v>
      </c>
      <c r="G702" s="14" t="str">
        <f t="array" ref="G702">IF(B702="", "",
  LET(_xlpm.spell, IFERROR(IF(F702="", "", INDEX(_xlws.FILTER(Hairstyles!$F:$F, ISNUMBER(SEARCH(F702, Hairstyles!$B:$B))), 1)), "No Spell for Hairstyle"),
  _xlpm.vanillaPrefix, IF(LEFT(_xlpm.spell, 7)="Uvi_Wig", "", ";"),
  ";" &amp; IF(C702="", B702, C702) &amp; IF(M702="", "", " ("&amp;M702&amp;")") &amp; CHAR(10) &amp;
  _xlpm.vanillaPrefix &amp; "Keyword = Uvi_Wig_Distr_KYWD|" &amp; B702 &amp; CHAR(10) &amp;
  _xlpm.vanillaPrefix &amp; "Spell = " &amp; _xlpm.spell &amp; "|" &amp; B702
  )
)</f>
        <v>;Hamal
;Keyword = Uvi_Wig_Distr_KYWD|Hamal
;Spell = No Spell for Hairstyle|Hamal</v>
      </c>
    </row>
    <row r="703" ht="12.75" customHeight="1">
      <c r="A703" s="5" t="s">
        <v>3216</v>
      </c>
      <c r="B703" s="5" t="s">
        <v>3217</v>
      </c>
      <c r="C703" s="5" t="s">
        <v>3218</v>
      </c>
      <c r="D703" s="5" t="s">
        <v>74</v>
      </c>
      <c r="E703" s="5" t="s">
        <v>233</v>
      </c>
      <c r="F703" s="5" t="s">
        <v>76</v>
      </c>
      <c r="G703" s="14" t="str">
        <f t="array" ref="G703">IF(B703="", "",
  LET(_xlpm.spell, IFERROR(IF(F703="", "", INDEX(_xlws.FILTER(Hairstyles!$F:$F, ISNUMBER(SEARCH(F703, Hairstyles!$B:$B))), 1)), "No Spell for Hairstyle"),
  _xlpm.vanillaPrefix, IF(LEFT(_xlpm.spell, 7)="Uvi_Wig", "", ";"),
  ";" &amp; IF(C703="", B703, C703) &amp; IF(M703="", "", " ("&amp;M703&amp;")") &amp; CHAR(10) &amp;
  _xlpm.vanillaPrefix &amp; "Keyword = Uvi_Wig_Distr_KYWD|" &amp; B703 &amp; CHAR(10) &amp;
  _xlpm.vanillaPrefix &amp; "Spell = " &amp; _xlpm.spell &amp; "|" &amp; B703
  )
)</f>
        <v>;Haming
;Keyword = Uvi_Wig_Distr_KYWD|dunHunterChild
;Spell = No Spell for Hairstyle|dunHunterChild</v>
      </c>
    </row>
    <row r="704" ht="12.75" customHeight="1">
      <c r="A704" s="15" t="s">
        <v>3219</v>
      </c>
      <c r="B704" s="5" t="s">
        <v>3218</v>
      </c>
      <c r="C704" s="5" t="s">
        <v>3218</v>
      </c>
      <c r="D704" s="5" t="s">
        <v>74</v>
      </c>
      <c r="E704" s="5" t="s">
        <v>233</v>
      </c>
      <c r="F704" s="5" t="s">
        <v>76</v>
      </c>
      <c r="G704" s="14" t="str">
        <f t="array" ref="G704">IF(B704="", "",
  LET(_xlpm.spell, IFERROR(IF(F704="", "", INDEX(_xlws.FILTER(Hairstyles!$F:$F, ISNUMBER(SEARCH(F704, Hairstyles!$B:$B))), 1)), "No Spell for Hairstyle"),
  _xlpm.vanillaPrefix, IF(LEFT(_xlpm.spell, 7)="Uvi_Wig", "", ";"),
  ";" &amp; IF(C704="", B704, C704) &amp; IF(M704="", "", " ("&amp;M704&amp;")") &amp; CHAR(10) &amp;
  _xlpm.vanillaPrefix &amp; "Keyword = Uvi_Wig_Distr_KYWD|" &amp; B704 &amp; CHAR(10) &amp;
  _xlpm.vanillaPrefix &amp; "Spell = " &amp; _xlpm.spell &amp; "|" &amp; B704
  )
)</f>
        <v>;Haming
;Keyword = Uvi_Wig_Distr_KYWD|Haming
;Spell = No Spell for Hairstyle|Haming</v>
      </c>
    </row>
    <row r="705" ht="12.75" customHeight="1">
      <c r="A705" s="5" t="s">
        <v>3220</v>
      </c>
      <c r="B705" s="5" t="s">
        <v>3221</v>
      </c>
      <c r="C705" s="5" t="s">
        <v>3221</v>
      </c>
      <c r="D705" s="5" t="s">
        <v>38</v>
      </c>
      <c r="E705" s="5" t="s">
        <v>41</v>
      </c>
      <c r="F705" s="5" t="s">
        <v>1063</v>
      </c>
      <c r="G705" s="14" t="str">
        <f t="array" ref="G705">IF(B705="", "",
  LET(_xlpm.spell, IFERROR(IF(F705="", "", INDEX(_xlws.FILTER(Hairstyles!$F:$F, ISNUMBER(SEARCH(F705, Hairstyles!$B:$B))), 1)), "No Spell for Hairstyle"),
  _xlpm.vanillaPrefix, IF(LEFT(_xlpm.spell, 7)="Uvi_Wig", "", ";"),
  ";" &amp; IF(C705="", B705, C705) &amp; IF(M705="", "", " ("&amp;M705&amp;")") &amp; CHAR(10) &amp;
  _xlpm.vanillaPrefix &amp; "Keyword = Uvi_Wig_Distr_KYWD|" &amp; B705 &amp; CHAR(10) &amp;
  _xlpm.vanillaPrefix &amp; "Spell = " &amp; _xlpm.spell &amp; "|" &amp; B705
  )
)</f>
        <v>;Haran
;Keyword = Uvi_Wig_Distr_KYWD|Haran
;Spell = No Spell for Hairstyle|Haran</v>
      </c>
    </row>
    <row r="706" ht="12.75" customHeight="1">
      <c r="A706" s="5" t="s">
        <v>3222</v>
      </c>
      <c r="B706" s="5" t="s">
        <v>3223</v>
      </c>
      <c r="C706" s="5" t="s">
        <v>3224</v>
      </c>
      <c r="D706" s="5" t="s">
        <v>38</v>
      </c>
      <c r="E706" s="5" t="s">
        <v>233</v>
      </c>
      <c r="F706" s="5" t="s">
        <v>1622</v>
      </c>
      <c r="G706" s="14" t="str">
        <f t="array" ref="G706">IF(B706="", "",
  LET(_xlpm.spell, IFERROR(IF(F706="", "", INDEX(_xlws.FILTER(Hairstyles!$F:$F, ISNUMBER(SEARCH(F706, Hairstyles!$B:$B))), 1)), "No Spell for Hairstyle"),
  _xlpm.vanillaPrefix, IF(LEFT(_xlpm.spell, 7)="Uvi_Wig", "", ";"),
  ";" &amp; IF(C706="", B706, C706) &amp; IF(M706="", "", " ("&amp;M706&amp;")") &amp; CHAR(10) &amp;
  _xlpm.vanillaPrefix &amp; "Keyword = Uvi_Wig_Distr_KYWD|" &amp; B706 &amp; CHAR(10) &amp;
  _xlpm.vanillaPrefix &amp; "Spell = " &amp; _xlpm.spell &amp; "|" &amp; B706
  )
)</f>
        <v>;Harlaug
;Keyword = Uvi_Wig_Distr_KYWD|DLC1FerrymanDawnstar
;Spell = No Spell for Hairstyle|DLC1FerrymanDawnstar</v>
      </c>
    </row>
    <row r="707" ht="12.75" customHeight="1">
      <c r="A707" s="15" t="s">
        <v>3225</v>
      </c>
      <c r="B707" s="5" t="s">
        <v>3226</v>
      </c>
      <c r="C707" s="5" t="s">
        <v>3226</v>
      </c>
      <c r="D707" s="5" t="s">
        <v>38</v>
      </c>
      <c r="E707" s="5" t="s">
        <v>233</v>
      </c>
      <c r="F707" s="5" t="s">
        <v>990</v>
      </c>
      <c r="G707" s="14" t="str">
        <f t="array" ref="G707">IF(B707="", "",
  LET(_xlpm.spell, IFERROR(IF(F707="", "", INDEX(_xlws.FILTER(Hairstyles!$F:$F, ISNUMBER(SEARCH(F707, Hairstyles!$B:$B))), 1)), "No Spell for Hairstyle"),
  _xlpm.vanillaPrefix, IF(LEFT(_xlpm.spell, 7)="Uvi_Wig", "", ";"),
  ";" &amp; IF(C707="", B707, C707) &amp; IF(M707="", "", " ("&amp;M707&amp;")") &amp; CHAR(10) &amp;
  _xlpm.vanillaPrefix &amp; "Keyword = Uvi_Wig_Distr_KYWD|" &amp; B707 &amp; CHAR(10) &amp;
  _xlpm.vanillaPrefix &amp; "Spell = " &amp; _xlpm.spell &amp; "|" &amp; B707
  )
)</f>
        <v>;Harrald
;Keyword = Uvi_Wig_Distr_KYWD|Harrald
;Spell = No Spell for Hairstyle|Harrald</v>
      </c>
    </row>
    <row r="708" ht="12.75" customHeight="1">
      <c r="A708" s="5" t="s">
        <v>3227</v>
      </c>
      <c r="B708" s="5" t="s">
        <v>3228</v>
      </c>
      <c r="C708" s="5" t="s">
        <v>3228</v>
      </c>
      <c r="D708" s="5" t="s">
        <v>16</v>
      </c>
      <c r="E708" s="5" t="s">
        <v>233</v>
      </c>
      <c r="F708" s="5" t="s">
        <v>19</v>
      </c>
      <c r="G708" s="14" t="str">
        <f t="array" ref="G708">IF(B708="", "",
  LET(_xlpm.spell, IFERROR(IF(F708="", "", INDEX(_xlws.FILTER(Hairstyles!$F:$F, ISNUMBER(SEARCH(F708, Hairstyles!$B:$B))), 1)), "No Spell for Hairstyle"),
  _xlpm.vanillaPrefix, IF(LEFT(_xlpm.spell, 7)="Uvi_Wig", "", ";"),
  ";" &amp; IF(C708="", B708, C708) &amp; IF(M708="", "", " ("&amp;M708&amp;")") &amp; CHAR(10) &amp;
  _xlpm.vanillaPrefix &amp; "Keyword = Uvi_Wig_Distr_KYWD|" &amp; B708 &amp; CHAR(10) &amp;
  _xlpm.vanillaPrefix &amp; "Spell = " &amp; _xlpm.spell &amp; "|" &amp; B708
  )
)</f>
        <v>;Hathrasil
;Keyword = Uvi_Wig_Distr_KYWD|Hathrasil
;Spell = No Spell for Hairstyle|Hathrasil</v>
      </c>
    </row>
    <row r="709" ht="12.75" customHeight="1">
      <c r="A709" s="5" t="s">
        <v>3229</v>
      </c>
      <c r="B709" s="5" t="s">
        <v>3230</v>
      </c>
      <c r="C709" s="5" t="s">
        <v>3231</v>
      </c>
      <c r="D709" s="5" t="s">
        <v>38</v>
      </c>
      <c r="E709" s="5" t="s">
        <v>233</v>
      </c>
      <c r="F709" s="5" t="s">
        <v>346</v>
      </c>
      <c r="G709" s="14" t="str">
        <f t="array" ref="G709">IF(B709="", "",
  LET(_xlpm.spell, IFERROR(IF(F709="", "", INDEX(_xlws.FILTER(Hairstyles!$F:$F, ISNUMBER(SEARCH(F709, Hairstyles!$B:$B))), 1)), "No Spell for Hairstyle"),
  _xlpm.vanillaPrefix, IF(LEFT(_xlpm.spell, 7)="Uvi_Wig", "", ";"),
  ";" &amp; IF(C709="", B709, C709) &amp; IF(M709="", "", " ("&amp;M709&amp;")") &amp; CHAR(10) &amp;
  _xlpm.vanillaPrefix &amp; "Keyword = Uvi_Wig_Distr_KYWD|" &amp; B709 &amp; CHAR(10) &amp;
  _xlpm.vanillaPrefix &amp; "Spell = " &amp; _xlpm.spell &amp; "|" &amp; B709
  )
)</f>
        <v>;Headless Horseman
;Keyword = Uvi_Wig_Distr_KYWD|WEHeadlessHorseman
;Spell = No Spell for Hairstyle|WEHeadlessHorseman</v>
      </c>
    </row>
    <row r="710" ht="12.75" customHeight="1">
      <c r="A710" s="5" t="s">
        <v>3232</v>
      </c>
      <c r="B710" s="5" t="s">
        <v>3233</v>
      </c>
      <c r="C710" s="5" t="s">
        <v>3234</v>
      </c>
      <c r="D710" s="5" t="s">
        <v>59</v>
      </c>
      <c r="E710" s="5" t="s">
        <v>233</v>
      </c>
      <c r="F710" s="5" t="s">
        <v>1622</v>
      </c>
      <c r="G710" s="14" t="str">
        <f t="array" ref="G710">IF(B710="", "",
  LET(_xlpm.spell, IFERROR(IF(F710="", "", INDEX(_xlws.FILTER(Hairstyles!$F:$F, ISNUMBER(SEARCH(F710, Hairstyles!$B:$B))), 1)), "No Spell for Hairstyle"),
  _xlpm.vanillaPrefix, IF(LEFT(_xlpm.spell, 7)="Uvi_Wig", "", ";"),
  ";" &amp; IF(C710="", B710, C710) &amp; IF(M710="", "", " ("&amp;M710&amp;")") &amp; CHAR(10) &amp;
  _xlpm.vanillaPrefix &amp; "Keyword = Uvi_Wig_Distr_KYWD|" &amp; B710 &amp; CHAR(10) &amp;
  _xlpm.vanillaPrefix &amp; "Spell = " &amp; _xlpm.spell &amp; "|" &amp; B710
  )
)</f>
        <v>;Headsman
;Keyword = Uvi_Wig_Distr_KYWD|MQ101Headsman
;Spell = No Spell for Hairstyle|MQ101Headsman</v>
      </c>
    </row>
    <row r="711" ht="12.75" customHeight="1">
      <c r="A711" s="5" t="s">
        <v>3235</v>
      </c>
      <c r="B711" s="5" t="s">
        <v>3236</v>
      </c>
      <c r="C711" s="5" t="s">
        <v>3234</v>
      </c>
      <c r="D711" s="5" t="s">
        <v>38</v>
      </c>
      <c r="E711" s="5" t="s">
        <v>233</v>
      </c>
      <c r="F711" s="5" t="s">
        <v>1622</v>
      </c>
      <c r="G711" s="14" t="str">
        <f t="array" ref="G711">IF(B711="", "",
  LET(_xlpm.spell, IFERROR(IF(F711="", "", INDEX(_xlws.FILTER(Hairstyles!$F:$F, ISNUMBER(SEARCH(F711, Hairstyles!$B:$B))), 1)), "No Spell for Hairstyle"),
  _xlpm.vanillaPrefix, IF(LEFT(_xlpm.spell, 7)="Uvi_Wig", "", ";"),
  ";" &amp; IF(C711="", B711, C711) &amp; IF(M711="", "", " ("&amp;M711&amp;")") &amp; CHAR(10) &amp;
  _xlpm.vanillaPrefix &amp; "Keyword = Uvi_Wig_Distr_KYWD|" &amp; B711 &amp; CHAR(10) &amp;
  _xlpm.vanillaPrefix &amp; "Spell = " &amp; _xlpm.spell &amp; "|" &amp; B711
  )
)</f>
        <v>;Headsman
;Keyword = Uvi_Wig_Distr_KYWD|WEDL11bHeadsman
;Spell = No Spell for Hairstyle|WEDL11bHeadsman</v>
      </c>
    </row>
    <row r="712" ht="12.75" customHeight="1">
      <c r="A712" s="5" t="s">
        <v>3237</v>
      </c>
      <c r="B712" s="5" t="s">
        <v>3238</v>
      </c>
      <c r="C712" s="5" t="s">
        <v>3234</v>
      </c>
      <c r="D712" s="5" t="s">
        <v>38</v>
      </c>
      <c r="E712" s="5" t="s">
        <v>233</v>
      </c>
      <c r="F712" s="5" t="s">
        <v>1700</v>
      </c>
      <c r="G712" s="14" t="str">
        <f t="array" ref="G712">IF(B712="", "",
  LET(_xlpm.spell, IFERROR(IF(F712="", "", INDEX(_xlws.FILTER(Hairstyles!$F:$F, ISNUMBER(SEARCH(F712, Hairstyles!$B:$B))), 1)), "No Spell for Hairstyle"),
  _xlpm.vanillaPrefix, IF(LEFT(_xlpm.spell, 7)="Uvi_Wig", "", ";"),
  ";" &amp; IF(C712="", B712, C712) &amp; IF(M712="", "", " ("&amp;M712&amp;")") &amp; CHAR(10) &amp;
  _xlpm.vanillaPrefix &amp; "Keyword = Uvi_Wig_Distr_KYWD|" &amp; B712 &amp; CHAR(10) &amp;
  _xlpm.vanillaPrefix &amp; "Spell = " &amp; _xlpm.spell &amp; "|" &amp; B712
  )
)</f>
        <v>;Headsman
;Keyword = Uvi_Wig_Distr_KYWD|WEDL11Headsman
;Spell = No Spell for Hairstyle|WEDL11Headsman</v>
      </c>
    </row>
    <row r="713" ht="12.75" customHeight="1">
      <c r="A713" s="5" t="s">
        <v>3239</v>
      </c>
      <c r="B713" s="5" t="s">
        <v>3240</v>
      </c>
      <c r="C713" s="5" t="s">
        <v>3241</v>
      </c>
      <c r="D713" s="5" t="s">
        <v>38</v>
      </c>
      <c r="E713" s="5" t="s">
        <v>233</v>
      </c>
      <c r="F713" s="5" t="s">
        <v>224</v>
      </c>
      <c r="G713" s="14" t="str">
        <f t="array" ref="G713">IF(B713="", "",
  LET(_xlpm.spell, IFERROR(IF(F713="", "", INDEX(_xlws.FILTER(Hairstyles!$F:$F, ISNUMBER(SEARCH(F713, Hairstyles!$B:$B))), 1)), "No Spell for Hairstyle"),
  _xlpm.vanillaPrefix, IF(LEFT(_xlpm.spell, 7)="Uvi_Wig", "", ";"),
  ";" &amp; IF(C713="", B713, C713) &amp; IF(M713="", "", " ("&amp;M713&amp;")") &amp; CHAR(10) &amp;
  _xlpm.vanillaPrefix &amp; "Keyword = Uvi_Wig_Distr_KYWD|" &amp; B713 &amp; CHAR(10) &amp;
  _xlpm.vanillaPrefix &amp; "Spell = " &amp; _xlpm.spell &amp; "|" &amp; B713
  )
)</f>
        <v>;Heddic Volunnar
;Keyword = Uvi_Wig_Distr_KYWD|dunVolunruudGenealogist
;Spell = No Spell for Hairstyle|dunVolunruudGenealogist</v>
      </c>
    </row>
    <row r="714" ht="12.75" customHeight="1">
      <c r="A714" s="5" t="s">
        <v>3242</v>
      </c>
      <c r="B714" s="5" t="s">
        <v>3243</v>
      </c>
      <c r="C714" s="5" t="s">
        <v>3244</v>
      </c>
      <c r="D714" s="5" t="s">
        <v>38</v>
      </c>
      <c r="E714" s="5" t="s">
        <v>41</v>
      </c>
      <c r="F714" s="5" t="s">
        <v>1041</v>
      </c>
      <c r="G714" s="14" t="str">
        <f t="array" ref="G714">IF(B714="", "",
  LET(_xlpm.spell, IFERROR(IF(F714="", "", INDEX(_xlws.FILTER(Hairstyles!$F:$F, ISNUMBER(SEARCH(F714, Hairstyles!$B:$B))), 1)), "No Spell for Hairstyle"),
  _xlpm.vanillaPrefix, IF(LEFT(_xlpm.spell, 7)="Uvi_Wig", "", ";"),
  ";" &amp; IF(C714="", B714, C714) &amp; IF(M714="", "", " ("&amp;M714&amp;")") &amp; CHAR(10) &amp;
  _xlpm.vanillaPrefix &amp; "Keyword = Uvi_Wig_Distr_KYWD|" &amp; B714 &amp; CHAR(10) &amp;
  _xlpm.vanillaPrefix &amp; "Spell = " &amp; _xlpm.spell &amp; "|" &amp; B714
  )
)</f>
        <v>;Hefid the Deaf
;Keyword = Uvi_Wig_Distr_KYWD|Hefid
;Spell = No Spell for Hairstyle|Hefid</v>
      </c>
    </row>
    <row r="715" ht="12.75" customHeight="1">
      <c r="A715" s="5" t="s">
        <v>3245</v>
      </c>
      <c r="B715" s="5" t="s">
        <v>3246</v>
      </c>
      <c r="C715" s="5" t="s">
        <v>3246</v>
      </c>
      <c r="D715" s="5" t="s">
        <v>38</v>
      </c>
      <c r="E715" s="5" t="s">
        <v>233</v>
      </c>
      <c r="F715" s="5" t="s">
        <v>218</v>
      </c>
      <c r="G715" s="14" t="str">
        <f t="array" ref="G715">IF(B715="", "",
  LET(_xlpm.spell, IFERROR(IF(F715="", "", INDEX(_xlws.FILTER(Hairstyles!$F:$F, ISNUMBER(SEARCH(F715, Hairstyles!$B:$B))), 1)), "No Spell for Hairstyle"),
  _xlpm.vanillaPrefix, IF(LEFT(_xlpm.spell, 7)="Uvi_Wig", "", ";"),
  ";" &amp; IF(C715="", B715, C715) &amp; IF(M715="", "", " ("&amp;M715&amp;")") &amp; CHAR(10) &amp;
  _xlpm.vanillaPrefix &amp; "Keyword = Uvi_Wig_Distr_KYWD|" &amp; B715 &amp; CHAR(10) &amp;
  _xlpm.vanillaPrefix &amp; "Spell = " &amp; _xlpm.spell &amp; "|" &amp; B715
  )
)</f>
        <v>;Heimskr
;Keyword = Uvi_Wig_Distr_KYWD|Heimskr
;Spell = No Spell for Hairstyle|Heimskr</v>
      </c>
    </row>
    <row r="716" ht="12.75" customHeight="1">
      <c r="A716" s="15" t="s">
        <v>3247</v>
      </c>
      <c r="B716" s="5" t="s">
        <v>3248</v>
      </c>
      <c r="C716" s="5" t="s">
        <v>3248</v>
      </c>
      <c r="D716" s="5" t="s">
        <v>38</v>
      </c>
      <c r="E716" s="5" t="s">
        <v>233</v>
      </c>
      <c r="F716" s="5" t="s">
        <v>68</v>
      </c>
      <c r="G716" s="14" t="str">
        <f t="array" ref="G716">IF(B716="", "",
  LET(_xlpm.spell, IFERROR(IF(F716="", "", INDEX(_xlws.FILTER(Hairstyles!$F:$F, ISNUMBER(SEARCH(F716, Hairstyles!$B:$B))), 1)), "No Spell for Hairstyle"),
  _xlpm.vanillaPrefix, IF(LEFT(_xlpm.spell, 7)="Uvi_Wig", "", ";"),
  ";" &amp; IF(C716="", B716, C716) &amp; IF(M716="", "", " ("&amp;M716&amp;")") &amp; CHAR(10) &amp;
  _xlpm.vanillaPrefix &amp; "Keyword = Uvi_Wig_Distr_KYWD|" &amp; B716 &amp; CHAR(10) &amp;
  _xlpm.vanillaPrefix &amp; "Spell = " &amp; _xlpm.spell &amp; "|" &amp; B716
  )
)</f>
        <v>;Heimvar
;Keyword = Uvi_Wig_Distr_KYWD|Heimvar
;Spell = No Spell for Hairstyle|Heimvar</v>
      </c>
    </row>
    <row r="717" ht="12.75" customHeight="1">
      <c r="A717" s="5" t="s">
        <v>3249</v>
      </c>
      <c r="B717" s="5" t="s">
        <v>3250</v>
      </c>
      <c r="C717" s="5" t="s">
        <v>3251</v>
      </c>
      <c r="D717" s="5" t="s">
        <v>74</v>
      </c>
      <c r="E717" s="5" t="s">
        <v>41</v>
      </c>
      <c r="F717" s="5" t="s">
        <v>28</v>
      </c>
      <c r="G717" s="14" t="str">
        <f t="array" ref="G717">IF(B717="", "",
  LET(_xlpm.spell, IFERROR(IF(F717="", "", INDEX(_xlws.FILTER(Hairstyles!$F:$F, ISNUMBER(SEARCH(F717, Hairstyles!$B:$B))), 1)), "No Spell for Hairstyle"),
  _xlpm.vanillaPrefix, IF(LEFT(_xlpm.spell, 7)="Uvi_Wig", "", ";"),
  ";" &amp; IF(C717="", B717, C717) &amp; IF(M717="", "", " ("&amp;M717&amp;")") &amp; CHAR(10) &amp;
  _xlpm.vanillaPrefix &amp; "Keyword = Uvi_Wig_Distr_KYWD|" &amp; B717 &amp; CHAR(10) &amp;
  _xlpm.vanillaPrefix &amp; "Spell = " &amp; _xlpm.spell &amp; "|" &amp; B717
  )
)</f>
        <v>;Helgi's Ghost
;Keyword = Uvi_Wig_Distr_KYWD|MS14Helgi
;Spell = No Spell for Hairstyle|MS14Helgi</v>
      </c>
    </row>
    <row r="718" ht="12.75" customHeight="1">
      <c r="A718" s="15" t="s">
        <v>3252</v>
      </c>
      <c r="B718" s="5" t="s">
        <v>3253</v>
      </c>
      <c r="C718" s="5" t="s">
        <v>3253</v>
      </c>
      <c r="D718" s="5" t="s">
        <v>51</v>
      </c>
      <c r="E718" s="5" t="s">
        <v>41</v>
      </c>
      <c r="F718" s="5" t="s">
        <v>3254</v>
      </c>
      <c r="G718" s="14" t="str">
        <f t="array" ref="G718">IF(B718="", "",
  LET(_xlpm.spell, IFERROR(IF(F718="", "", INDEX(_xlws.FILTER(Hairstyles!$F:$F, ISNUMBER(SEARCH(F718, Hairstyles!$B:$B))), 1)), "No Spell for Hairstyle"),
  _xlpm.vanillaPrefix, IF(LEFT(_xlpm.spell, 7)="Uvi_Wig", "", ";"),
  ";" &amp; IF(C718="", B718, C718) &amp; IF(M718="", "", " ("&amp;M718&amp;")") &amp; CHAR(10) &amp;
  _xlpm.vanillaPrefix &amp; "Keyword = Uvi_Wig_Distr_KYWD|" &amp; B718 &amp; CHAR(10) &amp;
  _xlpm.vanillaPrefix &amp; "Spell = " &amp; _xlpm.spell &amp; "|" &amp; B718
  )
)</f>
        <v>;Helgird
;Keyword = Uvi_Wig_Distr_KYWD|Helgird
;Spell = No Spell for Hairstyle|Helgird</v>
      </c>
    </row>
    <row r="719" ht="12.75" customHeight="1">
      <c r="A719" s="15" t="s">
        <v>3255</v>
      </c>
      <c r="B719" s="5" t="s">
        <v>3256</v>
      </c>
      <c r="C719" s="5" t="s">
        <v>3256</v>
      </c>
      <c r="D719" s="5" t="s">
        <v>38</v>
      </c>
      <c r="E719" s="5" t="s">
        <v>233</v>
      </c>
      <c r="F719" s="5" t="s">
        <v>84</v>
      </c>
      <c r="G719" s="14" t="str">
        <f t="array" ref="G719">IF(B719="", "",
  LET(_xlpm.spell, IFERROR(IF(F719="", "", INDEX(_xlws.FILTER(Hairstyles!$F:$F, ISNUMBER(SEARCH(F719, Hairstyles!$B:$B))), 1)), "No Spell for Hairstyle"),
  _xlpm.vanillaPrefix, IF(LEFT(_xlpm.spell, 7)="Uvi_Wig", "", ";"),
  ";" &amp; IF(C719="", B719, C719) &amp; IF(M719="", "", " ("&amp;M719&amp;")") &amp; CHAR(10) &amp;
  _xlpm.vanillaPrefix &amp; "Keyword = Uvi_Wig_Distr_KYWD|" &amp; B719 &amp; CHAR(10) &amp;
  _xlpm.vanillaPrefix &amp; "Spell = " &amp; _xlpm.spell &amp; "|" &amp; B719
  )
)</f>
        <v>;Helvard
;Keyword = Uvi_Wig_Distr_KYWD|Helvard
;Spell = No Spell for Hairstyle|Helvard</v>
      </c>
    </row>
    <row r="720" ht="12.75" customHeight="1">
      <c r="A720" s="15" t="s">
        <v>3257</v>
      </c>
      <c r="B720" s="5" t="s">
        <v>3258</v>
      </c>
      <c r="C720" s="5" t="s">
        <v>3259</v>
      </c>
      <c r="D720" s="5" t="s">
        <v>38</v>
      </c>
      <c r="E720" s="5" t="s">
        <v>233</v>
      </c>
      <c r="F720" s="5" t="s">
        <v>1678</v>
      </c>
      <c r="G720" s="14" t="str">
        <f t="array" ref="G720">IF(B720="", "",
  LET(_xlpm.spell, IFERROR(IF(F720="", "", INDEX(_xlws.FILTER(Hairstyles!$F:$F, ISNUMBER(SEARCH(F720, Hairstyles!$B:$B))), 1)), "No Spell for Hairstyle"),
  _xlpm.vanillaPrefix, IF(LEFT(_xlpm.spell, 7)="Uvi_Wig", "", ";"),
  ";" &amp; IF(C720="", B720, C720) &amp; IF(M720="", "", " ("&amp;M720&amp;")") &amp; CHAR(10) &amp;
  _xlpm.vanillaPrefix &amp; "Keyword = Uvi_Wig_Distr_KYWD|" &amp; B720 &amp; CHAR(10) &amp;
  _xlpm.vanillaPrefix &amp; "Spell = " &amp; _xlpm.spell &amp; "|" &amp; B720
  )
)</f>
        <v>;Hemming Black-Briar
;Keyword = Uvi_Wig_Distr_KYWD|Hemming
;Spell = No Spell for Hairstyle|Hemming</v>
      </c>
    </row>
    <row r="721" ht="12.75" customHeight="1">
      <c r="A721" s="5" t="s">
        <v>3260</v>
      </c>
      <c r="B721" s="5" t="s">
        <v>3261</v>
      </c>
      <c r="C721" s="5" t="s">
        <v>3262</v>
      </c>
      <c r="D721" s="5" t="s">
        <v>38</v>
      </c>
      <c r="E721" s="5" t="s">
        <v>233</v>
      </c>
      <c r="F721" s="5" t="s">
        <v>1906</v>
      </c>
      <c r="G721" s="14" t="str">
        <f t="array" ref="G721">IF(B721="", "",
  LET(_xlpm.spell, IFERROR(IF(F721="", "", INDEX(_xlws.FILTER(Hairstyles!$F:$F, ISNUMBER(SEARCH(F721, Hairstyles!$B:$B))), 1)), "No Spell for Hairstyle"),
  _xlpm.vanillaPrefix, IF(LEFT(_xlpm.spell, 7)="Uvi_Wig", "", ";"),
  ";" &amp; IF(C721="", B721, C721) &amp; IF(M721="", "", " ("&amp;M721&amp;")") &amp; CHAR(10) &amp;
  _xlpm.vanillaPrefix &amp; "Keyword = Uvi_Wig_Distr_KYWD|" &amp; B721 &amp; CHAR(10) &amp;
  _xlpm.vanillaPrefix &amp; "Spell = " &amp; _xlpm.spell &amp; "|" &amp; B721
  )
)</f>
        <v>;Henrik
;Keyword = Uvi_Wig_Distr_KYWD|MS06Victim
;Spell = No Spell for Hairstyle|MS06Victim</v>
      </c>
    </row>
    <row r="722" ht="12.75" customHeight="1">
      <c r="A722" s="5" t="s">
        <v>3263</v>
      </c>
      <c r="B722" s="5" t="s">
        <v>3264</v>
      </c>
      <c r="C722" s="5" t="s">
        <v>3265</v>
      </c>
      <c r="D722" s="5" t="s">
        <v>38</v>
      </c>
      <c r="E722" s="5" t="s">
        <v>233</v>
      </c>
      <c r="F722" s="5" t="s">
        <v>1919</v>
      </c>
      <c r="G722" s="14" t="str">
        <f t="array" ref="G722">IF(B722="", "",
  LET(_xlpm.spell, IFERROR(IF(F722="", "", INDEX(_xlws.FILTER(Hairstyles!$F:$F, ISNUMBER(SEARCH(F722, Hairstyles!$B:$B))), 1)), "No Spell for Hairstyle"),
  _xlpm.vanillaPrefix, IF(LEFT(_xlpm.spell, 7)="Uvi_Wig", "", ";"),
  ";" &amp; IF(C722="", B722, C722) &amp; IF(M722="", "", " ("&amp;M722&amp;")") &amp; CHAR(10) &amp;
  _xlpm.vanillaPrefix &amp; "Keyword = Uvi_Wig_Distr_KYWD|" &amp; B722 &amp; CHAR(10) &amp;
  _xlpm.vanillaPrefix &amp; "Spell = " &amp; _xlpm.spell &amp; "|" &amp; B722
  )
)</f>
        <v>;Heratar
;Keyword = Uvi_Wig_Distr_KYWD|DA05Hunter13_04Melee_Heratar
;Spell = No Spell for Hairstyle|DA05Hunter13_04Melee_Heratar</v>
      </c>
    </row>
    <row r="723" ht="12.75" customHeight="1">
      <c r="A723" s="5" t="s">
        <v>3266</v>
      </c>
      <c r="B723" s="5" t="s">
        <v>3267</v>
      </c>
      <c r="C723" s="5" t="s">
        <v>3268</v>
      </c>
      <c r="D723" s="5" t="s">
        <v>59</v>
      </c>
      <c r="E723" s="5" t="s">
        <v>233</v>
      </c>
      <c r="F723" s="5" t="s">
        <v>218</v>
      </c>
      <c r="G723" s="14" t="str">
        <f t="array" ref="G723">IF(B723="", "",
  LET(_xlpm.spell, IFERROR(IF(F723="", "", INDEX(_xlws.FILTER(Hairstyles!$F:$F, ISNUMBER(SEARCH(F723, Hairstyles!$B:$B))), 1)), "No Spell for Hairstyle"),
  _xlpm.vanillaPrefix, IF(LEFT(_xlpm.spell, 7)="Uvi_Wig", "", ";"),
  ";" &amp; IF(C723="", B723, C723) &amp; IF(M723="", "", " ("&amp;M723&amp;")") &amp; CHAR(10) &amp;
  _xlpm.vanillaPrefix &amp; "Keyword = Uvi_Wig_Distr_KYWD|" &amp; B723 &amp; CHAR(10) &amp;
  _xlpm.vanillaPrefix &amp; "Spell = " &amp; _xlpm.spell &amp; "|" &amp; B723
  )
)</f>
        <v>;Herebane Sorenshield
;Keyword = Uvi_Wig_Distr_KYWD|dunRRHerebaneSorenshield
;Spell = No Spell for Hairstyle|dunRRHerebaneSorenshield</v>
      </c>
    </row>
    <row r="724" ht="12.75" customHeight="1">
      <c r="A724" s="5" t="s">
        <v>3269</v>
      </c>
      <c r="B724" s="5" t="s">
        <v>3270</v>
      </c>
      <c r="C724" s="5" t="s">
        <v>3271</v>
      </c>
      <c r="D724" s="5" t="s">
        <v>38</v>
      </c>
      <c r="E724" s="5" t="s">
        <v>41</v>
      </c>
      <c r="F724" s="5" t="s">
        <v>270</v>
      </c>
      <c r="G724" s="14" t="str">
        <f t="array" ref="G724">IF(B724="", "",
  LET(_xlpm.spell, IFERROR(IF(F724="", "", INDEX(_xlws.FILTER(Hairstyles!$F:$F, ISNUMBER(SEARCH(F724, Hairstyles!$B:$B))), 1)), "No Spell for Hairstyle"),
  _xlpm.vanillaPrefix, IF(LEFT(_xlpm.spell, 7)="Uvi_Wig", "", ";"),
  ";" &amp; IF(C724="", B724, C724) &amp; IF(M724="", "", " ("&amp;M724&amp;")") &amp; CHAR(10) &amp;
  _xlpm.vanillaPrefix &amp; "Keyword = Uvi_Wig_Distr_KYWD|" &amp; B724 &amp; CHAR(10) &amp;
  _xlpm.vanillaPrefix &amp; "Spell = " &amp; _xlpm.spell &amp; "|" &amp; B724
  )
)</f>
        <v>;Herkja
;Keyword = Uvi_Wig_Distr_KYWD|DLC2Herkja
;Spell = No Spell for Hairstyle|DLC2Herkja</v>
      </c>
    </row>
    <row r="725" ht="12.75" customHeight="1">
      <c r="A725" s="5" t="s">
        <v>3272</v>
      </c>
      <c r="B725" s="5" t="s">
        <v>3273</v>
      </c>
      <c r="C725" s="5" t="s">
        <v>3274</v>
      </c>
      <c r="D725" s="5" t="s">
        <v>16</v>
      </c>
      <c r="E725" s="5" t="s">
        <v>233</v>
      </c>
      <c r="F725" s="5" t="s">
        <v>346</v>
      </c>
      <c r="G725" s="14" t="str">
        <f t="array" ref="G725">IF(B725="", "",
  LET(_xlpm.spell, IFERROR(IF(F725="", "", INDEX(_xlws.FILTER(Hairstyles!$F:$F, ISNUMBER(SEARCH(F725, Hairstyles!$B:$B))), 1)), "No Spell for Hairstyle"),
  _xlpm.vanillaPrefix, IF(LEFT(_xlpm.spell, 7)="Uvi_Wig", "", ";"),
  ";" &amp; IF(C725="", B725, C725) &amp; IF(M725="", "", " ("&amp;M725&amp;")") &amp; CHAR(10) &amp;
  _xlpm.vanillaPrefix &amp; "Keyword = Uvi_Wig_Distr_KYWD|" &amp; B725 &amp; CHAR(10) &amp;
  _xlpm.vanillaPrefix &amp; "Spell = " &amp; _xlpm.spell &amp; "|" &amp; B725
  )
)</f>
        <v>;Herluin Lothaire
;Keyword = Uvi_Wig_Distr_KYWD|HerluinLothaire
;Spell = No Spell for Hairstyle|HerluinLothaire</v>
      </c>
    </row>
    <row r="726" ht="12.75" customHeight="1">
      <c r="A726" s="5" t="s">
        <v>3275</v>
      </c>
      <c r="B726" s="5" t="s">
        <v>3276</v>
      </c>
      <c r="C726" s="5" t="s">
        <v>3277</v>
      </c>
      <c r="D726" s="5" t="s">
        <v>80</v>
      </c>
      <c r="E726" s="5" t="s">
        <v>233</v>
      </c>
      <c r="F726" s="5" t="s">
        <v>1876</v>
      </c>
      <c r="G726" s="14" t="str">
        <f t="array" ref="G726">IF(B726="", "",
  LET(_xlpm.spell, IFERROR(IF(F726="", "", INDEX(_xlws.FILTER(Hairstyles!$F:$F, ISNUMBER(SEARCH(F726, Hairstyles!$B:$B))), 1)), "No Spell for Hairstyle"),
  _xlpm.vanillaPrefix, IF(LEFT(_xlpm.spell, 7)="Uvi_Wig", "", ";"),
  ";" &amp; IF(C726="", B726, C726) &amp; IF(M726="", "", " ("&amp;M726&amp;")") &amp; CHAR(10) &amp;
  _xlpm.vanillaPrefix &amp; "Keyword = Uvi_Wig_Distr_KYWD|" &amp; B726 &amp; CHAR(10) &amp;
  _xlpm.vanillaPrefix &amp; "Spell = " &amp; _xlpm.spell &amp; "|" &amp; B726
  )
)</f>
        <v>;Hermaeus Mora
;Keyword = Uvi_Wig_Distr_KYWD|DLC2HermaeusMoraVoice
;Spell = No Spell for Hairstyle|DLC2HermaeusMoraVoice</v>
      </c>
    </row>
    <row r="727" ht="12.75" customHeight="1">
      <c r="A727" s="5" t="s">
        <v>3278</v>
      </c>
      <c r="B727" s="5" t="s">
        <v>3279</v>
      </c>
      <c r="C727" s="5" t="s">
        <v>3280</v>
      </c>
      <c r="D727" s="5" t="s">
        <v>38</v>
      </c>
      <c r="E727" s="5" t="s">
        <v>41</v>
      </c>
      <c r="F727" s="5" t="s">
        <v>905</v>
      </c>
      <c r="G727" s="14" t="str">
        <f t="array" ref="G727">IF(B727="", "",
  LET(_xlpm.spell, IFERROR(IF(F727="", "", INDEX(_xlws.FILTER(Hairstyles!$F:$F, ISNUMBER(SEARCH(F727, Hairstyles!$B:$B))), 1)), "No Spell for Hairstyle"),
  _xlpm.vanillaPrefix, IF(LEFT(_xlpm.spell, 7)="Uvi_Wig", "", ";"),
  ";" &amp; IF(C727="", B727, C727) &amp; IF(M727="", "", " ("&amp;M727&amp;")") &amp; CHAR(10) &amp;
  _xlpm.vanillaPrefix &amp; "Keyword = Uvi_Wig_Distr_KYWD|" &amp; B727 &amp; CHAR(10) &amp;
  _xlpm.vanillaPrefix &amp; "Spell = " &amp; _xlpm.spell &amp; "|" &amp; B727
  )
)</f>
        <v>;Hermir Strong-Heart
;Keyword = Uvi_Wig_Distr_KYWD|Hermir
;Spell = No Spell for Hairstyle|Hermir</v>
      </c>
    </row>
    <row r="728" ht="12.75" customHeight="1">
      <c r="A728" s="5" t="s">
        <v>3281</v>
      </c>
      <c r="B728" s="5" t="s">
        <v>3282</v>
      </c>
      <c r="C728" s="5" t="s">
        <v>3282</v>
      </c>
      <c r="D728" s="5" t="s">
        <v>79</v>
      </c>
      <c r="E728" s="5" t="s">
        <v>233</v>
      </c>
      <c r="F728" s="5" t="s">
        <v>40</v>
      </c>
      <c r="G728" s="14" t="str">
        <f t="array" ref="G728">IF(B728="", "",
  LET(_xlpm.spell, IFERROR(IF(F728="", "", INDEX(_xlws.FILTER(Hairstyles!$F:$F, ISNUMBER(SEARCH(F728, Hairstyles!$B:$B))), 1)), "No Spell for Hairstyle"),
  _xlpm.vanillaPrefix, IF(LEFT(_xlpm.spell, 7)="Uvi_Wig", "", ";"),
  ";" &amp; IF(C728="", B728, C728) &amp; IF(M728="", "", " ("&amp;M728&amp;")") &amp; CHAR(10) &amp;
  _xlpm.vanillaPrefix &amp; "Keyword = Uvi_Wig_Distr_KYWD|" &amp; B728 &amp; CHAR(10) &amp;
  _xlpm.vanillaPrefix &amp; "Spell = " &amp; _xlpm.spell &amp; "|" &amp; B728
  )
)</f>
        <v>;Hern
;Keyword = Uvi_Wig_Distr_KYWD|Hern
;Spell = No Spell for Hairstyle|Hern</v>
      </c>
    </row>
    <row r="729" ht="12.75" customHeight="1">
      <c r="A729" s="15" t="s">
        <v>3283</v>
      </c>
      <c r="B729" s="5" t="s">
        <v>3284</v>
      </c>
      <c r="C729" s="5" t="s">
        <v>3285</v>
      </c>
      <c r="D729" s="5" t="s">
        <v>38</v>
      </c>
      <c r="E729" s="5" t="s">
        <v>233</v>
      </c>
      <c r="F729" s="5" t="s">
        <v>1566</v>
      </c>
      <c r="G729" s="14" t="str">
        <f t="array" ref="G729">IF(B729="", "",
  LET(_xlpm.spell, IFERROR(IF(F729="", "", INDEX(_xlws.FILTER(Hairstyles!$F:$F, ISNUMBER(SEARCH(F729, Hairstyles!$B:$B))), 1)), "No Spell for Hairstyle"),
  _xlpm.vanillaPrefix, IF(LEFT(_xlpm.spell, 7)="Uvi_Wig", "", ";"),
  ";" &amp; IF(C729="", B729, C729) &amp; IF(M729="", "", " ("&amp;M729&amp;")") &amp; CHAR(10) &amp;
  _xlpm.vanillaPrefix &amp; "Keyword = Uvi_Wig_Distr_KYWD|" &amp; B729 &amp; CHAR(10) &amp;
  _xlpm.vanillaPrefix &amp; "Spell = " &amp; _xlpm.spell &amp; "|" &amp; B729
  )
)</f>
        <v>;Hero of Sovngarde
;Keyword = Uvi_Wig_Distr_KYWD|MQ305SovngardeBard
;Spell = No Spell for Hairstyle|MQ305SovngardeBard</v>
      </c>
    </row>
    <row r="730" ht="12.75" customHeight="1">
      <c r="A730" s="5" t="s">
        <v>3286</v>
      </c>
      <c r="B730" s="5" t="s">
        <v>3287</v>
      </c>
      <c r="C730" s="5" t="s">
        <v>3285</v>
      </c>
      <c r="D730" s="5" t="s">
        <v>38</v>
      </c>
      <c r="E730" s="5" t="s">
        <v>233</v>
      </c>
      <c r="F730" s="5" t="s">
        <v>1894</v>
      </c>
      <c r="G730" s="14" t="str">
        <f t="array" ref="G730">IF(B730="", "",
  LET(_xlpm.spell, IFERROR(IF(F730="", "", INDEX(_xlws.FILTER(Hairstyles!$F:$F, ISNUMBER(SEARCH(F730, Hairstyles!$B:$B))), 1)), "No Spell for Hairstyle"),
  _xlpm.vanillaPrefix, IF(LEFT(_xlpm.spell, 7)="Uvi_Wig", "", ";"),
  ";" &amp; IF(C730="", B730, C730) &amp; IF(M730="", "", " ("&amp;M730&amp;")") &amp; CHAR(10) &amp;
  _xlpm.vanillaPrefix &amp; "Keyword = Uvi_Wig_Distr_KYWD|" &amp; B730 &amp; CHAR(10) &amp;
  _xlpm.vanillaPrefix &amp; "Spell = " &amp; _xlpm.spell &amp; "|" &amp; B730
  )
)</f>
        <v>;Hero of Sovngarde
;Keyword = Uvi_Wig_Distr_KYWD|MQ305SovngardeBardDrummer
;Spell = No Spell for Hairstyle|MQ305SovngardeBardDrummer</v>
      </c>
    </row>
    <row r="731" ht="12.75" customHeight="1">
      <c r="A731" s="5" t="s">
        <v>3288</v>
      </c>
      <c r="B731" s="5" t="s">
        <v>3289</v>
      </c>
      <c r="C731" s="5" t="s">
        <v>3285</v>
      </c>
      <c r="D731" s="5" t="s">
        <v>38</v>
      </c>
      <c r="E731" s="5" t="s">
        <v>41</v>
      </c>
      <c r="F731" s="5" t="s">
        <v>69</v>
      </c>
      <c r="G731" s="14" t="str">
        <f t="array" ref="G731">IF(B731="", "",
  LET(_xlpm.spell, IFERROR(IF(F731="", "", INDEX(_xlws.FILTER(Hairstyles!$F:$F, ISNUMBER(SEARCH(F731, Hairstyles!$B:$B))), 1)), "No Spell for Hairstyle"),
  _xlpm.vanillaPrefix, IF(LEFT(_xlpm.spell, 7)="Uvi_Wig", "", ";"),
  ";" &amp; IF(C731="", B731, C731) &amp; IF(M731="", "", " ("&amp;M731&amp;")") &amp; CHAR(10) &amp;
  _xlpm.vanillaPrefix &amp; "Keyword = Uvi_Wig_Distr_KYWD|" &amp; B731 &amp; CHAR(10) &amp;
  _xlpm.vanillaPrefix &amp; "Spell = " &amp; _xlpm.spell &amp; "|" &amp; B731
  )
)</f>
        <v>;Hero of Sovngarde
;Keyword = Uvi_Wig_Distr_KYWD|MQ305SovngardeHeroFemale
;Spell = No Spell for Hairstyle|MQ305SovngardeHeroFemale</v>
      </c>
    </row>
    <row r="732" ht="12.75" customHeight="1">
      <c r="A732" s="15" t="s">
        <v>3290</v>
      </c>
      <c r="B732" s="5" t="s">
        <v>3291</v>
      </c>
      <c r="C732" s="5" t="s">
        <v>3285</v>
      </c>
      <c r="D732" s="5" t="s">
        <v>38</v>
      </c>
      <c r="E732" s="5" t="s">
        <v>41</v>
      </c>
      <c r="F732" s="5" t="s">
        <v>371</v>
      </c>
      <c r="G732" s="14" t="str">
        <f t="array" ref="G732">IF(B732="", "",
  LET(_xlpm.spell, IFERROR(IF(F732="", "", INDEX(_xlws.FILTER(Hairstyles!$F:$F, ISNUMBER(SEARCH(F732, Hairstyles!$B:$B))), 1)), "No Spell for Hairstyle"),
  _xlpm.vanillaPrefix, IF(LEFT(_xlpm.spell, 7)="Uvi_Wig", "", ";"),
  ";" &amp; IF(C732="", B732, C732) &amp; IF(M732="", "", " ("&amp;M732&amp;")") &amp; CHAR(10) &amp;
  _xlpm.vanillaPrefix &amp; "Keyword = Uvi_Wig_Distr_KYWD|" &amp; B732 &amp; CHAR(10) &amp;
  _xlpm.vanillaPrefix &amp; "Spell = " &amp; _xlpm.spell &amp; "|" &amp; B732
  )
)</f>
        <v>;Hero of Sovngarde
;Keyword = Uvi_Wig_Distr_KYWD|MQ305SovngardeHeroFemale3
;Spell = No Spell for Hairstyle|MQ305SovngardeHeroFemale3</v>
      </c>
    </row>
    <row r="733" ht="12.75" customHeight="1">
      <c r="A733" s="15" t="s">
        <v>3292</v>
      </c>
      <c r="B733" s="5" t="s">
        <v>3293</v>
      </c>
      <c r="C733" s="5" t="s">
        <v>3285</v>
      </c>
      <c r="D733" s="5" t="s">
        <v>38</v>
      </c>
      <c r="E733" s="5" t="s">
        <v>41</v>
      </c>
      <c r="F733" s="5" t="s">
        <v>1996</v>
      </c>
      <c r="G733" s="14" t="str">
        <f t="array" ref="G733">IF(B733="", "",
  LET(_xlpm.spell, IFERROR(IF(F733="", "", INDEX(_xlws.FILTER(Hairstyles!$F:$F, ISNUMBER(SEARCH(F733, Hairstyles!$B:$B))), 1)), "No Spell for Hairstyle"),
  _xlpm.vanillaPrefix, IF(LEFT(_xlpm.spell, 7)="Uvi_Wig", "", ";"),
  ";" &amp; IF(C733="", B733, C733) &amp; IF(M733="", "", " ("&amp;M733&amp;")") &amp; CHAR(10) &amp;
  _xlpm.vanillaPrefix &amp; "Keyword = Uvi_Wig_Distr_KYWD|" &amp; B733 &amp; CHAR(10) &amp;
  _xlpm.vanillaPrefix &amp; "Spell = " &amp; _xlpm.spell &amp; "|" &amp; B733
  )
)</f>
        <v>;Hero of Sovngarde
;Keyword = Uvi_Wig_Distr_KYWD|MQ305SovngardeHeroFemale4
;Spell = No Spell for Hairstyle|MQ305SovngardeHeroFemale4</v>
      </c>
    </row>
    <row r="734" ht="12.75" customHeight="1">
      <c r="A734" s="5" t="s">
        <v>3294</v>
      </c>
      <c r="B734" s="5" t="s">
        <v>3295</v>
      </c>
      <c r="C734" s="5" t="s">
        <v>3285</v>
      </c>
      <c r="D734" s="5" t="s">
        <v>38</v>
      </c>
      <c r="E734" s="5" t="s">
        <v>233</v>
      </c>
      <c r="F734" s="5" t="s">
        <v>695</v>
      </c>
      <c r="G734" s="14" t="str">
        <f t="array" ref="G734">IF(B734="", "",
  LET(_xlpm.spell, IFERROR(IF(F734="", "", INDEX(_xlws.FILTER(Hairstyles!$F:$F, ISNUMBER(SEARCH(F734, Hairstyles!$B:$B))), 1)), "No Spell for Hairstyle"),
  _xlpm.vanillaPrefix, IF(LEFT(_xlpm.spell, 7)="Uvi_Wig", "", ";"),
  ";" &amp; IF(C734="", B734, C734) &amp; IF(M734="", "", " ("&amp;M734&amp;")") &amp; CHAR(10) &amp;
  _xlpm.vanillaPrefix &amp; "Keyword = Uvi_Wig_Distr_KYWD|" &amp; B734 &amp; CHAR(10) &amp;
  _xlpm.vanillaPrefix &amp; "Spell = " &amp; _xlpm.spell &amp; "|" &amp; B734
  )
)</f>
        <v>;Hero of Sovngarde
;Keyword = Uvi_Wig_Distr_KYWD|MQ305SovngardeHeroMale
;Spell = No Spell for Hairstyle|MQ305SovngardeHeroMale</v>
      </c>
    </row>
    <row r="735" ht="12.75" customHeight="1">
      <c r="A735" s="15" t="s">
        <v>3296</v>
      </c>
      <c r="B735" s="5" t="s">
        <v>3297</v>
      </c>
      <c r="C735" s="5" t="s">
        <v>3285</v>
      </c>
      <c r="D735" s="5" t="s">
        <v>38</v>
      </c>
      <c r="E735" s="5" t="s">
        <v>233</v>
      </c>
      <c r="F735" s="5" t="s">
        <v>762</v>
      </c>
      <c r="G735" s="14" t="str">
        <f t="array" ref="G735">IF(B735="", "",
  LET(_xlpm.spell, IFERROR(IF(F735="", "", INDEX(_xlws.FILTER(Hairstyles!$F:$F, ISNUMBER(SEARCH(F735, Hairstyles!$B:$B))), 1)), "No Spell for Hairstyle"),
  _xlpm.vanillaPrefix, IF(LEFT(_xlpm.spell, 7)="Uvi_Wig", "", ";"),
  ";" &amp; IF(C735="", B735, C735) &amp; IF(M735="", "", " ("&amp;M735&amp;")") &amp; CHAR(10) &amp;
  _xlpm.vanillaPrefix &amp; "Keyword = Uvi_Wig_Distr_KYWD|" &amp; B735 &amp; CHAR(10) &amp;
  _xlpm.vanillaPrefix &amp; "Spell = " &amp; _xlpm.spell &amp; "|" &amp; B735
  )
)</f>
        <v>;Hero of Sovngarde
;Keyword = Uvi_Wig_Distr_KYWD|MQ305SovngardeHeroMale3
;Spell = No Spell for Hairstyle|MQ305SovngardeHeroMale3</v>
      </c>
    </row>
    <row r="736" ht="12.75" customHeight="1">
      <c r="A736" s="5" t="s">
        <v>3298</v>
      </c>
      <c r="B736" s="5" t="s">
        <v>3299</v>
      </c>
      <c r="C736" s="5" t="s">
        <v>3299</v>
      </c>
      <c r="D736" s="5" t="s">
        <v>79</v>
      </c>
      <c r="E736" s="5" t="s">
        <v>41</v>
      </c>
      <c r="F736" s="5" t="s">
        <v>1041</v>
      </c>
      <c r="G736" s="14" t="str">
        <f t="array" ref="G736">IF(B736="", "",
  LET(_xlpm.spell, IFERROR(IF(F736="", "", INDEX(_xlws.FILTER(Hairstyles!$F:$F, ISNUMBER(SEARCH(F736, Hairstyles!$B:$B))), 1)), "No Spell for Hairstyle"),
  _xlpm.vanillaPrefix, IF(LEFT(_xlpm.spell, 7)="Uvi_Wig", "", ";"),
  ";" &amp; IF(C736="", B736, C736) &amp; IF(M736="", "", " ("&amp;M736&amp;")") &amp; CHAR(10) &amp;
  _xlpm.vanillaPrefix &amp; "Keyword = Uvi_Wig_Distr_KYWD|" &amp; B736 &amp; CHAR(10) &amp;
  _xlpm.vanillaPrefix &amp; "Spell = " &amp; _xlpm.spell &amp; "|" &amp; B736
  )
)</f>
        <v>;Hert
;Keyword = Uvi_Wig_Distr_KYWD|Hert
;Spell = No Spell for Hairstyle|Hert</v>
      </c>
    </row>
    <row r="737" ht="12.75" customHeight="1">
      <c r="A737" s="15" t="s">
        <v>3300</v>
      </c>
      <c r="B737" s="5" t="s">
        <v>3301</v>
      </c>
      <c r="C737" s="5" t="s">
        <v>3302</v>
      </c>
      <c r="D737" s="5" t="s">
        <v>79</v>
      </c>
      <c r="E737" s="5" t="s">
        <v>41</v>
      </c>
      <c r="F737" s="5" t="s">
        <v>905</v>
      </c>
      <c r="G737" s="14" t="str">
        <f t="array" ref="G737">IF(B737="", "",
  LET(_xlpm.spell, IFERROR(IF(F737="", "", INDEX(_xlws.FILTER(Hairstyles!$F:$F, ISNUMBER(SEARCH(F737, Hairstyles!$B:$B))), 1)), "No Spell for Hairstyle"),
  _xlpm.vanillaPrefix, IF(LEFT(_xlpm.spell, 7)="Uvi_Wig", "", ";"),
  ";" &amp; IF(C737="", B737, C737) &amp; IF(M737="", "", " ("&amp;M737&amp;")") &amp; CHAR(10) &amp;
  _xlpm.vanillaPrefix &amp; "Keyword = Uvi_Wig_Distr_KYWD|" &amp; B737 &amp; CHAR(10) &amp;
  _xlpm.vanillaPrefix &amp; "Spell = " &amp; _xlpm.spell &amp; "|" &amp; B737
  )
)</f>
        <v>;Hestla
;Keyword = Uvi_Wig_Distr_KYWD|DLC1Hestla
;Spell = No Spell for Hairstyle|DLC1Hestla</v>
      </c>
    </row>
    <row r="738" ht="12.75" customHeight="1">
      <c r="A738" s="5" t="s">
        <v>3303</v>
      </c>
      <c r="B738" s="5" t="s">
        <v>3304</v>
      </c>
      <c r="C738" s="5" t="s">
        <v>3305</v>
      </c>
      <c r="D738" s="5" t="s">
        <v>38</v>
      </c>
      <c r="E738" s="5" t="s">
        <v>233</v>
      </c>
      <c r="F738" s="5" t="s">
        <v>40</v>
      </c>
      <c r="G738" s="14" t="str">
        <f t="array" ref="G738">IF(B738="", "",
  LET(_xlpm.spell, IFERROR(IF(F738="", "", INDEX(_xlws.FILTER(Hairstyles!$F:$F, ISNUMBER(SEARCH(F738, Hairstyles!$B:$B))), 1)), "No Spell for Hairstyle"),
  _xlpm.vanillaPrefix, IF(LEFT(_xlpm.spell, 7)="Uvi_Wig", "", ";"),
  ";" &amp; IF(C738="", B738, C738) &amp; IF(M738="", "", " ("&amp;M738&amp;")") &amp; CHAR(10) &amp;
  _xlpm.vanillaPrefix &amp; "Keyword = Uvi_Wig_Distr_KYWD|" &amp; B738 &amp; CHAR(10) &amp;
  _xlpm.vanillaPrefix &amp; "Spell = " &amp; _xlpm.spell &amp; "|" &amp; B738
  )
)</f>
        <v>;Hewnon Black-Skeever
;Keyword = Uvi_Wig_Distr_KYWD|Hewnon
;Spell = No Spell for Hairstyle|Hewnon</v>
      </c>
    </row>
    <row r="739" ht="12.75" customHeight="1">
      <c r="A739" s="5" t="s">
        <v>3306</v>
      </c>
      <c r="B739" s="5" t="s">
        <v>3307</v>
      </c>
      <c r="C739" s="5" t="s">
        <v>3308</v>
      </c>
      <c r="D739" s="5" t="s">
        <v>57</v>
      </c>
      <c r="E739" s="5" t="s">
        <v>41</v>
      </c>
      <c r="F739" s="5" t="s">
        <v>1967</v>
      </c>
      <c r="G739" s="14" t="str">
        <f t="array" ref="G739">IF(B739="", "",
  LET(_xlpm.spell, IFERROR(IF(F739="", "", INDEX(_xlws.FILTER(Hairstyles!$F:$F, ISNUMBER(SEARCH(F739, Hairstyles!$B:$B))), 1)), "No Spell for Hairstyle"),
  _xlpm.vanillaPrefix, IF(LEFT(_xlpm.spell, 7)="Uvi_Wig", "", ";"),
  ";" &amp; IF(C739="", B739, C739) &amp; IF(M739="", "", " ("&amp;M739&amp;")") &amp; CHAR(10) &amp;
  _xlpm.vanillaPrefix &amp; "Keyword = Uvi_Wig_Distr_KYWD|" &amp; B739 &amp; CHAR(10) &amp;
  _xlpm.vanillaPrefix &amp; "Spell = " &amp; _xlpm.spell &amp; "|" &amp; B739
  )
)</f>
        <v>;High Elf
;Keyword = Uvi_Wig_Distr_KYWD|TreasCorpseCommonerHighElfFemale
;Spell = No Spell for Hairstyle|TreasCorpseCommonerHighElfFemale</v>
      </c>
    </row>
    <row r="740" ht="12.75" customHeight="1">
      <c r="A740" s="15" t="s">
        <v>3309</v>
      </c>
      <c r="B740" s="5" t="s">
        <v>3310</v>
      </c>
      <c r="C740" s="5" t="s">
        <v>3308</v>
      </c>
      <c r="D740" s="5" t="s">
        <v>57</v>
      </c>
      <c r="E740" s="5" t="s">
        <v>233</v>
      </c>
      <c r="F740" s="5" t="s">
        <v>2489</v>
      </c>
      <c r="G740" s="14" t="str">
        <f t="array" ref="G740">IF(B740="", "",
  LET(_xlpm.spell, IFERROR(IF(F740="", "", INDEX(_xlws.FILTER(Hairstyles!$F:$F, ISNUMBER(SEARCH(F740, Hairstyles!$B:$B))), 1)), "No Spell for Hairstyle"),
  _xlpm.vanillaPrefix, IF(LEFT(_xlpm.spell, 7)="Uvi_Wig", "", ";"),
  ";" &amp; IF(C740="", B740, C740) &amp; IF(M740="", "", " ("&amp;M740&amp;")") &amp; CHAR(10) &amp;
  _xlpm.vanillaPrefix &amp; "Keyword = Uvi_Wig_Distr_KYWD|" &amp; B740 &amp; CHAR(10) &amp;
  _xlpm.vanillaPrefix &amp; "Spell = " &amp; _xlpm.spell &amp; "|" &amp; B740
  )
)</f>
        <v>;High Elf
;Keyword = Uvi_Wig_Distr_KYWD|TreasCorpseCommonerHighElfMale
;Spell = No Spell for Hairstyle|TreasCorpseCommonerHighElfMale</v>
      </c>
    </row>
    <row r="741" ht="12.75" customHeight="1">
      <c r="A741" s="5" t="s">
        <v>3311</v>
      </c>
      <c r="B741" s="5" t="s">
        <v>3312</v>
      </c>
      <c r="C741" s="5" t="s">
        <v>3308</v>
      </c>
      <c r="D741" s="5" t="s">
        <v>57</v>
      </c>
      <c r="E741" s="5" t="s">
        <v>233</v>
      </c>
      <c r="F741" s="5" t="s">
        <v>534</v>
      </c>
      <c r="G741" s="14" t="str">
        <f t="array" ref="G741">IF(B741="", "",
  LET(_xlpm.spell, IFERROR(IF(F741="", "", INDEX(_xlws.FILTER(Hairstyles!$F:$F, ISNUMBER(SEARCH(F741, Hairstyles!$B:$B))), 1)), "No Spell for Hairstyle"),
  _xlpm.vanillaPrefix, IF(LEFT(_xlpm.spell, 7)="Uvi_Wig", "", ";"),
  ";" &amp; IF(C741="", B741, C741) &amp; IF(M741="", "", " ("&amp;M741&amp;")") &amp; CHAR(10) &amp;
  _xlpm.vanillaPrefix &amp; "Keyword = Uvi_Wig_Distr_KYWD|" &amp; B741 &amp; CHAR(10) &amp;
  _xlpm.vanillaPrefix &amp; "Spell = " &amp; _xlpm.spell &amp; "|" &amp; B741
  )
)</f>
        <v>;High Elf
;Keyword = Uvi_Wig_Distr_KYWD|WEAdventurerBattlemageHighElfM
;Spell = No Spell for Hairstyle|WEAdventurerBattlemageHighElfM</v>
      </c>
    </row>
    <row r="742" ht="12.75" customHeight="1">
      <c r="A742" s="15" t="s">
        <v>3313</v>
      </c>
      <c r="B742" s="5" t="s">
        <v>3314</v>
      </c>
      <c r="C742" s="5" t="s">
        <v>3308</v>
      </c>
      <c r="D742" s="5" t="s">
        <v>57</v>
      </c>
      <c r="E742" s="5" t="s">
        <v>41</v>
      </c>
      <c r="F742" s="5" t="s">
        <v>491</v>
      </c>
      <c r="G742" s="14" t="str">
        <f t="array" ref="G742">IF(B742="", "",
  LET(_xlpm.spell, IFERROR(IF(F742="", "", INDEX(_xlws.FILTER(Hairstyles!$F:$F, ISNUMBER(SEARCH(F742, Hairstyles!$B:$B))), 1)), "No Spell for Hairstyle"),
  _xlpm.vanillaPrefix, IF(LEFT(_xlpm.spell, 7)="Uvi_Wig", "", ";"),
  ";" &amp; IF(C742="", B742, C742) &amp; IF(M742="", "", " ("&amp;M742&amp;")") &amp; CHAR(10) &amp;
  _xlpm.vanillaPrefix &amp; "Keyword = Uvi_Wig_Distr_KYWD|" &amp; B742 &amp; CHAR(10) &amp;
  _xlpm.vanillaPrefix &amp; "Spell = " &amp; _xlpm.spell &amp; "|" &amp; B742
  )
)</f>
        <v>;High Elf
;Keyword = Uvi_Wig_Distr_KYWD|WEAdventurerMageShieldStaffHighElfF
;Spell = No Spell for Hairstyle|WEAdventurerMageShieldStaffHighElfF</v>
      </c>
    </row>
    <row r="743" ht="12.75" customHeight="1">
      <c r="A743" s="15" t="s">
        <v>3315</v>
      </c>
      <c r="B743" s="5" t="s">
        <v>3316</v>
      </c>
      <c r="C743" s="5" t="s">
        <v>3308</v>
      </c>
      <c r="D743" s="5" t="s">
        <v>57</v>
      </c>
      <c r="E743" s="5" t="s">
        <v>233</v>
      </c>
      <c r="F743" s="5" t="s">
        <v>2469</v>
      </c>
      <c r="G743" s="14" t="str">
        <f t="array" ref="G743">IF(B743="", "",
  LET(_xlpm.spell, IFERROR(IF(F743="", "", INDEX(_xlws.FILTER(Hairstyles!$F:$F, ISNUMBER(SEARCH(F743, Hairstyles!$B:$B))), 1)), "No Spell for Hairstyle"),
  _xlpm.vanillaPrefix, IF(LEFT(_xlpm.spell, 7)="Uvi_Wig", "", ";"),
  ";" &amp; IF(C743="", B743, C743) &amp; IF(M743="", "", " ("&amp;M743&amp;")") &amp; CHAR(10) &amp;
  _xlpm.vanillaPrefix &amp; "Keyword = Uvi_Wig_Distr_KYWD|" &amp; B743 &amp; CHAR(10) &amp;
  _xlpm.vanillaPrefix &amp; "Spell = " &amp; _xlpm.spell &amp; "|" &amp; B743
  )
)</f>
        <v>;High Elf
;Keyword = Uvi_Wig_Distr_KYWD|WEAdventurerMageShieldStaffHighElfM
;Spell = No Spell for Hairstyle|WEAdventurerMageShieldStaffHighElfM</v>
      </c>
    </row>
    <row r="744" ht="12.75" customHeight="1">
      <c r="A744" s="5" t="s">
        <v>3317</v>
      </c>
      <c r="B744" s="5" t="s">
        <v>3318</v>
      </c>
      <c r="C744" s="5" t="s">
        <v>3319</v>
      </c>
      <c r="D744" s="5" t="s">
        <v>38</v>
      </c>
      <c r="E744" s="5" t="s">
        <v>233</v>
      </c>
      <c r="F744" s="5" t="s">
        <v>2694</v>
      </c>
      <c r="G744" s="14" t="str">
        <f t="array" ref="G744">IF(B744="", "",
  LET(_xlpm.spell, IFERROR(IF(F744="", "", INDEX(_xlws.FILTER(Hairstyles!$F:$F, ISNUMBER(SEARCH(F744, Hairstyles!$B:$B))), 1)), "No Spell for Hairstyle"),
  _xlpm.vanillaPrefix, IF(LEFT(_xlpm.spell, 7)="Uvi_Wig", "", ";"),
  ";" &amp; IF(C744="", B744, C744) &amp; IF(M744="", "", " ("&amp;M744&amp;")") &amp; CHAR(10) &amp;
  _xlpm.vanillaPrefix &amp; "Keyword = Uvi_Wig_Distr_KYWD|" &amp; B744 &amp; CHAR(10) &amp;
  _xlpm.vanillaPrefix &amp; "Spell = " &amp; _xlpm.spell &amp; "|" &amp; B744
  )
)</f>
        <v>;High King Torygg
;Keyword = Uvi_Wig_Distr_KYWD|MQ304Torygg
;Spell = No Spell for Hairstyle|MQ304Torygg</v>
      </c>
    </row>
    <row r="745" ht="12.75" customHeight="1">
      <c r="A745" s="15" t="s">
        <v>3320</v>
      </c>
      <c r="B745" s="5" t="s">
        <v>3321</v>
      </c>
      <c r="C745" s="5" t="s">
        <v>3321</v>
      </c>
      <c r="D745" s="5" t="s">
        <v>51</v>
      </c>
      <c r="E745" s="5" t="s">
        <v>41</v>
      </c>
      <c r="F745" s="5" t="s">
        <v>53</v>
      </c>
      <c r="G745" s="14" t="str">
        <f t="array" ref="G745">IF(B745="", "",
  LET(_xlpm.spell, IFERROR(IF(F745="", "", INDEX(_xlws.FILTER(Hairstyles!$F:$F, ISNUMBER(SEARCH(F745, Hairstyles!$B:$B))), 1)), "No Spell for Hairstyle"),
  _xlpm.vanillaPrefix, IF(LEFT(_xlpm.spell, 7)="Uvi_Wig", "", ";"),
  ";" &amp; IF(C745="", B745, C745) &amp; IF(M745="", "", " ("&amp;M745&amp;")") &amp; CHAR(10) &amp;
  _xlpm.vanillaPrefix &amp; "Keyword = Uvi_Wig_Distr_KYWD|" &amp; B745 &amp; CHAR(10) &amp;
  _xlpm.vanillaPrefix &amp; "Spell = " &amp; _xlpm.spell &amp; "|" &amp; B745
  )
)</f>
        <v>;Hilde
;Keyword = Uvi_Wig_Distr_KYWD|Hilde
;Spell = No Spell for Hairstyle|Hilde</v>
      </c>
    </row>
    <row r="746" ht="12.75" customHeight="1">
      <c r="A746" s="5" t="s">
        <v>3322</v>
      </c>
      <c r="B746" s="5" t="s">
        <v>3323</v>
      </c>
      <c r="C746" s="5" t="s">
        <v>3324</v>
      </c>
      <c r="D746" s="5" t="s">
        <v>38</v>
      </c>
      <c r="E746" s="5" t="s">
        <v>41</v>
      </c>
      <c r="F746" s="5" t="s">
        <v>356</v>
      </c>
      <c r="G746" s="14" t="str">
        <f t="array" ref="G746">IF(B746="", "",
  LET(_xlpm.spell, IFERROR(IF(F746="", "", INDEX(_xlws.FILTER(Hairstyles!$F:$F, ISNUMBER(SEARCH(F746, Hairstyles!$B:$B))), 1)), "No Spell for Hairstyle"),
  _xlpm.vanillaPrefix, IF(LEFT(_xlpm.spell, 7)="Uvi_Wig", "", ";"),
  ";" &amp; IF(C746="", B746, C746) &amp; IF(M746="", "", " ("&amp;M746&amp;")") &amp; CHAR(10) &amp;
  _xlpm.vanillaPrefix &amp; "Keyword = Uvi_Wig_Distr_KYWD|" &amp; B746 &amp; CHAR(10) &amp;
  _xlpm.vanillaPrefix &amp; "Spell = " &amp; _xlpm.spell &amp; "|" &amp; B746
  )
)</f>
        <v>;Hillevi Cruel-Sea
;Keyword = Uvi_Wig_Distr_KYWD|Hillevi
;Spell = No Spell for Hairstyle|Hillevi</v>
      </c>
    </row>
    <row r="747" ht="12.75" customHeight="1">
      <c r="A747" s="5" t="s">
        <v>3325</v>
      </c>
      <c r="B747" s="5" t="s">
        <v>3326</v>
      </c>
      <c r="C747" s="5" t="s">
        <v>3327</v>
      </c>
      <c r="D747" s="5" t="s">
        <v>38</v>
      </c>
      <c r="E747" s="5" t="s">
        <v>41</v>
      </c>
      <c r="F747" s="5" t="s">
        <v>1996</v>
      </c>
      <c r="G747" s="14" t="str">
        <f t="array" ref="G747">IF(B747="", "",
  LET(_xlpm.spell, IFERROR(IF(F747="", "", INDEX(_xlws.FILTER(Hairstyles!$F:$F, ISNUMBER(SEARCH(F747, Hairstyles!$B:$B))), 1)), "No Spell for Hairstyle"),
  _xlpm.vanillaPrefix, IF(LEFT(_xlpm.spell, 7)="Uvi_Wig", "", ";"),
  ";" &amp; IF(C747="", B747, C747) &amp; IF(M747="", "", " ("&amp;M747&amp;")") &amp; CHAR(10) &amp;
  _xlpm.vanillaPrefix &amp; "Keyword = Uvi_Wig_Distr_KYWD|" &amp; B747 &amp; CHAR(10) &amp;
  _xlpm.vanillaPrefix &amp; "Spell = " &amp; _xlpm.spell &amp; "|" &amp; B747
  )
)</f>
        <v>;Hilund
;Keyword = Uvi_Wig_Distr_KYWD|DLC2Hilund
;Spell = No Spell for Hairstyle|DLC2Hilund</v>
      </c>
    </row>
    <row r="748" ht="12.75" customHeight="1">
      <c r="A748" s="5" t="s">
        <v>3328</v>
      </c>
      <c r="B748" s="5" t="s">
        <v>3329</v>
      </c>
      <c r="C748" s="5" t="s">
        <v>3330</v>
      </c>
      <c r="D748" s="5" t="s">
        <v>57</v>
      </c>
      <c r="E748" s="5" t="s">
        <v>233</v>
      </c>
      <c r="F748" s="5" t="s">
        <v>2612</v>
      </c>
      <c r="G748" s="14" t="str">
        <f t="array" ref="G748">IF(B748="", "",
  LET(_xlpm.spell, IFERROR(IF(F748="", "", INDEX(_xlws.FILTER(Hairstyles!$F:$F, ISNUMBER(SEARCH(F748, Hairstyles!$B:$B))), 1)), "No Spell for Hairstyle"),
  _xlpm.vanillaPrefix, IF(LEFT(_xlpm.spell, 7)="Uvi_Wig", "", ";"),
  ";" &amp; IF(C748="", B748, C748) &amp; IF(M748="", "", " ("&amp;M748&amp;")") &amp; CHAR(10) &amp;
  _xlpm.vanillaPrefix &amp; "Keyword = Uvi_Wig_Distr_KYWD|" &amp; B748 &amp; CHAR(10) &amp;
  _xlpm.vanillaPrefix &amp; "Spell = " &amp; _xlpm.spell &amp; "|" &amp; B748
  )
)</f>
        <v>;Hircine
;Keyword = Uvi_Wig_Distr_KYWD|DA05Hircine
;Spell = No Spell for Hairstyle|DA05Hircine</v>
      </c>
    </row>
    <row r="749" ht="12.75" customHeight="1">
      <c r="A749" s="5" t="s">
        <v>3331</v>
      </c>
      <c r="B749" s="5" t="s">
        <v>3332</v>
      </c>
      <c r="C749" s="5" t="s">
        <v>3333</v>
      </c>
      <c r="D749" s="5" t="s">
        <v>38</v>
      </c>
      <c r="E749" s="5" t="s">
        <v>233</v>
      </c>
      <c r="F749" s="5" t="s">
        <v>1553</v>
      </c>
      <c r="G749" s="14" t="str">
        <f t="array" ref="G749">IF(B749="", "",
  LET(_xlpm.spell, IFERROR(IF(F749="", "", INDEX(_xlws.FILTER(Hairstyles!$F:$F, ISNUMBER(SEARCH(F749, Hairstyles!$B:$B))), 1)), "No Spell for Hairstyle"),
  _xlpm.vanillaPrefix, IF(LEFT(_xlpm.spell, 7)="Uvi_Wig", "", ";"),
  ";" &amp; IF(C749="", B749, C749) &amp; IF(M749="", "", " ("&amp;M749&amp;")") &amp; CHAR(10) &amp;
  _xlpm.vanillaPrefix &amp; "Keyword = Uvi_Wig_Distr_KYWD|" &amp; B749 &amp; CHAR(10) &amp;
  _xlpm.vanillaPrefix &amp; "Spell = " &amp; _xlpm.spell &amp; "|" &amp; B749
  )
)</f>
        <v>;Hjalfar
;Keyword = Uvi_Wig_Distr_KYWD|DLC2WaterStoneSailor1
;Spell = No Spell for Hairstyle|DLC2WaterStoneSailor1</v>
      </c>
    </row>
    <row r="750" ht="12.75" customHeight="1">
      <c r="A750" s="5" t="s">
        <v>3334</v>
      </c>
      <c r="B750" s="5" t="s">
        <v>3335</v>
      </c>
      <c r="C750" s="5" t="s">
        <v>3336</v>
      </c>
      <c r="D750" s="5" t="s">
        <v>38</v>
      </c>
      <c r="E750" s="5" t="s">
        <v>41</v>
      </c>
      <c r="F750" s="5" t="s">
        <v>1996</v>
      </c>
      <c r="G750" s="14" t="str">
        <f t="array" ref="G750">IF(B750="", "",
  LET(_xlpm.spell, IFERROR(IF(F750="", "", INDEX(_xlws.FILTER(Hairstyles!$F:$F, ISNUMBER(SEARCH(F750, Hairstyles!$B:$B))), 1)), "No Spell for Hairstyle"),
  _xlpm.vanillaPrefix, IF(LEFT(_xlpm.spell, 7)="Uvi_Wig", "", ";"),
  ";" &amp; IF(C750="", B750, C750) &amp; IF(M750="", "", " ("&amp;M750&amp;")") &amp; CHAR(10) &amp;
  _xlpm.vanillaPrefix &amp; "Keyword = Uvi_Wig_Distr_KYWD|" &amp; B750 &amp; CHAR(10) &amp;
  _xlpm.vanillaPrefix &amp; "Spell = " &amp; _xlpm.spell &amp; "|" &amp; B750
  )
)</f>
        <v>;Hjordis
;Keyword = Uvi_Wig_Distr_KYWD|DLC2dunFrostmoonHjordis
;Spell = No Spell for Hairstyle|DLC2dunFrostmoonHjordis</v>
      </c>
    </row>
    <row r="751" ht="12.75" customHeight="1">
      <c r="A751" s="5" t="s">
        <v>3337</v>
      </c>
      <c r="B751" s="5" t="s">
        <v>3338</v>
      </c>
      <c r="C751" s="5" t="s">
        <v>3339</v>
      </c>
      <c r="D751" s="5" t="s">
        <v>38</v>
      </c>
      <c r="E751" s="5" t="s">
        <v>233</v>
      </c>
      <c r="F751" s="5" t="s">
        <v>762</v>
      </c>
      <c r="G751" s="14" t="str">
        <f t="array" ref="G751">IF(B751="", "",
  LET(_xlpm.spell, IFERROR(IF(F751="", "", INDEX(_xlws.FILTER(Hairstyles!$F:$F, ISNUMBER(SEARCH(F751, Hairstyles!$B:$B))), 1)), "No Spell for Hairstyle"),
  _xlpm.vanillaPrefix, IF(LEFT(_xlpm.spell, 7)="Uvi_Wig", "", ";"),
  ";" &amp; IF(C751="", B751, C751) &amp; IF(M751="", "", " ("&amp;M751&amp;")") &amp; CHAR(10) &amp;
  _xlpm.vanillaPrefix &amp; "Keyword = Uvi_Wig_Distr_KYWD|" &amp; B751 &amp; CHAR(10) &amp;
  _xlpm.vanillaPrefix &amp; "Spell = " &amp; _xlpm.spell &amp; "|" &amp; B751
  )
)</f>
        <v>;Hjornskar Head-Smasher
;Keyword = Uvi_Wig_Distr_KYWD|CWFieldCOSonsWhiterun
;Spell = No Spell for Hairstyle|CWFieldCOSonsWhiterun</v>
      </c>
    </row>
    <row r="752" ht="12.75" customHeight="1">
      <c r="A752" s="15" t="s">
        <v>3340</v>
      </c>
      <c r="B752" s="5" t="s">
        <v>3341</v>
      </c>
      <c r="C752" s="5" t="s">
        <v>3341</v>
      </c>
      <c r="D752" s="5" t="s">
        <v>38</v>
      </c>
      <c r="E752" s="5" t="s">
        <v>233</v>
      </c>
      <c r="F752" s="5" t="s">
        <v>19</v>
      </c>
      <c r="G752" s="14" t="str">
        <f t="array" ref="G752">IF(B752="", "",
  LET(_xlpm.spell, IFERROR(IF(F752="", "", INDEX(_xlws.FILTER(Hairstyles!$F:$F, ISNUMBER(SEARCH(F752, Hairstyles!$B:$B))), 1)), "No Spell for Hairstyle"),
  _xlpm.vanillaPrefix, IF(LEFT(_xlpm.spell, 7)="Uvi_Wig", "", ";"),
  ";" &amp; IF(C752="", B752, C752) &amp; IF(M752="", "", " ("&amp;M752&amp;")") &amp; CHAR(10) &amp;
  _xlpm.vanillaPrefix &amp; "Keyword = Uvi_Wig_Distr_KYWD|" &amp; B752 &amp; CHAR(10) &amp;
  _xlpm.vanillaPrefix &amp; "Spell = " &amp; _xlpm.spell &amp; "|" &amp; B752
  )
)</f>
        <v>;Hjorunn
;Keyword = Uvi_Wig_Distr_KYWD|Hjorunn
;Spell = No Spell for Hairstyle|Hjorunn</v>
      </c>
    </row>
    <row r="753" ht="12.75" customHeight="1">
      <c r="A753" s="5" t="s">
        <v>3342</v>
      </c>
      <c r="B753" s="5" t="s">
        <v>3343</v>
      </c>
      <c r="C753" s="5" t="s">
        <v>3343</v>
      </c>
      <c r="D753" s="5" t="s">
        <v>38</v>
      </c>
      <c r="E753" s="5" t="s">
        <v>233</v>
      </c>
      <c r="F753" s="5" t="s">
        <v>990</v>
      </c>
      <c r="G753" s="14" t="str">
        <f t="array" ref="G753">IF(B753="", "",
  LET(_xlpm.spell, IFERROR(IF(F753="", "", INDEX(_xlws.FILTER(Hairstyles!$F:$F, ISNUMBER(SEARCH(F753, Hairstyles!$B:$B))), 1)), "No Spell for Hairstyle"),
  _xlpm.vanillaPrefix, IF(LEFT(_xlpm.spell, 7)="Uvi_Wig", "", ";"),
  ";" &amp; IF(C753="", B753, C753) &amp; IF(M753="", "", " ("&amp;M753&amp;")") &amp; CHAR(10) &amp;
  _xlpm.vanillaPrefix &amp; "Keyword = Uvi_Wig_Distr_KYWD|" &amp; B753 &amp; CHAR(10) &amp;
  _xlpm.vanillaPrefix &amp; "Spell = " &amp; _xlpm.spell &amp; "|" &amp; B753
  )
)</f>
        <v>;Hod
;Keyword = Uvi_Wig_Distr_KYWD|Hod
;Spell = No Spell for Hairstyle|Hod</v>
      </c>
    </row>
    <row r="754" ht="12.75" customHeight="1">
      <c r="A754" s="5" t="s">
        <v>3344</v>
      </c>
      <c r="B754" s="5" t="s">
        <v>3345</v>
      </c>
      <c r="C754" s="5" t="s">
        <v>3346</v>
      </c>
      <c r="D754" s="5" t="s">
        <v>38</v>
      </c>
      <c r="E754" s="5" t="s">
        <v>41</v>
      </c>
      <c r="F754" s="5" t="s">
        <v>1041</v>
      </c>
      <c r="G754" s="14" t="str">
        <f t="array" ref="G754">IF(B754="", "",
  LET(_xlpm.spell, IFERROR(IF(F754="", "", INDEX(_xlws.FILTER(Hairstyles!$F:$F, ISNUMBER(SEARCH(F754, Hairstyles!$B:$B))), 1)), "No Spell for Hairstyle"),
  _xlpm.vanillaPrefix, IF(LEFT(_xlpm.spell, 7)="Uvi_Wig", "", ";"),
  ";" &amp; IF(C754="", B754, C754) &amp; IF(M754="", "", " ("&amp;M754&amp;")") &amp; CHAR(10) &amp;
  _xlpm.vanillaPrefix &amp; "Keyword = Uvi_Wig_Distr_KYWD|" &amp; B754 &amp; CHAR(10) &amp;
  _xlpm.vanillaPrefix &amp; "Spell = " &amp; _xlpm.spell &amp; "|" &amp; B754
  )
)</f>
        <v>;Hoddreid
;Keyword = Uvi_Wig_Distr_KYWD|DA05Hunter14_01DeadMage_Hoddreid
;Spell = No Spell for Hairstyle|DA05Hunter14_01DeadMage_Hoddreid</v>
      </c>
    </row>
    <row r="755" ht="12.75" customHeight="1">
      <c r="A755" s="15" t="s">
        <v>3347</v>
      </c>
      <c r="B755" s="5" t="s">
        <v>3348</v>
      </c>
      <c r="C755" s="5" t="s">
        <v>3349</v>
      </c>
      <c r="D755" s="5" t="s">
        <v>38</v>
      </c>
      <c r="E755" s="5" t="s">
        <v>233</v>
      </c>
      <c r="F755" s="5" t="s">
        <v>990</v>
      </c>
      <c r="G755" s="14" t="str">
        <f t="array" ref="G755">IF(B755="", "",
  LET(_xlpm.spell, IFERROR(IF(F755="", "", INDEX(_xlws.FILTER(Hairstyles!$F:$F, ISNUMBER(SEARCH(F755, Hairstyles!$B:$B))), 1)), "No Spell for Hairstyle"),
  _xlpm.vanillaPrefix, IF(LEFT(_xlpm.spell, 7)="Uvi_Wig", "", ";"),
  ";" &amp; IF(C755="", B755, C755) &amp; IF(M755="", "", " ("&amp;M755&amp;")") &amp; CHAR(10) &amp;
  _xlpm.vanillaPrefix &amp; "Keyword = Uvi_Wig_Distr_KYWD|" &amp; B755 &amp; CHAR(10) &amp;
  _xlpm.vanillaPrefix &amp; "Spell = " &amp; _xlpm.spell &amp; "|" &amp; B755
  )
)</f>
        <v>;Hofgrir Horse-Crusher
;Keyword = Uvi_Wig_Distr_KYWD|Hofgrir
;Spell = No Spell for Hairstyle|Hofgrir</v>
      </c>
    </row>
    <row r="756" ht="12.75" customHeight="1">
      <c r="A756" s="5" t="s">
        <v>3350</v>
      </c>
      <c r="B756" s="5" t="s">
        <v>3351</v>
      </c>
      <c r="C756" s="5" t="s">
        <v>3352</v>
      </c>
      <c r="D756" s="5" t="s">
        <v>38</v>
      </c>
      <c r="E756" s="5" t="s">
        <v>233</v>
      </c>
      <c r="F756" s="5" t="s">
        <v>224</v>
      </c>
      <c r="G756" s="14" t="str">
        <f t="array" ref="G756">IF(B756="", "",
  LET(_xlpm.spell, IFERROR(IF(F756="", "", INDEX(_xlws.FILTER(Hairstyles!$F:$F, ISNUMBER(SEARCH(F756, Hairstyles!$B:$B))), 1)), "No Spell for Hairstyle"),
  _xlpm.vanillaPrefix, IF(LEFT(_xlpm.spell, 7)="Uvi_Wig", "", ";"),
  ";" &amp; IF(C756="", B756, C756) &amp; IF(M756="", "", " ("&amp;M756&amp;")") &amp; CHAR(10) &amp;
  _xlpm.vanillaPrefix &amp; "Keyword = Uvi_Wig_Distr_KYWD|" &amp; B756 &amp; CHAR(10) &amp;
  _xlpm.vanillaPrefix &amp; "Spell = " &amp; _xlpm.spell &amp; "|" &amp; B756
  )
)</f>
        <v>;Hogni Red-Arm
;Keyword = Uvi_Wig_Distr_KYWD|HogniRedArm
;Spell = No Spell for Hairstyle|HogniRedArm</v>
      </c>
    </row>
    <row r="757" ht="12.75" customHeight="1">
      <c r="A757" s="5" t="s">
        <v>3353</v>
      </c>
      <c r="B757" s="5" t="s">
        <v>3354</v>
      </c>
      <c r="C757" s="5" t="s">
        <v>3355</v>
      </c>
      <c r="D757" s="5" t="s">
        <v>38</v>
      </c>
      <c r="E757" s="5" t="s">
        <v>233</v>
      </c>
      <c r="F757" s="5" t="s">
        <v>1700</v>
      </c>
      <c r="G757" s="14" t="str">
        <f t="array" ref="G757">IF(B757="", "",
  LET(_xlpm.spell, IFERROR(IF(F757="", "", INDEX(_xlws.FILTER(Hairstyles!$F:$F, ISNUMBER(SEARCH(F757, Hairstyles!$B:$B))), 1)), "No Spell for Hairstyle"),
  _xlpm.vanillaPrefix, IF(LEFT(_xlpm.spell, 7)="Uvi_Wig", "", ";"),
  ";" &amp; IF(C757="", B757, C757) &amp; IF(M757="", "", " ("&amp;M757&amp;")") &amp; CHAR(10) &amp;
  _xlpm.vanillaPrefix &amp; "Keyword = Uvi_Wig_Distr_KYWD|" &amp; B757 &amp; CHAR(10) &amp;
  _xlpm.vanillaPrefix &amp; "Spell = " &amp; _xlpm.spell &amp; "|" &amp; B757
  )
)</f>
        <v>;Holgeir
;Keyword = Uvi_Wig_Distr_KYWD|dunAnsilvundMaleGhost
;Spell = No Spell for Hairstyle|dunAnsilvundMaleGhost</v>
      </c>
    </row>
    <row r="758" ht="12.75" customHeight="1">
      <c r="A758" s="5" t="s">
        <v>3356</v>
      </c>
      <c r="B758" s="5" t="s">
        <v>3357</v>
      </c>
      <c r="C758" s="5" t="s">
        <v>3357</v>
      </c>
      <c r="D758" s="5" t="s">
        <v>38</v>
      </c>
      <c r="E758" s="5" t="s">
        <v>233</v>
      </c>
      <c r="F758" s="5" t="s">
        <v>1906</v>
      </c>
      <c r="G758" s="14" t="str">
        <f t="array" ref="G758">IF(B758="", "",
  LET(_xlpm.spell, IFERROR(IF(F758="", "", INDEX(_xlws.FILTER(Hairstyles!$F:$F, ISNUMBER(SEARCH(F758, Hairstyles!$B:$B))), 1)), "No Spell for Hairstyle"),
  _xlpm.vanillaPrefix, IF(LEFT(_xlpm.spell, 7)="Uvi_Wig", "", ";"),
  ";" &amp; IF(C758="", B758, C758) &amp; IF(M758="", "", " ("&amp;M758&amp;")") &amp; CHAR(10) &amp;
  _xlpm.vanillaPrefix &amp; "Keyword = Uvi_Wig_Distr_KYWD|" &amp; B758 &amp; CHAR(10) &amp;
  _xlpm.vanillaPrefix &amp; "Spell = " &amp; _xlpm.spell &amp; "|" &amp; B758
  )
)</f>
        <v>;Horgeir
;Keyword = Uvi_Wig_Distr_KYWD|Horgeir
;Spell = No Spell for Hairstyle|Horgeir</v>
      </c>
    </row>
    <row r="759" ht="12.75" customHeight="1">
      <c r="A759" s="5" t="s">
        <v>3358</v>
      </c>
      <c r="B759" s="5" t="s">
        <v>3359</v>
      </c>
      <c r="C759" s="5" t="s">
        <v>3360</v>
      </c>
      <c r="D759" s="5" t="s">
        <v>38</v>
      </c>
      <c r="E759" s="5" t="s">
        <v>233</v>
      </c>
      <c r="F759" s="5" t="s">
        <v>215</v>
      </c>
      <c r="G759" s="14" t="str">
        <f t="array" ref="G759">IF(B759="", "",
  LET(_xlpm.spell, IFERROR(IF(F759="", "", INDEX(_xlws.FILTER(Hairstyles!$F:$F, ISNUMBER(SEARCH(F759, Hairstyles!$B:$B))), 1)), "No Spell for Hairstyle"),
  _xlpm.vanillaPrefix, IF(LEFT(_xlpm.spell, 7)="Uvi_Wig", "", ";"),
  ";" &amp; IF(C759="", B759, C759) &amp; IF(M759="", "", " ("&amp;M759&amp;")") &amp; CHAR(10) &amp;
  _xlpm.vanillaPrefix &amp; "Keyword = Uvi_Wig_Distr_KYWD|" &amp; B759 &amp; CHAR(10) &amp;
  _xlpm.vanillaPrefix &amp; "Spell = " &amp; _xlpm.spell &amp; "|" &amp; B759
  )
)</f>
        <v>;Horik Halfhand
;Keyword = Uvi_Wig_Distr_KYWD|HorikHalfhand
;Spell = No Spell for Hairstyle|HorikHalfhand</v>
      </c>
    </row>
    <row r="760" ht="12.75" customHeight="1">
      <c r="A760" s="15" t="s">
        <v>3361</v>
      </c>
      <c r="B760" s="5" t="s">
        <v>3362</v>
      </c>
      <c r="C760" s="5" t="s">
        <v>3362</v>
      </c>
      <c r="D760" s="5" t="s">
        <v>38</v>
      </c>
      <c r="E760" s="5" t="s">
        <v>233</v>
      </c>
      <c r="F760" s="5" t="s">
        <v>424</v>
      </c>
      <c r="G760" s="14" t="str">
        <f t="array" ref="G760">IF(B760="", "",
  LET(_xlpm.spell, IFERROR(IF(F760="", "", INDEX(_xlws.FILTER(Hairstyles!$F:$F, ISNUMBER(SEARCH(F760, Hairstyles!$B:$B))), 1)), "No Spell for Hairstyle"),
  _xlpm.vanillaPrefix, IF(LEFT(_xlpm.spell, 7)="Uvi_Wig", "", ";"),
  ";" &amp; IF(C760="", B760, C760) &amp; IF(M760="", "", " ("&amp;M760&amp;")") &amp; CHAR(10) &amp;
  _xlpm.vanillaPrefix &amp; "Keyword = Uvi_Wig_Distr_KYWD|" &amp; B760 &amp; CHAR(10) &amp;
  _xlpm.vanillaPrefix &amp; "Spell = " &amp; _xlpm.spell &amp; "|" &amp; B760
  )
)</f>
        <v>;Horm
;Keyword = Uvi_Wig_Distr_KYWD|Horm
;Spell = No Spell for Hairstyle|Horm</v>
      </c>
    </row>
    <row r="761" ht="12.75" customHeight="1">
      <c r="A761" s="15" t="s">
        <v>3363</v>
      </c>
      <c r="B761" s="5" t="s">
        <v>3364</v>
      </c>
      <c r="C761" s="5" t="s">
        <v>3364</v>
      </c>
      <c r="D761" s="5" t="s">
        <v>74</v>
      </c>
      <c r="E761" s="5" t="s">
        <v>41</v>
      </c>
      <c r="F761" s="5" t="s">
        <v>62</v>
      </c>
      <c r="G761" s="14" t="str">
        <f t="array" ref="G761">IF(B761="", "",
  LET(_xlpm.spell, IFERROR(IF(F761="", "", INDEX(_xlws.FILTER(Hairstyles!$F:$F, ISNUMBER(SEARCH(F761, Hairstyles!$B:$B))), 1)), "No Spell for Hairstyle"),
  _xlpm.vanillaPrefix, IF(LEFT(_xlpm.spell, 7)="Uvi_Wig", "", ";"),
  ";" &amp; IF(C761="", B761, C761) &amp; IF(M761="", "", " ("&amp;M761&amp;")") &amp; CHAR(10) &amp;
  _xlpm.vanillaPrefix &amp; "Keyword = Uvi_Wig_Distr_KYWD|" &amp; B761 &amp; CHAR(10) &amp;
  _xlpm.vanillaPrefix &amp; "Spell = " &amp; _xlpm.spell &amp; "|" &amp; B761
  )
)</f>
        <v>;Hrefna
;Keyword = Uvi_Wig_Distr_KYWD|Hrefna
;Spell = No Spell for Hairstyle|Hrefna</v>
      </c>
    </row>
    <row r="762" ht="12.75" customHeight="1">
      <c r="A762" s="5" t="s">
        <v>3365</v>
      </c>
      <c r="B762" s="5" t="s">
        <v>3366</v>
      </c>
      <c r="C762" s="5" t="s">
        <v>3366</v>
      </c>
      <c r="D762" s="5" t="s">
        <v>38</v>
      </c>
      <c r="E762" s="5" t="s">
        <v>233</v>
      </c>
      <c r="F762" s="5" t="s">
        <v>424</v>
      </c>
      <c r="G762" s="14" t="str">
        <f t="array" ref="G762">IF(B762="", "",
  LET(_xlpm.spell, IFERROR(IF(F762="", "", INDEX(_xlws.FILTER(Hairstyles!$F:$F, ISNUMBER(SEARCH(F762, Hairstyles!$B:$B))), 1)), "No Spell for Hairstyle"),
  _xlpm.vanillaPrefix, IF(LEFT(_xlpm.spell, 7)="Uvi_Wig", "", ";"),
  ";" &amp; IF(C762="", B762, C762) &amp; IF(M762="", "", " ("&amp;M762&amp;")") &amp; CHAR(10) &amp;
  _xlpm.vanillaPrefix &amp; "Keyword = Uvi_Wig_Distr_KYWD|" &amp; B762 &amp; CHAR(10) &amp;
  _xlpm.vanillaPrefix &amp; "Spell = " &amp; _xlpm.spell &amp; "|" &amp; B762
  )
)</f>
        <v>;Hreinn
;Keyword = Uvi_Wig_Distr_KYWD|Hreinn
;Spell = No Spell for Hairstyle|Hreinn</v>
      </c>
    </row>
    <row r="763" ht="12.75" customHeight="1">
      <c r="A763" s="15" t="s">
        <v>3367</v>
      </c>
      <c r="B763" s="5" t="s">
        <v>3368</v>
      </c>
      <c r="C763" s="5" t="s">
        <v>3368</v>
      </c>
      <c r="D763" s="5" t="s">
        <v>74</v>
      </c>
      <c r="E763" s="5" t="s">
        <v>233</v>
      </c>
      <c r="F763" s="5" t="s">
        <v>87</v>
      </c>
      <c r="G763" s="14" t="str">
        <f t="array" ref="G763">IF(B763="", "",
  LET(_xlpm.spell, IFERROR(IF(F763="", "", INDEX(_xlws.FILTER(Hairstyles!$F:$F, ISNUMBER(SEARCH(F763, Hairstyles!$B:$B))), 1)), "No Spell for Hairstyle"),
  _xlpm.vanillaPrefix, IF(LEFT(_xlpm.spell, 7)="Uvi_Wig", "", ";"),
  ";" &amp; IF(C763="", B763, C763) &amp; IF(M763="", "", " ("&amp;M763&amp;")") &amp; CHAR(10) &amp;
  _xlpm.vanillaPrefix &amp; "Keyword = Uvi_Wig_Distr_KYWD|" &amp; B763 &amp; CHAR(10) &amp;
  _xlpm.vanillaPrefix &amp; "Spell = " &amp; _xlpm.spell &amp; "|" &amp; B763
  )
)</f>
        <v>;Hroar
;Keyword = Uvi_Wig_Distr_KYWD|Hroar
;Spell = No Spell for Hairstyle|Hroar</v>
      </c>
    </row>
    <row r="764" ht="12.75" customHeight="1">
      <c r="A764" s="5" t="s">
        <v>3369</v>
      </c>
      <c r="B764" s="5" t="s">
        <v>3370</v>
      </c>
      <c r="C764" s="5" t="s">
        <v>3371</v>
      </c>
      <c r="D764" s="5" t="s">
        <v>38</v>
      </c>
      <c r="E764" s="5" t="s">
        <v>233</v>
      </c>
      <c r="F764" s="5" t="s">
        <v>1894</v>
      </c>
      <c r="G764" s="14" t="str">
        <f t="array" ref="G764">IF(B764="", "",
  LET(_xlpm.spell, IFERROR(IF(F764="", "", INDEX(_xlws.FILTER(Hairstyles!$F:$F, ISNUMBER(SEARCH(F764, Hairstyles!$B:$B))), 1)), "No Spell for Hairstyle"),
  _xlpm.vanillaPrefix, IF(LEFT(_xlpm.spell, 7)="Uvi_Wig", "", ";"),
  ";" &amp; IF(C764="", B764, C764) &amp; IF(M764="", "", " ("&amp;M764&amp;")") &amp; CHAR(10) &amp;
  _xlpm.vanillaPrefix &amp; "Keyword = Uvi_Wig_Distr_KYWD|" &amp; B764 &amp; CHAR(10) &amp;
  _xlpm.vanillaPrefix &amp; "Spell = " &amp; _xlpm.spell &amp; "|" &amp; B764
  )
)</f>
        <v>;Hrodulf
;Keyword = Uvi_Wig_Distr_KYWD|DLC2HrodulfCorpse
;Spell = No Spell for Hairstyle|DLC2HrodulfCorpse</v>
      </c>
    </row>
    <row r="765" ht="12.75" customHeight="1">
      <c r="A765" s="5" t="s">
        <v>3372</v>
      </c>
      <c r="B765" s="5" t="s">
        <v>3373</v>
      </c>
      <c r="C765" s="5" t="s">
        <v>3373</v>
      </c>
      <c r="D765" s="5" t="s">
        <v>38</v>
      </c>
      <c r="E765" s="5" t="s">
        <v>233</v>
      </c>
      <c r="F765" s="5" t="s">
        <v>521</v>
      </c>
      <c r="G765" s="14" t="str">
        <f t="array" ref="G765">IF(B765="", "",
  LET(_xlpm.spell, IFERROR(IF(F765="", "", INDEX(_xlws.FILTER(Hairstyles!$F:$F, ISNUMBER(SEARCH(F765, Hairstyles!$B:$B))), 1)), "No Spell for Hairstyle"),
  _xlpm.vanillaPrefix, IF(LEFT(_xlpm.spell, 7)="Uvi_Wig", "", ";"),
  ";" &amp; IF(C765="", B765, C765) &amp; IF(M765="", "", " ("&amp;M765&amp;")") &amp; CHAR(10) &amp;
  _xlpm.vanillaPrefix &amp; "Keyword = Uvi_Wig_Distr_KYWD|" &amp; B765 &amp; CHAR(10) &amp;
  _xlpm.vanillaPrefix &amp; "Spell = " &amp; _xlpm.spell &amp; "|" &amp; B765
  )
)</f>
        <v>;Hroggar
;Keyword = Uvi_Wig_Distr_KYWD|Hroggar
;Spell = No Spell for Hairstyle|Hroggar</v>
      </c>
    </row>
    <row r="766" ht="12.75" customHeight="1">
      <c r="A766" s="5" t="s">
        <v>3374</v>
      </c>
      <c r="B766" s="5" t="s">
        <v>3375</v>
      </c>
      <c r="C766" s="5" t="s">
        <v>3375</v>
      </c>
      <c r="D766" s="5" t="s">
        <v>38</v>
      </c>
      <c r="E766" s="5" t="s">
        <v>41</v>
      </c>
      <c r="F766" s="5" t="s">
        <v>343</v>
      </c>
      <c r="G766" s="14" t="str">
        <f t="array" ref="G766">IF(B766="", "",
  LET(_xlpm.spell, IFERROR(IF(F766="", "", INDEX(_xlws.FILTER(Hairstyles!$F:$F, ISNUMBER(SEARCH(F766, Hairstyles!$B:$B))), 1)), "No Spell for Hairstyle"),
  _xlpm.vanillaPrefix, IF(LEFT(_xlpm.spell, 7)="Uvi_Wig", "", ";"),
  ";" &amp; IF(C766="", B766, C766) &amp; IF(M766="", "", " ("&amp;M766&amp;")") &amp; CHAR(10) &amp;
  _xlpm.vanillaPrefix &amp; "Keyword = Uvi_Wig_Distr_KYWD|" &amp; B766 &amp; CHAR(10) &amp;
  _xlpm.vanillaPrefix &amp; "Spell = " &amp; _xlpm.spell &amp; "|" &amp; B766
  )
)</f>
        <v>;Hroki
;Keyword = Uvi_Wig_Distr_KYWD|Hroki
;Spell = No Spell for Hairstyle|Hroki</v>
      </c>
    </row>
    <row r="767" ht="12.75" customHeight="1">
      <c r="A767" s="5" t="s">
        <v>3376</v>
      </c>
      <c r="B767" s="5" t="s">
        <v>3377</v>
      </c>
      <c r="C767" s="5" t="s">
        <v>3378</v>
      </c>
      <c r="D767" s="5" t="s">
        <v>38</v>
      </c>
      <c r="E767" s="5" t="s">
        <v>233</v>
      </c>
      <c r="F767" s="5" t="s">
        <v>68</v>
      </c>
      <c r="G767" s="14" t="str">
        <f t="array" ref="G767">IF(B767="", "",
  LET(_xlpm.spell, IFERROR(IF(F767="", "", INDEX(_xlws.FILTER(Hairstyles!$F:$F, ISNUMBER(SEARCH(F767, Hairstyles!$B:$B))), 1)), "No Spell for Hairstyle"),
  _xlpm.vanillaPrefix, IF(LEFT(_xlpm.spell, 7)="Uvi_Wig", "", ";"),
  ";" &amp; IF(C767="", B767, C767) &amp; IF(M767="", "", " ("&amp;M767&amp;")") &amp; CHAR(10) &amp;
  _xlpm.vanillaPrefix &amp; "Keyword = Uvi_Wig_Distr_KYWD|" &amp; B767 &amp; CHAR(10) &amp;
  _xlpm.vanillaPrefix &amp; "Spell = " &amp; _xlpm.spell &amp; "|" &amp; B767
  )
)</f>
        <v>;Hrolmir
;Keyword = Uvi_Wig_Distr_KYWD|TG07Hrolmir
;Spell = No Spell for Hairstyle|TG07Hrolmir</v>
      </c>
    </row>
    <row r="768" ht="12.75" customHeight="1">
      <c r="A768" s="5" t="s">
        <v>3379</v>
      </c>
      <c r="B768" s="5" t="s">
        <v>3380</v>
      </c>
      <c r="C768" s="5" t="s">
        <v>3380</v>
      </c>
      <c r="D768" s="5" t="s">
        <v>38</v>
      </c>
      <c r="E768" s="5" t="s">
        <v>233</v>
      </c>
      <c r="F768" s="5" t="s">
        <v>84</v>
      </c>
      <c r="G768" s="14" t="str">
        <f t="array" ref="G768">IF(B768="", "",
  LET(_xlpm.spell, IFERROR(IF(F768="", "", INDEX(_xlws.FILTER(Hairstyles!$F:$F, ISNUMBER(SEARCH(F768, Hairstyles!$B:$B))), 1)), "No Spell for Hairstyle"),
  _xlpm.vanillaPrefix, IF(LEFT(_xlpm.spell, 7)="Uvi_Wig", "", ";"),
  ";" &amp; IF(C768="", B768, C768) &amp; IF(M768="", "", " ("&amp;M768&amp;")") &amp; CHAR(10) &amp;
  _xlpm.vanillaPrefix &amp; "Keyword = Uvi_Wig_Distr_KYWD|" &amp; B768 &amp; CHAR(10) &amp;
  _xlpm.vanillaPrefix &amp; "Spell = " &amp; _xlpm.spell &amp; "|" &amp; B768
  )
)</f>
        <v>;Hrongar
;Keyword = Uvi_Wig_Distr_KYWD|Hrongar
;Spell = No Spell for Hairstyle|Hrongar</v>
      </c>
    </row>
    <row r="769" ht="12.75" customHeight="1">
      <c r="A769" s="5" t="s">
        <v>3381</v>
      </c>
      <c r="B769" s="5" t="s">
        <v>3382</v>
      </c>
      <c r="C769" s="5" t="s">
        <v>3383</v>
      </c>
      <c r="D769" s="5" t="s">
        <v>38</v>
      </c>
      <c r="E769" s="5" t="s">
        <v>233</v>
      </c>
      <c r="F769" s="5" t="s">
        <v>1553</v>
      </c>
      <c r="G769" s="14" t="str">
        <f t="array" ref="G769">IF(B769="", "",
  LET(_xlpm.spell, IFERROR(IF(F769="", "", INDEX(_xlws.FILTER(Hairstyles!$F:$F, ISNUMBER(SEARCH(F769, Hairstyles!$B:$B))), 1)), "No Spell for Hairstyle"),
  _xlpm.vanillaPrefix, IF(LEFT(_xlpm.spell, 7)="Uvi_Wig", "", ";"),
  ";" &amp; IF(C769="", B769, C769) &amp; IF(M769="", "", " ("&amp;M769&amp;")") &amp; CHAR(10) &amp;
  _xlpm.vanillaPrefix &amp; "Keyword = Uvi_Wig_Distr_KYWD|" &amp; B769 &amp; CHAR(10) &amp;
  _xlpm.vanillaPrefix &amp; "Spell = " &amp; _xlpm.spell &amp; "|" &amp; B769
  )
)</f>
        <v>;Hrothmund
;Keyword = Uvi_Wig_Distr_KYWD|DLC2Hrothmund
;Spell = No Spell for Hairstyle|DLC2Hrothmund</v>
      </c>
    </row>
    <row r="770" ht="12.75" customHeight="1">
      <c r="A770" s="15" t="s">
        <v>3384</v>
      </c>
      <c r="B770" s="5" t="s">
        <v>3385</v>
      </c>
      <c r="C770" s="5" t="s">
        <v>3386</v>
      </c>
      <c r="D770" s="5" t="s">
        <v>38</v>
      </c>
      <c r="E770" s="5" t="s">
        <v>41</v>
      </c>
      <c r="F770" s="5" t="s">
        <v>22</v>
      </c>
      <c r="G770" s="14" t="str">
        <f t="array" ref="G770">IF(B770="", "",
  LET(_xlpm.spell, IFERROR(IF(F770="", "", INDEX(_xlws.FILTER(Hairstyles!$F:$F, ISNUMBER(SEARCH(F770, Hairstyles!$B:$B))), 1)), "No Spell for Hairstyle"),
  _xlpm.vanillaPrefix, IF(LEFT(_xlpm.spell, 7)="Uvi_Wig", "", ";"),
  ";" &amp; IF(C770="", B770, C770) &amp; IF(M770="", "", " ("&amp;M770&amp;")") &amp; CHAR(10) &amp;
  _xlpm.vanillaPrefix &amp; "Keyword = Uvi_Wig_Distr_KYWD|" &amp; B770 &amp; CHAR(10) &amp;
  _xlpm.vanillaPrefix &amp; "Spell = " &amp; _xlpm.spell &amp; "|" &amp; B770
  )
)</f>
        <v>;Huki Seven-Swords
;Keyword = Uvi_Wig_Distr_KYWD|Huki
;Spell = No Spell for Hairstyle|Huki</v>
      </c>
    </row>
    <row r="771" ht="12.75" customHeight="1">
      <c r="A771" s="5" t="s">
        <v>3387</v>
      </c>
      <c r="B771" s="5" t="s">
        <v>3388</v>
      </c>
      <c r="C771" s="5" t="s">
        <v>3388</v>
      </c>
      <c r="D771" s="5" t="s">
        <v>38</v>
      </c>
      <c r="E771" s="5" t="s">
        <v>41</v>
      </c>
      <c r="F771" s="5" t="s">
        <v>343</v>
      </c>
      <c r="G771" s="14" t="str">
        <f t="array" ref="G771">IF(B771="", "",
  LET(_xlpm.spell, IFERROR(IF(F771="", "", INDEX(_xlws.FILTER(Hairstyles!$F:$F, ISNUMBER(SEARCH(F771, Hairstyles!$B:$B))), 1)), "No Spell for Hairstyle"),
  _xlpm.vanillaPrefix, IF(LEFT(_xlpm.spell, 7)="Uvi_Wig", "", ";"),
  ";" &amp; IF(C771="", B771, C771) &amp; IF(M771="", "", " ("&amp;M771&amp;")") &amp; CHAR(10) &amp;
  _xlpm.vanillaPrefix &amp; "Keyword = Uvi_Wig_Distr_KYWD|" &amp; B771 &amp; CHAR(10) &amp;
  _xlpm.vanillaPrefix &amp; "Spell = " &amp; _xlpm.spell &amp; "|" &amp; B771
  )
)</f>
        <v>;Hulda
;Keyword = Uvi_Wig_Distr_KYWD|Hulda
;Spell = No Spell for Hairstyle|Hulda</v>
      </c>
    </row>
    <row r="772" ht="12.75" customHeight="1">
      <c r="A772" s="5" t="s">
        <v>3389</v>
      </c>
      <c r="B772" s="5" t="s">
        <v>3390</v>
      </c>
      <c r="C772" s="5" t="s">
        <v>3391</v>
      </c>
      <c r="D772" s="5" t="s">
        <v>38</v>
      </c>
      <c r="E772" s="5" t="s">
        <v>233</v>
      </c>
      <c r="F772" s="5" t="s">
        <v>68</v>
      </c>
      <c r="G772" s="14" t="str">
        <f t="array" ref="G772">IF(B772="", "",
  LET(_xlpm.spell, IFERROR(IF(F772="", "", INDEX(_xlws.FILTER(Hairstyles!$F:$F, ISNUMBER(SEARCH(F772, Hairstyles!$B:$B))), 1)), "No Spell for Hairstyle"),
  _xlpm.vanillaPrefix, IF(LEFT(_xlpm.spell, 7)="Uvi_Wig", "", ";"),
  ";" &amp; IF(C772="", B772, C772) &amp; IF(M772="", "", " ("&amp;M772&amp;")") &amp; CHAR(10) &amp;
  _xlpm.vanillaPrefix &amp; "Keyword = Uvi_Wig_Distr_KYWD|" &amp; B772 &amp; CHAR(10) &amp;
  _xlpm.vanillaPrefix &amp; "Spell = " &amp; _xlpm.spell &amp; "|" &amp; B772
  )
)</f>
        <v>;Hunroor
;Keyword = Uvi_Wig_Distr_KYWD|MQ305Hunroor
;Spell = No Spell for Hairstyle|MQ305Hunroor</v>
      </c>
    </row>
    <row r="773" ht="12.75" customHeight="1">
      <c r="A773" s="5" t="s">
        <v>3392</v>
      </c>
      <c r="B773" s="5" t="s">
        <v>3393</v>
      </c>
      <c r="C773" s="5" t="s">
        <v>3394</v>
      </c>
      <c r="D773" s="5" t="s">
        <v>38</v>
      </c>
      <c r="E773" s="5" t="s">
        <v>233</v>
      </c>
      <c r="F773" s="5" t="s">
        <v>990</v>
      </c>
      <c r="G773" s="14" t="str">
        <f t="array" ref="G773">IF(B773="", "",
  LET(_xlpm.spell, IFERROR(IF(F773="", "", INDEX(_xlws.FILTER(Hairstyles!$F:$F, ISNUMBER(SEARCH(F773, Hairstyles!$B:$B))), 1)), "No Spell for Hairstyle"),
  _xlpm.vanillaPrefix, IF(LEFT(_xlpm.spell, 7)="Uvi_Wig", "", ";"),
  ";" &amp; IF(C773="", B773, C773) &amp; IF(M773="", "", " ("&amp;M773&amp;")") &amp; CHAR(10) &amp;
  _xlpm.vanillaPrefix &amp; "Keyword = Uvi_Wig_Distr_KYWD|" &amp; B773 &amp; CHAR(10) &amp;
  _xlpm.vanillaPrefix &amp; "Spell = " &amp; _xlpm.spell &amp; "|" &amp; B773
  )
)</f>
        <v>;Hunter
;Keyword = Uvi_Wig_Distr_KYWD|EncHunter00Template
;Spell = No Spell for Hairstyle|EncHunter00Template</v>
      </c>
    </row>
    <row r="774" ht="12.75" customHeight="1">
      <c r="A774" s="5" t="s">
        <v>3395</v>
      </c>
      <c r="B774" s="5" t="s">
        <v>3396</v>
      </c>
      <c r="C774" s="5" t="s">
        <v>3394</v>
      </c>
      <c r="D774" s="5" t="s">
        <v>83</v>
      </c>
      <c r="E774" s="5" t="s">
        <v>41</v>
      </c>
      <c r="F774" s="5" t="s">
        <v>1759</v>
      </c>
      <c r="G774" s="14" t="str">
        <f t="array" ref="G774">IF(B774="", "",
  LET(_xlpm.spell, IFERROR(IF(F774="", "", INDEX(_xlws.FILTER(Hairstyles!$F:$F, ISNUMBER(SEARCH(F774, Hairstyles!$B:$B))), 1)), "No Spell for Hairstyle"),
  _xlpm.vanillaPrefix, IF(LEFT(_xlpm.spell, 7)="Uvi_Wig", "", ";"),
  ";" &amp; IF(C774="", B774, C774) &amp; IF(M774="", "", " ("&amp;M774&amp;")") &amp; CHAR(10) &amp;
  _xlpm.vanillaPrefix &amp; "Keyword = Uvi_Wig_Distr_KYWD|" &amp; B774 &amp; CHAR(10) &amp;
  _xlpm.vanillaPrefix &amp; "Spell = " &amp; _xlpm.spell &amp; "|" &amp; B774
  )
)</f>
        <v>;Hunter
;Keyword = Uvi_Wig_Distr_KYWD|Urwa
;Spell = No Spell for Hairstyle|Urwa</v>
      </c>
    </row>
    <row r="775" ht="12.75" customHeight="1">
      <c r="A775" s="5" t="s">
        <v>3397</v>
      </c>
      <c r="B775" s="5" t="s">
        <v>3398</v>
      </c>
      <c r="C775" s="5" t="s">
        <v>3394</v>
      </c>
      <c r="D775" s="5" t="s">
        <v>38</v>
      </c>
      <c r="E775" s="5" t="s">
        <v>233</v>
      </c>
      <c r="F775" s="5" t="s">
        <v>695</v>
      </c>
      <c r="G775" s="14" t="str">
        <f t="array" ref="G775">IF(B775="", "",
  LET(_xlpm.spell, IFERROR(IF(F775="", "", INDEX(_xlws.FILTER(Hairstyles!$F:$F, ISNUMBER(SEARCH(F775, Hairstyles!$B:$B))), 1)), "No Spell for Hairstyle"),
  _xlpm.vanillaPrefix, IF(LEFT(_xlpm.spell, 7)="Uvi_Wig", "", ";"),
  ";" &amp; IF(C775="", B775, C775) &amp; IF(M775="", "", " ("&amp;M775&amp;")") &amp; CHAR(10) &amp;
  _xlpm.vanillaPrefix &amp; "Keyword = Uvi_Wig_Distr_KYWD|" &amp; B775 &amp; CHAR(10) &amp;
  _xlpm.vanillaPrefix &amp; "Spell = " &amp; _xlpm.spell &amp; "|" &amp; B775
  )
)</f>
        <v>;Hunter
;Keyword = Uvi_Wig_Distr_KYWD|WE25Hunter
;Spell = No Spell for Hairstyle|WE25Hunter</v>
      </c>
    </row>
    <row r="776" ht="12.75" customHeight="1">
      <c r="A776" s="5" t="s">
        <v>3399</v>
      </c>
      <c r="B776" s="5" t="s">
        <v>3400</v>
      </c>
      <c r="C776" s="5" t="s">
        <v>3401</v>
      </c>
      <c r="D776" s="5" t="s">
        <v>38</v>
      </c>
      <c r="E776" s="5" t="s">
        <v>233</v>
      </c>
      <c r="F776" s="5" t="s">
        <v>40</v>
      </c>
      <c r="G776" s="14" t="str">
        <f t="array" ref="G776">IF(B776="", "",
  LET(_xlpm.spell, IFERROR(IF(F776="", "", INDEX(_xlws.FILTER(Hairstyles!$F:$F, ISNUMBER(SEARCH(F776, Hairstyles!$B:$B))), 1)), "No Spell for Hairstyle"),
  _xlpm.vanillaPrefix, IF(LEFT(_xlpm.spell, 7)="Uvi_Wig", "", ";"),
  ";" &amp; IF(C776="", B776, C776) &amp; IF(M776="", "", " ("&amp;M776&amp;")") &amp; CHAR(10) &amp;
  _xlpm.vanillaPrefix &amp; "Keyword = Uvi_Wig_Distr_KYWD|" &amp; B776 &amp; CHAR(10) &amp;
  _xlpm.vanillaPrefix &amp; "Spell = " &amp; _xlpm.spell &amp; "|" &amp; B776
  )
)</f>
        <v>;Ice Mage
;Keyword = Uvi_Wig_Distr_KYWD|EncWarlock04TemplateBossIce
;Spell = No Spell for Hairstyle|EncWarlock04TemplateBossIce</v>
      </c>
    </row>
    <row r="777" ht="12.75" customHeight="1">
      <c r="A777" s="5" t="s">
        <v>3402</v>
      </c>
      <c r="B777" s="5" t="s">
        <v>3403</v>
      </c>
      <c r="C777" s="5" t="s">
        <v>3401</v>
      </c>
      <c r="D777" s="5" t="s">
        <v>38</v>
      </c>
      <c r="E777" s="5" t="s">
        <v>233</v>
      </c>
      <c r="F777" s="5" t="s">
        <v>1566</v>
      </c>
      <c r="G777" s="14" t="str">
        <f t="array" ref="G777">IF(B777="", "",
  LET(_xlpm.spell, IFERROR(IF(F777="", "", INDEX(_xlws.FILTER(Hairstyles!$F:$F, ISNUMBER(SEARCH(F777, Hairstyles!$B:$B))), 1)), "No Spell for Hairstyle"),
  _xlpm.vanillaPrefix, IF(LEFT(_xlpm.spell, 7)="Uvi_Wig", "", ";"),
  ";" &amp; IF(C777="", B777, C777) &amp; IF(M777="", "", " ("&amp;M777&amp;")") &amp; CHAR(10) &amp;
  _xlpm.vanillaPrefix &amp; "Keyword = Uvi_Wig_Distr_KYWD|" &amp; B777 &amp; CHAR(10) &amp;
  _xlpm.vanillaPrefix &amp; "Spell = " &amp; _xlpm.spell &amp; "|" &amp; B777
  )
)</f>
        <v>;Ice Mage
;Keyword = Uvi_Wig_Distr_KYWD|EncWarlock04TemplateIce
;Spell = No Spell for Hairstyle|EncWarlock04TemplateIce</v>
      </c>
    </row>
    <row r="778" ht="12.75" customHeight="1">
      <c r="A778" s="5" t="s">
        <v>3404</v>
      </c>
      <c r="B778" s="5" t="s">
        <v>3405</v>
      </c>
      <c r="C778" s="5" t="s">
        <v>3406</v>
      </c>
      <c r="D778" s="5" t="s">
        <v>38</v>
      </c>
      <c r="E778" s="5" t="s">
        <v>233</v>
      </c>
      <c r="F778" s="5" t="s">
        <v>68</v>
      </c>
      <c r="G778" s="14" t="str">
        <f t="array" ref="G778">IF(B778="", "",
  LET(_xlpm.spell, IFERROR(IF(F778="", "", INDEX(_xlws.FILTER(Hairstyles!$F:$F, ISNUMBER(SEARCH(F778, Hairstyles!$B:$B))), 1)), "No Spell for Hairstyle"),
  _xlpm.vanillaPrefix, IF(LEFT(_xlpm.spell, 7)="Uvi_Wig", "", ";"),
  ";" &amp; IF(C778="", B778, C778) &amp; IF(M778="", "", " ("&amp;M778&amp;")") &amp; CHAR(10) &amp;
  _xlpm.vanillaPrefix &amp; "Keyword = Uvi_Wig_Distr_KYWD|" &amp; B778 &amp; CHAR(10) &amp;
  _xlpm.vanillaPrefix &amp; "Spell = " &amp; _xlpm.spell &amp; "|" &amp; B778
  )
)</f>
        <v>;Ice Mage Adept
;Keyword = Uvi_Wig_Distr_KYWD|EncWarlock03TemplateBossIce
;Spell = No Spell for Hairstyle|EncWarlock03TemplateBossIce</v>
      </c>
    </row>
    <row r="779" ht="12.75" customHeight="1">
      <c r="A779" s="5" t="s">
        <v>3407</v>
      </c>
      <c r="B779" s="5" t="s">
        <v>3408</v>
      </c>
      <c r="C779" s="5" t="s">
        <v>3406</v>
      </c>
      <c r="D779" s="5" t="s">
        <v>38</v>
      </c>
      <c r="E779" s="5" t="s">
        <v>233</v>
      </c>
      <c r="F779" s="5" t="s">
        <v>1700</v>
      </c>
      <c r="G779" s="14" t="str">
        <f t="array" ref="G779">IF(B779="", "",
  LET(_xlpm.spell, IFERROR(IF(F779="", "", INDEX(_xlws.FILTER(Hairstyles!$F:$F, ISNUMBER(SEARCH(F779, Hairstyles!$B:$B))), 1)), "No Spell for Hairstyle"),
  _xlpm.vanillaPrefix, IF(LEFT(_xlpm.spell, 7)="Uvi_Wig", "", ";"),
  ";" &amp; IF(C779="", B779, C779) &amp; IF(M779="", "", " ("&amp;M779&amp;")") &amp; CHAR(10) &amp;
  _xlpm.vanillaPrefix &amp; "Keyword = Uvi_Wig_Distr_KYWD|" &amp; B779 &amp; CHAR(10) &amp;
  _xlpm.vanillaPrefix &amp; "Spell = " &amp; _xlpm.spell &amp; "|" &amp; B779
  )
)</f>
        <v>;Ice Mage Adept
;Keyword = Uvi_Wig_Distr_KYWD|EncWarlock03TemplateIce
;Spell = No Spell for Hairstyle|EncWarlock03TemplateIce</v>
      </c>
    </row>
    <row r="780" ht="12.75" customHeight="1">
      <c r="A780" s="5" t="s">
        <v>3409</v>
      </c>
      <c r="B780" s="5" t="s">
        <v>3410</v>
      </c>
      <c r="C780" s="5" t="s">
        <v>3411</v>
      </c>
      <c r="D780" s="5" t="s">
        <v>38</v>
      </c>
      <c r="E780" s="5" t="s">
        <v>233</v>
      </c>
      <c r="F780" s="5" t="s">
        <v>1700</v>
      </c>
      <c r="G780" s="14" t="str">
        <f t="array" ref="G780">IF(B780="", "",
  LET(_xlpm.spell, IFERROR(IF(F780="", "", INDEX(_xlws.FILTER(Hairstyles!$F:$F, ISNUMBER(SEARCH(F780, Hairstyles!$B:$B))), 1)), "No Spell for Hairstyle"),
  _xlpm.vanillaPrefix, IF(LEFT(_xlpm.spell, 7)="Uvi_Wig", "", ";"),
  ";" &amp; IF(C780="", B780, C780) &amp; IF(M780="", "", " ("&amp;M780&amp;")") &amp; CHAR(10) &amp;
  _xlpm.vanillaPrefix &amp; "Keyword = Uvi_Wig_Distr_KYWD|" &amp; B780 &amp; CHAR(10) &amp;
  _xlpm.vanillaPrefix &amp; "Spell = " &amp; _xlpm.spell &amp; "|" &amp; B780
  )
)</f>
        <v>;Ice Wizard
;Keyword = Uvi_Wig_Distr_KYWD|EncWarlock05TemplateBossIce
;Spell = No Spell for Hairstyle|EncWarlock05TemplateBossIce</v>
      </c>
    </row>
    <row r="781" ht="12.75" customHeight="1">
      <c r="A781" s="5" t="s">
        <v>3412</v>
      </c>
      <c r="B781" s="5" t="s">
        <v>3413</v>
      </c>
      <c r="C781" s="5" t="s">
        <v>3411</v>
      </c>
      <c r="D781" s="5" t="s">
        <v>38</v>
      </c>
      <c r="E781" s="5" t="s">
        <v>233</v>
      </c>
      <c r="F781" s="5" t="s">
        <v>68</v>
      </c>
      <c r="G781" s="14" t="str">
        <f t="array" ref="G781">IF(B781="", "",
  LET(_xlpm.spell, IFERROR(IF(F781="", "", INDEX(_xlws.FILTER(Hairstyles!$F:$F, ISNUMBER(SEARCH(F781, Hairstyles!$B:$B))), 1)), "No Spell for Hairstyle"),
  _xlpm.vanillaPrefix, IF(LEFT(_xlpm.spell, 7)="Uvi_Wig", "", ";"),
  ";" &amp; IF(C781="", B781, C781) &amp; IF(M781="", "", " ("&amp;M781&amp;")") &amp; CHAR(10) &amp;
  _xlpm.vanillaPrefix &amp; "Keyword = Uvi_Wig_Distr_KYWD|" &amp; B781 &amp; CHAR(10) &amp;
  _xlpm.vanillaPrefix &amp; "Spell = " &amp; _xlpm.spell &amp; "|" &amp; B781
  )
)</f>
        <v>;Ice Wizard
;Keyword = Uvi_Wig_Distr_KYWD|EncWarlock05TemplateIce
;Spell = No Spell for Hairstyle|EncWarlock05TemplateIce</v>
      </c>
    </row>
    <row r="782" ht="12.75" customHeight="1">
      <c r="A782" s="15" t="s">
        <v>3414</v>
      </c>
      <c r="B782" s="5" t="s">
        <v>3415</v>
      </c>
      <c r="C782" s="5" t="s">
        <v>3415</v>
      </c>
      <c r="D782" s="5" t="s">
        <v>38</v>
      </c>
      <c r="E782" s="5" t="s">
        <v>41</v>
      </c>
      <c r="F782" s="5" t="s">
        <v>343</v>
      </c>
      <c r="G782" s="14" t="str">
        <f t="array" ref="G782">IF(B782="", "",
  LET(_xlpm.spell, IFERROR(IF(F782="", "", INDEX(_xlws.FILTER(Hairstyles!$F:$F, ISNUMBER(SEARCH(F782, Hairstyles!$B:$B))), 1)), "No Spell for Hairstyle"),
  _xlpm.vanillaPrefix, IF(LEFT(_xlpm.spell, 7)="Uvi_Wig", "", ";"),
  ";" &amp; IF(C782="", B782, C782) &amp; IF(M782="", "", " ("&amp;M782&amp;")") &amp; CHAR(10) &amp;
  _xlpm.vanillaPrefix &amp; "Keyword = Uvi_Wig_Distr_KYWD|" &amp; B782 &amp; CHAR(10) &amp;
  _xlpm.vanillaPrefix &amp; "Spell = " &amp; _xlpm.spell &amp; "|" &amp; B782
  )
)</f>
        <v>;Iddra
;Keyword = Uvi_Wig_Distr_KYWD|Iddra
;Spell = No Spell for Hairstyle|Iddra</v>
      </c>
    </row>
    <row r="783" ht="12.75" customHeight="1">
      <c r="A783" s="5" t="s">
        <v>3416</v>
      </c>
      <c r="B783" s="5" t="s">
        <v>3417</v>
      </c>
      <c r="C783" s="5" t="s">
        <v>3418</v>
      </c>
      <c r="D783" s="5" t="s">
        <v>45</v>
      </c>
      <c r="E783" s="5" t="s">
        <v>41</v>
      </c>
      <c r="F783" s="5" t="s">
        <v>2380</v>
      </c>
      <c r="G783" s="14" t="str">
        <f t="array" ref="G783">IF(B783="", "",
  LET(_xlpm.spell, IFERROR(IF(F783="", "", INDEX(_xlws.FILTER(Hairstyles!$F:$F, ISNUMBER(SEARCH(F783, Hairstyles!$B:$B))), 1)), "No Spell for Hairstyle"),
  _xlpm.vanillaPrefix, IF(LEFT(_xlpm.spell, 7)="Uvi_Wig", "", ";"),
  ";" &amp; IF(C783="", B783, C783) &amp; IF(M783="", "", " ("&amp;M783&amp;")") &amp; CHAR(10) &amp;
  _xlpm.vanillaPrefix &amp; "Keyword = Uvi_Wig_Distr_KYWD|" &amp; B783 &amp; CHAR(10) &amp;
  _xlpm.vanillaPrefix &amp; "Spell = " &amp; _xlpm.spell &amp; "|" &amp; B783
  )
)</f>
        <v>;Idesa Sadri
;Keyword = Uvi_Wig_Distr_KYWD|IdesaSadri
;Spell = No Spell for Hairstyle|IdesaSadri</v>
      </c>
    </row>
    <row r="784" ht="12.75" customHeight="1">
      <c r="A784" s="5" t="s">
        <v>3419</v>
      </c>
      <c r="B784" s="5" t="s">
        <v>3420</v>
      </c>
      <c r="C784" s="5" t="s">
        <v>3421</v>
      </c>
      <c r="D784" s="5" t="s">
        <v>51</v>
      </c>
      <c r="E784" s="5" t="s">
        <v>41</v>
      </c>
      <c r="F784" s="5" t="s">
        <v>1822</v>
      </c>
      <c r="G784" s="14" t="str">
        <f t="array" ref="G784">IF(B784="", "",
  LET(_xlpm.spell, IFERROR(IF(F784="", "", INDEX(_xlws.FILTER(Hairstyles!$F:$F, ISNUMBER(SEARCH(F784, Hairstyles!$B:$B))), 1)), "No Spell for Hairstyle"),
  _xlpm.vanillaPrefix, IF(LEFT(_xlpm.spell, 7)="Uvi_Wig", "", ";"),
  ";" &amp; IF(C784="", B784, C784) &amp; IF(M784="", "", " ("&amp;M784&amp;")") &amp; CHAR(10) &amp;
  _xlpm.vanillaPrefix &amp; "Keyword = Uvi_Wig_Distr_KYWD|" &amp; B784 &amp; CHAR(10) &amp;
  _xlpm.vanillaPrefix &amp; "Spell = " &amp; _xlpm.spell &amp; "|" &amp; B784
  )
)</f>
        <v>;Idgrod Ravencrone
;Keyword = Uvi_Wig_Distr_KYWD|IdgrodRavencrone
;Spell = No Spell for Hairstyle|IdgrodRavencrone</v>
      </c>
    </row>
    <row r="785" ht="12.75" customHeight="1">
      <c r="A785" s="5" t="s">
        <v>3422</v>
      </c>
      <c r="B785" s="5" t="s">
        <v>3423</v>
      </c>
      <c r="C785" s="5" t="s">
        <v>3424</v>
      </c>
      <c r="D785" s="5" t="s">
        <v>38</v>
      </c>
      <c r="E785" s="5" t="s">
        <v>41</v>
      </c>
      <c r="F785" s="5" t="s">
        <v>270</v>
      </c>
      <c r="G785" s="14" t="str">
        <f t="array" ref="G785">IF(B785="", "",
  LET(_xlpm.spell, IFERROR(IF(F785="", "", INDEX(_xlws.FILTER(Hairstyles!$F:$F, ISNUMBER(SEARCH(F785, Hairstyles!$B:$B))), 1)), "No Spell for Hairstyle"),
  _xlpm.vanillaPrefix, IF(LEFT(_xlpm.spell, 7)="Uvi_Wig", "", ";"),
  ";" &amp; IF(C785="", B785, C785) &amp; IF(M785="", "", " ("&amp;M785&amp;")") &amp; CHAR(10) &amp;
  _xlpm.vanillaPrefix &amp; "Keyword = Uvi_Wig_Distr_KYWD|" &amp; B785 &amp; CHAR(10) &amp;
  _xlpm.vanillaPrefix &amp; "Spell = " &amp; _xlpm.spell &amp; "|" &amp; B785
  )
)</f>
        <v>;Idgrod the Younger
;Keyword = Uvi_Wig_Distr_KYWD|IdgrodTheYounger
;Spell = No Spell for Hairstyle|IdgrodTheYounger</v>
      </c>
    </row>
    <row r="786" ht="12.75" customHeight="1">
      <c r="A786" s="5" t="s">
        <v>3425</v>
      </c>
      <c r="B786" s="5" t="s">
        <v>3426</v>
      </c>
      <c r="C786" s="5" t="s">
        <v>3427</v>
      </c>
      <c r="D786" s="5" t="s">
        <v>38</v>
      </c>
      <c r="E786" s="5" t="s">
        <v>233</v>
      </c>
      <c r="F786" s="5" t="s">
        <v>1894</v>
      </c>
      <c r="G786" s="14" t="str">
        <f t="array" ref="G786">IF(B786="", "",
  LET(_xlpm.spell, IFERROR(IF(F786="", "", INDEX(_xlws.FILTER(Hairstyles!$F:$F, ISNUMBER(SEARCH(F786, Hairstyles!$B:$B))), 1)), "No Spell for Hairstyle"),
  _xlpm.vanillaPrefix, IF(LEFT(_xlpm.spell, 7)="Uvi_Wig", "", ";"),
  ";" &amp; IF(C786="", B786, C786) &amp; IF(M786="", "", " ("&amp;M786&amp;")") &amp; CHAR(10) &amp;
  _xlpm.vanillaPrefix &amp; "Keyword = Uvi_Wig_Distr_KYWD|" &amp; B786 &amp; CHAR(10) &amp;
  _xlpm.vanillaPrefix &amp; "Spell = " &amp; _xlpm.spell &amp; "|" &amp; B786
  )
)</f>
        <v>;Idolaf Battle-Born
;Keyword = Uvi_Wig_Distr_KYWD|IdolafBattleBorn
;Spell = No Spell for Hairstyle|IdolafBattleBorn</v>
      </c>
    </row>
    <row r="787" ht="12.75" customHeight="1">
      <c r="A787" s="5" t="s">
        <v>3428</v>
      </c>
      <c r="B787" s="5" t="s">
        <v>3429</v>
      </c>
      <c r="C787" s="5" t="s">
        <v>3429</v>
      </c>
      <c r="D787" s="5" t="s">
        <v>38</v>
      </c>
      <c r="E787" s="5" t="s">
        <v>233</v>
      </c>
      <c r="F787" s="5" t="s">
        <v>19</v>
      </c>
      <c r="G787" s="14" t="str">
        <f t="array" ref="G787">IF(B787="", "",
  LET(_xlpm.spell, IFERROR(IF(F787="", "", INDEX(_xlws.FILTER(Hairstyles!$F:$F, ISNUMBER(SEARCH(F787, Hairstyles!$B:$B))), 1)), "No Spell for Hairstyle"),
  _xlpm.vanillaPrefix, IF(LEFT(_xlpm.spell, 7)="Uvi_Wig", "", ";"),
  ";" &amp; IF(C787="", B787, C787) &amp; IF(M787="", "", " ("&amp;M787&amp;")") &amp; CHAR(10) &amp;
  _xlpm.vanillaPrefix &amp; "Keyword = Uvi_Wig_Distr_KYWD|" &amp; B787 &amp; CHAR(10) &amp;
  _xlpm.vanillaPrefix &amp; "Spell = " &amp; _xlpm.spell &amp; "|" &amp; B787
  )
)</f>
        <v>;Igmund
;Keyword = Uvi_Wig_Distr_KYWD|Igmund
;Spell = No Spell for Hairstyle|Igmund</v>
      </c>
    </row>
    <row r="788" ht="12.75" customHeight="1">
      <c r="A788" s="5" t="s">
        <v>3430</v>
      </c>
      <c r="B788" s="5" t="s">
        <v>3431</v>
      </c>
      <c r="C788" s="5" t="s">
        <v>3432</v>
      </c>
      <c r="D788" s="5" t="s">
        <v>10</v>
      </c>
      <c r="E788" s="5" t="s">
        <v>233</v>
      </c>
      <c r="F788" s="5" t="s">
        <v>1755</v>
      </c>
      <c r="G788" s="14" t="str">
        <f t="array" ref="G788">IF(B788="", "",
  LET(_xlpm.spell, IFERROR(IF(F788="", "", INDEX(_xlws.FILTER(Hairstyles!$F:$F, ISNUMBER(SEARCH(F788, Hairstyles!$B:$B))), 1)), "No Spell for Hairstyle"),
  _xlpm.vanillaPrefix, IF(LEFT(_xlpm.spell, 7)="Uvi_Wig", "", ";"),
  ";" &amp; IF(C788="", B788, C788) &amp; IF(M788="", "", " ("&amp;M788&amp;")") &amp; CHAR(10) &amp;
  _xlpm.vanillaPrefix &amp; "Keyword = Uvi_Wig_Distr_KYWD|" &amp; B788 &amp; CHAR(10) &amp;
  _xlpm.vanillaPrefix &amp; "Spell = " &amp; _xlpm.spell &amp; "|" &amp; B788
  )
)</f>
        <v>;Ilas-Tei
;Keyword = Uvi_Wig_Distr_KYWD|POIMageIlasTei
;Spell = No Spell for Hairstyle|POIMageIlasTei</v>
      </c>
    </row>
    <row r="789" ht="12.75" customHeight="1">
      <c r="A789" s="5" t="s">
        <v>3433</v>
      </c>
      <c r="B789" s="5" t="s">
        <v>3434</v>
      </c>
      <c r="C789" s="5" t="s">
        <v>3435</v>
      </c>
      <c r="D789" s="5" t="s">
        <v>45</v>
      </c>
      <c r="E789" s="5" t="s">
        <v>41</v>
      </c>
      <c r="F789" s="5" t="s">
        <v>48</v>
      </c>
      <c r="G789" s="14" t="str">
        <f t="array" ref="G789">IF(B789="", "",
  LET(_xlpm.spell, IFERROR(IF(F789="", "", INDEX(_xlws.FILTER(Hairstyles!$F:$F, ISNUMBER(SEARCH(F789, Hairstyles!$B:$B))), 1)), "No Spell for Hairstyle"),
  _xlpm.vanillaPrefix, IF(LEFT(_xlpm.spell, 7)="Uvi_Wig", "", ";"),
  ";" &amp; IF(C789="", B789, C789) &amp; IF(M789="", "", " ("&amp;M789&amp;")") &amp; CHAR(10) &amp;
  _xlpm.vanillaPrefix &amp; "Keyword = Uvi_Wig_Distr_KYWD|" &amp; B789 &amp; CHAR(10) &amp;
  _xlpm.vanillaPrefix &amp; "Spell = " &amp; _xlpm.spell &amp; "|" &amp; B789
  )
)</f>
        <v>;Ildari Sarothril
;Keyword = Uvi_Wig_Distr_KYWD|DLC2Ildari
;Spell = No Spell for Hairstyle|DLC2Ildari</v>
      </c>
    </row>
    <row r="790" ht="12.75" customHeight="1">
      <c r="A790" s="15" t="s">
        <v>3436</v>
      </c>
      <c r="B790" s="5" t="s">
        <v>3437</v>
      </c>
      <c r="C790" s="5" t="s">
        <v>3437</v>
      </c>
      <c r="D790" s="5" t="s">
        <v>38</v>
      </c>
      <c r="E790" s="5" t="s">
        <v>41</v>
      </c>
      <c r="F790" s="5" t="s">
        <v>862</v>
      </c>
      <c r="G790" s="14" t="str">
        <f t="array" ref="G790">IF(B790="", "",
  LET(_xlpm.spell, IFERROR(IF(F790="", "", INDEX(_xlws.FILTER(Hairstyles!$F:$F, ISNUMBER(SEARCH(F790, Hairstyles!$B:$B))), 1)), "No Spell for Hairstyle"),
  _xlpm.vanillaPrefix, IF(LEFT(_xlpm.spell, 7)="Uvi_Wig", "", ";"),
  ";" &amp; IF(C790="", B790, C790) &amp; IF(M790="", "", " ("&amp;M790&amp;")") &amp; CHAR(10) &amp;
  _xlpm.vanillaPrefix &amp; "Keyword = Uvi_Wig_Distr_KYWD|" &amp; B790 &amp; CHAR(10) &amp;
  _xlpm.vanillaPrefix &amp; "Spell = " &amp; _xlpm.spell &amp; "|" &amp; B790
  )
)</f>
        <v>;Illdi
;Keyword = Uvi_Wig_Distr_KYWD|Illdi
;Spell = No Spell for Hairstyle|Illdi</v>
      </c>
    </row>
    <row r="791" ht="12.75" customHeight="1">
      <c r="A791" s="5" t="s">
        <v>3438</v>
      </c>
      <c r="B791" s="5" t="s">
        <v>3439</v>
      </c>
      <c r="C791" s="5" t="s">
        <v>3440</v>
      </c>
      <c r="D791" s="5" t="s">
        <v>59</v>
      </c>
      <c r="E791" s="5" t="s">
        <v>41</v>
      </c>
      <c r="F791" s="5" t="s">
        <v>270</v>
      </c>
      <c r="G791" s="14" t="str">
        <f t="array" ref="G791">IF(B791="", "",
  LET(_xlpm.spell, IFERROR(IF(F791="", "", INDEX(_xlws.FILTER(Hairstyles!$F:$F, ISNUMBER(SEARCH(F791, Hairstyles!$B:$B))), 1)), "No Spell for Hairstyle"),
  _xlpm.vanillaPrefix, IF(LEFT(_xlpm.spell, 7)="Uvi_Wig", "", ";"),
  ";" &amp; IF(C791="", B791, C791) &amp; IF(M791="", "", " ("&amp;M791&amp;")") &amp; CHAR(10) &amp;
  _xlpm.vanillaPrefix &amp; "Keyword = Uvi_Wig_Distr_KYWD|" &amp; B791 &amp; CHAR(10) &amp;
  _xlpm.vanillaPrefix &amp; "Spell = " &amp; _xlpm.spell &amp; "|" &amp; B791
  )
)</f>
        <v>;Illia
;Keyword = Uvi_Wig_Distr_KYWD|dunDarklightIllia
;Spell = No Spell for Hairstyle|dunDarklightIllia</v>
      </c>
    </row>
    <row r="792" ht="12.75" customHeight="1">
      <c r="A792" s="5" t="s">
        <v>3441</v>
      </c>
      <c r="B792" s="5" t="s">
        <v>3442</v>
      </c>
      <c r="C792" s="5" t="s">
        <v>3442</v>
      </c>
      <c r="D792" s="5" t="s">
        <v>16</v>
      </c>
      <c r="E792" s="5" t="s">
        <v>233</v>
      </c>
      <c r="F792" s="5" t="s">
        <v>218</v>
      </c>
      <c r="G792" s="14" t="str">
        <f t="array" ref="G792">IF(B792="", "",
  LET(_xlpm.spell, IFERROR(IF(F792="", "", INDEX(_xlws.FILTER(Hairstyles!$F:$F, ISNUMBER(SEARCH(F792, Hairstyles!$B:$B))), 1)), "No Spell for Hairstyle"),
  _xlpm.vanillaPrefix, IF(LEFT(_xlpm.spell, 7)="Uvi_Wig", "", ";"),
  ";" &amp; IF(C792="", B792, C792) &amp; IF(M792="", "", " ("&amp;M792&amp;")") &amp; CHAR(10) &amp;
  _xlpm.vanillaPrefix &amp; "Keyword = Uvi_Wig_Distr_KYWD|" &amp; B792 &amp; CHAR(10) &amp;
  _xlpm.vanillaPrefix &amp; "Spell = " &amp; _xlpm.spell &amp; "|" &amp; B792
  )
)</f>
        <v>;Imedhnain
;Keyword = Uvi_Wig_Distr_KYWD|Imedhnain
;Spell = No Spell for Hairstyle|Imedhnain</v>
      </c>
    </row>
    <row r="793" ht="12.75" customHeight="1">
      <c r="A793" s="15" t="s">
        <v>3443</v>
      </c>
      <c r="B793" s="5" t="s">
        <v>3444</v>
      </c>
      <c r="C793" s="5" t="s">
        <v>59</v>
      </c>
      <c r="D793" s="5" t="s">
        <v>59</v>
      </c>
      <c r="E793" s="5" t="s">
        <v>41</v>
      </c>
      <c r="F793" s="5" t="s">
        <v>862</v>
      </c>
      <c r="G793" s="14" t="str">
        <f t="array" ref="G793">IF(B793="", "",
  LET(_xlpm.spell, IFERROR(IF(F793="", "", INDEX(_xlws.FILTER(Hairstyles!$F:$F, ISNUMBER(SEARCH(F793, Hairstyles!$B:$B))), 1)), "No Spell for Hairstyle"),
  _xlpm.vanillaPrefix, IF(LEFT(_xlpm.spell, 7)="Uvi_Wig", "", ";"),
  ";" &amp; IF(C793="", B793, C793) &amp; IF(M793="", "", " ("&amp;M793&amp;")") &amp; CHAR(10) &amp;
  _xlpm.vanillaPrefix &amp; "Keyword = Uvi_Wig_Distr_KYWD|" &amp; B793 &amp; CHAR(10) &amp;
  _xlpm.vanillaPrefix &amp; "Spell = " &amp; _xlpm.spell &amp; "|" &amp; B793
  )
)</f>
        <v>;Imperial
;Keyword = Uvi_Wig_Distr_KYWD|TreasCorpseCommonerImperialFemale
;Spell = No Spell for Hairstyle|TreasCorpseCommonerImperialFemale</v>
      </c>
    </row>
    <row r="794" ht="12.75" customHeight="1">
      <c r="A794" s="5" t="s">
        <v>3445</v>
      </c>
      <c r="B794" s="5" t="s">
        <v>3446</v>
      </c>
      <c r="C794" s="5" t="s">
        <v>59</v>
      </c>
      <c r="D794" s="5" t="s">
        <v>59</v>
      </c>
      <c r="E794" s="5" t="s">
        <v>233</v>
      </c>
      <c r="F794" s="5" t="s">
        <v>1088</v>
      </c>
      <c r="G794" s="14" t="str">
        <f t="array" ref="G794">IF(B794="", "",
  LET(_xlpm.spell, IFERROR(IF(F794="", "", INDEX(_xlws.FILTER(Hairstyles!$F:$F, ISNUMBER(SEARCH(F794, Hairstyles!$B:$B))), 1)), "No Spell for Hairstyle"),
  _xlpm.vanillaPrefix, IF(LEFT(_xlpm.spell, 7)="Uvi_Wig", "", ";"),
  ";" &amp; IF(C794="", B794, C794) &amp; IF(M794="", "", " ("&amp;M794&amp;")") &amp; CHAR(10) &amp;
  _xlpm.vanillaPrefix &amp; "Keyword = Uvi_Wig_Distr_KYWD|" &amp; B794 &amp; CHAR(10) &amp;
  _xlpm.vanillaPrefix &amp; "Spell = " &amp; _xlpm.spell &amp; "|" &amp; B794
  )
)</f>
        <v>;Imperial
;Keyword = Uvi_Wig_Distr_KYWD|TreasCorpseCommonerImperialMale
;Spell = No Spell for Hairstyle|TreasCorpseCommonerImperialMale</v>
      </c>
    </row>
    <row r="795" ht="12.75" customHeight="1">
      <c r="A795" s="15" t="s">
        <v>3447</v>
      </c>
      <c r="B795" s="5" t="s">
        <v>3448</v>
      </c>
      <c r="C795" s="5" t="s">
        <v>59</v>
      </c>
      <c r="D795" s="5" t="s">
        <v>59</v>
      </c>
      <c r="E795" s="5" t="s">
        <v>41</v>
      </c>
      <c r="F795" s="5" t="s">
        <v>85</v>
      </c>
      <c r="G795" s="14" t="str">
        <f t="array" ref="G795">IF(B795="", "",
  LET(_xlpm.spell, IFERROR(IF(F795="", "", INDEX(_xlws.FILTER(Hairstyles!$F:$F, ISNUMBER(SEARCH(F795, Hairstyles!$B:$B))), 1)), "No Spell for Hairstyle"),
  _xlpm.vanillaPrefix, IF(LEFT(_xlpm.spell, 7)="Uvi_Wig", "", ";"),
  ";" &amp; IF(C795="", B795, C795) &amp; IF(M795="", "", " ("&amp;M795&amp;")") &amp; CHAR(10) &amp;
  _xlpm.vanillaPrefix &amp; "Keyword = Uvi_Wig_Distr_KYWD|" &amp; B795 &amp; CHAR(10) &amp;
  _xlpm.vanillaPrefix &amp; "Spell = " &amp; _xlpm.spell &amp; "|" &amp; B795
  )
)</f>
        <v>;Imperial
;Keyword = Uvi_Wig_Distr_KYWD|WEAdventurerDualPoisonerImperialF
;Spell = No Spell for Hairstyle|WEAdventurerDualPoisonerImperialF</v>
      </c>
    </row>
    <row r="796" ht="12.75" customHeight="1">
      <c r="A796" s="15" t="s">
        <v>3449</v>
      </c>
      <c r="B796" s="5" t="s">
        <v>3450</v>
      </c>
      <c r="C796" s="5" t="s">
        <v>59</v>
      </c>
      <c r="D796" s="5" t="s">
        <v>59</v>
      </c>
      <c r="E796" s="5" t="s">
        <v>233</v>
      </c>
      <c r="F796" s="5" t="s">
        <v>1622</v>
      </c>
      <c r="G796" s="14" t="str">
        <f t="array" ref="G796">IF(B796="", "",
  LET(_xlpm.spell, IFERROR(IF(F796="", "", INDEX(_xlws.FILTER(Hairstyles!$F:$F, ISNUMBER(SEARCH(F796, Hairstyles!$B:$B))), 1)), "No Spell for Hairstyle"),
  _xlpm.vanillaPrefix, IF(LEFT(_xlpm.spell, 7)="Uvi_Wig", "", ";"),
  ";" &amp; IF(C796="", B796, C796) &amp; IF(M796="", "", " ("&amp;M796&amp;")") &amp; CHAR(10) &amp;
  _xlpm.vanillaPrefix &amp; "Keyword = Uvi_Wig_Distr_KYWD|" &amp; B796 &amp; CHAR(10) &amp;
  _xlpm.vanillaPrefix &amp; "Spell = " &amp; _xlpm.spell &amp; "|" &amp; B796
  )
)</f>
        <v>;Imperial
;Keyword = Uvi_Wig_Distr_KYWD|WEAdventurerWarriorDualImperialM
;Spell = No Spell for Hairstyle|WEAdventurerWarriorDualImperialM</v>
      </c>
    </row>
    <row r="797" ht="12.75" customHeight="1">
      <c r="A797" s="5" t="s">
        <v>3451</v>
      </c>
      <c r="B797" s="5" t="s">
        <v>3452</v>
      </c>
      <c r="C797" s="5" t="s">
        <v>3453</v>
      </c>
      <c r="D797" s="5" t="s">
        <v>59</v>
      </c>
      <c r="E797" s="5" t="s">
        <v>233</v>
      </c>
      <c r="F797" s="5" t="s">
        <v>19</v>
      </c>
      <c r="G797" s="14" t="str">
        <f t="array" ref="G797">IF(B797="", "",
  LET(_xlpm.spell, IFERROR(IF(F797="", "", INDEX(_xlws.FILTER(Hairstyles!$F:$F, ISNUMBER(SEARCH(F797, Hairstyles!$B:$B))), 1)), "No Spell for Hairstyle"),
  _xlpm.vanillaPrefix, IF(LEFT(_xlpm.spell, 7)="Uvi_Wig", "", ";"),
  ";" &amp; IF(C797="", B797, C797) &amp; IF(M797="", "", " ("&amp;M797&amp;")") &amp; CHAR(10) &amp;
  _xlpm.vanillaPrefix &amp; "Keyword = Uvi_Wig_Distr_KYWD|" &amp; B797 &amp; CHAR(10) &amp;
  _xlpm.vanillaPrefix &amp; "Spell = " &amp; _xlpm.spell &amp; "|" &amp; B797
  )
)</f>
        <v>;Imperial Archer
;Keyword = Uvi_Wig_Distr_KYWD|EncSiegeImperialArcherTemplate
;Spell = No Spell for Hairstyle|EncSiegeImperialArcherTemplate</v>
      </c>
    </row>
    <row r="798" ht="12.75" customHeight="1">
      <c r="A798" s="5" t="s">
        <v>3454</v>
      </c>
      <c r="B798" s="5" t="s">
        <v>3455</v>
      </c>
      <c r="C798" s="5" t="s">
        <v>3456</v>
      </c>
      <c r="D798" s="5" t="s">
        <v>59</v>
      </c>
      <c r="E798" s="5" t="s">
        <v>41</v>
      </c>
      <c r="F798" s="5" t="s">
        <v>1557</v>
      </c>
      <c r="G798" s="14" t="str">
        <f t="array" ref="G798">IF(B798="", "",
  LET(_xlpm.spell, IFERROR(IF(F798="", "", INDEX(_xlws.FILTER(Hairstyles!$F:$F, ISNUMBER(SEARCH(F798, Hairstyles!$B:$B))), 1)), "No Spell for Hairstyle"),
  _xlpm.vanillaPrefix, IF(LEFT(_xlpm.spell, 7)="Uvi_Wig", "", ";"),
  ";" &amp; IF(C798="", B798, C798) &amp; IF(M798="", "", " ("&amp;M798&amp;")") &amp; CHAR(10) &amp;
  _xlpm.vanillaPrefix &amp; "Keyword = Uvi_Wig_Distr_KYWD|" &amp; B798 &amp; CHAR(10) &amp;
  _xlpm.vanillaPrefix &amp; "Spell = " &amp; _xlpm.spell &amp; "|" &amp; B798
  )
)</f>
        <v>;Imperial Captain
;Keyword = Uvi_Wig_Distr_KYWD|MQ101ImperialSoldierOfficer
;Spell = No Spell for Hairstyle|MQ101ImperialSoldierOfficer</v>
      </c>
    </row>
    <row r="799" ht="12.75" customHeight="1">
      <c r="A799" s="5" t="s">
        <v>3457</v>
      </c>
      <c r="B799" s="5" t="s">
        <v>3458</v>
      </c>
      <c r="C799" s="5" t="s">
        <v>3459</v>
      </c>
      <c r="D799" s="5" t="s">
        <v>59</v>
      </c>
      <c r="E799" s="5" t="s">
        <v>233</v>
      </c>
      <c r="F799" s="5" t="s">
        <v>19</v>
      </c>
      <c r="G799" s="14" t="str">
        <f t="array" ref="G799">IF(B799="", "",
  LET(_xlpm.spell, IFERROR(IF(F799="", "", INDEX(_xlws.FILTER(Hairstyles!$F:$F, ISNUMBER(SEARCH(F799, Hairstyles!$B:$B))), 1)), "No Spell for Hairstyle"),
  _xlpm.vanillaPrefix, IF(LEFT(_xlpm.spell, 7)="Uvi_Wig", "", ";"),
  ";" &amp; IF(C799="", B799, C799) &amp; IF(M799="", "", " ("&amp;M799&amp;")") &amp; CHAR(10) &amp;
  _xlpm.vanillaPrefix &amp; "Keyword = Uvi_Wig_Distr_KYWD|" &amp; B799 &amp; CHAR(10) &amp;
  _xlpm.vanillaPrefix &amp; "Spell = " &amp; _xlpm.spell &amp; "|" &amp; B799
  )
)</f>
        <v>;Imperial Deserter
;Keyword = Uvi_Wig_Distr_KYWD|DLC1dunRedwaterDenAddictCWMaleCommander
;Spell = No Spell for Hairstyle|DLC1dunRedwaterDenAddictCWMaleCommander</v>
      </c>
    </row>
    <row r="800" ht="12.75" customHeight="1">
      <c r="A800" s="5" t="s">
        <v>3460</v>
      </c>
      <c r="B800" s="5" t="s">
        <v>3461</v>
      </c>
      <c r="C800" s="5" t="s">
        <v>3462</v>
      </c>
      <c r="D800" s="5" t="s">
        <v>59</v>
      </c>
      <c r="E800" s="5" t="s">
        <v>233</v>
      </c>
      <c r="F800" s="5" t="s">
        <v>19</v>
      </c>
      <c r="G800" s="14" t="str">
        <f t="array" ref="G800">IF(B800="", "",
  LET(_xlpm.spell, IFERROR(IF(F800="", "", INDEX(_xlws.FILTER(Hairstyles!$F:$F, ISNUMBER(SEARCH(F800, Hairstyles!$B:$B))), 1)), "No Spell for Hairstyle"),
  _xlpm.vanillaPrefix, IF(LEFT(_xlpm.spell, 7)="Uvi_Wig", "", ";"),
  ";" &amp; IF(C800="", B800, C800) &amp; IF(M800="", "", " ("&amp;M800&amp;")") &amp; CHAR(10) &amp;
  _xlpm.vanillaPrefix &amp; "Keyword = Uvi_Wig_Distr_KYWD|" &amp; B800 &amp; CHAR(10) &amp;
  _xlpm.vanillaPrefix &amp; "Spell = " &amp; _xlpm.spell &amp; "|" &amp; B800
  )
)</f>
        <v>;Imperial Field Legate
;Keyword = Uvi_Wig_Distr_KYWD|CWFieldCOImperial
;Spell = No Spell for Hairstyle|CWFieldCOImperial</v>
      </c>
    </row>
    <row r="801" ht="12.75" customHeight="1">
      <c r="A801" s="5" t="s">
        <v>3463</v>
      </c>
      <c r="B801" s="5" t="s">
        <v>3464</v>
      </c>
      <c r="C801" s="5" t="s">
        <v>3465</v>
      </c>
      <c r="D801" s="5" t="s">
        <v>59</v>
      </c>
      <c r="E801" s="5" t="s">
        <v>41</v>
      </c>
      <c r="F801" s="5" t="s">
        <v>371</v>
      </c>
      <c r="G801" s="14" t="str">
        <f t="array" ref="G801">IF(B801="", "",
  LET(_xlpm.spell, IFERROR(IF(F801="", "", INDEX(_xlws.FILTER(Hairstyles!$F:$F, ISNUMBER(SEARCH(F801, Hairstyles!$B:$B))), 1)), "No Spell for Hairstyle"),
  _xlpm.vanillaPrefix, IF(LEFT(_xlpm.spell, 7)="Uvi_Wig", "", ";"),
  ";" &amp; IF(C801="", B801, C801) &amp; IF(M801="", "", " ("&amp;M801&amp;")") &amp; CHAR(10) &amp;
  _xlpm.vanillaPrefix &amp; "Keyword = Uvi_Wig_Distr_KYWD|" &amp; B801 &amp; CHAR(10) &amp;
  _xlpm.vanillaPrefix &amp; "Spell = " &amp; _xlpm.spell &amp; "|" &amp; B801
  )
)</f>
        <v>;Imperial Mage
;Keyword = Uvi_Wig_Distr_KYWD|dunCGImperialMageC01
;Spell = No Spell for Hairstyle|dunCGImperialMageC01</v>
      </c>
    </row>
    <row r="802" ht="12.75" customHeight="1">
      <c r="A802" s="5" t="s">
        <v>3466</v>
      </c>
      <c r="B802" s="5" t="s">
        <v>3467</v>
      </c>
      <c r="C802" s="5" t="s">
        <v>3465</v>
      </c>
      <c r="D802" s="5" t="s">
        <v>59</v>
      </c>
      <c r="E802" s="5" t="s">
        <v>233</v>
      </c>
      <c r="F802" s="5" t="s">
        <v>424</v>
      </c>
      <c r="G802" s="14" t="str">
        <f t="array" ref="G802">IF(B802="", "",
  LET(_xlpm.spell, IFERROR(IF(F802="", "", INDEX(_xlws.FILTER(Hairstyles!$F:$F, ISNUMBER(SEARCH(F802, Hairstyles!$B:$B))), 1)), "No Spell for Hairstyle"),
  _xlpm.vanillaPrefix, IF(LEFT(_xlpm.spell, 7)="Uvi_Wig", "", ";"),
  ";" &amp; IF(C802="", B802, C802) &amp; IF(M802="", "", " ("&amp;M802&amp;")") &amp; CHAR(10) &amp;
  _xlpm.vanillaPrefix &amp; "Keyword = Uvi_Wig_Distr_KYWD|" &amp; B802 &amp; CHAR(10) &amp;
  _xlpm.vanillaPrefix &amp; "Spell = " &amp; _xlpm.spell &amp; "|" &amp; B802
  )
)</f>
        <v>;Imperial Mage
;Keyword = Uvi_Wig_Distr_KYWD|dunCGImperialMageD01
;Spell = No Spell for Hairstyle|dunCGImperialMageD01</v>
      </c>
    </row>
    <row r="803" ht="12.75" customHeight="1">
      <c r="A803" s="5" t="s">
        <v>3468</v>
      </c>
      <c r="B803" s="5" t="s">
        <v>3469</v>
      </c>
      <c r="C803" s="5" t="s">
        <v>3470</v>
      </c>
      <c r="D803" s="5" t="s">
        <v>59</v>
      </c>
      <c r="E803" s="5" t="s">
        <v>233</v>
      </c>
      <c r="F803" s="5" t="s">
        <v>19</v>
      </c>
      <c r="G803" s="14" t="str">
        <f t="array" ref="G803">IF(B803="", "",
  LET(_xlpm.spell, IFERROR(IF(F803="", "", INDEX(_xlws.FILTER(Hairstyles!$F:$F, ISNUMBER(SEARCH(F803, Hairstyles!$B:$B))), 1)), "No Spell for Hairstyle"),
  _xlpm.vanillaPrefix, IF(LEFT(_xlpm.spell, 7)="Uvi_Wig", "", ";"),
  ";" &amp; IF(C803="", B803, C803) &amp; IF(M803="", "", " ("&amp;M803&amp;")") &amp; CHAR(10) &amp;
  _xlpm.vanillaPrefix &amp; "Keyword = Uvi_Wig_Distr_KYWD|" &amp; B803 &amp; CHAR(10) &amp;
  _xlpm.vanillaPrefix &amp; "Spell = " &amp; _xlpm.spell &amp; "|" &amp; B803
  )
)</f>
        <v>;Imperial Officer
;Keyword = Uvi_Wig_Distr_KYWD|CWSiegeImperialSoldierOfficer
;Spell = No Spell for Hairstyle|CWSiegeImperialSoldierOfficer</v>
      </c>
    </row>
    <row r="804" ht="12.75" customHeight="1">
      <c r="A804" s="5" t="s">
        <v>3471</v>
      </c>
      <c r="B804" s="5" t="s">
        <v>3472</v>
      </c>
      <c r="C804" s="5" t="s">
        <v>3473</v>
      </c>
      <c r="D804" s="5" t="s">
        <v>59</v>
      </c>
      <c r="E804" s="5" t="s">
        <v>233</v>
      </c>
      <c r="F804" s="5" t="s">
        <v>234</v>
      </c>
      <c r="G804" s="14" t="str">
        <f t="array" ref="G804">IF(B804="", "",
  LET(_xlpm.spell, IFERROR(IF(F804="", "", INDEX(_xlws.FILTER(Hairstyles!$F:$F, ISNUMBER(SEARCH(F804, Hairstyles!$B:$B))), 1)), "No Spell for Hairstyle"),
  _xlpm.vanillaPrefix, IF(LEFT(_xlpm.spell, 7)="Uvi_Wig", "", ";"),
  ";" &amp; IF(C804="", B804, C804) &amp; IF(M804="", "", " ("&amp;M804&amp;")") &amp; CHAR(10) &amp;
  _xlpm.vanillaPrefix &amp; "Keyword = Uvi_Wig_Distr_KYWD|" &amp; B804 &amp; CHAR(10) &amp;
  _xlpm.vanillaPrefix &amp; "Spell = " &amp; _xlpm.spell &amp; "|" &amp; B804
  )
)</f>
        <v>;Imperial Soldier
;Keyword = Uvi_Wig_Distr_KYWD|dunCGImperialArcherBaitBTower
;Spell = No Spell for Hairstyle|dunCGImperialArcherBaitBTower</v>
      </c>
    </row>
    <row r="805" ht="12.75" customHeight="1">
      <c r="A805" s="5" t="s">
        <v>3474</v>
      </c>
      <c r="B805" s="5" t="s">
        <v>3475</v>
      </c>
      <c r="C805" s="5" t="s">
        <v>3473</v>
      </c>
      <c r="D805" s="5" t="s">
        <v>59</v>
      </c>
      <c r="E805" s="5" t="s">
        <v>233</v>
      </c>
      <c r="F805" s="5" t="s">
        <v>19</v>
      </c>
      <c r="G805" s="14" t="str">
        <f t="array" ref="G805">IF(B805="", "",
  LET(_xlpm.spell, IFERROR(IF(F805="", "", INDEX(_xlws.FILTER(Hairstyles!$F:$F, ISNUMBER(SEARCH(F805, Hairstyles!$B:$B))), 1)), "No Spell for Hairstyle"),
  _xlpm.vanillaPrefix, IF(LEFT(_xlpm.spell, 7)="Uvi_Wig", "", ";"),
  ";" &amp; IF(C805="", B805, C805) &amp; IF(M805="", "", " ("&amp;M805&amp;")") &amp; CHAR(10) &amp;
  _xlpm.vanillaPrefix &amp; "Keyword = Uvi_Wig_Distr_KYWD|" &amp; B805 &amp; CHAR(10) &amp;
  _xlpm.vanillaPrefix &amp; "Spell = " &amp; _xlpm.spell &amp; "|" &amp; B805
  )
)</f>
        <v>;Imperial Soldier
;Keyword = Uvi_Wig_Distr_KYWD|dunCGImperialSoldierArcherA01
;Spell = No Spell for Hairstyle|dunCGImperialSoldierArcherA01</v>
      </c>
    </row>
    <row r="806" ht="12.75" customHeight="1">
      <c r="A806" s="15" t="s">
        <v>3476</v>
      </c>
      <c r="B806" s="5" t="s">
        <v>3477</v>
      </c>
      <c r="C806" s="5" t="s">
        <v>3473</v>
      </c>
      <c r="D806" s="5" t="s">
        <v>59</v>
      </c>
      <c r="E806" s="5" t="s">
        <v>233</v>
      </c>
      <c r="F806" s="5" t="s">
        <v>990</v>
      </c>
      <c r="G806" s="14" t="str">
        <f t="array" ref="G806">IF(B806="", "",
  LET(_xlpm.spell, IFERROR(IF(F806="", "", INDEX(_xlws.FILTER(Hairstyles!$F:$F, ISNUMBER(SEARCH(F806, Hairstyles!$B:$B))), 1)), "No Spell for Hairstyle"),
  _xlpm.vanillaPrefix, IF(LEFT(_xlpm.spell, 7)="Uvi_Wig", "", ";"),
  ";" &amp; IF(C806="", B806, C806) &amp; IF(M806="", "", " ("&amp;M806&amp;")") &amp; CHAR(10) &amp;
  _xlpm.vanillaPrefix &amp; "Keyword = Uvi_Wig_Distr_KYWD|" &amp; B806 &amp; CHAR(10) &amp;
  _xlpm.vanillaPrefix &amp; "Spell = " &amp; _xlpm.spell &amp; "|" &amp; B806
  )
)</f>
        <v>;Imperial Soldier
;Keyword = Uvi_Wig_Distr_KYWD|dunCGImperialSoldierArcherA02
;Spell = No Spell for Hairstyle|dunCGImperialSoldierArcherA02</v>
      </c>
    </row>
    <row r="807" ht="12.75" customHeight="1">
      <c r="A807" s="5" t="s">
        <v>3478</v>
      </c>
      <c r="B807" s="5" t="s">
        <v>3479</v>
      </c>
      <c r="C807" s="5" t="s">
        <v>3473</v>
      </c>
      <c r="D807" s="5" t="s">
        <v>59</v>
      </c>
      <c r="E807" s="5" t="s">
        <v>233</v>
      </c>
      <c r="F807" s="5" t="s">
        <v>19</v>
      </c>
      <c r="G807" s="14" t="str">
        <f t="array" ref="G807">IF(B807="", "",
  LET(_xlpm.spell, IFERROR(IF(F807="", "", INDEX(_xlws.FILTER(Hairstyles!$F:$F, ISNUMBER(SEARCH(F807, Hairstyles!$B:$B))), 1)), "No Spell for Hairstyle"),
  _xlpm.vanillaPrefix, IF(LEFT(_xlpm.spell, 7)="Uvi_Wig", "", ";"),
  ";" &amp; IF(C807="", B807, C807) &amp; IF(M807="", "", " ("&amp;M807&amp;")") &amp; CHAR(10) &amp;
  _xlpm.vanillaPrefix &amp; "Keyword = Uvi_Wig_Distr_KYWD|" &amp; B807 &amp; CHAR(10) &amp;
  _xlpm.vanillaPrefix &amp; "Spell = " &amp; _xlpm.spell &amp; "|" &amp; B807
  )
)</f>
        <v>;Imperial Soldier
;Keyword = Uvi_Wig_Distr_KYWD|dunCGImperialSoldierArcherA03
;Spell = No Spell for Hairstyle|dunCGImperialSoldierArcherA03</v>
      </c>
    </row>
    <row r="808" ht="12.75" customHeight="1">
      <c r="A808" s="5" t="s">
        <v>3480</v>
      </c>
      <c r="B808" s="5" t="s">
        <v>3481</v>
      </c>
      <c r="C808" s="5" t="s">
        <v>3473</v>
      </c>
      <c r="D808" s="5" t="s">
        <v>59</v>
      </c>
      <c r="E808" s="5" t="s">
        <v>41</v>
      </c>
      <c r="F808" s="5" t="s">
        <v>42</v>
      </c>
      <c r="G808" s="14" t="str">
        <f t="array" ref="G808">IF(B808="", "",
  LET(_xlpm.spell, IFERROR(IF(F808="", "", INDEX(_xlws.FILTER(Hairstyles!$F:$F, ISNUMBER(SEARCH(F808, Hairstyles!$B:$B))), 1)), "No Spell for Hairstyle"),
  _xlpm.vanillaPrefix, IF(LEFT(_xlpm.spell, 7)="Uvi_Wig", "", ";"),
  ";" &amp; IF(C808="", B808, C808) &amp; IF(M808="", "", " ("&amp;M808&amp;")") &amp; CHAR(10) &amp;
  _xlpm.vanillaPrefix &amp; "Keyword = Uvi_Wig_Distr_KYWD|" &amp; B808 &amp; CHAR(10) &amp;
  _xlpm.vanillaPrefix &amp; "Spell = " &amp; _xlpm.spell &amp; "|" &amp; B808
  )
)</f>
        <v>;Imperial Soldier
;Keyword = Uvi_Wig_Distr_KYWD|dunCGImperialSoldierArcherA04
;Spell = No Spell for Hairstyle|dunCGImperialSoldierArcherA04</v>
      </c>
    </row>
    <row r="809" ht="12.75" customHeight="1">
      <c r="A809" s="5" t="s">
        <v>3482</v>
      </c>
      <c r="B809" s="5" t="s">
        <v>3483</v>
      </c>
      <c r="C809" s="5" t="s">
        <v>3473</v>
      </c>
      <c r="D809" s="5" t="s">
        <v>59</v>
      </c>
      <c r="E809" s="5" t="s">
        <v>233</v>
      </c>
      <c r="F809" s="5" t="s">
        <v>695</v>
      </c>
      <c r="G809" s="14" t="str">
        <f t="array" ref="G809">IF(B809="", "",
  LET(_xlpm.spell, IFERROR(IF(F809="", "", INDEX(_xlws.FILTER(Hairstyles!$F:$F, ISNUMBER(SEARCH(F809, Hairstyles!$B:$B))), 1)), "No Spell for Hairstyle"),
  _xlpm.vanillaPrefix, IF(LEFT(_xlpm.spell, 7)="Uvi_Wig", "", ";"),
  ";" &amp; IF(C809="", B809, C809) &amp; IF(M809="", "", " ("&amp;M809&amp;")") &amp; CHAR(10) &amp;
  _xlpm.vanillaPrefix &amp; "Keyword = Uvi_Wig_Distr_KYWD|" &amp; B809 &amp; CHAR(10) &amp;
  _xlpm.vanillaPrefix &amp; "Spell = " &amp; _xlpm.spell &amp; "|" &amp; B809
  )
)</f>
        <v>;Imperial Soldier
;Keyword = Uvi_Wig_Distr_KYWD|dunCGImperialSoldierArcherC01
;Spell = No Spell for Hairstyle|dunCGImperialSoldierArcherC01</v>
      </c>
    </row>
    <row r="810" ht="12.75" customHeight="1">
      <c r="A810" s="5" t="s">
        <v>3484</v>
      </c>
      <c r="B810" s="5" t="s">
        <v>3485</v>
      </c>
      <c r="C810" s="5" t="s">
        <v>3473</v>
      </c>
      <c r="D810" s="5" t="s">
        <v>59</v>
      </c>
      <c r="E810" s="5" t="s">
        <v>233</v>
      </c>
      <c r="F810" s="5" t="s">
        <v>424</v>
      </c>
      <c r="G810" s="14" t="str">
        <f t="array" ref="G810">IF(B810="", "",
  LET(_xlpm.spell, IFERROR(IF(F810="", "", INDEX(_xlws.FILTER(Hairstyles!$F:$F, ISNUMBER(SEARCH(F810, Hairstyles!$B:$B))), 1)), "No Spell for Hairstyle"),
  _xlpm.vanillaPrefix, IF(LEFT(_xlpm.spell, 7)="Uvi_Wig", "", ";"),
  ";" &amp; IF(C810="", B810, C810) &amp; IF(M810="", "", " ("&amp;M810&amp;")") &amp; CHAR(10) &amp;
  _xlpm.vanillaPrefix &amp; "Keyword = Uvi_Wig_Distr_KYWD|" &amp; B810 &amp; CHAR(10) &amp;
  _xlpm.vanillaPrefix &amp; "Spell = " &amp; _xlpm.spell &amp; "|" &amp; B810
  )
)</f>
        <v>;Imperial Soldier
;Keyword = Uvi_Wig_Distr_KYWD|dunCGImperialSoldierArcherC02
;Spell = No Spell for Hairstyle|dunCGImperialSoldierArcherC02</v>
      </c>
    </row>
    <row r="811" ht="12.75" customHeight="1">
      <c r="A811" s="5" t="s">
        <v>3486</v>
      </c>
      <c r="B811" s="5" t="s">
        <v>3487</v>
      </c>
      <c r="C811" s="5" t="s">
        <v>3473</v>
      </c>
      <c r="D811" s="5" t="s">
        <v>59</v>
      </c>
      <c r="E811" s="5" t="s">
        <v>233</v>
      </c>
      <c r="F811" s="5" t="s">
        <v>40</v>
      </c>
      <c r="G811" s="14" t="str">
        <f t="array" ref="G811">IF(B811="", "",
  LET(_xlpm.spell, IFERROR(IF(F811="", "", INDEX(_xlws.FILTER(Hairstyles!$F:$F, ISNUMBER(SEARCH(F811, Hairstyles!$B:$B))), 1)), "No Spell for Hairstyle"),
  _xlpm.vanillaPrefix, IF(LEFT(_xlpm.spell, 7)="Uvi_Wig", "", ";"),
  ";" &amp; IF(C811="", B811, C811) &amp; IF(M811="", "", " ("&amp;M811&amp;")") &amp; CHAR(10) &amp;
  _xlpm.vanillaPrefix &amp; "Keyword = Uvi_Wig_Distr_KYWD|" &amp; B811 &amp; CHAR(10) &amp;
  _xlpm.vanillaPrefix &amp; "Spell = " &amp; _xlpm.spell &amp; "|" &amp; B811
  )
)</f>
        <v>;Imperial Soldier
;Keyword = Uvi_Wig_Distr_KYWD|dunCGImperialSoldierArcherD01
;Spell = No Spell for Hairstyle|dunCGImperialSoldierArcherD01</v>
      </c>
    </row>
    <row r="812" ht="12.75" customHeight="1">
      <c r="A812" s="5" t="s">
        <v>3488</v>
      </c>
      <c r="B812" s="5" t="s">
        <v>3489</v>
      </c>
      <c r="C812" s="5" t="s">
        <v>3473</v>
      </c>
      <c r="D812" s="5" t="s">
        <v>59</v>
      </c>
      <c r="E812" s="5" t="s">
        <v>233</v>
      </c>
      <c r="F812" s="5" t="s">
        <v>209</v>
      </c>
      <c r="G812" s="14" t="str">
        <f t="array" ref="G812">IF(B812="", "",
  LET(_xlpm.spell, IFERROR(IF(F812="", "", INDEX(_xlws.FILTER(Hairstyles!$F:$F, ISNUMBER(SEARCH(F812, Hairstyles!$B:$B))), 1)), "No Spell for Hairstyle"),
  _xlpm.vanillaPrefix, IF(LEFT(_xlpm.spell, 7)="Uvi_Wig", "", ";"),
  ";" &amp; IF(C812="", B812, C812) &amp; IF(M812="", "", " ("&amp;M812&amp;")") &amp; CHAR(10) &amp;
  _xlpm.vanillaPrefix &amp; "Keyword = Uvi_Wig_Distr_KYWD|" &amp; B812 &amp; CHAR(10) &amp;
  _xlpm.vanillaPrefix &amp; "Spell = " &amp; _xlpm.spell &amp; "|" &amp; B812
  )
)</f>
        <v>;Imperial Soldier
;Keyword = Uvi_Wig_Distr_KYWD|dunCGImperialSoldierArcherD02
;Spell = No Spell for Hairstyle|dunCGImperialSoldierArcherD02</v>
      </c>
    </row>
    <row r="813" ht="12.75" customHeight="1">
      <c r="A813" s="5" t="s">
        <v>3490</v>
      </c>
      <c r="B813" s="5" t="s">
        <v>3491</v>
      </c>
      <c r="C813" s="5" t="s">
        <v>3473</v>
      </c>
      <c r="D813" s="5" t="s">
        <v>59</v>
      </c>
      <c r="E813" s="5" t="s">
        <v>233</v>
      </c>
      <c r="F813" s="5" t="s">
        <v>19</v>
      </c>
      <c r="G813" s="14" t="str">
        <f t="array" ref="G813">IF(B813="", "",
  LET(_xlpm.spell, IFERROR(IF(F813="", "", INDEX(_xlws.FILTER(Hairstyles!$F:$F, ISNUMBER(SEARCH(F813, Hairstyles!$B:$B))), 1)), "No Spell for Hairstyle"),
  _xlpm.vanillaPrefix, IF(LEFT(_xlpm.spell, 7)="Uvi_Wig", "", ";"),
  ";" &amp; IF(C813="", B813, C813) &amp; IF(M813="", "", " ("&amp;M813&amp;")") &amp; CHAR(10) &amp;
  _xlpm.vanillaPrefix &amp; "Keyword = Uvi_Wig_Distr_KYWD|" &amp; B813 &amp; CHAR(10) &amp;
  _xlpm.vanillaPrefix &amp; "Spell = " &amp; _xlpm.spell &amp; "|" &amp; B813
  )
)</f>
        <v>;Imperial Soldier
;Keyword = Uvi_Wig_Distr_KYWD|dunCGImperialSoldierArcherD03
;Spell = No Spell for Hairstyle|dunCGImperialSoldierArcherD03</v>
      </c>
    </row>
    <row r="814" ht="12.75" customHeight="1">
      <c r="A814" s="5" t="s">
        <v>3492</v>
      </c>
      <c r="B814" s="5" t="s">
        <v>3493</v>
      </c>
      <c r="C814" s="5" t="s">
        <v>3473</v>
      </c>
      <c r="D814" s="5" t="s">
        <v>59</v>
      </c>
      <c r="E814" s="5" t="s">
        <v>233</v>
      </c>
      <c r="F814" s="5" t="s">
        <v>19</v>
      </c>
      <c r="G814" s="14" t="str">
        <f t="array" ref="G814">IF(B814="", "",
  LET(_xlpm.spell, IFERROR(IF(F814="", "", INDEX(_xlws.FILTER(Hairstyles!$F:$F, ISNUMBER(SEARCH(F814, Hairstyles!$B:$B))), 1)), "No Spell for Hairstyle"),
  _xlpm.vanillaPrefix, IF(LEFT(_xlpm.spell, 7)="Uvi_Wig", "", ";"),
  ";" &amp; IF(C814="", B814, C814) &amp; IF(M814="", "", " ("&amp;M814&amp;")") &amp; CHAR(10) &amp;
  _xlpm.vanillaPrefix &amp; "Keyword = Uvi_Wig_Distr_KYWD|" &amp; B814 &amp; CHAR(10) &amp;
  _xlpm.vanillaPrefix &amp; "Spell = " &amp; _xlpm.spell &amp; "|" &amp; B814
  )
)</f>
        <v>;Imperial Soldier
;Keyword = Uvi_Wig_Distr_KYWD|dunCGImperialSoldierArcherD04
;Spell = No Spell for Hairstyle|dunCGImperialSoldierArcherD04</v>
      </c>
    </row>
    <row r="815" ht="12.75" customHeight="1">
      <c r="A815" s="5" t="s">
        <v>3494</v>
      </c>
      <c r="B815" s="5" t="s">
        <v>3495</v>
      </c>
      <c r="C815" s="5" t="s">
        <v>3473</v>
      </c>
      <c r="D815" s="5" t="s">
        <v>59</v>
      </c>
      <c r="E815" s="5" t="s">
        <v>233</v>
      </c>
      <c r="F815" s="5" t="s">
        <v>19</v>
      </c>
      <c r="G815" s="14" t="str">
        <f t="array" ref="G815">IF(B815="", "",
  LET(_xlpm.spell, IFERROR(IF(F815="", "", INDEX(_xlws.FILTER(Hairstyles!$F:$F, ISNUMBER(SEARCH(F815, Hairstyles!$B:$B))), 1)), "No Spell for Hairstyle"),
  _xlpm.vanillaPrefix, IF(LEFT(_xlpm.spell, 7)="Uvi_Wig", "", ";"),
  ";" &amp; IF(C815="", B815, C815) &amp; IF(M815="", "", " ("&amp;M815&amp;")") &amp; CHAR(10) &amp;
  _xlpm.vanillaPrefix &amp; "Keyword = Uvi_Wig_Distr_KYWD|" &amp; B815 &amp; CHAR(10) &amp;
  _xlpm.vanillaPrefix &amp; "Spell = " &amp; _xlpm.spell &amp; "|" &amp; B815
  )
)</f>
        <v>;Imperial Soldier
;Keyword = Uvi_Wig_Distr_KYWD|dunCGImperialSoldierBaitATower
;Spell = No Spell for Hairstyle|dunCGImperialSoldierBaitATower</v>
      </c>
    </row>
    <row r="816" ht="12.75" customHeight="1">
      <c r="A816" s="5" t="s">
        <v>3496</v>
      </c>
      <c r="B816" s="5" t="s">
        <v>3497</v>
      </c>
      <c r="C816" s="5" t="s">
        <v>3473</v>
      </c>
      <c r="D816" s="5" t="s">
        <v>59</v>
      </c>
      <c r="E816" s="5" t="s">
        <v>233</v>
      </c>
      <c r="F816" s="5" t="s">
        <v>1894</v>
      </c>
      <c r="G816" s="14" t="str">
        <f t="array" ref="G816">IF(B816="", "",
  LET(_xlpm.spell, IFERROR(IF(F816="", "", INDEX(_xlws.FILTER(Hairstyles!$F:$F, ISNUMBER(SEARCH(F816, Hairstyles!$B:$B))), 1)), "No Spell for Hairstyle"),
  _xlpm.vanillaPrefix, IF(LEFT(_xlpm.spell, 7)="Uvi_Wig", "", ";"),
  ";" &amp; IF(C816="", B816, C816) &amp; IF(M816="", "", " ("&amp;M816&amp;")") &amp; CHAR(10) &amp;
  _xlpm.vanillaPrefix &amp; "Keyword = Uvi_Wig_Distr_KYWD|" &amp; B816 &amp; CHAR(10) &amp;
  _xlpm.vanillaPrefix &amp; "Spell = " &amp; _xlpm.spell &amp; "|" &amp; B816
  )
)</f>
        <v>;Imperial Soldier
;Keyword = Uvi_Wig_Distr_KYWD|dunCGImperialSoldierBaitBTower
;Spell = No Spell for Hairstyle|dunCGImperialSoldierBaitBTower</v>
      </c>
    </row>
    <row r="817" ht="12.75" customHeight="1">
      <c r="A817" s="5" t="s">
        <v>3498</v>
      </c>
      <c r="B817" s="5" t="s">
        <v>3499</v>
      </c>
      <c r="C817" s="5" t="s">
        <v>3473</v>
      </c>
      <c r="D817" s="5" t="s">
        <v>59</v>
      </c>
      <c r="E817" s="5" t="s">
        <v>233</v>
      </c>
      <c r="F817" s="5" t="s">
        <v>209</v>
      </c>
      <c r="G817" s="14" t="str">
        <f t="array" ref="G817">IF(B817="", "",
  LET(_xlpm.spell, IFERROR(IF(F817="", "", INDEX(_xlws.FILTER(Hairstyles!$F:$F, ISNUMBER(SEARCH(F817, Hairstyles!$B:$B))), 1)), "No Spell for Hairstyle"),
  _xlpm.vanillaPrefix, IF(LEFT(_xlpm.spell, 7)="Uvi_Wig", "", ";"),
  ";" &amp; IF(C817="", B817, C817) &amp; IF(M817="", "", " ("&amp;M817&amp;")") &amp; CHAR(10) &amp;
  _xlpm.vanillaPrefix &amp; "Keyword = Uvi_Wig_Distr_KYWD|" &amp; B817 &amp; CHAR(10) &amp;
  _xlpm.vanillaPrefix &amp; "Spell = " &amp; _xlpm.spell &amp; "|" &amp; B817
  )
)</f>
        <v>;Imperial Soldier
;Keyword = Uvi_Wig_Distr_KYWD|dunCGImperialSoldierBaitDBridge
;Spell = No Spell for Hairstyle|dunCGImperialSoldierBaitDBridge</v>
      </c>
    </row>
    <row r="818" ht="12.75" customHeight="1">
      <c r="A818" s="5" t="s">
        <v>3500</v>
      </c>
      <c r="B818" s="5" t="s">
        <v>3501</v>
      </c>
      <c r="C818" s="5" t="s">
        <v>3473</v>
      </c>
      <c r="D818" s="5" t="s">
        <v>38</v>
      </c>
      <c r="E818" s="5" t="s">
        <v>233</v>
      </c>
      <c r="F818" s="5" t="s">
        <v>68</v>
      </c>
      <c r="G818" s="14" t="str">
        <f t="array" ref="G818">IF(B818="", "",
  LET(_xlpm.spell, IFERROR(IF(F818="", "", INDEX(_xlws.FILTER(Hairstyles!$F:$F, ISNUMBER(SEARCH(F818, Hairstyles!$B:$B))), 1)), "No Spell for Hairstyle"),
  _xlpm.vanillaPrefix, IF(LEFT(_xlpm.spell, 7)="Uvi_Wig", "", ";"),
  ";" &amp; IF(C818="", B818, C818) &amp; IF(M818="", "", " ("&amp;M818&amp;")") &amp; CHAR(10) &amp;
  _xlpm.vanillaPrefix &amp; "Keyword = Uvi_Wig_Distr_KYWD|" &amp; B818 &amp; CHAR(10) &amp;
  _xlpm.vanillaPrefix &amp; "Spell = " &amp; _xlpm.spell &amp; "|" &amp; B818
  )
)</f>
        <v>;Imperial Soldier
;Keyword = Uvi_Wig_Distr_KYWD|dunCGImperialSoldierDEAD
;Spell = No Spell for Hairstyle|dunCGImperialSoldierDEAD</v>
      </c>
    </row>
    <row r="819" ht="12.75" customHeight="1">
      <c r="A819" s="5" t="s">
        <v>3502</v>
      </c>
      <c r="B819" s="5" t="s">
        <v>3503</v>
      </c>
      <c r="C819" s="5" t="s">
        <v>3473</v>
      </c>
      <c r="D819" s="5" t="s">
        <v>59</v>
      </c>
      <c r="E819" s="5" t="s">
        <v>233</v>
      </c>
      <c r="F819" s="5" t="s">
        <v>19</v>
      </c>
      <c r="G819" s="14" t="str">
        <f t="array" ref="G819">IF(B819="", "",
  LET(_xlpm.spell, IFERROR(IF(F819="", "", INDEX(_xlws.FILTER(Hairstyles!$F:$F, ISNUMBER(SEARCH(F819, Hairstyles!$B:$B))), 1)), "No Spell for Hairstyle"),
  _xlpm.vanillaPrefix, IF(LEFT(_xlpm.spell, 7)="Uvi_Wig", "", ";"),
  ";" &amp; IF(C819="", B819, C819) &amp; IF(M819="", "", " ("&amp;M819&amp;")") &amp; CHAR(10) &amp;
  _xlpm.vanillaPrefix &amp; "Keyword = Uvi_Wig_Distr_KYWD|" &amp; B819 &amp; CHAR(10) &amp;
  _xlpm.vanillaPrefix &amp; "Spell = " &amp; _xlpm.spell &amp; "|" &amp; B819
  )
)</f>
        <v>;Imperial Soldier
;Keyword = Uvi_Wig_Distr_KYWD|dunCGImperialSoldierFodderC01
;Spell = No Spell for Hairstyle|dunCGImperialSoldierFodderC01</v>
      </c>
    </row>
    <row r="820" ht="12.75" customHeight="1">
      <c r="A820" s="5" t="s">
        <v>3504</v>
      </c>
      <c r="B820" s="5" t="s">
        <v>3505</v>
      </c>
      <c r="C820" s="5" t="s">
        <v>3473</v>
      </c>
      <c r="D820" s="5" t="s">
        <v>59</v>
      </c>
      <c r="E820" s="5" t="s">
        <v>233</v>
      </c>
      <c r="F820" s="5" t="s">
        <v>19</v>
      </c>
      <c r="G820" s="14" t="str">
        <f t="array" ref="G820">IF(B820="", "",
  LET(_xlpm.spell, IFERROR(IF(F820="", "", INDEX(_xlws.FILTER(Hairstyles!$F:$F, ISNUMBER(SEARCH(F820, Hairstyles!$B:$B))), 1)), "No Spell for Hairstyle"),
  _xlpm.vanillaPrefix, IF(LEFT(_xlpm.spell, 7)="Uvi_Wig", "", ";"),
  ";" &amp; IF(C820="", B820, C820) &amp; IF(M820="", "", " ("&amp;M820&amp;")") &amp; CHAR(10) &amp;
  _xlpm.vanillaPrefix &amp; "Keyword = Uvi_Wig_Distr_KYWD|" &amp; B820 &amp; CHAR(10) &amp;
  _xlpm.vanillaPrefix &amp; "Spell = " &amp; _xlpm.spell &amp; "|" &amp; B820
  )
)</f>
        <v>;Imperial Soldier
;Keyword = Uvi_Wig_Distr_KYWD|dunCGImperialSoldierFodderD01
;Spell = No Spell for Hairstyle|dunCGImperialSoldierFodderD01</v>
      </c>
    </row>
    <row r="821" ht="12.75" customHeight="1">
      <c r="A821" s="5" t="s">
        <v>3506</v>
      </c>
      <c r="B821" s="5" t="s">
        <v>3507</v>
      </c>
      <c r="C821" s="5" t="s">
        <v>3473</v>
      </c>
      <c r="D821" s="5" t="s">
        <v>38</v>
      </c>
      <c r="E821" s="5" t="s">
        <v>233</v>
      </c>
      <c r="F821" s="5" t="s">
        <v>1622</v>
      </c>
      <c r="G821" s="14" t="str">
        <f t="array" ref="G821">IF(B821="", "",
  LET(_xlpm.spell, IFERROR(IF(F821="", "", INDEX(_xlws.FILTER(Hairstyles!$F:$F, ISNUMBER(SEARCH(F821, Hairstyles!$B:$B))), 1)), "No Spell for Hairstyle"),
  _xlpm.vanillaPrefix, IF(LEFT(_xlpm.spell, 7)="Uvi_Wig", "", ";"),
  ";" &amp; IF(C821="", B821, C821) &amp; IF(M821="", "", " ("&amp;M821&amp;")") &amp; CHAR(10) &amp;
  _xlpm.vanillaPrefix &amp; "Keyword = Uvi_Wig_Distr_KYWD|" &amp; B821 &amp; CHAR(10) &amp;
  _xlpm.vanillaPrefix &amp; "Spell = " &amp; _xlpm.spell &amp; "|" &amp; B821
  )
)</f>
        <v>;Imperial Soldier
;Keyword = Uvi_Wig_Distr_KYWD|EncGuardImperialM01MaleNordCommander
;Spell = No Spell for Hairstyle|EncGuardImperialM01MaleNordCommander</v>
      </c>
    </row>
    <row r="822" ht="12.75" customHeight="1">
      <c r="A822" s="5" t="s">
        <v>3508</v>
      </c>
      <c r="B822" s="5" t="s">
        <v>3509</v>
      </c>
      <c r="C822" s="5" t="s">
        <v>3473</v>
      </c>
      <c r="D822" s="5" t="s">
        <v>38</v>
      </c>
      <c r="E822" s="5" t="s">
        <v>233</v>
      </c>
      <c r="F822" s="5" t="s">
        <v>19</v>
      </c>
      <c r="G822" s="14" t="str">
        <f t="array" ref="G822">IF(B822="", "",
  LET(_xlpm.spell, IFERROR(IF(F822="", "", INDEX(_xlws.FILTER(Hairstyles!$F:$F, ISNUMBER(SEARCH(F822, Hairstyles!$B:$B))), 1)), "No Spell for Hairstyle"),
  _xlpm.vanillaPrefix, IF(LEFT(_xlpm.spell, 7)="Uvi_Wig", "", ";"),
  ";" &amp; IF(C822="", B822, C822) &amp; IF(M822="", "", " ("&amp;M822&amp;")") &amp; CHAR(10) &amp;
  _xlpm.vanillaPrefix &amp; "Keyword = Uvi_Wig_Distr_KYWD|" &amp; B822 &amp; CHAR(10) &amp;
  _xlpm.vanillaPrefix &amp; "Spell = " &amp; _xlpm.spell &amp; "|" &amp; B822
  )
)</f>
        <v>;Imperial Soldier
;Keyword = Uvi_Wig_Distr_KYWD|EncGuardImperialM02MaleNordCommander
;Spell = No Spell for Hairstyle|EncGuardImperialM02MaleNordCommander</v>
      </c>
    </row>
    <row r="823" ht="12.75" customHeight="1">
      <c r="A823" s="5" t="s">
        <v>3510</v>
      </c>
      <c r="B823" s="5" t="s">
        <v>3511</v>
      </c>
      <c r="C823" s="5" t="s">
        <v>3473</v>
      </c>
      <c r="D823" s="5" t="s">
        <v>38</v>
      </c>
      <c r="E823" s="5" t="s">
        <v>233</v>
      </c>
      <c r="F823" s="5" t="s">
        <v>521</v>
      </c>
      <c r="G823" s="14" t="str">
        <f t="array" ref="G823">IF(B823="", "",
  LET(_xlpm.spell, IFERROR(IF(F823="", "", INDEX(_xlws.FILTER(Hairstyles!$F:$F, ISNUMBER(SEARCH(F823, Hairstyles!$B:$B))), 1)), "No Spell for Hairstyle"),
  _xlpm.vanillaPrefix, IF(LEFT(_xlpm.spell, 7)="Uvi_Wig", "", ";"),
  ";" &amp; IF(C823="", B823, C823) &amp; IF(M823="", "", " ("&amp;M823&amp;")") &amp; CHAR(10) &amp;
  _xlpm.vanillaPrefix &amp; "Keyword = Uvi_Wig_Distr_KYWD|" &amp; B823 &amp; CHAR(10) &amp;
  _xlpm.vanillaPrefix &amp; "Spell = " &amp; _xlpm.spell &amp; "|" &amp; B823
  )
)</f>
        <v>;Imperial Soldier
;Keyword = Uvi_Wig_Distr_KYWD|EncGuardImperialM03MaleNordCommander
;Spell = No Spell for Hairstyle|EncGuardImperialM03MaleNordCommander</v>
      </c>
    </row>
    <row r="824" ht="12.75" customHeight="1">
      <c r="A824" s="5" t="s">
        <v>3512</v>
      </c>
      <c r="B824" s="5" t="s">
        <v>3513</v>
      </c>
      <c r="C824" s="5" t="s">
        <v>3473</v>
      </c>
      <c r="D824" s="5" t="s">
        <v>38</v>
      </c>
      <c r="E824" s="5" t="s">
        <v>233</v>
      </c>
      <c r="F824" s="5" t="s">
        <v>990</v>
      </c>
      <c r="G824" s="14" t="str">
        <f t="array" ref="G824">IF(B824="", "",
  LET(_xlpm.spell, IFERROR(IF(F824="", "", INDEX(_xlws.FILTER(Hairstyles!$F:$F, ISNUMBER(SEARCH(F824, Hairstyles!$B:$B))), 1)), "No Spell for Hairstyle"),
  _xlpm.vanillaPrefix, IF(LEFT(_xlpm.spell, 7)="Uvi_Wig", "", ";"),
  ";" &amp; IF(C824="", B824, C824) &amp; IF(M824="", "", " ("&amp;M824&amp;")") &amp; CHAR(10) &amp;
  _xlpm.vanillaPrefix &amp; "Keyword = Uvi_Wig_Distr_KYWD|" &amp; B824 &amp; CHAR(10) &amp;
  _xlpm.vanillaPrefix &amp; "Spell = " &amp; _xlpm.spell &amp; "|" &amp; B824
  )
)</f>
        <v>;Imperial Soldier
;Keyword = Uvi_Wig_Distr_KYWD|EncGuardImperialM04MaleNordCommander
;Spell = No Spell for Hairstyle|EncGuardImperialM04MaleNordCommander</v>
      </c>
    </row>
    <row r="825" ht="12.75" customHeight="1">
      <c r="A825" s="5" t="s">
        <v>3514</v>
      </c>
      <c r="B825" s="5" t="s">
        <v>3515</v>
      </c>
      <c r="C825" s="5" t="s">
        <v>3473</v>
      </c>
      <c r="D825" s="5" t="s">
        <v>38</v>
      </c>
      <c r="E825" s="5" t="s">
        <v>233</v>
      </c>
      <c r="F825" s="5" t="s">
        <v>1709</v>
      </c>
      <c r="G825" s="14" t="str">
        <f t="array" ref="G825">IF(B825="", "",
  LET(_xlpm.spell, IFERROR(IF(F825="", "", INDEX(_xlws.FILTER(Hairstyles!$F:$F, ISNUMBER(SEARCH(F825, Hairstyles!$B:$B))), 1)), "No Spell for Hairstyle"),
  _xlpm.vanillaPrefix, IF(LEFT(_xlpm.spell, 7)="Uvi_Wig", "", ";"),
  ";" &amp; IF(C825="", B825, C825) &amp; IF(M825="", "", " ("&amp;M825&amp;")") &amp; CHAR(10) &amp;
  _xlpm.vanillaPrefix &amp; "Keyword = Uvi_Wig_Distr_KYWD|" &amp; B825 &amp; CHAR(10) &amp;
  _xlpm.vanillaPrefix &amp; "Spell = " &amp; _xlpm.spell &amp; "|" &amp; B825
  )
)</f>
        <v>;Imperial Soldier
;Keyword = Uvi_Wig_Distr_KYWD|EncGuardImperialM05MaleGuard
;Spell = No Spell for Hairstyle|EncGuardImperialM05MaleGuard</v>
      </c>
    </row>
    <row r="826" ht="12.75" customHeight="1">
      <c r="A826" s="5" t="s">
        <v>3516</v>
      </c>
      <c r="B826" s="5" t="s">
        <v>3517</v>
      </c>
      <c r="C826" s="5" t="s">
        <v>3473</v>
      </c>
      <c r="D826" s="5" t="s">
        <v>38</v>
      </c>
      <c r="E826" s="5" t="s">
        <v>233</v>
      </c>
      <c r="F826" s="5" t="s">
        <v>84</v>
      </c>
      <c r="G826" s="14" t="str">
        <f t="array" ref="G826">IF(B826="", "",
  LET(_xlpm.spell, IFERROR(IF(F826="", "", INDEX(_xlws.FILTER(Hairstyles!$F:$F, ISNUMBER(SEARCH(F826, Hairstyles!$B:$B))), 1)), "No Spell for Hairstyle"),
  _xlpm.vanillaPrefix, IF(LEFT(_xlpm.spell, 7)="Uvi_Wig", "", ";"),
  ";" &amp; IF(C826="", B826, C826) &amp; IF(M826="", "", " ("&amp;M826&amp;")") &amp; CHAR(10) &amp;
  _xlpm.vanillaPrefix &amp; "Keyword = Uvi_Wig_Distr_KYWD|" &amp; B826 &amp; CHAR(10) &amp;
  _xlpm.vanillaPrefix &amp; "Spell = " &amp; _xlpm.spell &amp; "|" &amp; B826
  )
)</f>
        <v>;Imperial Soldier
;Keyword = Uvi_Wig_Distr_KYWD|EncGuardImperialM06MaleGuard
;Spell = No Spell for Hairstyle|EncGuardImperialM06MaleGuard</v>
      </c>
    </row>
    <row r="827" ht="12.75" customHeight="1">
      <c r="A827" s="5" t="s">
        <v>3518</v>
      </c>
      <c r="B827" s="5" t="s">
        <v>3519</v>
      </c>
      <c r="C827" s="5" t="s">
        <v>3473</v>
      </c>
      <c r="D827" s="5" t="s">
        <v>38</v>
      </c>
      <c r="E827" s="5" t="s">
        <v>233</v>
      </c>
      <c r="F827" s="5" t="s">
        <v>990</v>
      </c>
      <c r="G827" s="14" t="str">
        <f t="array" ref="G827">IF(B827="", "",
  LET(_xlpm.spell, IFERROR(IF(F827="", "", INDEX(_xlws.FILTER(Hairstyles!$F:$F, ISNUMBER(SEARCH(F827, Hairstyles!$B:$B))), 1)), "No Spell for Hairstyle"),
  _xlpm.vanillaPrefix, IF(LEFT(_xlpm.spell, 7)="Uvi_Wig", "", ";"),
  ";" &amp; IF(C827="", B827, C827) &amp; IF(M827="", "", " ("&amp;M827&amp;")") &amp; CHAR(10) &amp;
  _xlpm.vanillaPrefix &amp; "Keyword = Uvi_Wig_Distr_KYWD|" &amp; B827 &amp; CHAR(10) &amp;
  _xlpm.vanillaPrefix &amp; "Spell = " &amp; _xlpm.spell &amp; "|" &amp; B827
  )
)</f>
        <v>;Imperial Soldier
;Keyword = Uvi_Wig_Distr_KYWD|EncGuardImperialM07MaleGuard
;Spell = No Spell for Hairstyle|EncGuardImperialM07MaleGuard</v>
      </c>
    </row>
    <row r="828" ht="12.75" customHeight="1">
      <c r="A828" s="5" t="s">
        <v>3520</v>
      </c>
      <c r="B828" s="5" t="s">
        <v>3521</v>
      </c>
      <c r="C828" s="5" t="s">
        <v>3473</v>
      </c>
      <c r="D828" s="5" t="s">
        <v>38</v>
      </c>
      <c r="E828" s="5" t="s">
        <v>233</v>
      </c>
      <c r="F828" s="5" t="s">
        <v>218</v>
      </c>
      <c r="G828" s="14" t="str">
        <f t="array" ref="G828">IF(B828="", "",
  LET(_xlpm.spell, IFERROR(IF(F828="", "", INDEX(_xlws.FILTER(Hairstyles!$F:$F, ISNUMBER(SEARCH(F828, Hairstyles!$B:$B))), 1)), "No Spell for Hairstyle"),
  _xlpm.vanillaPrefix, IF(LEFT(_xlpm.spell, 7)="Uvi_Wig", "", ";"),
  ";" &amp; IF(C828="", B828, C828) &amp; IF(M828="", "", " ("&amp;M828&amp;")") &amp; CHAR(10) &amp;
  _xlpm.vanillaPrefix &amp; "Keyword = Uvi_Wig_Distr_KYWD|" &amp; B828 &amp; CHAR(10) &amp;
  _xlpm.vanillaPrefix &amp; "Spell = " &amp; _xlpm.spell &amp; "|" &amp; B828
  )
)</f>
        <v>;Imperial Soldier
;Keyword = Uvi_Wig_Distr_KYWD|EncGuardImperialM08MaleGuard
;Spell = No Spell for Hairstyle|EncGuardImperialM08MaleGuard</v>
      </c>
    </row>
    <row r="829" ht="12.75" customHeight="1">
      <c r="A829" s="5" t="s">
        <v>3522</v>
      </c>
      <c r="B829" s="5" t="s">
        <v>3523</v>
      </c>
      <c r="C829" s="5" t="s">
        <v>3473</v>
      </c>
      <c r="D829" s="5" t="s">
        <v>38</v>
      </c>
      <c r="E829" s="5" t="s">
        <v>233</v>
      </c>
      <c r="F829" s="5" t="s">
        <v>19</v>
      </c>
      <c r="G829" s="14" t="str">
        <f t="array" ref="G829">IF(B829="", "",
  LET(_xlpm.spell, IFERROR(IF(F829="", "", INDEX(_xlws.FILTER(Hairstyles!$F:$F, ISNUMBER(SEARCH(F829, Hairstyles!$B:$B))), 1)), "No Spell for Hairstyle"),
  _xlpm.vanillaPrefix, IF(LEFT(_xlpm.spell, 7)="Uvi_Wig", "", ";"),
  ";" &amp; IF(C829="", B829, C829) &amp; IF(M829="", "", " ("&amp;M829&amp;")") &amp; CHAR(10) &amp;
  _xlpm.vanillaPrefix &amp; "Keyword = Uvi_Wig_Distr_KYWD|" &amp; B829 &amp; CHAR(10) &amp;
  _xlpm.vanillaPrefix &amp; "Spell = " &amp; _xlpm.spell &amp; "|" &amp; B829
  )
)</f>
        <v>;Imperial Soldier
;Keyword = Uvi_Wig_Distr_KYWD|EncGuardImperialM09MaleGuard
;Spell = No Spell for Hairstyle|EncGuardImperialM09MaleGuard</v>
      </c>
    </row>
    <row r="830" ht="12.75" customHeight="1">
      <c r="A830" s="5" t="s">
        <v>3524</v>
      </c>
      <c r="B830" s="5" t="s">
        <v>3525</v>
      </c>
      <c r="C830" s="5" t="s">
        <v>3473</v>
      </c>
      <c r="D830" s="5" t="s">
        <v>59</v>
      </c>
      <c r="E830" s="5" t="s">
        <v>233</v>
      </c>
      <c r="F830" s="5" t="s">
        <v>19</v>
      </c>
      <c r="G830" s="14" t="str">
        <f t="array" ref="G830">IF(B830="", "",
  LET(_xlpm.spell, IFERROR(IF(F830="", "", INDEX(_xlws.FILTER(Hairstyles!$F:$F, ISNUMBER(SEARCH(F830, Hairstyles!$B:$B))), 1)), "No Spell for Hairstyle"),
  _xlpm.vanillaPrefix, IF(LEFT(_xlpm.spell, 7)="Uvi_Wig", "", ";"),
  ";" &amp; IF(C830="", B830, C830) &amp; IF(M830="", "", " ("&amp;M830&amp;")") &amp; CHAR(10) &amp;
  _xlpm.vanillaPrefix &amp; "Keyword = Uvi_Wig_Distr_KYWD|" &amp; B830 &amp; CHAR(10) &amp;
  _xlpm.vanillaPrefix &amp; "Spell = " &amp; _xlpm.spell &amp; "|" &amp; B830
  )
)</f>
        <v>;Imperial Soldier
;Keyword = Uvi_Wig_Distr_KYWD|EncSoldierImperialTemplate
;Spell = No Spell for Hairstyle|EncSoldierImperialTemplate</v>
      </c>
    </row>
    <row r="831" ht="12.75" customHeight="1">
      <c r="A831" s="15" t="s">
        <v>3526</v>
      </c>
      <c r="B831" s="5" t="s">
        <v>3527</v>
      </c>
      <c r="C831" s="5" t="s">
        <v>3473</v>
      </c>
      <c r="D831" s="5" t="s">
        <v>38</v>
      </c>
      <c r="E831" s="5" t="s">
        <v>233</v>
      </c>
      <c r="F831" s="5" t="s">
        <v>1622</v>
      </c>
      <c r="G831" s="14" t="str">
        <f t="array" ref="G831">IF(B831="", "",
  LET(_xlpm.spell, IFERROR(IF(F831="", "", INDEX(_xlws.FILTER(Hairstyles!$F:$F, ISNUMBER(SEARCH(F831, Hairstyles!$B:$B))), 1)), "No Spell for Hairstyle"),
  _xlpm.vanillaPrefix, IF(LEFT(_xlpm.spell, 7)="Uvi_Wig", "", ";"),
  ";" &amp; IF(C831="", B831, C831) &amp; IF(M831="", "", " ("&amp;M831&amp;")") &amp; CHAR(10) &amp;
  _xlpm.vanillaPrefix &amp; "Keyword = Uvi_Wig_Distr_KYWD|" &amp; B831 &amp; CHAR(10) &amp;
  _xlpm.vanillaPrefix &amp; "Spell = " &amp; _xlpm.spell &amp; "|" &amp; B831
  )
)</f>
        <v>;Imperial Soldier
;Keyword = Uvi_Wig_Distr_KYWD|MQ101ImperialSoldier01
;Spell = No Spell for Hairstyle|MQ101ImperialSoldier01</v>
      </c>
    </row>
    <row r="832" ht="12.75" customHeight="1">
      <c r="A832" s="5" t="s">
        <v>3528</v>
      </c>
      <c r="B832" s="5" t="s">
        <v>3529</v>
      </c>
      <c r="C832" s="5" t="s">
        <v>3473</v>
      </c>
      <c r="D832" s="5" t="s">
        <v>38</v>
      </c>
      <c r="E832" s="5" t="s">
        <v>233</v>
      </c>
      <c r="F832" s="5" t="s">
        <v>215</v>
      </c>
      <c r="G832" s="14" t="str">
        <f t="array" ref="G832">IF(B832="", "",
  LET(_xlpm.spell, IFERROR(IF(F832="", "", INDEX(_xlws.FILTER(Hairstyles!$F:$F, ISNUMBER(SEARCH(F832, Hairstyles!$B:$B))), 1)), "No Spell for Hairstyle"),
  _xlpm.vanillaPrefix, IF(LEFT(_xlpm.spell, 7)="Uvi_Wig", "", ";"),
  ";" &amp; IF(C832="", B832, C832) &amp; IF(M832="", "", " ("&amp;M832&amp;")") &amp; CHAR(10) &amp;
  _xlpm.vanillaPrefix &amp; "Keyword = Uvi_Wig_Distr_KYWD|" &amp; B832 &amp; CHAR(10) &amp;
  _xlpm.vanillaPrefix &amp; "Spell = " &amp; _xlpm.spell &amp; "|" &amp; B832
  )
)</f>
        <v>;Imperial Soldier
;Keyword = Uvi_Wig_Distr_KYWD|MQ101ImperialSoldier02
;Spell = No Spell for Hairstyle|MQ101ImperialSoldier02</v>
      </c>
    </row>
    <row r="833" ht="12.75" customHeight="1">
      <c r="A833" s="5" t="s">
        <v>3530</v>
      </c>
      <c r="B833" s="5" t="s">
        <v>3531</v>
      </c>
      <c r="C833" s="5" t="s">
        <v>3473</v>
      </c>
      <c r="D833" s="5" t="s">
        <v>59</v>
      </c>
      <c r="E833" s="5" t="s">
        <v>233</v>
      </c>
      <c r="F833" s="5" t="s">
        <v>1709</v>
      </c>
      <c r="G833" s="14" t="str">
        <f t="array" ref="G833">IF(B833="", "",
  LET(_xlpm.spell, IFERROR(IF(F833="", "", INDEX(_xlws.FILTER(Hairstyles!$F:$F, ISNUMBER(SEARCH(F833, Hairstyles!$B:$B))), 1)), "No Spell for Hairstyle"),
  _xlpm.vanillaPrefix, IF(LEFT(_xlpm.spell, 7)="Uvi_Wig", "", ";"),
  ";" &amp; IF(C833="", B833, C833) &amp; IF(M833="", "", " ("&amp;M833&amp;")") &amp; CHAR(10) &amp;
  _xlpm.vanillaPrefix &amp; "Keyword = Uvi_Wig_Distr_KYWD|" &amp; B833 &amp; CHAR(10) &amp;
  _xlpm.vanillaPrefix &amp; "Spell = " &amp; _xlpm.spell &amp; "|" &amp; B833
  )
)</f>
        <v>;Imperial Soldier
;Keyword = Uvi_Wig_Distr_KYWD|MQ101ImperialSoldier03
;Spell = No Spell for Hairstyle|MQ101ImperialSoldier03</v>
      </c>
    </row>
    <row r="834" ht="12.75" customHeight="1">
      <c r="A834" s="5" t="s">
        <v>3532</v>
      </c>
      <c r="B834" s="5" t="s">
        <v>3533</v>
      </c>
      <c r="C834" s="5" t="s">
        <v>3473</v>
      </c>
      <c r="D834" s="5" t="s">
        <v>59</v>
      </c>
      <c r="E834" s="5" t="s">
        <v>233</v>
      </c>
      <c r="F834" s="5" t="s">
        <v>990</v>
      </c>
      <c r="G834" s="14" t="str">
        <f t="array" ref="G834">IF(B834="", "",
  LET(_xlpm.spell, IFERROR(IF(F834="", "", INDEX(_xlws.FILTER(Hairstyles!$F:$F, ISNUMBER(SEARCH(F834, Hairstyles!$B:$B))), 1)), "No Spell for Hairstyle"),
  _xlpm.vanillaPrefix, IF(LEFT(_xlpm.spell, 7)="Uvi_Wig", "", ";"),
  ";" &amp; IF(C834="", B834, C834) &amp; IF(M834="", "", " ("&amp;M834&amp;")") &amp; CHAR(10) &amp;
  _xlpm.vanillaPrefix &amp; "Keyword = Uvi_Wig_Distr_KYWD|" &amp; B834 &amp; CHAR(10) &amp;
  _xlpm.vanillaPrefix &amp; "Spell = " &amp; _xlpm.spell &amp; "|" &amp; B834
  )
)</f>
        <v>;Imperial Soldier
;Keyword = Uvi_Wig_Distr_KYWD|MQ101ImperialSoldier04
;Spell = No Spell for Hairstyle|MQ101ImperialSoldier04</v>
      </c>
    </row>
    <row r="835" ht="12.75" customHeight="1">
      <c r="A835" s="5" t="s">
        <v>3534</v>
      </c>
      <c r="B835" s="5" t="s">
        <v>3535</v>
      </c>
      <c r="C835" s="5" t="s">
        <v>3473</v>
      </c>
      <c r="D835" s="5" t="s">
        <v>38</v>
      </c>
      <c r="E835" s="5" t="s">
        <v>233</v>
      </c>
      <c r="F835" s="5" t="s">
        <v>521</v>
      </c>
      <c r="G835" s="14" t="str">
        <f t="array" ref="G835">IF(B835="", "",
  LET(_xlpm.spell, IFERROR(IF(F835="", "", INDEX(_xlws.FILTER(Hairstyles!$F:$F, ISNUMBER(SEARCH(F835, Hairstyles!$B:$B))), 1)), "No Spell for Hairstyle"),
  _xlpm.vanillaPrefix, IF(LEFT(_xlpm.spell, 7)="Uvi_Wig", "", ";"),
  ";" &amp; IF(C835="", B835, C835) &amp; IF(M835="", "", " ("&amp;M835&amp;")") &amp; CHAR(10) &amp;
  _xlpm.vanillaPrefix &amp; "Keyword = Uvi_Wig_Distr_KYWD|" &amp; B835 &amp; CHAR(10) &amp;
  _xlpm.vanillaPrefix &amp; "Spell = " &amp; _xlpm.spell &amp; "|" &amp; B835
  )
)</f>
        <v>;Imperial Soldier
;Keyword = Uvi_Wig_Distr_KYWD|MQ101ImperialSoldierMelee
;Spell = No Spell for Hairstyle|MQ101ImperialSoldierMelee</v>
      </c>
    </row>
    <row r="836" ht="12.75" customHeight="1">
      <c r="A836" s="5" t="s">
        <v>3536</v>
      </c>
      <c r="B836" s="5" t="s">
        <v>3537</v>
      </c>
      <c r="C836" s="5" t="s">
        <v>3473</v>
      </c>
      <c r="D836" s="5" t="s">
        <v>59</v>
      </c>
      <c r="E836" s="5" t="s">
        <v>233</v>
      </c>
      <c r="F836" s="5" t="s">
        <v>19</v>
      </c>
      <c r="G836" s="14" t="str">
        <f t="array" ref="G836">IF(B836="", "",
  LET(_xlpm.spell, IFERROR(IF(F836="", "", INDEX(_xlws.FILTER(Hairstyles!$F:$F, ISNUMBER(SEARCH(F836, Hairstyles!$B:$B))), 1)), "No Spell for Hairstyle"),
  _xlpm.vanillaPrefix, IF(LEFT(_xlpm.spell, 7)="Uvi_Wig", "", ";"),
  ";" &amp; IF(C836="", B836, C836) &amp; IF(M836="", "", " ("&amp;M836&amp;")") &amp; CHAR(10) &amp;
  _xlpm.vanillaPrefix &amp; "Keyword = Uvi_Wig_Distr_KYWD|" &amp; B836 &amp; CHAR(10) &amp;
  _xlpm.vanillaPrefix &amp; "Spell = " &amp; _xlpm.spell &amp; "|" &amp; B836
  )
)</f>
        <v>;Imperial Soldier
;Keyword = Uvi_Wig_Distr_KYWD|MQ101ImperialSoldierMelee02
;Spell = No Spell for Hairstyle|MQ101ImperialSoldierMelee02</v>
      </c>
    </row>
    <row r="837" ht="12.75" customHeight="1">
      <c r="A837" s="5" t="s">
        <v>3538</v>
      </c>
      <c r="B837" s="5" t="s">
        <v>3539</v>
      </c>
      <c r="C837" s="5" t="s">
        <v>3473</v>
      </c>
      <c r="D837" s="5" t="s">
        <v>59</v>
      </c>
      <c r="E837" s="5" t="s">
        <v>233</v>
      </c>
      <c r="F837" s="5" t="s">
        <v>218</v>
      </c>
      <c r="G837" s="14" t="str">
        <f t="array" ref="G837">IF(B837="", "",
  LET(_xlpm.spell, IFERROR(IF(F837="", "", INDEX(_xlws.FILTER(Hairstyles!$F:$F, ISNUMBER(SEARCH(F837, Hairstyles!$B:$B))), 1)), "No Spell for Hairstyle"),
  _xlpm.vanillaPrefix, IF(LEFT(_xlpm.spell, 7)="Uvi_Wig", "", ";"),
  ";" &amp; IF(C837="", B837, C837) &amp; IF(M837="", "", " ("&amp;M837&amp;")") &amp; CHAR(10) &amp;
  _xlpm.vanillaPrefix &amp; "Keyword = Uvi_Wig_Distr_KYWD|" &amp; B837 &amp; CHAR(10) &amp;
  _xlpm.vanillaPrefix &amp; "Spell = " &amp; _xlpm.spell &amp; "|" &amp; B837
  )
)</f>
        <v>;Imperial Soldier
;Keyword = Uvi_Wig_Distr_KYWD|MQ101ImperialSoldierOfficerMale01
;Spell = No Spell for Hairstyle|MQ101ImperialSoldierOfficerMale01</v>
      </c>
    </row>
    <row r="838" ht="12.75" customHeight="1">
      <c r="A838" s="5" t="s">
        <v>3540</v>
      </c>
      <c r="B838" s="5" t="s">
        <v>3541</v>
      </c>
      <c r="C838" s="5" t="s">
        <v>3473</v>
      </c>
      <c r="D838" s="5" t="s">
        <v>38</v>
      </c>
      <c r="E838" s="5" t="s">
        <v>233</v>
      </c>
      <c r="F838" s="5" t="s">
        <v>424</v>
      </c>
      <c r="G838" s="14" t="str">
        <f t="array" ref="G838">IF(B838="", "",
  LET(_xlpm.spell, IFERROR(IF(F838="", "", INDEX(_xlws.FILTER(Hairstyles!$F:$F, ISNUMBER(SEARCH(F838, Hairstyles!$B:$B))), 1)), "No Spell for Hairstyle"),
  _xlpm.vanillaPrefix, IF(LEFT(_xlpm.spell, 7)="Uvi_Wig", "", ";"),
  ";" &amp; IF(C838="", B838, C838) &amp; IF(M838="", "", " ("&amp;M838&amp;")") &amp; CHAR(10) &amp;
  _xlpm.vanillaPrefix &amp; "Keyword = Uvi_Wig_Distr_KYWD|" &amp; B838 &amp; CHAR(10) &amp;
  _xlpm.vanillaPrefix &amp; "Spell = " &amp; _xlpm.spell &amp; "|" &amp; B838
  )
)</f>
        <v>;Imperial Soldier
;Keyword = Uvi_Wig_Distr_KYWD|MQ101ImperialSoldierOfficerMale02
;Spell = No Spell for Hairstyle|MQ101ImperialSoldierOfficerMale02</v>
      </c>
    </row>
    <row r="839" ht="12.75" customHeight="1">
      <c r="A839" s="5" t="s">
        <v>3542</v>
      </c>
      <c r="B839" s="5" t="s">
        <v>3543</v>
      </c>
      <c r="C839" s="5" t="s">
        <v>3473</v>
      </c>
      <c r="D839" s="5" t="s">
        <v>38</v>
      </c>
      <c r="E839" s="5" t="s">
        <v>233</v>
      </c>
      <c r="F839" s="5" t="s">
        <v>19</v>
      </c>
      <c r="G839" s="14" t="str">
        <f t="array" ref="G839">IF(B839="", "",
  LET(_xlpm.spell, IFERROR(IF(F839="", "", INDEX(_xlws.FILTER(Hairstyles!$F:$F, ISNUMBER(SEARCH(F839, Hairstyles!$B:$B))), 1)), "No Spell for Hairstyle"),
  _xlpm.vanillaPrefix, IF(LEFT(_xlpm.spell, 7)="Uvi_Wig", "", ";"),
  ";" &amp; IF(C839="", B839, C839) &amp; IF(M839="", "", " ("&amp;M839&amp;")") &amp; CHAR(10) &amp;
  _xlpm.vanillaPrefix &amp; "Keyword = Uvi_Wig_Distr_KYWD|" &amp; B839 &amp; CHAR(10) &amp;
  _xlpm.vanillaPrefix &amp; "Spell = " &amp; _xlpm.spell &amp; "|" &amp; B839
  )
)</f>
        <v>;Imperial Soldier
;Keyword = Uvi_Wig_Distr_KYWD|MQ101ImperialSoldierUnaggressive
;Spell = No Spell for Hairstyle|MQ101ImperialSoldierUnaggressive</v>
      </c>
    </row>
    <row r="840" ht="12.75" customHeight="1">
      <c r="A840" s="5" t="s">
        <v>3544</v>
      </c>
      <c r="B840" s="5" t="s">
        <v>3545</v>
      </c>
      <c r="C840" s="5" t="s">
        <v>3473</v>
      </c>
      <c r="D840" s="5" t="s">
        <v>38</v>
      </c>
      <c r="E840" s="5" t="s">
        <v>233</v>
      </c>
      <c r="F840" s="5" t="s">
        <v>84</v>
      </c>
      <c r="G840" s="14" t="str">
        <f t="array" ref="G840">IF(B840="", "",
  LET(_xlpm.spell, IFERROR(IF(F840="", "", INDEX(_xlws.FILTER(Hairstyles!$F:$F, ISNUMBER(SEARCH(F840, Hairstyles!$B:$B))), 1)), "No Spell for Hairstyle"),
  _xlpm.vanillaPrefix, IF(LEFT(_xlpm.spell, 7)="Uvi_Wig", "", ";"),
  ";" &amp; IF(C840="", B840, C840) &amp; IF(M840="", "", " ("&amp;M840&amp;")") &amp; CHAR(10) &amp;
  _xlpm.vanillaPrefix &amp; "Keyword = Uvi_Wig_Distr_KYWD|" &amp; B840 &amp; CHAR(10) &amp;
  _xlpm.vanillaPrefix &amp; "Spell = " &amp; _xlpm.spell &amp; "|" &amp; B840
  )
)</f>
        <v>;Imperial Soldier
;Keyword = Uvi_Wig_Distr_KYWD|MQ101ImperialSoldierUnaggressive02
;Spell = No Spell for Hairstyle|MQ101ImperialSoldierUnaggressive02</v>
      </c>
    </row>
    <row r="841" ht="12.75" customHeight="1">
      <c r="A841" s="5" t="s">
        <v>3546</v>
      </c>
      <c r="B841" s="5" t="s">
        <v>3547</v>
      </c>
      <c r="C841" s="5" t="s">
        <v>3548</v>
      </c>
      <c r="D841" s="5" t="s">
        <v>59</v>
      </c>
      <c r="E841" s="5" t="s">
        <v>233</v>
      </c>
      <c r="F841" s="5" t="s">
        <v>1700</v>
      </c>
      <c r="G841" s="14" t="str">
        <f t="array" ref="G841">IF(B841="", "",
  LET(_xlpm.spell, IFERROR(IF(F841="", "", INDEX(_xlws.FILTER(Hairstyles!$F:$F, ISNUMBER(SEARCH(F841, Hairstyles!$B:$B))), 1)), "No Spell for Hairstyle"),
  _xlpm.vanillaPrefix, IF(LEFT(_xlpm.spell, 7)="Uvi_Wig", "", ";"),
  ";" &amp; IF(C841="", B841, C841) &amp; IF(M841="", "", " ("&amp;M841&amp;")") &amp; CHAR(10) &amp;
  _xlpm.vanillaPrefix &amp; "Keyword = Uvi_Wig_Distr_KYWD|" &amp; B841 &amp; CHAR(10) &amp;
  _xlpm.vanillaPrefix &amp; "Spell = " &amp; _xlpm.spell &amp; "|" &amp; B841
  )
)</f>
        <v>;Imperial Wizard
;Keyword = Uvi_Wig_Distr_KYWD|CWSiegeImperialWizard
;Spell = No Spell for Hairstyle|CWSiegeImperialWizard</v>
      </c>
    </row>
    <row r="842" ht="12.75" customHeight="1">
      <c r="A842" s="5" t="s">
        <v>3549</v>
      </c>
      <c r="B842" s="5" t="s">
        <v>3550</v>
      </c>
      <c r="C842" s="5" t="s">
        <v>3551</v>
      </c>
      <c r="D842" s="5" t="s">
        <v>59</v>
      </c>
      <c r="E842" s="5" t="s">
        <v>41</v>
      </c>
      <c r="F842" s="5" t="s">
        <v>270</v>
      </c>
      <c r="G842" s="14" t="str">
        <f t="array" ref="G842">IF(B842="", "",
  LET(_xlpm.spell, IFERROR(IF(F842="", "", INDEX(_xlws.FILTER(Hairstyles!$F:$F, ISNUMBER(SEARCH(F842, Hairstyles!$B:$B))), 1)), "No Spell for Hairstyle"),
  _xlpm.vanillaPrefix, IF(LEFT(_xlpm.spell, 7)="Uvi_Wig", "", ";"),
  ";" &amp; IF(C842="", B842, C842) &amp; IF(M842="", "", " ("&amp;M842&amp;")") &amp; CHAR(10) &amp;
  _xlpm.vanillaPrefix &amp; "Keyword = Uvi_Wig_Distr_KYWD|" &amp; B842 &amp; CHAR(10) &amp;
  _xlpm.vanillaPrefix &amp; "Spell = " &amp; _xlpm.spell &amp; "|" &amp; B842
  )
)</f>
        <v>;Indara Caerellia
;Keyword = Uvi_Wig_Distr_KYWD|IndaraCaerellia
;Spell = No Spell for Hairstyle|IndaraCaerellia</v>
      </c>
    </row>
    <row r="843" ht="12.75" customHeight="1">
      <c r="A843" s="15" t="s">
        <v>3552</v>
      </c>
      <c r="B843" s="5" t="s">
        <v>3553</v>
      </c>
      <c r="C843" s="5" t="s">
        <v>3553</v>
      </c>
      <c r="D843" s="5" t="s">
        <v>45</v>
      </c>
      <c r="E843" s="5" t="s">
        <v>233</v>
      </c>
      <c r="F843" s="5" t="s">
        <v>1541</v>
      </c>
      <c r="G843" s="14" t="str">
        <f t="array" ref="G843">IF(B843="", "",
  LET(_xlpm.spell, IFERROR(IF(F843="", "", INDEX(_xlws.FILTER(Hairstyles!$F:$F, ISNUMBER(SEARCH(F843, Hairstyles!$B:$B))), 1)), "No Spell for Hairstyle"),
  _xlpm.vanillaPrefix, IF(LEFT(_xlpm.spell, 7)="Uvi_Wig", "", ";"),
  ";" &amp; IF(C843="", B843, C843) &amp; IF(M843="", "", " ("&amp;M843&amp;")") &amp; CHAR(10) &amp;
  _xlpm.vanillaPrefix &amp; "Keyword = Uvi_Wig_Distr_KYWD|" &amp; B843 &amp; CHAR(10) &amp;
  _xlpm.vanillaPrefix &amp; "Spell = " &amp; _xlpm.spell &amp; "|" &amp; B843
  )
)</f>
        <v>;Indaryn
;Keyword = Uvi_Wig_Distr_KYWD|Indaryn
;Spell = No Spell for Hairstyle|Indaryn</v>
      </c>
    </row>
    <row r="844" ht="12.75" customHeight="1">
      <c r="A844" s="5" t="s">
        <v>3554</v>
      </c>
      <c r="B844" s="5" t="s">
        <v>3555</v>
      </c>
      <c r="C844" s="5" t="s">
        <v>3556</v>
      </c>
      <c r="D844" s="5" t="s">
        <v>38</v>
      </c>
      <c r="E844" s="5" t="s">
        <v>233</v>
      </c>
      <c r="F844" s="5" t="s">
        <v>1894</v>
      </c>
      <c r="G844" s="14" t="str">
        <f t="array" ref="G844">IF(B844="", "",
  LET(_xlpm.spell, IFERROR(IF(F844="", "", INDEX(_xlws.FILTER(Hairstyles!$F:$F, ISNUMBER(SEARCH(F844, Hairstyles!$B:$B))), 1)), "No Spell for Hairstyle"),
  _xlpm.vanillaPrefix, IF(LEFT(_xlpm.spell, 7)="Uvi_Wig", "", ";"),
  ";" &amp; IF(C844="", B844, C844) &amp; IF(M844="", "", " ("&amp;M844&amp;")") &amp; CHAR(10) &amp;
  _xlpm.vanillaPrefix &amp; "Keyword = Uvi_Wig_Distr_KYWD|" &amp; B844 &amp; CHAR(10) &amp;
  _xlpm.vanillaPrefix &amp; "Spell = " &amp; _xlpm.spell &amp; "|" &amp; B844
  )
)</f>
        <v>;Indolent Farmer
;Keyword = Uvi_Wig_Distr_KYWD|DBRecurringContact8Ivarstead
;Spell = No Spell for Hairstyle|DBRecurringContact8Ivarstead</v>
      </c>
    </row>
    <row r="845" ht="12.75" customHeight="1">
      <c r="A845" s="5" t="s">
        <v>3557</v>
      </c>
      <c r="B845" s="5" t="s">
        <v>3558</v>
      </c>
      <c r="C845" s="5" t="s">
        <v>3559</v>
      </c>
      <c r="D845" s="5" t="s">
        <v>51</v>
      </c>
      <c r="E845" s="5" t="s">
        <v>41</v>
      </c>
      <c r="F845" s="5" t="s">
        <v>2118</v>
      </c>
      <c r="G845" s="14" t="str">
        <f t="array" ref="G845">IF(B845="", "",
  LET(_xlpm.spell, IFERROR(IF(F845="", "", INDEX(_xlws.FILTER(Hairstyles!$F:$F, ISNUMBER(SEARCH(F845, Hairstyles!$B:$B))), 1)), "No Spell for Hairstyle"),
  _xlpm.vanillaPrefix, IF(LEFT(_xlpm.spell, 7)="Uvi_Wig", "", ";"),
  ";" &amp; IF(C845="", B845, C845) &amp; IF(M845="", "", " ("&amp;M845&amp;")") &amp; CHAR(10) &amp;
  _xlpm.vanillaPrefix &amp; "Keyword = Uvi_Wig_Distr_KYWD|" &amp; B845 &amp; CHAR(10) &amp;
  _xlpm.vanillaPrefix &amp; "Spell = " &amp; _xlpm.spell &amp; "|" &amp; B845
  )
)</f>
        <v>;Inge Six Fingers
;Keyword = Uvi_Wig_Distr_KYWD|IngeSixFingers
;Spell = No Spell for Hairstyle|IngeSixFingers</v>
      </c>
    </row>
    <row r="846" ht="12.75" customHeight="1">
      <c r="A846" s="5" t="s">
        <v>3560</v>
      </c>
      <c r="B846" s="5" t="s">
        <v>3561</v>
      </c>
      <c r="C846" s="5" t="s">
        <v>3562</v>
      </c>
      <c r="D846" s="5" t="s">
        <v>38</v>
      </c>
      <c r="E846" s="5" t="s">
        <v>41</v>
      </c>
      <c r="F846" s="5" t="s">
        <v>905</v>
      </c>
      <c r="G846" s="14" t="str">
        <f t="array" ref="G846">IF(B846="", "",
  LET(_xlpm.spell, IFERROR(IF(F846="", "", INDEX(_xlws.FILTER(Hairstyles!$F:$F, ISNUMBER(SEARCH(F846, Hairstyles!$B:$B))), 1)), "No Spell for Hairstyle"),
  _xlpm.vanillaPrefix, IF(LEFT(_xlpm.spell, 7)="Uvi_Wig", "", ";"),
  ";" &amp; IF(C846="", B846, C846) &amp; IF(M846="", "", " ("&amp;M846&amp;")") &amp; CHAR(10) &amp;
  _xlpm.vanillaPrefix &amp; "Keyword = Uvi_Wig_Distr_KYWD|" &amp; B846 &amp; CHAR(10) &amp;
  _xlpm.vanillaPrefix &amp; "Spell = " &amp; _xlpm.spell &amp; "|" &amp; B846
  )
)</f>
        <v>;Ingjard
;Keyword = Uvi_Wig_Distr_KYWD|DLC1Ingjard
;Spell = No Spell for Hairstyle|DLC1Ingjard</v>
      </c>
    </row>
    <row r="847" ht="12.75" customHeight="1">
      <c r="A847" s="5" t="s">
        <v>3563</v>
      </c>
      <c r="B847" s="5" t="s">
        <v>3564</v>
      </c>
      <c r="C847" s="5" t="s">
        <v>3564</v>
      </c>
      <c r="D847" s="5" t="s">
        <v>38</v>
      </c>
      <c r="E847" s="5" t="s">
        <v>41</v>
      </c>
      <c r="F847" s="5" t="s">
        <v>371</v>
      </c>
      <c r="G847" s="14" t="str">
        <f t="array" ref="G847">IF(B847="", "",
  LET(_xlpm.spell, IFERROR(IF(F847="", "", INDEX(_xlws.FILTER(Hairstyles!$F:$F, ISNUMBER(SEARCH(F847, Hairstyles!$B:$B))), 1)), "No Spell for Hairstyle"),
  _xlpm.vanillaPrefix, IF(LEFT(_xlpm.spell, 7)="Uvi_Wig", "", ";"),
  ";" &amp; IF(C847="", B847, C847) &amp; IF(M847="", "", " ("&amp;M847&amp;")") &amp; CHAR(10) &amp;
  _xlpm.vanillaPrefix &amp; "Keyword = Uvi_Wig_Distr_KYWD|" &amp; B847 &amp; CHAR(10) &amp;
  _xlpm.vanillaPrefix &amp; "Spell = " &amp; _xlpm.spell &amp; "|" &amp; B847
  )
)</f>
        <v>;Ingrid
;Keyword = Uvi_Wig_Distr_KYWD|Ingrid
;Spell = No Spell for Hairstyle|Ingrid</v>
      </c>
    </row>
    <row r="848" ht="12.75" customHeight="1">
      <c r="A848" s="15" t="s">
        <v>3565</v>
      </c>
      <c r="B848" s="5" t="s">
        <v>3566</v>
      </c>
      <c r="C848" s="5" t="s">
        <v>3567</v>
      </c>
      <c r="D848" s="5" t="s">
        <v>38</v>
      </c>
      <c r="E848" s="5" t="s">
        <v>41</v>
      </c>
      <c r="F848" s="5" t="s">
        <v>2912</v>
      </c>
      <c r="G848" s="14" t="str">
        <f t="array" ref="G848">IF(B848="", "",
  LET(_xlpm.spell, IFERROR(IF(F848="", "", INDEX(_xlws.FILTER(Hairstyles!$F:$F, ISNUMBER(SEARCH(F848, Hairstyles!$B:$B))), 1)), "No Spell for Hairstyle"),
  _xlpm.vanillaPrefix, IF(LEFT(_xlpm.spell, 7)="Uvi_Wig", "", ";"),
  ";" &amp; IF(C848="", B848, C848) &amp; IF(M848="", "", " ("&amp;M848&amp;")") &amp; CHAR(10) &amp;
  _xlpm.vanillaPrefix &amp; "Keyword = Uvi_Wig_Distr_KYWD|" &amp; B848 &amp; CHAR(10) &amp;
  _xlpm.vanillaPrefix &amp; "Spell = " &amp; _xlpm.spell &amp; "|" &amp; B848
  )
)</f>
        <v>;Ingun Black-Briar
;Keyword = Uvi_Wig_Distr_KYWD|Ingun
;Spell = No Spell for Hairstyle|Ingun</v>
      </c>
    </row>
    <row r="849" ht="12.75" customHeight="1">
      <c r="A849" s="5" t="s">
        <v>3568</v>
      </c>
      <c r="B849" s="5" t="s">
        <v>3569</v>
      </c>
      <c r="C849" s="5" t="s">
        <v>3570</v>
      </c>
      <c r="D849" s="5" t="s">
        <v>57</v>
      </c>
      <c r="E849" s="5" t="s">
        <v>233</v>
      </c>
      <c r="F849" s="5" t="s">
        <v>91</v>
      </c>
      <c r="G849" s="14" t="str">
        <f t="array" ref="G849">IF(B849="", "",
  LET(_xlpm.spell, IFERROR(IF(F849="", "", INDEX(_xlws.FILTER(Hairstyles!$F:$F, ISNUMBER(SEARCH(F849, Hairstyles!$B:$B))), 1)), "No Spell for Hairstyle"),
  _xlpm.vanillaPrefix, IF(LEFT(_xlpm.spell, 7)="Uvi_Wig", "", ";"),
  ";" &amp; IF(C849="", B849, C849) &amp; IF(M849="", "", " ("&amp;M849&amp;")") &amp; CHAR(10) &amp;
  _xlpm.vanillaPrefix &amp; "Keyword = Uvi_Wig_Distr_KYWD|" &amp; B849 &amp; CHAR(10) &amp;
  _xlpm.vanillaPrefix &amp; "Spell = " &amp; _xlpm.spell &amp; "|" &amp; B849
  )
)</f>
        <v>;Insane College Wizard
;Keyword = Uvi_Wig_Distr_KYWD|MGRejoinWizard
;Spell = No Spell for Hairstyle|MGRejoinWizard</v>
      </c>
    </row>
    <row r="850" ht="12.75" customHeight="1">
      <c r="A850" s="5" t="s">
        <v>3571</v>
      </c>
      <c r="B850" s="5" t="s">
        <v>3572</v>
      </c>
      <c r="C850" s="5" t="s">
        <v>3573</v>
      </c>
      <c r="D850" s="5" t="s">
        <v>38</v>
      </c>
      <c r="E850" s="5" t="s">
        <v>41</v>
      </c>
      <c r="F850" s="5" t="s">
        <v>44</v>
      </c>
      <c r="G850" s="14" t="str">
        <f t="array" ref="G850">IF(B850="", "",
  LET(_xlpm.spell, IFERROR(IF(F850="", "", INDEX(_xlws.FILTER(Hairstyles!$F:$F, ISNUMBER(SEARCH(F850, Hairstyles!$B:$B))), 1)), "No Spell for Hairstyle"),
  _xlpm.vanillaPrefix, IF(LEFT(_xlpm.spell, 7)="Uvi_Wig", "", ";"),
  ";" &amp; IF(C850="", B850, C850) &amp; IF(M850="", "", " ("&amp;M850&amp;")") &amp; CHAR(10) &amp;
  _xlpm.vanillaPrefix &amp; "Keyword = Uvi_Wig_Distr_KYWD|" &amp; B850 &amp; CHAR(10) &amp;
  _xlpm.vanillaPrefix &amp; "Spell = " &amp; _xlpm.spell &amp; "|" &amp; B850
  )
)</f>
        <v>;Iona
;Keyword = Uvi_Wig_Distr_KYWD|HousecarlRiften
;Spell = No Spell for Hairstyle|HousecarlRiften</v>
      </c>
    </row>
    <row r="851" ht="12.75" customHeight="1">
      <c r="A851" s="15" t="s">
        <v>3574</v>
      </c>
      <c r="B851" s="5" t="s">
        <v>3575</v>
      </c>
      <c r="C851" s="5" t="s">
        <v>3575</v>
      </c>
      <c r="D851" s="5" t="s">
        <v>38</v>
      </c>
      <c r="E851" s="5" t="s">
        <v>41</v>
      </c>
      <c r="F851" s="5" t="s">
        <v>1557</v>
      </c>
      <c r="G851" s="14" t="str">
        <f t="array" ref="G851">IF(B851="", "",
  LET(_xlpm.spell, IFERROR(IF(F851="", "", INDEX(_xlws.FILTER(Hairstyles!$F:$F, ISNUMBER(SEARCH(F851, Hairstyles!$B:$B))), 1)), "No Spell for Hairstyle"),
  _xlpm.vanillaPrefix, IF(LEFT(_xlpm.spell, 7)="Uvi_Wig", "", ";"),
  ";" &amp; IF(C851="", B851, C851) &amp; IF(M851="", "", " ("&amp;M851&amp;")") &amp; CHAR(10) &amp;
  _xlpm.vanillaPrefix &amp; "Keyword = Uvi_Wig_Distr_KYWD|" &amp; B851 &amp; CHAR(10) &amp;
  _xlpm.vanillaPrefix &amp; "Spell = " &amp; _xlpm.spell &amp; "|" &amp; B851
  )
)</f>
        <v>;Irgnir
;Keyword = Uvi_Wig_Distr_KYWD|Irgnir
;Spell = No Spell for Hairstyle|Irgnir</v>
      </c>
    </row>
    <row r="852" ht="12.75" customHeight="1">
      <c r="A852" s="5" t="s">
        <v>3576</v>
      </c>
      <c r="B852" s="5" t="s">
        <v>3577</v>
      </c>
      <c r="C852" s="5" t="s">
        <v>3577</v>
      </c>
      <c r="D852" s="5" t="s">
        <v>45</v>
      </c>
      <c r="E852" s="5" t="s">
        <v>41</v>
      </c>
      <c r="F852" s="5" t="s">
        <v>2373</v>
      </c>
      <c r="G852" s="14" t="str">
        <f t="array" ref="G852">IF(B852="", "",
  LET(_xlpm.spell, IFERROR(IF(F852="", "", INDEX(_xlws.FILTER(Hairstyles!$F:$F, ISNUMBER(SEARCH(F852, Hairstyles!$B:$B))), 1)), "No Spell for Hairstyle"),
  _xlpm.vanillaPrefix, IF(LEFT(_xlpm.spell, 7)="Uvi_Wig", "", ";"),
  ";" &amp; IF(C852="", B852, C852) &amp; IF(M852="", "", " ("&amp;M852&amp;")") &amp; CHAR(10) &amp;
  _xlpm.vanillaPrefix &amp; "Keyword = Uvi_Wig_Distr_KYWD|" &amp; B852 &amp; CHAR(10) &amp;
  _xlpm.vanillaPrefix &amp; "Spell = " &amp; _xlpm.spell &amp; "|" &amp; B852
  )
)</f>
        <v>;Irileth
;Keyword = Uvi_Wig_Distr_KYWD|Irileth
;Spell = No Spell for Hairstyle|Irileth</v>
      </c>
    </row>
    <row r="853" ht="12.75" customHeight="1">
      <c r="A853" s="15" t="s">
        <v>3578</v>
      </c>
      <c r="B853" s="5" t="s">
        <v>3579</v>
      </c>
      <c r="C853" s="5" t="s">
        <v>3580</v>
      </c>
      <c r="D853" s="5" t="s">
        <v>38</v>
      </c>
      <c r="E853" s="5" t="s">
        <v>233</v>
      </c>
      <c r="F853" s="5" t="s">
        <v>475</v>
      </c>
      <c r="G853" s="14" t="str">
        <f t="array" ref="G853">IF(B853="", "",
  LET(_xlpm.spell, IFERROR(IF(F853="", "", INDEX(_xlws.FILTER(Hairstyles!$F:$F, ISNUMBER(SEARCH(F853, Hairstyles!$B:$B))), 1)), "No Spell for Hairstyle"),
  _xlpm.vanillaPrefix, IF(LEFT(_xlpm.spell, 7)="Uvi_Wig", "", ";"),
  ";" &amp; IF(C853="", B853, C853) &amp; IF(M853="", "", " ("&amp;M853&amp;")") &amp; CHAR(10) &amp;
  _xlpm.vanillaPrefix &amp; "Keyword = Uvi_Wig_Distr_KYWD|" &amp; B853 &amp; CHAR(10) &amp;
  _xlpm.vanillaPrefix &amp; "Spell = " &amp; _xlpm.spell &amp; "|" &amp; B853
  )
)</f>
        <v>;Irlof
;Keyword = Uvi_Wig_Distr_KYWD|MS10Pirate2
;Spell = No Spell for Hairstyle|MS10Pirate2</v>
      </c>
    </row>
    <row r="854" ht="12.75" customHeight="1">
      <c r="A854" s="5" t="s">
        <v>3581</v>
      </c>
      <c r="B854" s="5" t="s">
        <v>3582</v>
      </c>
      <c r="C854" s="5" t="s">
        <v>3583</v>
      </c>
      <c r="D854" s="5" t="s">
        <v>38</v>
      </c>
      <c r="E854" s="5" t="s">
        <v>233</v>
      </c>
      <c r="F854" s="5" t="s">
        <v>1906</v>
      </c>
      <c r="G854" s="14" t="str">
        <f t="array" ref="G854">IF(B854="", "",
  LET(_xlpm.spell, IFERROR(IF(F854="", "", INDEX(_xlws.FILTER(Hairstyles!$F:$F, ISNUMBER(SEARCH(F854, Hairstyles!$B:$B))), 1)), "No Spell for Hairstyle"),
  _xlpm.vanillaPrefix, IF(LEFT(_xlpm.spell, 7)="Uvi_Wig", "", ";"),
  ";" &amp; IF(C854="", B854, C854) &amp; IF(M854="", "", " ("&amp;M854&amp;")") &amp; CHAR(10) &amp;
  _xlpm.vanillaPrefix &amp; "Keyword = Uvi_Wig_Distr_KYWD|" &amp; B854 &amp; CHAR(10) &amp;
  _xlpm.vanillaPrefix &amp; "Spell = " &amp; _xlpm.spell &amp; "|" &amp; B854
  )
)</f>
        <v>;Irnskar Ironhand
;Keyword = Uvi_Wig_Distr_KYWD|IrnskarIronhand
;Spell = No Spell for Hairstyle|IrnskarIronhand</v>
      </c>
    </row>
    <row r="855" ht="12.75" customHeight="1">
      <c r="A855" s="15" t="s">
        <v>3584</v>
      </c>
      <c r="B855" s="5" t="s">
        <v>3585</v>
      </c>
      <c r="C855" s="5" t="s">
        <v>3586</v>
      </c>
      <c r="D855" s="5" t="s">
        <v>16</v>
      </c>
      <c r="E855" s="5" t="s">
        <v>41</v>
      </c>
      <c r="F855" s="5" t="s">
        <v>270</v>
      </c>
      <c r="G855" s="14" t="str">
        <f t="array" ref="G855">IF(B855="", "",
  LET(_xlpm.spell, IFERROR(IF(F855="", "", INDEX(_xlws.FILTER(Hairstyles!$F:$F, ISNUMBER(SEARCH(F855, Hairstyles!$B:$B))), 1)), "No Spell for Hairstyle"),
  _xlpm.vanillaPrefix, IF(LEFT(_xlpm.spell, 7)="Uvi_Wig", "", ";"),
  ";" &amp; IF(C855="", B855, C855) &amp; IF(M855="", "", " ("&amp;M855&amp;")") &amp; CHAR(10) &amp;
  _xlpm.vanillaPrefix &amp; "Keyword = Uvi_Wig_Distr_KYWD|" &amp; B855 &amp; CHAR(10) &amp;
  _xlpm.vanillaPrefix &amp; "Spell = " &amp; _xlpm.spell &amp; "|" &amp; B855
  )
)</f>
        <v>;Isabelle Rolaine
;Keyword = Uvi_Wig_Distr_KYWD|IsabelleRolaine
;Spell = No Spell for Hairstyle|IsabelleRolaine</v>
      </c>
    </row>
    <row r="856" ht="12.75" customHeight="1">
      <c r="A856" s="5" t="s">
        <v>3587</v>
      </c>
      <c r="B856" s="5" t="s">
        <v>3588</v>
      </c>
      <c r="C856" s="5" t="s">
        <v>3589</v>
      </c>
      <c r="D856" s="5" t="s">
        <v>83</v>
      </c>
      <c r="E856" s="5" t="s">
        <v>233</v>
      </c>
      <c r="F856" s="5" t="s">
        <v>1622</v>
      </c>
      <c r="G856" s="14" t="str">
        <f t="array" ref="G856">IF(B856="", "",
  LET(_xlpm.spell, IFERROR(IF(F856="", "", INDEX(_xlws.FILTER(Hairstyles!$F:$F, ISNUMBER(SEARCH(F856, Hairstyles!$B:$B))), 1)), "No Spell for Hairstyle"),
  _xlpm.vanillaPrefix, IF(LEFT(_xlpm.spell, 7)="Uvi_Wig", "", ";"),
  ";" &amp; IF(C856="", B856, C856) &amp; IF(M856="", "", " ("&amp;M856&amp;")") &amp; CHAR(10) &amp;
  _xlpm.vanillaPrefix &amp; "Keyword = Uvi_Wig_Distr_KYWD|" &amp; B856 &amp; CHAR(10) &amp;
  _xlpm.vanillaPrefix &amp; "Spell = " &amp; _xlpm.spell &amp; "|" &amp; B856
  )
)</f>
        <v>;Isran
;Keyword = Uvi_Wig_Distr_KYWD|DLC1Isran
;Spell = No Spell for Hairstyle|DLC1Isran</v>
      </c>
    </row>
    <row r="857" ht="12.75" customHeight="1">
      <c r="A857" s="15" t="s">
        <v>3590</v>
      </c>
      <c r="B857" s="5" t="s">
        <v>3591</v>
      </c>
      <c r="C857" s="5" t="s">
        <v>3592</v>
      </c>
      <c r="D857" s="5" t="s">
        <v>38</v>
      </c>
      <c r="E857" s="5" t="s">
        <v>233</v>
      </c>
      <c r="F857" s="5" t="s">
        <v>1894</v>
      </c>
      <c r="G857" s="14" t="str">
        <f t="array" ref="G857">IF(B857="", "",
  LET(_xlpm.spell, IFERROR(IF(F857="", "", INDEX(_xlws.FILTER(Hairstyles!$F:$F, ISNUMBER(SEARCH(F857, Hairstyles!$B:$B))), 1)), "No Spell for Hairstyle"),
  _xlpm.vanillaPrefix, IF(LEFT(_xlpm.spell, 7)="Uvi_Wig", "", ";"),
  ";" &amp; IF(C857="", B857, C857) &amp; IF(M857="", "", " ("&amp;M857&amp;")") &amp; CHAR(10) &amp;
  _xlpm.vanillaPrefix &amp; "Keyword = Uvi_Wig_Distr_KYWD|" &amp; B857 &amp; CHAR(10) &amp;
  _xlpm.vanillaPrefix &amp; "Spell = " &amp; _xlpm.spell &amp; "|" &amp; B857
  )
)</f>
        <v>;Istar Cairn-Breaker
;Keyword = Uvi_Wig_Distr_KYWD|CWFieldCOSonsHaafingar
;Spell = No Spell for Hairstyle|CWFieldCOSonsHaafingar</v>
      </c>
    </row>
    <row r="858" ht="12.75" customHeight="1">
      <c r="A858" s="5" t="s">
        <v>3593</v>
      </c>
      <c r="B858" s="5" t="s">
        <v>3594</v>
      </c>
      <c r="C858" s="5" t="s">
        <v>3595</v>
      </c>
      <c r="D858" s="5" t="s">
        <v>38</v>
      </c>
      <c r="E858" s="5" t="s">
        <v>233</v>
      </c>
      <c r="F858" s="5" t="s">
        <v>346</v>
      </c>
      <c r="G858" s="14" t="str">
        <f t="array" ref="G858">IF(B858="", "",
  LET(_xlpm.spell, IFERROR(IF(F858="", "", INDEX(_xlws.FILTER(Hairstyles!$F:$F, ISNUMBER(SEARCH(F858, Hairstyles!$B:$B))), 1)), "No Spell for Hairstyle"),
  _xlpm.vanillaPrefix, IF(LEFT(_xlpm.spell, 7)="Uvi_Wig", "", ";"),
  ";" &amp; IF(C858="", B858, C858) &amp; IF(M858="", "", " ("&amp;M858&amp;")") &amp; CHAR(10) &amp;
  _xlpm.vanillaPrefix &amp; "Keyword = Uvi_Wig_Distr_KYWD|" &amp; B858 &amp; CHAR(10) &amp;
  _xlpm.vanillaPrefix &amp; "Spell = " &amp; _xlpm.spell &amp; "|" &amp; B858
  )
)</f>
        <v>;Itinerant Lumberjack
;Keyword = Uvi_Wig_Distr_KYWD|DBRecurringTarget3Kynesgrove
;Spell = No Spell for Hairstyle|DBRecurringTarget3Kynesgrove</v>
      </c>
    </row>
    <row r="859" ht="12.75" customHeight="1">
      <c r="A859" s="5" t="s">
        <v>3596</v>
      </c>
      <c r="B859" s="5" t="s">
        <v>3597</v>
      </c>
      <c r="C859" s="5" t="s">
        <v>3598</v>
      </c>
      <c r="D859" s="5" t="s">
        <v>65</v>
      </c>
      <c r="E859" s="5" t="s">
        <v>233</v>
      </c>
      <c r="F859" s="5" t="s">
        <v>3599</v>
      </c>
      <c r="G859" s="14" t="str">
        <f t="array" ref="G859">IF(B859="", "",
  LET(_xlpm.spell, IFERROR(IF(F859="", "", INDEX(_xlws.FILTER(Hairstyles!$F:$F, ISNUMBER(SEARCH(F859, Hairstyles!$B:$B))), 1)), "No Spell for Hairstyle"),
  _xlpm.vanillaPrefix, IF(LEFT(_xlpm.spell, 7)="Uvi_Wig", "", ";"),
  ";" &amp; IF(C859="", B859, C859) &amp; IF(M859="", "", " ("&amp;M859&amp;")") &amp; CHAR(10) &amp;
  _xlpm.vanillaPrefix &amp; "Keyword = Uvi_Wig_Distr_KYWD|" &amp; B859 &amp; CHAR(10) &amp;
  _xlpm.vanillaPrefix &amp; "Spell = " &amp; _xlpm.spell &amp; "|" &amp; B859
  )
)</f>
        <v>;J'darr
;Keyword = Uvi_Wig_Distr_KYWD|dunAlftandJdarr
;Spell = No Spell for Hairstyle|dunAlftandJdarr</v>
      </c>
    </row>
    <row r="860" ht="12.75" customHeight="1">
      <c r="A860" s="5" t="s">
        <v>3600</v>
      </c>
      <c r="B860" s="5" t="s">
        <v>3601</v>
      </c>
      <c r="C860" s="5" t="s">
        <v>3602</v>
      </c>
      <c r="D860" s="5" t="s">
        <v>65</v>
      </c>
      <c r="E860" s="5" t="s">
        <v>233</v>
      </c>
      <c r="F860" s="5" t="s">
        <v>2485</v>
      </c>
      <c r="G860" s="14" t="str">
        <f t="array" ref="G860">IF(B860="", "",
  LET(_xlpm.spell, IFERROR(IF(F860="", "", INDEX(_xlws.FILTER(Hairstyles!$F:$F, ISNUMBER(SEARCH(F860, Hairstyles!$B:$B))), 1)), "No Spell for Hairstyle"),
  _xlpm.vanillaPrefix, IF(LEFT(_xlpm.spell, 7)="Uvi_Wig", "", ";"),
  ";" &amp; IF(C860="", B860, C860) &amp; IF(M860="", "", " ("&amp;M860&amp;")") &amp; CHAR(10) &amp;
  _xlpm.vanillaPrefix &amp; "Keyword = Uvi_Wig_Distr_KYWD|" &amp; B860 &amp; CHAR(10) &amp;
  _xlpm.vanillaPrefix &amp; "Spell = " &amp; _xlpm.spell &amp; "|" &amp; B860
  )
)</f>
        <v>;J'datharr
;Keyword = Uvi_Wig_Distr_KYWD|Jdatharr
;Spell = No Spell for Hairstyle|Jdatharr</v>
      </c>
    </row>
    <row r="861" ht="12.75" customHeight="1">
      <c r="A861" s="5" t="s">
        <v>3603</v>
      </c>
      <c r="B861" s="5" t="s">
        <v>3604</v>
      </c>
      <c r="C861" s="5" t="s">
        <v>3605</v>
      </c>
      <c r="D861" s="5" t="s">
        <v>65</v>
      </c>
      <c r="E861" s="5" t="s">
        <v>233</v>
      </c>
      <c r="F861" s="5" t="s">
        <v>293</v>
      </c>
      <c r="G861" s="14" t="str">
        <f t="array" ref="G861">IF(B861="", "",
  LET(_xlpm.spell, IFERROR(IF(F861="", "", INDEX(_xlws.FILTER(Hairstyles!$F:$F, ISNUMBER(SEARCH(F861, Hairstyles!$B:$B))), 1)), "No Spell for Hairstyle"),
  _xlpm.vanillaPrefix, IF(LEFT(_xlpm.spell, 7)="Uvi_Wig", "", ";"),
  ";" &amp; IF(C861="", B861, C861) &amp; IF(M861="", "", " ("&amp;M861&amp;")") &amp; CHAR(10) &amp;
  _xlpm.vanillaPrefix &amp; "Keyword = Uvi_Wig_Distr_KYWD|" &amp; B861 &amp; CHAR(10) &amp;
  _xlpm.vanillaPrefix &amp; "Spell = " &amp; _xlpm.spell &amp; "|" &amp; B861
  )
)</f>
        <v>;J'Kier
;Keyword = Uvi_Wig_Distr_KYWD|DA05Hunter01_JKier
;Spell = No Spell for Hairstyle|DA05Hunter01_JKier</v>
      </c>
    </row>
    <row r="862" ht="12.75" customHeight="1">
      <c r="A862" s="5" t="s">
        <v>3606</v>
      </c>
      <c r="B862" s="5" t="s">
        <v>3607</v>
      </c>
      <c r="C862" s="5" t="s">
        <v>3608</v>
      </c>
      <c r="D862" s="5" t="s">
        <v>65</v>
      </c>
      <c r="E862" s="5" t="s">
        <v>233</v>
      </c>
      <c r="F862" s="5" t="s">
        <v>321</v>
      </c>
      <c r="G862" s="14" t="str">
        <f t="array" ref="G862">IF(B862="", "",
  LET(_xlpm.spell, IFERROR(IF(F862="", "", INDEX(_xlws.FILTER(Hairstyles!$F:$F, ISNUMBER(SEARCH(F862, Hairstyles!$B:$B))), 1)), "No Spell for Hairstyle"),
  _xlpm.vanillaPrefix, IF(LEFT(_xlpm.spell, 7)="Uvi_Wig", "", ";"),
  ";" &amp; IF(C862="", B862, C862) &amp; IF(M862="", "", " ("&amp;M862&amp;")") &amp; CHAR(10) &amp;
  _xlpm.vanillaPrefix &amp; "Keyword = Uvi_Wig_Distr_KYWD|" &amp; B862 &amp; CHAR(10) &amp;
  _xlpm.vanillaPrefix &amp; "Spell = " &amp; _xlpm.spell &amp; "|" &amp; B862
  )
)</f>
        <v>;J'zargo
;Keyword = Uvi_Wig_Distr_KYWD|Jzargo
;Spell = No Spell for Hairstyle|Jzargo</v>
      </c>
    </row>
    <row r="863" ht="12.75" customHeight="1">
      <c r="A863" s="5" t="s">
        <v>3609</v>
      </c>
      <c r="B863" s="5" t="s">
        <v>3610</v>
      </c>
      <c r="C863" s="5" t="s">
        <v>3611</v>
      </c>
      <c r="D863" s="5" t="s">
        <v>65</v>
      </c>
      <c r="E863" s="5" t="s">
        <v>233</v>
      </c>
      <c r="F863" s="5" t="s">
        <v>3612</v>
      </c>
      <c r="G863" s="14" t="str">
        <f t="array" ref="G863">IF(B863="", "",
  LET(_xlpm.spell, IFERROR(IF(F863="", "", INDEX(_xlws.FILTER(Hairstyles!$F:$F, ISNUMBER(SEARCH(F863, Hairstyles!$B:$B))), 1)), "No Spell for Hairstyle"),
  _xlpm.vanillaPrefix, IF(LEFT(_xlpm.spell, 7)="Uvi_Wig", "", ";"),
  ";" &amp; IF(C863="", B863, C863) &amp; IF(M863="", "", " ("&amp;M863&amp;")") &amp; CHAR(10) &amp;
  _xlpm.vanillaPrefix &amp; "Keyword = Uvi_Wig_Distr_KYWD|" &amp; B863 &amp; CHAR(10) &amp;
  _xlpm.vanillaPrefix &amp; "Spell = " &amp; _xlpm.spell &amp; "|" &amp; B863
  )
)</f>
        <v>;J'zhar
;Keyword = Uvi_Wig_Distr_KYWD|dunAlftandJzhar
;Spell = No Spell for Hairstyle|dunAlftandJzhar</v>
      </c>
    </row>
    <row r="864" ht="12.75" customHeight="1">
      <c r="A864" s="5" t="s">
        <v>3613</v>
      </c>
      <c r="B864" s="5" t="s">
        <v>3614</v>
      </c>
      <c r="C864" s="5" t="s">
        <v>3614</v>
      </c>
      <c r="D864" s="5" t="s">
        <v>38</v>
      </c>
      <c r="E864" s="5" t="s">
        <v>41</v>
      </c>
      <c r="F864" s="5" t="s">
        <v>356</v>
      </c>
      <c r="G864" s="14" t="str">
        <f t="array" ref="G864">IF(B864="", "",
  LET(_xlpm.spell, IFERROR(IF(F864="", "", INDEX(_xlws.FILTER(Hairstyles!$F:$F, ISNUMBER(SEARCH(F864, Hairstyles!$B:$B))), 1)), "No Spell for Hairstyle"),
  _xlpm.vanillaPrefix, IF(LEFT(_xlpm.spell, 7)="Uvi_Wig", "", ";"),
  ";" &amp; IF(C864="", B864, C864) &amp; IF(M864="", "", " ("&amp;M864&amp;")") &amp; CHAR(10) &amp;
  _xlpm.vanillaPrefix &amp; "Keyword = Uvi_Wig_Distr_KYWD|" &amp; B864 &amp; CHAR(10) &amp;
  _xlpm.vanillaPrefix &amp; "Spell = " &amp; _xlpm.spell &amp; "|" &amp; B864
  )
)</f>
        <v>;Jala
;Keyword = Uvi_Wig_Distr_KYWD|Jala
;Spell = No Spell for Hairstyle|Jala</v>
      </c>
    </row>
    <row r="865" ht="12.75" customHeight="1">
      <c r="A865" s="5" t="s">
        <v>3615</v>
      </c>
      <c r="B865" s="5" t="s">
        <v>3616</v>
      </c>
      <c r="C865" s="5" t="s">
        <v>3617</v>
      </c>
      <c r="D865" s="5" t="s">
        <v>10</v>
      </c>
      <c r="E865" s="5" t="s">
        <v>233</v>
      </c>
      <c r="F865" s="5" t="s">
        <v>3618</v>
      </c>
      <c r="G865" s="14" t="str">
        <f t="array" ref="G865">IF(B865="", "",
  LET(_xlpm.spell, IFERROR(IF(F865="", "", INDEX(_xlws.FILTER(Hairstyles!$F:$F, ISNUMBER(SEARCH(F865, Hairstyles!$B:$B))), 1)), "No Spell for Hairstyle"),
  _xlpm.vanillaPrefix, IF(LEFT(_xlpm.spell, 7)="Uvi_Wig", "", ";"),
  ";" &amp; IF(C865="", B865, C865) &amp; IF(M865="", "", " ("&amp;M865&amp;")") &amp; CHAR(10) &amp;
  _xlpm.vanillaPrefix &amp; "Keyword = Uvi_Wig_Distr_KYWD|" &amp; B865 &amp; CHAR(10) &amp;
  _xlpm.vanillaPrefix &amp; "Spell = " &amp; _xlpm.spell &amp; "|" &amp; B865
  )
)</f>
        <v>;Jaree-Ra
;Keyword = Uvi_Wig_Distr_KYWD|JareeRa
;Spell = No Spell for Hairstyle|JareeRa</v>
      </c>
    </row>
    <row r="866" ht="12.75" customHeight="1">
      <c r="A866" s="5" t="s">
        <v>3619</v>
      </c>
      <c r="B866" s="5" t="s">
        <v>3620</v>
      </c>
      <c r="C866" s="5" t="s">
        <v>3620</v>
      </c>
      <c r="D866" s="5" t="s">
        <v>83</v>
      </c>
      <c r="E866" s="5" t="s">
        <v>233</v>
      </c>
      <c r="F866" s="5" t="s">
        <v>84</v>
      </c>
      <c r="G866" s="14" t="str">
        <f t="array" ref="G866">IF(B866="", "",
  LET(_xlpm.spell, IFERROR(IF(F866="", "", INDEX(_xlws.FILTER(Hairstyles!$F:$F, ISNUMBER(SEARCH(F866, Hairstyles!$B:$B))), 1)), "No Spell for Hairstyle"),
  _xlpm.vanillaPrefix, IF(LEFT(_xlpm.spell, 7)="Uvi_Wig", "", ";"),
  ";" &amp; IF(C866="", B866, C866) &amp; IF(M866="", "", " ("&amp;M866&amp;")") &amp; CHAR(10) &amp;
  _xlpm.vanillaPrefix &amp; "Keyword = Uvi_Wig_Distr_KYWD|" &amp; B866 &amp; CHAR(10) &amp;
  _xlpm.vanillaPrefix &amp; "Spell = " &amp; _xlpm.spell &amp; "|" &amp; B866
  )
)</f>
        <v>;Jawanan
;Keyword = Uvi_Wig_Distr_KYWD|Jawanan
;Spell = No Spell for Hairstyle|Jawanan</v>
      </c>
    </row>
    <row r="867" ht="12.75" customHeight="1">
      <c r="A867" s="5" t="s">
        <v>3621</v>
      </c>
      <c r="B867" s="5" t="s">
        <v>3622</v>
      </c>
      <c r="C867" s="5" t="s">
        <v>3623</v>
      </c>
      <c r="D867" s="5" t="s">
        <v>83</v>
      </c>
      <c r="E867" s="5" t="s">
        <v>41</v>
      </c>
      <c r="F867" s="5" t="s">
        <v>22</v>
      </c>
      <c r="G867" s="14" t="str">
        <f t="array" ref="G867">IF(B867="", "",
  LET(_xlpm.spell, IFERROR(IF(F867="", "", INDEX(_xlws.FILTER(Hairstyles!$F:$F, ISNUMBER(SEARCH(F867, Hairstyles!$B:$B))), 1)), "No Spell for Hairstyle"),
  _xlpm.vanillaPrefix, IF(LEFT(_xlpm.spell, 7)="Uvi_Wig", "", ";"),
  ";" &amp; IF(C867="", B867, C867) &amp; IF(M867="", "", " ("&amp;M867&amp;")") &amp; CHAR(10) &amp;
  _xlpm.vanillaPrefix &amp; "Keyword = Uvi_Wig_Distr_KYWD|" &amp; B867 &amp; CHAR(10) &amp;
  _xlpm.vanillaPrefix &amp; "Spell = " &amp; _xlpm.spell &amp; "|" &amp; B867
  )
)</f>
        <v>;Jayri
;Keyword = Uvi_Wig_Distr_KYWD|DLC1RefugeeJayri
;Spell = No Spell for Hairstyle|DLC1RefugeeJayri</v>
      </c>
    </row>
    <row r="868" ht="12.75" customHeight="1">
      <c r="A868" s="5" t="s">
        <v>3624</v>
      </c>
      <c r="B868" s="5" t="s">
        <v>3625</v>
      </c>
      <c r="C868" s="5" t="s">
        <v>3626</v>
      </c>
      <c r="D868" s="5" t="s">
        <v>45</v>
      </c>
      <c r="E868" s="5" t="s">
        <v>41</v>
      </c>
      <c r="F868" s="5" t="s">
        <v>2245</v>
      </c>
      <c r="G868" s="14" t="str">
        <f t="array" ref="G868">IF(B868="", "",
  LET(_xlpm.spell, IFERROR(IF(F868="", "", INDEX(_xlws.FILTER(Hairstyles!$F:$F, ISNUMBER(SEARCH(F868, Hairstyles!$B:$B))), 1)), "No Spell for Hairstyle"),
  _xlpm.vanillaPrefix, IF(LEFT(_xlpm.spell, 7)="Uvi_Wig", "", ";"),
  ";" &amp; IF(C868="", B868, C868) &amp; IF(M868="", "", " ("&amp;M868&amp;")") &amp; CHAR(10) &amp;
  _xlpm.vanillaPrefix &amp; "Keyword = Uvi_Wig_Distr_KYWD|" &amp; B868 &amp; CHAR(10) &amp;
  _xlpm.vanillaPrefix &amp; "Spell = " &amp; _xlpm.spell &amp; "|" &amp; B868
  )
)</f>
        <v>;Jenassa
;Keyword = Uvi_Wig_Distr_KYWD|HirelingJenassa
;Spell = No Spell for Hairstyle|HirelingJenassa</v>
      </c>
    </row>
    <row r="869" ht="12.75" customHeight="1">
      <c r="A869" s="5" t="s">
        <v>3627</v>
      </c>
      <c r="B869" s="5" t="s">
        <v>3628</v>
      </c>
      <c r="C869" s="5" t="s">
        <v>3628</v>
      </c>
      <c r="D869" s="5" t="s">
        <v>38</v>
      </c>
      <c r="E869" s="5" t="s">
        <v>233</v>
      </c>
      <c r="F869" s="5" t="s">
        <v>2694</v>
      </c>
      <c r="G869" s="14" t="str">
        <f t="array" ref="G869">IF(B869="", "",
  LET(_xlpm.spell, IFERROR(IF(F869="", "", INDEX(_xlws.FILTER(Hairstyles!$F:$F, ISNUMBER(SEARCH(F869, Hairstyles!$B:$B))), 1)), "No Spell for Hairstyle"),
  _xlpm.vanillaPrefix, IF(LEFT(_xlpm.spell, 7)="Uvi_Wig", "", ";"),
  ";" &amp; IF(C869="", B869, C869) &amp; IF(M869="", "", " ("&amp;M869&amp;")") &amp; CHAR(10) &amp;
  _xlpm.vanillaPrefix &amp; "Keyword = Uvi_Wig_Distr_KYWD|" &amp; B869 &amp; CHAR(10) &amp;
  _xlpm.vanillaPrefix &amp; "Spell = " &amp; _xlpm.spell &amp; "|" &amp; B869
  )
)</f>
        <v>;Jervar
;Keyword = Uvi_Wig_Distr_KYWD|Jervar
;Spell = No Spell for Hairstyle|Jervar</v>
      </c>
    </row>
    <row r="870" ht="12.75" customHeight="1">
      <c r="A870" s="15" t="s">
        <v>3629</v>
      </c>
      <c r="B870" s="5" t="s">
        <v>3630</v>
      </c>
      <c r="C870" s="5" t="s">
        <v>3630</v>
      </c>
      <c r="D870" s="5" t="s">
        <v>38</v>
      </c>
      <c r="E870" s="5" t="s">
        <v>233</v>
      </c>
      <c r="F870" s="5" t="s">
        <v>40</v>
      </c>
      <c r="G870" s="14" t="str">
        <f t="array" ref="G870">IF(B870="", "",
  LET(_xlpm.spell, IFERROR(IF(F870="", "", INDEX(_xlws.FILTER(Hairstyles!$F:$F, ISNUMBER(SEARCH(F870, Hairstyles!$B:$B))), 1)), "No Spell for Hairstyle"),
  _xlpm.vanillaPrefix, IF(LEFT(_xlpm.spell, 7)="Uvi_Wig", "", ";"),
  ";" &amp; IF(C870="", B870, C870) &amp; IF(M870="", "", " ("&amp;M870&amp;")") &amp; CHAR(10) &amp;
  _xlpm.vanillaPrefix &amp; "Keyword = Uvi_Wig_Distr_KYWD|" &amp; B870 &amp; CHAR(10) &amp;
  _xlpm.vanillaPrefix &amp; "Spell = " &amp; _xlpm.spell &amp; "|" &amp; B870
  )
)</f>
        <v>;Jesper
;Keyword = Uvi_Wig_Distr_KYWD|Jesper
;Spell = No Spell for Hairstyle|Jesper</v>
      </c>
    </row>
    <row r="871" ht="12.75" customHeight="1">
      <c r="A871" s="5" t="s">
        <v>3631</v>
      </c>
      <c r="B871" s="5" t="s">
        <v>3632</v>
      </c>
      <c r="C871" s="5" t="s">
        <v>3633</v>
      </c>
      <c r="D871" s="5" t="s">
        <v>45</v>
      </c>
      <c r="E871" s="5" t="s">
        <v>233</v>
      </c>
      <c r="F871" s="5" t="s">
        <v>47</v>
      </c>
      <c r="G871" s="14" t="str">
        <f t="array" ref="G871">IF(B871="", "",
  LET(_xlpm.spell, IFERROR(IF(F871="", "", INDEX(_xlws.FILTER(Hairstyles!$F:$F, ISNUMBER(SEARCH(F871, Hairstyles!$B:$B))), 1)), "No Spell for Hairstyle"),
  _xlpm.vanillaPrefix, IF(LEFT(_xlpm.spell, 7)="Uvi_Wig", "", ";"),
  ";" &amp; IF(C871="", B871, C871) &amp; IF(M871="", "", " ("&amp;M871&amp;")") &amp; CHAR(10) &amp;
  _xlpm.vanillaPrefix &amp; "Keyword = Uvi_Wig_Distr_KYWD|" &amp; B871 &amp; CHAR(10) &amp;
  _xlpm.vanillaPrefix &amp; "Spell = " &amp; _xlpm.spell &amp; "|" &amp; B871
  )
)</f>
        <v>;Jiub
;Keyword = Uvi_Wig_Distr_KYWD|DLC01SoulCairnJiub
;Spell = No Spell for Hairstyle|DLC01SoulCairnJiub</v>
      </c>
    </row>
    <row r="872" ht="12.75" customHeight="1">
      <c r="A872" s="15" t="s">
        <v>3634</v>
      </c>
      <c r="B872" s="5" t="s">
        <v>3635</v>
      </c>
      <c r="C872" s="5" t="s">
        <v>3635</v>
      </c>
      <c r="D872" s="5" t="s">
        <v>38</v>
      </c>
      <c r="E872" s="5" t="s">
        <v>233</v>
      </c>
      <c r="F872" s="5" t="s">
        <v>84</v>
      </c>
      <c r="G872" s="14" t="str">
        <f t="array" ref="G872">IF(B872="", "",
  LET(_xlpm.spell, IFERROR(IF(F872="", "", INDEX(_xlws.FILTER(Hairstyles!$F:$F, ISNUMBER(SEARCH(F872, Hairstyles!$B:$B))), 1)), "No Spell for Hairstyle"),
  _xlpm.vanillaPrefix, IF(LEFT(_xlpm.spell, 7)="Uvi_Wig", "", ";"),
  ";" &amp; IF(C872="", B872, C872) &amp; IF(M872="", "", " ("&amp;M872&amp;")") &amp; CHAR(10) &amp;
  _xlpm.vanillaPrefix &amp; "Keyword = Uvi_Wig_Distr_KYWD|" &amp; B872 &amp; CHAR(10) &amp;
  _xlpm.vanillaPrefix &amp; "Spell = " &amp; _xlpm.spell &amp; "|" &amp; B872
  )
)</f>
        <v>;Jod
;Keyword = Uvi_Wig_Distr_KYWD|Jod
;Spell = No Spell for Hairstyle|Jod</v>
      </c>
    </row>
    <row r="873" ht="12.75" customHeight="1">
      <c r="A873" s="5" t="s">
        <v>3636</v>
      </c>
      <c r="B873" s="5" t="s">
        <v>3637</v>
      </c>
      <c r="C873" s="5" t="s">
        <v>3637</v>
      </c>
      <c r="D873" s="5" t="s">
        <v>38</v>
      </c>
      <c r="E873" s="5" t="s">
        <v>233</v>
      </c>
      <c r="F873" s="5" t="s">
        <v>521</v>
      </c>
      <c r="G873" s="14" t="str">
        <f t="array" ref="G873">IF(B873="", "",
  LET(_xlpm.spell, IFERROR(IF(F873="", "", INDEX(_xlws.FILTER(Hairstyles!$F:$F, ISNUMBER(SEARCH(F873, Hairstyles!$B:$B))), 1)), "No Spell for Hairstyle"),
  _xlpm.vanillaPrefix, IF(LEFT(_xlpm.spell, 7)="Uvi_Wig", "", ";"),
  ";" &amp; IF(C873="", B873, C873) &amp; IF(M873="", "", " ("&amp;M873&amp;")") &amp; CHAR(10) &amp;
  _xlpm.vanillaPrefix &amp; "Keyword = Uvi_Wig_Distr_KYWD|" &amp; B873 &amp; CHAR(10) &amp;
  _xlpm.vanillaPrefix &amp; "Spell = " &amp; _xlpm.spell &amp; "|" &amp; B873
  )
)</f>
        <v>;Jofthor
;Keyword = Uvi_Wig_Distr_KYWD|Jofthor
;Spell = No Spell for Hairstyle|Jofthor</v>
      </c>
    </row>
    <row r="874" ht="12.75" customHeight="1">
      <c r="A874" s="5" t="s">
        <v>3638</v>
      </c>
      <c r="B874" s="5" t="s">
        <v>3639</v>
      </c>
      <c r="C874" s="5" t="s">
        <v>3640</v>
      </c>
      <c r="D874" s="5" t="s">
        <v>38</v>
      </c>
      <c r="E874" s="5" t="s">
        <v>233</v>
      </c>
      <c r="F874" s="5" t="s">
        <v>1906</v>
      </c>
      <c r="G874" s="14" t="str">
        <f t="array" ref="G874">IF(B874="", "",
  LET(_xlpm.spell, IFERROR(IF(F874="", "", INDEX(_xlws.FILTER(Hairstyles!$F:$F, ISNUMBER(SEARCH(F874, Hairstyles!$B:$B))), 1)), "No Spell for Hairstyle"),
  _xlpm.vanillaPrefix, IF(LEFT(_xlpm.spell, 7)="Uvi_Wig", "", ";"),
  ";" &amp; IF(C874="", B874, C874) &amp; IF(M874="", "", " ("&amp;M874&amp;")") &amp; CHAR(10) &amp;
  _xlpm.vanillaPrefix &amp; "Keyword = Uvi_Wig_Distr_KYWD|" &amp; B874 &amp; CHAR(10) &amp;
  _xlpm.vanillaPrefix &amp; "Spell = " &amp; _xlpm.spell &amp; "|" &amp; B874
  )
)</f>
        <v>;Jolf
;Keyword = Uvi_Wig_Distr_KYWD|DLC1FerrymanSolitude
;Spell = No Spell for Hairstyle|DLC1FerrymanSolitude</v>
      </c>
    </row>
    <row r="875" ht="12.75" customHeight="1">
      <c r="A875" s="5" t="s">
        <v>3641</v>
      </c>
      <c r="B875" s="5" t="s">
        <v>3640</v>
      </c>
      <c r="C875" s="5" t="s">
        <v>3640</v>
      </c>
      <c r="D875" s="5" t="s">
        <v>38</v>
      </c>
      <c r="E875" s="5" t="s">
        <v>233</v>
      </c>
      <c r="F875" s="5" t="s">
        <v>990</v>
      </c>
      <c r="G875" s="14" t="str">
        <f t="array" ref="G875">IF(B875="", "",
  LET(_xlpm.spell, IFERROR(IF(F875="", "", INDEX(_xlws.FILTER(Hairstyles!$F:$F, ISNUMBER(SEARCH(F875, Hairstyles!$B:$B))), 1)), "No Spell for Hairstyle"),
  _xlpm.vanillaPrefix, IF(LEFT(_xlpm.spell, 7)="Uvi_Wig", "", ";"),
  ";" &amp; IF(C875="", B875, C875) &amp; IF(M875="", "", " ("&amp;M875&amp;")") &amp; CHAR(10) &amp;
  _xlpm.vanillaPrefix &amp; "Keyword = Uvi_Wig_Distr_KYWD|" &amp; B875 &amp; CHAR(10) &amp;
  _xlpm.vanillaPrefix &amp; "Spell = " &amp; _xlpm.spell &amp; "|" &amp; B875
  )
)</f>
        <v>;Jolf
;Keyword = Uvi_Wig_Distr_KYWD|Jolf
;Spell = No Spell for Hairstyle|Jolf</v>
      </c>
    </row>
    <row r="876" ht="12.75" customHeight="1">
      <c r="A876" s="5" t="s">
        <v>3642</v>
      </c>
      <c r="B876" s="5" t="s">
        <v>3643</v>
      </c>
      <c r="C876" s="5" t="s">
        <v>3644</v>
      </c>
      <c r="D876" s="5" t="s">
        <v>38</v>
      </c>
      <c r="E876" s="5" t="s">
        <v>233</v>
      </c>
      <c r="F876" s="5" t="s">
        <v>990</v>
      </c>
      <c r="G876" s="14" t="str">
        <f t="array" ref="G876">IF(B876="", "",
  LET(_xlpm.spell, IFERROR(IF(F876="", "", INDEX(_xlws.FILTER(Hairstyles!$F:$F, ISNUMBER(SEARCH(F876, Hairstyles!$B:$B))), 1)), "No Spell for Hairstyle"),
  _xlpm.vanillaPrefix, IF(LEFT(_xlpm.spell, 7)="Uvi_Wig", "", ";"),
  ";" &amp; IF(C876="", B876, C876) &amp; IF(M876="", "", " ("&amp;M876&amp;")") &amp; CHAR(10) &amp;
  _xlpm.vanillaPrefix &amp; "Keyword = Uvi_Wig_Distr_KYWD|" &amp; B876 &amp; CHAR(10) &amp;
  _xlpm.vanillaPrefix &amp; "Spell = " &amp; _xlpm.spell &amp; "|" &amp; B876
  )
)</f>
        <v>;Jon Battle-Born
;Keyword = Uvi_Wig_Distr_KYWD|JonBattleBorn
;Spell = No Spell for Hairstyle|JonBattleBorn</v>
      </c>
    </row>
    <row r="877" ht="12.75" customHeight="1">
      <c r="A877" s="5" t="s">
        <v>3645</v>
      </c>
      <c r="B877" s="5" t="s">
        <v>3646</v>
      </c>
      <c r="C877" s="5" t="s">
        <v>3646</v>
      </c>
      <c r="D877" s="5" t="s">
        <v>83</v>
      </c>
      <c r="E877" s="5" t="s">
        <v>41</v>
      </c>
      <c r="F877" s="5" t="s">
        <v>85</v>
      </c>
      <c r="G877" s="14" t="str">
        <f t="array" ref="G877">IF(B877="", "",
  LET(_xlpm.spell, IFERROR(IF(F877="", "", INDEX(_xlws.FILTER(Hairstyles!$F:$F, ISNUMBER(SEARCH(F877, Hairstyles!$B:$B))), 1)), "No Spell for Hairstyle"),
  _xlpm.vanillaPrefix, IF(LEFT(_xlpm.spell, 7)="Uvi_Wig", "", ";"),
  ";" &amp; IF(C877="", B877, C877) &amp; IF(M877="", "", " ("&amp;M877&amp;")") &amp; CHAR(10) &amp;
  _xlpm.vanillaPrefix &amp; "Keyword = Uvi_Wig_Distr_KYWD|" &amp; B877 &amp; CHAR(10) &amp;
  _xlpm.vanillaPrefix &amp; "Spell = " &amp; _xlpm.spell &amp; "|" &amp; B877
  )
)</f>
        <v>;Jonna
;Keyword = Uvi_Wig_Distr_KYWD|Jonna
;Spell = No Spell for Hairstyle|Jonna</v>
      </c>
    </row>
    <row r="878" ht="12.75" customHeight="1">
      <c r="A878" s="15" t="s">
        <v>3647</v>
      </c>
      <c r="B878" s="5" t="s">
        <v>3648</v>
      </c>
      <c r="C878" s="5" t="s">
        <v>3648</v>
      </c>
      <c r="D878" s="5" t="s">
        <v>38</v>
      </c>
      <c r="E878" s="5" t="s">
        <v>41</v>
      </c>
      <c r="F878" s="5" t="s">
        <v>270</v>
      </c>
      <c r="G878" s="14" t="str">
        <f t="array" ref="G878">IF(B878="", "",
  LET(_xlpm.spell, IFERROR(IF(F878="", "", INDEX(_xlws.FILTER(Hairstyles!$F:$F, ISNUMBER(SEARCH(F878, Hairstyles!$B:$B))), 1)), "No Spell for Hairstyle"),
  _xlpm.vanillaPrefix, IF(LEFT(_xlpm.spell, 7)="Uvi_Wig", "", ";"),
  ";" &amp; IF(C878="", B878, C878) &amp; IF(M878="", "", " ("&amp;M878&amp;")") &amp; CHAR(10) &amp;
  _xlpm.vanillaPrefix &amp; "Keyword = Uvi_Wig_Distr_KYWD|" &amp; B878 &amp; CHAR(10) &amp;
  _xlpm.vanillaPrefix &amp; "Spell = " &amp; _xlpm.spell &amp; "|" &amp; B878
  )
)</f>
        <v>;Jora
;Keyword = Uvi_Wig_Distr_KYWD|Jora
;Spell = No Spell for Hairstyle|Jora</v>
      </c>
    </row>
    <row r="879" ht="12.75" customHeight="1">
      <c r="A879" s="5" t="s">
        <v>3649</v>
      </c>
      <c r="B879" s="5" t="s">
        <v>3650</v>
      </c>
      <c r="C879" s="5" t="s">
        <v>3651</v>
      </c>
      <c r="D879" s="5" t="s">
        <v>38</v>
      </c>
      <c r="E879" s="5" t="s">
        <v>41</v>
      </c>
      <c r="F879" s="5" t="s">
        <v>1041</v>
      </c>
      <c r="G879" s="14" t="str">
        <f t="array" ref="G879">IF(B879="", "",
  LET(_xlpm.spell, IFERROR(IF(F879="", "", INDEX(_xlws.FILTER(Hairstyles!$F:$F, ISNUMBER(SEARCH(F879, Hairstyles!$B:$B))), 1)), "No Spell for Hairstyle"),
  _xlpm.vanillaPrefix, IF(LEFT(_xlpm.spell, 7)="Uvi_Wig", "", ";"),
  ";" &amp; IF(C879="", B879, C879) &amp; IF(M879="", "", " ("&amp;M879&amp;")") &amp; CHAR(10) &amp;
  _xlpm.vanillaPrefix &amp; "Keyword = Uvi_Wig_Distr_KYWD|" &amp; B879 &amp; CHAR(10) &amp;
  _xlpm.vanillaPrefix &amp; "Spell = " &amp; _xlpm.spell &amp; "|" &amp; B879
  )
)</f>
        <v>;Jordis the Sword-Maiden
;Keyword = Uvi_Wig_Distr_KYWD|HousecarlSolitude
;Spell = No Spell for Hairstyle|HousecarlSolitude</v>
      </c>
    </row>
    <row r="880" ht="12.75" customHeight="1">
      <c r="A880" s="5" t="s">
        <v>3652</v>
      </c>
      <c r="B880" s="5" t="s">
        <v>3653</v>
      </c>
      <c r="C880" s="5" t="s">
        <v>3653</v>
      </c>
      <c r="D880" s="5" t="s">
        <v>38</v>
      </c>
      <c r="E880" s="5" t="s">
        <v>233</v>
      </c>
      <c r="F880" s="5" t="s">
        <v>1709</v>
      </c>
      <c r="G880" s="14" t="str">
        <f t="array" ref="G880">IF(B880="", "",
  LET(_xlpm.spell, IFERROR(IF(F880="", "", INDEX(_xlws.FILTER(Hairstyles!$F:$F, ISNUMBER(SEARCH(F880, Hairstyles!$B:$B))), 1)), "No Spell for Hairstyle"),
  _xlpm.vanillaPrefix, IF(LEFT(_xlpm.spell, 7)="Uvi_Wig", "", ";"),
  ";" &amp; IF(C880="", B880, C880) &amp; IF(M880="", "", " ("&amp;M880&amp;")") &amp; CHAR(10) &amp;
  _xlpm.vanillaPrefix &amp; "Keyword = Uvi_Wig_Distr_KYWD|" &amp; B880 &amp; CHAR(10) &amp;
  _xlpm.vanillaPrefix &amp; "Spell = " &amp; _xlpm.spell &amp; "|" &amp; B880
  )
)</f>
        <v>;Jorgen
;Keyword = Uvi_Wig_Distr_KYWD|Jorgen
;Spell = No Spell for Hairstyle|Jorgen</v>
      </c>
    </row>
    <row r="881" ht="12.75" customHeight="1">
      <c r="A881" s="5" t="s">
        <v>3654</v>
      </c>
      <c r="B881" s="5" t="s">
        <v>3655</v>
      </c>
      <c r="C881" s="5" t="s">
        <v>3655</v>
      </c>
      <c r="D881" s="5" t="s">
        <v>74</v>
      </c>
      <c r="E881" s="5" t="s">
        <v>233</v>
      </c>
      <c r="F881" s="5" t="s">
        <v>76</v>
      </c>
      <c r="G881" s="14" t="str">
        <f t="array" ref="G881">IF(B881="", "",
  LET(_xlpm.spell, IFERROR(IF(F881="", "", INDEX(_xlws.FILTER(Hairstyles!$F:$F, ISNUMBER(SEARCH(F881, Hairstyles!$B:$B))), 1)), "No Spell for Hairstyle"),
  _xlpm.vanillaPrefix, IF(LEFT(_xlpm.spell, 7)="Uvi_Wig", "", ";"),
  ";" &amp; IF(C881="", B881, C881) &amp; IF(M881="", "", " ("&amp;M881&amp;")") &amp; CHAR(10) &amp;
  _xlpm.vanillaPrefix &amp; "Keyword = Uvi_Wig_Distr_KYWD|" &amp; B881 &amp; CHAR(10) &amp;
  _xlpm.vanillaPrefix &amp; "Spell = " &amp; _xlpm.spell &amp; "|" &amp; B881
  )
)</f>
        <v>;Joric
;Keyword = Uvi_Wig_Distr_KYWD|Joric
;Spell = No Spell for Hairstyle|Joric</v>
      </c>
    </row>
    <row r="882" ht="12.75" customHeight="1">
      <c r="A882" s="15" t="s">
        <v>3656</v>
      </c>
      <c r="B882" s="5" t="s">
        <v>3657</v>
      </c>
      <c r="C882" s="5" t="s">
        <v>3657</v>
      </c>
      <c r="D882" s="5" t="s">
        <v>38</v>
      </c>
      <c r="E882" s="5" t="s">
        <v>233</v>
      </c>
      <c r="F882" s="5" t="s">
        <v>1088</v>
      </c>
      <c r="G882" s="14" t="str">
        <f t="array" ref="G882">IF(B882="", "",
  LET(_xlpm.spell, IFERROR(IF(F882="", "", INDEX(_xlws.FILTER(Hairstyles!$F:$F, ISNUMBER(SEARCH(F882, Hairstyles!$B:$B))), 1)), "No Spell for Hairstyle"),
  _xlpm.vanillaPrefix, IF(LEFT(_xlpm.spell, 7)="Uvi_Wig", "", ";"),
  ";" &amp; IF(C882="", B882, C882) &amp; IF(M882="", "", " ("&amp;M882&amp;")") &amp; CHAR(10) &amp;
  _xlpm.vanillaPrefix &amp; "Keyword = Uvi_Wig_Distr_KYWD|" &amp; B882 &amp; CHAR(10) &amp;
  _xlpm.vanillaPrefix &amp; "Spell = " &amp; _xlpm.spell &amp; "|" &amp; B882
  )
)</f>
        <v>;Jorleif
;Keyword = Uvi_Wig_Distr_KYWD|Jorleif
;Spell = No Spell for Hairstyle|Jorleif</v>
      </c>
    </row>
    <row r="883" ht="12.75" customHeight="1">
      <c r="A883" s="5" t="s">
        <v>3658</v>
      </c>
      <c r="B883" s="5" t="s">
        <v>3659</v>
      </c>
      <c r="C883" s="5" t="s">
        <v>3659</v>
      </c>
      <c r="D883" s="5" t="s">
        <v>38</v>
      </c>
      <c r="E883" s="5" t="s">
        <v>233</v>
      </c>
      <c r="F883" s="5" t="s">
        <v>2030</v>
      </c>
      <c r="G883" s="14" t="str">
        <f t="array" ref="G883">IF(B883="", "",
  LET(_xlpm.spell, IFERROR(IF(F883="", "", INDEX(_xlws.FILTER(Hairstyles!$F:$F, ISNUMBER(SEARCH(F883, Hairstyles!$B:$B))), 1)), "No Spell for Hairstyle"),
  _xlpm.vanillaPrefix, IF(LEFT(_xlpm.spell, 7)="Uvi_Wig", "", ";"),
  ";" &amp; IF(C883="", B883, C883) &amp; IF(M883="", "", " ("&amp;M883&amp;")") &amp; CHAR(10) &amp;
  _xlpm.vanillaPrefix &amp; "Keyword = Uvi_Wig_Distr_KYWD|" &amp; B883 &amp; CHAR(10) &amp;
  _xlpm.vanillaPrefix &amp; "Spell = " &amp; _xlpm.spell &amp; "|" &amp; B883
  )
)</f>
        <v>;Jorn
;Keyword = Uvi_Wig_Distr_KYWD|Jorn
;Spell = No Spell for Hairstyle|Jorn</v>
      </c>
    </row>
    <row r="884" ht="12.75" customHeight="1">
      <c r="A884" s="5" t="s">
        <v>3660</v>
      </c>
      <c r="B884" s="5" t="s">
        <v>3661</v>
      </c>
      <c r="C884" s="5" t="s">
        <v>3662</v>
      </c>
      <c r="D884" s="5" t="s">
        <v>51</v>
      </c>
      <c r="E884" s="5" t="s">
        <v>233</v>
      </c>
      <c r="F884" s="4" t="s">
        <v>1741</v>
      </c>
      <c r="G884" s="14" t="str">
        <f t="array" ref="G884">IF(B884="", "",
  LET(_xlpm.spell, IFERROR(IF(F884="", "", INDEX(_xlws.FILTER(Hairstyles!$F:$F, ISNUMBER(SEARCH(F884, Hairstyles!$B:$B))), 1)), "No Spell for Hairstyle"),
  _xlpm.vanillaPrefix, IF(LEFT(_xlpm.spell, 7)="Uvi_Wig", "", ";"),
  ";" &amp; IF(C884="", B884, C884) &amp; IF(M884="", "", " ("&amp;M884&amp;")") &amp; CHAR(10) &amp;
  _xlpm.vanillaPrefix &amp; "Keyword = Uvi_Wig_Distr_KYWD|" &amp; B884 &amp; CHAR(10) &amp;
  _xlpm.vanillaPrefix &amp; "Spell = " &amp; _xlpm.spell &amp; "|" &amp; B884
  )
)</f>
        <v>;Jouane Manette
;Keyword = Uvi_Wig_Distr_KYWD|JouaneManette
;Spell = No Spell for Hairstyle|JouaneManette</v>
      </c>
    </row>
    <row r="885" ht="12.75" customHeight="1">
      <c r="A885" s="5" t="s">
        <v>3663</v>
      </c>
      <c r="B885" s="5" t="s">
        <v>3664</v>
      </c>
      <c r="C885" s="5" t="s">
        <v>3665</v>
      </c>
      <c r="D885" s="5" t="s">
        <v>16</v>
      </c>
      <c r="E885" s="5" t="s">
        <v>41</v>
      </c>
      <c r="F885" s="5" t="s">
        <v>1063</v>
      </c>
      <c r="G885" s="14" t="str">
        <f t="array" ref="G885">IF(B885="", "",
  LET(_xlpm.spell, IFERROR(IF(F885="", "", INDEX(_xlws.FILTER(Hairstyles!$F:$F, ISNUMBER(SEARCH(F885, Hairstyles!$B:$B))), 1)), "No Spell for Hairstyle"),
  _xlpm.vanillaPrefix, IF(LEFT(_xlpm.spell, 7)="Uvi_Wig", "", ";"),
  ";" &amp; IF(C885="", B885, C885) &amp; IF(M885="", "", " ("&amp;M885&amp;")") &amp; CHAR(10) &amp;
  _xlpm.vanillaPrefix &amp; "Keyword = Uvi_Wig_Distr_KYWD|" &amp; B885 &amp; CHAR(10) &amp;
  _xlpm.vanillaPrefix &amp; "Spell = " &amp; _xlpm.spell &amp; "|" &amp; B885
  )
)</f>
        <v>;Julienne Lylvieve
;Keyword = Uvi_Wig_Distr_KYWD|JulienneLylvieve
;Spell = No Spell for Hairstyle|JulienneLylvieve</v>
      </c>
    </row>
    <row r="886" ht="12.75" customHeight="1">
      <c r="A886" s="5" t="s">
        <v>3666</v>
      </c>
      <c r="B886" s="5" t="s">
        <v>3667</v>
      </c>
      <c r="C886" s="5" t="s">
        <v>3668</v>
      </c>
      <c r="D886" s="5" t="s">
        <v>38</v>
      </c>
      <c r="E886" s="5" t="s">
        <v>233</v>
      </c>
      <c r="F886" s="5" t="s">
        <v>695</v>
      </c>
      <c r="G886" s="14" t="str">
        <f t="array" ref="G886">IF(B886="", "",
  LET(_xlpm.spell, IFERROR(IF(F886="", "", INDEX(_xlws.FILTER(Hairstyles!$F:$F, ISNUMBER(SEARCH(F886, Hairstyles!$B:$B))), 1)), "No Spell for Hairstyle"),
  _xlpm.vanillaPrefix, IF(LEFT(_xlpm.spell, 7)="Uvi_Wig", "", ";"),
  ";" &amp; IF(C886="", B886, C886) &amp; IF(M886="", "", " ("&amp;M886&amp;")") &amp; CHAR(10) &amp;
  _xlpm.vanillaPrefix &amp; "Keyword = Uvi_Wig_Distr_KYWD|" &amp; B886 &amp; CHAR(10) &amp;
  _xlpm.vanillaPrefix &amp; "Spell = " &amp; _xlpm.spell &amp; "|" &amp; B886
  )
)</f>
        <v>;Jurgen Windcaller
;Keyword = Uvi_Wig_Distr_KYWD|MQ305JurgenWindcaller
;Spell = No Spell for Hairstyle|MQ305JurgenWindcaller</v>
      </c>
    </row>
    <row r="887" ht="12.75" customHeight="1">
      <c r="A887" s="15" t="s">
        <v>3669</v>
      </c>
      <c r="B887" s="5" t="s">
        <v>3670</v>
      </c>
      <c r="C887" s="5" t="s">
        <v>3671</v>
      </c>
      <c r="D887" s="5" t="s">
        <v>38</v>
      </c>
      <c r="E887" s="5" t="s">
        <v>233</v>
      </c>
      <c r="F887" s="5" t="s">
        <v>346</v>
      </c>
      <c r="G887" s="14" t="str">
        <f t="array" ref="G887">IF(B887="", "",
  LET(_xlpm.spell, IFERROR(IF(F887="", "", INDEX(_xlws.FILTER(Hairstyles!$F:$F, ISNUMBER(SEARCH(F887, Hairstyles!$B:$B))), 1)), "No Spell for Hairstyle"),
  _xlpm.vanillaPrefix, IF(LEFT(_xlpm.spell, 7)="Uvi_Wig", "", ";"),
  ";" &amp; IF(C887="", B887, C887) &amp; IF(M887="", "", " ("&amp;M887&amp;")") &amp; CHAR(10) &amp;
  _xlpm.vanillaPrefix &amp; "Keyword = Uvi_Wig_Distr_KYWD|" &amp; B887 &amp; CHAR(10) &amp;
  _xlpm.vanillaPrefix &amp; "Spell = " &amp; _xlpm.spell &amp; "|" &amp; B887
  )
)</f>
        <v>;Kai Wet-Pommel
;Keyword = Uvi_Wig_Distr_KYWD|CWFieldCOSonsWinterhold
;Spell = No Spell for Hairstyle|CWFieldCOSonsWinterhold</v>
      </c>
    </row>
    <row r="888" ht="12.75" customHeight="1">
      <c r="A888" s="15" t="s">
        <v>3672</v>
      </c>
      <c r="B888" s="5" t="s">
        <v>3673</v>
      </c>
      <c r="C888" s="5" t="s">
        <v>3674</v>
      </c>
      <c r="D888" s="5" t="s">
        <v>16</v>
      </c>
      <c r="E888" s="5" t="s">
        <v>41</v>
      </c>
      <c r="F888" s="5" t="s">
        <v>1759</v>
      </c>
      <c r="G888" s="14" t="str">
        <f t="array" ref="G888">IF(B888="", "",
  LET(_xlpm.spell, IFERROR(IF(F888="", "", INDEX(_xlws.FILTER(Hairstyles!$F:$F, ISNUMBER(SEARCH(F888, Hairstyles!$B:$B))), 1)), "No Spell for Hairstyle"),
  _xlpm.vanillaPrefix, IF(LEFT(_xlpm.spell, 7)="Uvi_Wig", "", ";"),
  ";" &amp; IF(C888="", B888, C888) &amp; IF(M888="", "", " ("&amp;M888&amp;")") &amp; CHAR(10) &amp;
  _xlpm.vanillaPrefix &amp; "Keyword = Uvi_Wig_Distr_KYWD|" &amp; B888 &amp; CHAR(10) &amp;
  _xlpm.vanillaPrefix &amp; "Spell = " &amp; _xlpm.spell &amp; "|" &amp; B888
  )
)</f>
        <v>;Kaie
;Keyword = Uvi_Wig_Distr_KYWD|MS02Kaie
;Spell = No Spell for Hairstyle|MS02Kaie</v>
      </c>
    </row>
    <row r="889" ht="12.75" customHeight="1">
      <c r="A889" s="5" t="s">
        <v>3675</v>
      </c>
      <c r="B889" s="5" t="s">
        <v>3676</v>
      </c>
      <c r="C889" s="5" t="s">
        <v>3677</v>
      </c>
      <c r="D889" s="5" t="s">
        <v>38</v>
      </c>
      <c r="E889" s="5" t="s">
        <v>41</v>
      </c>
      <c r="F889" s="5" t="s">
        <v>22</v>
      </c>
      <c r="G889" s="14" t="str">
        <f t="array" ref="G889">IF(B889="", "",
  LET(_xlpm.spell, IFERROR(IF(F889="", "", INDEX(_xlws.FILTER(Hairstyles!$F:$F, ISNUMBER(SEARCH(F889, Hairstyles!$B:$B))), 1)), "No Spell for Hairstyle"),
  _xlpm.vanillaPrefix, IF(LEFT(_xlpm.spell, 7)="Uvi_Wig", "", ";"),
  ";" &amp; IF(C889="", B889, C889) &amp; IF(M889="", "", " ("&amp;M889&amp;")") &amp; CHAR(10) &amp;
  _xlpm.vanillaPrefix &amp; "Keyword = Uvi_Wig_Distr_KYWD|" &amp; B889 &amp; CHAR(10) &amp;
  _xlpm.vanillaPrefix &amp; "Spell = " &amp; _xlpm.spell &amp; "|" &amp; B889
  )
)</f>
        <v>;Karita
;Keyword = Uvi_Wig_Distr_KYWD|HHPilgrim02
;Spell = No Spell for Hairstyle|HHPilgrim02</v>
      </c>
    </row>
    <row r="890" ht="12.75" customHeight="1">
      <c r="A890" s="5" t="s">
        <v>3678</v>
      </c>
      <c r="B890" s="5" t="s">
        <v>3677</v>
      </c>
      <c r="C890" s="5" t="s">
        <v>3677</v>
      </c>
      <c r="D890" s="5" t="s">
        <v>38</v>
      </c>
      <c r="E890" s="5" t="s">
        <v>41</v>
      </c>
      <c r="F890" s="5" t="s">
        <v>905</v>
      </c>
      <c r="G890" s="14" t="str">
        <f t="array" ref="G890">IF(B890="", "",
  LET(_xlpm.spell, IFERROR(IF(F890="", "", INDEX(_xlws.FILTER(Hairstyles!$F:$F, ISNUMBER(SEARCH(F890, Hairstyles!$B:$B))), 1)), "No Spell for Hairstyle"),
  _xlpm.vanillaPrefix, IF(LEFT(_xlpm.spell, 7)="Uvi_Wig", "", ";"),
  ";" &amp; IF(C890="", B890, C890) &amp; IF(M890="", "", " ("&amp;M890&amp;")") &amp; CHAR(10) &amp;
  _xlpm.vanillaPrefix &amp; "Keyword = Uvi_Wig_Distr_KYWD|" &amp; B890 &amp; CHAR(10) &amp;
  _xlpm.vanillaPrefix &amp; "Spell = " &amp; _xlpm.spell &amp; "|" &amp; B890
  )
)</f>
        <v>;Karita
;Keyword = Uvi_Wig_Distr_KYWD|Karita
;Spell = No Spell for Hairstyle|Karita</v>
      </c>
    </row>
    <row r="891" ht="12.75" customHeight="1">
      <c r="A891" s="15" t="s">
        <v>3679</v>
      </c>
      <c r="B891" s="5" t="s">
        <v>3680</v>
      </c>
      <c r="C891" s="5" t="s">
        <v>3680</v>
      </c>
      <c r="D891" s="5" t="s">
        <v>38</v>
      </c>
      <c r="E891" s="5" t="s">
        <v>233</v>
      </c>
      <c r="F891" s="5" t="s">
        <v>1709</v>
      </c>
      <c r="G891" s="14" t="str">
        <f t="array" ref="G891">IF(B891="", "",
  LET(_xlpm.spell, IFERROR(IF(F891="", "", INDEX(_xlws.FILTER(Hairstyles!$F:$F, ISNUMBER(SEARCH(F891, Hairstyles!$B:$B))), 1)), "No Spell for Hairstyle"),
  _xlpm.vanillaPrefix, IF(LEFT(_xlpm.spell, 7)="Uvi_Wig", "", ";"),
  ";" &amp; IF(C891="", B891, C891) &amp; IF(M891="", "", " ("&amp;M891&amp;")") &amp; CHAR(10) &amp;
  _xlpm.vanillaPrefix &amp; "Keyword = Uvi_Wig_Distr_KYWD|" &amp; B891 &amp; CHAR(10) &amp;
  _xlpm.vanillaPrefix &amp; "Spell = " &amp; _xlpm.spell &amp; "|" &amp; B891
  )
)</f>
        <v>;Karl
;Keyword = Uvi_Wig_Distr_KYWD|Karl
;Spell = No Spell for Hairstyle|Karl</v>
      </c>
    </row>
    <row r="892" ht="12.75" customHeight="1">
      <c r="A892" s="5" t="s">
        <v>3681</v>
      </c>
      <c r="B892" s="5" t="s">
        <v>3682</v>
      </c>
      <c r="C892" s="5" t="s">
        <v>3682</v>
      </c>
      <c r="D892" s="5" t="s">
        <v>45</v>
      </c>
      <c r="E892" s="5" t="s">
        <v>41</v>
      </c>
      <c r="F892" s="5" t="s">
        <v>2096</v>
      </c>
      <c r="G892" s="14" t="str">
        <f t="array" ref="G892">IF(B892="", "",
  LET(_xlpm.spell, IFERROR(IF(F892="", "", INDEX(_xlws.FILTER(Hairstyles!$F:$F, ISNUMBER(SEARCH(F892, Hairstyles!$B:$B))), 1)), "No Spell for Hairstyle"),
  _xlpm.vanillaPrefix, IF(LEFT(_xlpm.spell, 7)="Uvi_Wig", "", ";"),
  ";" &amp; IF(C892="", B892, C892) &amp; IF(M892="", "", " ("&amp;M892&amp;")") &amp; CHAR(10) &amp;
  _xlpm.vanillaPrefix &amp; "Keyword = Uvi_Wig_Distr_KYWD|" &amp; B892 &amp; CHAR(10) &amp;
  _xlpm.vanillaPrefix &amp; "Spell = " &amp; _xlpm.spell &amp; "|" &amp; B892
  )
)</f>
        <v>;Karliah
;Keyword = Uvi_Wig_Distr_KYWD|Karliah
;Spell = No Spell for Hairstyle|Karliah</v>
      </c>
    </row>
    <row r="893" ht="12.75" customHeight="1">
      <c r="A893" s="15" t="s">
        <v>3683</v>
      </c>
      <c r="B893" s="5" t="s">
        <v>3684</v>
      </c>
      <c r="C893" s="5" t="s">
        <v>3684</v>
      </c>
      <c r="D893" s="5" t="s">
        <v>38</v>
      </c>
      <c r="E893" s="5" t="s">
        <v>41</v>
      </c>
      <c r="F893" s="5" t="s">
        <v>371</v>
      </c>
      <c r="G893" s="14" t="str">
        <f t="array" ref="G893">IF(B893="", "",
  LET(_xlpm.spell, IFERROR(IF(F893="", "", INDEX(_xlws.FILTER(Hairstyles!$F:$F, ISNUMBER(SEARCH(F893, Hairstyles!$B:$B))), 1)), "No Spell for Hairstyle"),
  _xlpm.vanillaPrefix, IF(LEFT(_xlpm.spell, 7)="Uvi_Wig", "", ";"),
  ";" &amp; IF(C893="", B893, C893) &amp; IF(M893="", "", " ("&amp;M893&amp;")") &amp; CHAR(10) &amp;
  _xlpm.vanillaPrefix &amp; "Keyword = Uvi_Wig_Distr_KYWD|" &amp; B893 &amp; CHAR(10) &amp;
  _xlpm.vanillaPrefix &amp; "Spell = " &amp; _xlpm.spell &amp; "|" &amp; B893
  )
)</f>
        <v>;Katla
;Keyword = Uvi_Wig_Distr_KYWD|Katla
;Spell = No Spell for Hairstyle|Katla</v>
      </c>
    </row>
    <row r="894" ht="12.75" customHeight="1">
      <c r="A894" s="5" t="s">
        <v>3685</v>
      </c>
      <c r="B894" s="5" t="s">
        <v>3686</v>
      </c>
      <c r="C894" s="5" t="s">
        <v>3687</v>
      </c>
      <c r="D894" s="5" t="s">
        <v>38</v>
      </c>
      <c r="E894" s="5" t="s">
        <v>41</v>
      </c>
      <c r="F894" s="5" t="s">
        <v>1041</v>
      </c>
      <c r="G894" s="14" t="str">
        <f t="array" ref="G894">IF(B894="", "",
  LET(_xlpm.spell, IFERROR(IF(F894="", "", INDEX(_xlws.FILTER(Hairstyles!$F:$F, ISNUMBER(SEARCH(F894, Hairstyles!$B:$B))), 1)), "No Spell for Hairstyle"),
  _xlpm.vanillaPrefix, IF(LEFT(_xlpm.spell, 7)="Uvi_Wig", "", ";"),
  ";" &amp; IF(C894="", B894, C894) &amp; IF(M894="", "", " ("&amp;M894&amp;")") &amp; CHAR(10) &amp;
  _xlpm.vanillaPrefix &amp; "Keyword = Uvi_Wig_Distr_KYWD|" &amp; B894 &amp; CHAR(10) &amp;
  _xlpm.vanillaPrefix &amp; "Spell = " &amp; _xlpm.spell &amp; "|" &amp; B894
  )
)</f>
        <v>;Katria
;Keyword = Uvi_Wig_Distr_KYWD|DLC1LD_Katria
;Spell = No Spell for Hairstyle|DLC1LD_Katria</v>
      </c>
    </row>
    <row r="895" ht="12.75" customHeight="1">
      <c r="A895" s="5" t="s">
        <v>3688</v>
      </c>
      <c r="B895" s="5" t="s">
        <v>3689</v>
      </c>
      <c r="C895" s="5" t="s">
        <v>3687</v>
      </c>
      <c r="D895" s="5" t="s">
        <v>38</v>
      </c>
      <c r="E895" s="5" t="s">
        <v>41</v>
      </c>
      <c r="F895" s="5" t="s">
        <v>1041</v>
      </c>
      <c r="G895" s="14" t="str">
        <f t="array" ref="G895">IF(B895="", "",
  LET(_xlpm.spell, IFERROR(IF(F895="", "", INDEX(_xlws.FILTER(Hairstyles!$F:$F, ISNUMBER(SEARCH(F895, Hairstyles!$B:$B))), 1)), "No Spell for Hairstyle"),
  _xlpm.vanillaPrefix, IF(LEFT(_xlpm.spell, 7)="Uvi_Wig", "", ";"),
  ";" &amp; IF(C895="", B895, C895) &amp; IF(M895="", "", " ("&amp;M895&amp;")") &amp; CHAR(10) &amp;
  _xlpm.vanillaPrefix &amp; "Keyword = Uvi_Wig_Distr_KYWD|" &amp; B895 &amp; CHAR(10) &amp;
  _xlpm.vanillaPrefix &amp; "Spell = " &amp; _xlpm.spell &amp; "|" &amp; B895
  )
)</f>
        <v>;Katria
;Keyword = Uvi_Wig_Distr_KYWD|DLC1LD_KatriaCorpse
;Spell = No Spell for Hairstyle|DLC1LD_KatriaCorpse</v>
      </c>
    </row>
    <row r="896" ht="12.75" customHeight="1">
      <c r="A896" s="15" t="s">
        <v>3690</v>
      </c>
      <c r="B896" s="5" t="s">
        <v>3691</v>
      </c>
      <c r="C896" s="5" t="s">
        <v>3691</v>
      </c>
      <c r="D896" s="5" t="s">
        <v>86</v>
      </c>
      <c r="E896" s="5" t="s">
        <v>233</v>
      </c>
      <c r="F896" s="5" t="s">
        <v>27</v>
      </c>
      <c r="G896" s="14" t="str">
        <f t="array" ref="G896">IF(B896="", "",
  LET(_xlpm.spell, IFERROR(IF(F896="", "", INDEX(_xlws.FILTER(Hairstyles!$F:$F, ISNUMBER(SEARCH(F896, Hairstyles!$B:$B))), 1)), "No Spell for Hairstyle"),
  _xlpm.vanillaPrefix, IF(LEFT(_xlpm.spell, 7)="Uvi_Wig", "", ";"),
  ";" &amp; IF(C896="", B896, C896) &amp; IF(M896="", "", " ("&amp;M896&amp;")") &amp; CHAR(10) &amp;
  _xlpm.vanillaPrefix &amp; "Keyword = Uvi_Wig_Distr_KYWD|" &amp; B896 &amp; CHAR(10) &amp;
  _xlpm.vanillaPrefix &amp; "Spell = " &amp; _xlpm.spell &amp; "|" &amp; B896
  )
)</f>
        <v>;Kayd
;Keyword = Uvi_Wig_Distr_KYWD|Kayd
;Spell = No Spell for Hairstyle|Kayd</v>
      </c>
    </row>
    <row r="897" ht="12.75" customHeight="1">
      <c r="A897" s="5" t="s">
        <v>3692</v>
      </c>
      <c r="B897" s="5" t="s">
        <v>3693</v>
      </c>
      <c r="C897" s="5" t="s">
        <v>3694</v>
      </c>
      <c r="D897" s="5" t="s">
        <v>16</v>
      </c>
      <c r="E897" s="5" t="s">
        <v>41</v>
      </c>
      <c r="F897" s="5" t="s">
        <v>44</v>
      </c>
      <c r="G897" s="14" t="str">
        <f t="array" ref="G897">IF(B897="", "",
  LET(_xlpm.spell, IFERROR(IF(F897="", "", INDEX(_xlws.FILTER(Hairstyles!$F:$F, ISNUMBER(SEARCH(F897, Hairstyles!$B:$B))), 1)), "No Spell for Hairstyle"),
  _xlpm.vanillaPrefix, IF(LEFT(_xlpm.spell, 7)="Uvi_Wig", "", ";"),
  ";" &amp; IF(C897="", B897, C897) &amp; IF(M897="", "", " ("&amp;M897&amp;")") &amp; CHAR(10) &amp;
  _xlpm.vanillaPrefix &amp; "Keyword = Uvi_Wig_Distr_KYWD|" &amp; B897 &amp; CHAR(10) &amp;
  _xlpm.vanillaPrefix &amp; "Spell = " &amp; _xlpm.spell &amp; "|" &amp; B897
  )
)</f>
        <v>;Keeper Carcette
;Keyword = Uvi_Wig_Distr_KYWD|VigilantCarcette
;Spell = No Spell for Hairstyle|VigilantCarcette</v>
      </c>
    </row>
    <row r="898" ht="12.75" customHeight="1">
      <c r="A898" s="15" t="s">
        <v>3695</v>
      </c>
      <c r="B898" s="5" t="s">
        <v>3696</v>
      </c>
      <c r="C898" s="5" t="s">
        <v>3696</v>
      </c>
      <c r="D898" s="5" t="s">
        <v>10</v>
      </c>
      <c r="E898" s="5" t="s">
        <v>41</v>
      </c>
      <c r="F898" s="5" t="s">
        <v>158</v>
      </c>
      <c r="G898" s="14" t="str">
        <f t="array" ref="G898">IF(B898="", "",
  LET(_xlpm.spell, IFERROR(IF(F898="", "", INDEX(_xlws.FILTER(Hairstyles!$F:$F, ISNUMBER(SEARCH(F898, Hairstyles!$B:$B))), 1)), "No Spell for Hairstyle"),
  _xlpm.vanillaPrefix, IF(LEFT(_xlpm.spell, 7)="Uvi_Wig", "", ";"),
  ";" &amp; IF(C898="", B898, C898) &amp; IF(M898="", "", " ("&amp;M898&amp;")") &amp; CHAR(10) &amp;
  _xlpm.vanillaPrefix &amp; "Keyword = Uvi_Wig_Distr_KYWD|" &amp; B898 &amp; CHAR(10) &amp;
  _xlpm.vanillaPrefix &amp; "Spell = " &amp; _xlpm.spell &amp; "|" &amp; B898
  )
)</f>
        <v>;Keerava
;Keyword = Uvi_Wig_Distr_KYWD|Keerava
;Spell = No Spell for Hairstyle|Keerava</v>
      </c>
    </row>
    <row r="899" ht="12.75" customHeight="1">
      <c r="A899" s="15" t="s">
        <v>3697</v>
      </c>
      <c r="B899" s="5" t="s">
        <v>3698</v>
      </c>
      <c r="C899" s="5" t="s">
        <v>3699</v>
      </c>
      <c r="D899" s="5" t="s">
        <v>83</v>
      </c>
      <c r="E899" s="5" t="s">
        <v>233</v>
      </c>
      <c r="F899" s="5" t="s">
        <v>3700</v>
      </c>
      <c r="G899" s="14" t="str">
        <f t="array" ref="G899">IF(B899="", "",
  LET(_xlpm.spell, IFERROR(IF(F899="", "", INDEX(_xlws.FILTER(Hairstyles!$F:$F, ISNUMBER(SEARCH(F899, Hairstyles!$B:$B))), 1)), "No Spell for Hairstyle"),
  _xlpm.vanillaPrefix, IF(LEFT(_xlpm.spell, 7)="Uvi_Wig", "", ";"),
  ";" &amp; IF(C899="", B899, C899) &amp; IF(M899="", "", " ("&amp;M899&amp;")") &amp; CHAR(10) &amp;
  _xlpm.vanillaPrefix &amp; "Keyword = Uvi_Wig_Distr_KYWD|" &amp; B899 &amp; CHAR(10) &amp;
  _xlpm.vanillaPrefix &amp; "Spell = " &amp; _xlpm.spell &amp; "|" &amp; B899
  )
)</f>
        <v>;Kematu
;Keyword = Uvi_Wig_Distr_KYWD|MS08Kematu
;Spell = No Spell for Hairstyle|MS08Kematu</v>
      </c>
    </row>
    <row r="900" ht="12.75" customHeight="1">
      <c r="A900" s="5" t="s">
        <v>3701</v>
      </c>
      <c r="B900" s="5" t="s">
        <v>3702</v>
      </c>
      <c r="C900" s="5" t="s">
        <v>3702</v>
      </c>
      <c r="D900" s="5" t="s">
        <v>83</v>
      </c>
      <c r="E900" s="5" t="s">
        <v>41</v>
      </c>
      <c r="F900" s="5" t="s">
        <v>85</v>
      </c>
      <c r="G900" s="14" t="str">
        <f t="array" ref="G900">IF(B900="", "",
  LET(_xlpm.spell, IFERROR(IF(F900="", "", INDEX(_xlws.FILTER(Hairstyles!$F:$F, ISNUMBER(SEARCH(F900, Hairstyles!$B:$B))), 1)), "No Spell for Hairstyle"),
  _xlpm.vanillaPrefix, IF(LEFT(_xlpm.spell, 7)="Uvi_Wig", "", ";"),
  ";" &amp; IF(C900="", B900, C900) &amp; IF(M900="", "", " ("&amp;M900&amp;")") &amp; CHAR(10) &amp;
  _xlpm.vanillaPrefix &amp; "Keyword = Uvi_Wig_Distr_KYWD|" &amp; B900 &amp; CHAR(10) &amp;
  _xlpm.vanillaPrefix &amp; "Spell = " &amp; _xlpm.spell &amp; "|" &amp; B900
  )
)</f>
        <v>;Kerah
;Keyword = Uvi_Wig_Distr_KYWD|Kerah
;Spell = No Spell for Hairstyle|Kerah</v>
      </c>
    </row>
    <row r="901" ht="12.75" customHeight="1">
      <c r="A901" s="15" t="s">
        <v>3703</v>
      </c>
      <c r="B901" s="5" t="s">
        <v>3704</v>
      </c>
      <c r="C901" s="5" t="s">
        <v>3705</v>
      </c>
      <c r="D901" s="5" t="s">
        <v>65</v>
      </c>
      <c r="E901" s="5" t="s">
        <v>233</v>
      </c>
      <c r="F901" s="5" t="s">
        <v>324</v>
      </c>
      <c r="G901" s="14" t="str">
        <f t="array" ref="G901">IF(B901="", "",
  LET(_xlpm.spell, IFERROR(IF(F901="", "", INDEX(_xlws.FILTER(Hairstyles!$F:$F, ISNUMBER(SEARCH(F901, Hairstyles!$B:$B))), 1)), "No Spell for Hairstyle"),
  _xlpm.vanillaPrefix, IF(LEFT(_xlpm.spell, 7)="Uvi_Wig", "", ";"),
  ";" &amp; IF(C901="", B901, C901) &amp; IF(M901="", "", " ("&amp;M901&amp;")") &amp; CHAR(10) &amp;
  _xlpm.vanillaPrefix &amp; "Keyword = Uvi_Wig_Distr_KYWD|" &amp; B901 &amp; CHAR(10) &amp;
  _xlpm.vanillaPrefix &amp; "Spell = " &amp; _xlpm.spell &amp; "|" &amp; B901
  )
)</f>
        <v>;Kesh the Clean
;Keyword = Uvi_Wig_Distr_KYWD|DA13PeryiteMonk
;Spell = No Spell for Hairstyle|DA13PeryiteMonk</v>
      </c>
    </row>
    <row r="902" ht="12.75" customHeight="1">
      <c r="A902" s="5" t="s">
        <v>3706</v>
      </c>
      <c r="B902" s="5" t="s">
        <v>3707</v>
      </c>
      <c r="C902" s="5" t="s">
        <v>65</v>
      </c>
      <c r="D902" s="5" t="s">
        <v>65</v>
      </c>
      <c r="E902" s="5" t="s">
        <v>41</v>
      </c>
      <c r="F902" s="4" t="s">
        <v>1741</v>
      </c>
      <c r="G902" s="14" t="str">
        <f t="array" ref="G902">IF(B902="", "",
  LET(_xlpm.spell, IFERROR(IF(F902="", "", INDEX(_xlws.FILTER(Hairstyles!$F:$F, ISNUMBER(SEARCH(F902, Hairstyles!$B:$B))), 1)), "No Spell for Hairstyle"),
  _xlpm.vanillaPrefix, IF(LEFT(_xlpm.spell, 7)="Uvi_Wig", "", ";"),
  ";" &amp; IF(C902="", B902, C902) &amp; IF(M902="", "", " ("&amp;M902&amp;")") &amp; CHAR(10) &amp;
  _xlpm.vanillaPrefix &amp; "Keyword = Uvi_Wig_Distr_KYWD|" &amp; B902 &amp; CHAR(10) &amp;
  _xlpm.vanillaPrefix &amp; "Spell = " &amp; _xlpm.spell &amp; "|" &amp; B902
  )
)</f>
        <v>;Khajiit
;Keyword = Uvi_Wig_Distr_KYWD|TreasCorpseCommonerKhajiitFemale
;Spell = No Spell for Hairstyle|TreasCorpseCommonerKhajiitFemale</v>
      </c>
    </row>
    <row r="903" ht="12.75" customHeight="1">
      <c r="A903" s="5" t="s">
        <v>3708</v>
      </c>
      <c r="B903" s="5" t="s">
        <v>3709</v>
      </c>
      <c r="C903" s="5" t="s">
        <v>65</v>
      </c>
      <c r="D903" s="5" t="s">
        <v>65</v>
      </c>
      <c r="E903" s="5" t="s">
        <v>233</v>
      </c>
      <c r="F903" s="4" t="s">
        <v>1741</v>
      </c>
      <c r="G903" s="14" t="str">
        <f t="array" ref="G903">IF(B903="", "",
  LET(_xlpm.spell, IFERROR(IF(F903="", "", INDEX(_xlws.FILTER(Hairstyles!$F:$F, ISNUMBER(SEARCH(F903, Hairstyles!$B:$B))), 1)), "No Spell for Hairstyle"),
  _xlpm.vanillaPrefix, IF(LEFT(_xlpm.spell, 7)="Uvi_Wig", "", ";"),
  ";" &amp; IF(C903="", B903, C903) &amp; IF(M903="", "", " ("&amp;M903&amp;")") &amp; CHAR(10) &amp;
  _xlpm.vanillaPrefix &amp; "Keyword = Uvi_Wig_Distr_KYWD|" &amp; B903 &amp; CHAR(10) &amp;
  _xlpm.vanillaPrefix &amp; "Spell = " &amp; _xlpm.spell &amp; "|" &amp; B903
  )
)</f>
        <v>;Khajiit
;Keyword = Uvi_Wig_Distr_KYWD|TreasCorpseCommonerKhajiitGuard
;Spell = No Spell for Hairstyle|TreasCorpseCommonerKhajiitGuard</v>
      </c>
    </row>
    <row r="904" ht="12.75" customHeight="1">
      <c r="A904" s="15" t="s">
        <v>3710</v>
      </c>
      <c r="B904" s="5" t="s">
        <v>3711</v>
      </c>
      <c r="C904" s="5" t="s">
        <v>65</v>
      </c>
      <c r="D904" s="5" t="s">
        <v>65</v>
      </c>
      <c r="E904" s="5" t="s">
        <v>233</v>
      </c>
      <c r="F904" s="4" t="s">
        <v>1741</v>
      </c>
      <c r="G904" s="14" t="str">
        <f t="array" ref="G904">IF(B904="", "",
  LET(_xlpm.spell, IFERROR(IF(F904="", "", INDEX(_xlws.FILTER(Hairstyles!$F:$F, ISNUMBER(SEARCH(F904, Hairstyles!$B:$B))), 1)), "No Spell for Hairstyle"),
  _xlpm.vanillaPrefix, IF(LEFT(_xlpm.spell, 7)="Uvi_Wig", "", ";"),
  ";" &amp; IF(C904="", B904, C904) &amp; IF(M904="", "", " ("&amp;M904&amp;")") &amp; CHAR(10) &amp;
  _xlpm.vanillaPrefix &amp; "Keyword = Uvi_Wig_Distr_KYWD|" &amp; B904 &amp; CHAR(10) &amp;
  _xlpm.vanillaPrefix &amp; "Spell = " &amp; _xlpm.spell &amp; "|" &amp; B904
  )
)</f>
        <v>;Khajiit
;Keyword = Uvi_Wig_Distr_KYWD|TreasCorpseCommonerKhajiitMale
;Spell = No Spell for Hairstyle|TreasCorpseCommonerKhajiitMale</v>
      </c>
    </row>
    <row r="905" ht="12.75" customHeight="1">
      <c r="A905" s="15" t="s">
        <v>3712</v>
      </c>
      <c r="B905" s="5" t="s">
        <v>3713</v>
      </c>
      <c r="C905" s="5" t="s">
        <v>65</v>
      </c>
      <c r="D905" s="5" t="s">
        <v>65</v>
      </c>
      <c r="E905" s="5" t="s">
        <v>233</v>
      </c>
      <c r="F905" s="5" t="s">
        <v>328</v>
      </c>
      <c r="G905" s="14" t="str">
        <f t="array" ref="G905">IF(B905="", "",
  LET(_xlpm.spell, IFERROR(IF(F905="", "", INDEX(_xlws.FILTER(Hairstyles!$F:$F, ISNUMBER(SEARCH(F905, Hairstyles!$B:$B))), 1)), "No Spell for Hairstyle"),
  _xlpm.vanillaPrefix, IF(LEFT(_xlpm.spell, 7)="Uvi_Wig", "", ";"),
  ";" &amp; IF(C905="", B905, C905) &amp; IF(M905="", "", " ("&amp;M905&amp;")") &amp; CHAR(10) &amp;
  _xlpm.vanillaPrefix &amp; "Keyword = Uvi_Wig_Distr_KYWD|" &amp; B905 &amp; CHAR(10) &amp;
  _xlpm.vanillaPrefix &amp; "Spell = " &amp; _xlpm.spell &amp; "|" &amp; B905
  )
)</f>
        <v>;Khajiit
;Keyword = Uvi_Wig_Distr_KYWD|WEAdventurerBattlemageKhajiitM
;Spell = No Spell for Hairstyle|WEAdventurerBattlemageKhajiitM</v>
      </c>
    </row>
    <row r="906" ht="12.75" customHeight="1">
      <c r="A906" s="15" t="s">
        <v>3714</v>
      </c>
      <c r="B906" s="5" t="s">
        <v>3715</v>
      </c>
      <c r="C906" s="5" t="s">
        <v>65</v>
      </c>
      <c r="D906" s="5" t="s">
        <v>65</v>
      </c>
      <c r="E906" s="5" t="s">
        <v>233</v>
      </c>
      <c r="F906" s="5" t="s">
        <v>3599</v>
      </c>
      <c r="G906" s="14" t="str">
        <f t="array" ref="G906">IF(B906="", "",
  LET(_xlpm.spell, IFERROR(IF(F906="", "", INDEX(_xlws.FILTER(Hairstyles!$F:$F, ISNUMBER(SEARCH(F906, Hairstyles!$B:$B))), 1)), "No Spell for Hairstyle"),
  _xlpm.vanillaPrefix, IF(LEFT(_xlpm.spell, 7)="Uvi_Wig", "", ";"),
  ";" &amp; IF(C906="", B906, C906) &amp; IF(M906="", "", " ("&amp;M906&amp;")") &amp; CHAR(10) &amp;
  _xlpm.vanillaPrefix &amp; "Keyword = Uvi_Wig_Distr_KYWD|" &amp; B906 &amp; CHAR(10) &amp;
  _xlpm.vanillaPrefix &amp; "Spell = " &amp; _xlpm.spell &amp; "|" &amp; B906
  )
)</f>
        <v>;Khajiit
;Keyword = Uvi_Wig_Distr_KYWD|WEAdventurerBerserkerKhajiitM
;Spell = No Spell for Hairstyle|WEAdventurerBerserkerKhajiitM</v>
      </c>
    </row>
    <row r="907" ht="12.75" customHeight="1">
      <c r="A907" s="5" t="s">
        <v>3716</v>
      </c>
      <c r="B907" s="5" t="s">
        <v>3717</v>
      </c>
      <c r="C907" s="5" t="s">
        <v>65</v>
      </c>
      <c r="D907" s="5" t="s">
        <v>65</v>
      </c>
      <c r="E907" s="5" t="s">
        <v>233</v>
      </c>
      <c r="F907" s="5" t="s">
        <v>324</v>
      </c>
      <c r="G907" s="14" t="str">
        <f t="array" ref="G907">IF(B907="", "",
  LET(_xlpm.spell, IFERROR(IF(F907="", "", INDEX(_xlws.FILTER(Hairstyles!$F:$F, ISNUMBER(SEARCH(F907, Hairstyles!$B:$B))), 1)), "No Spell for Hairstyle"),
  _xlpm.vanillaPrefix, IF(LEFT(_xlpm.spell, 7)="Uvi_Wig", "", ";"),
  ";" &amp; IF(C907="", B907, C907) &amp; IF(M907="", "", " ("&amp;M907&amp;")") &amp; CHAR(10) &amp;
  _xlpm.vanillaPrefix &amp; "Keyword = Uvi_Wig_Distr_KYWD|" &amp; B907 &amp; CHAR(10) &amp;
  _xlpm.vanillaPrefix &amp; "Spell = " &amp; _xlpm.spell &amp; "|" &amp; B907
  )
)</f>
        <v>;Khajiit
;Keyword = Uvi_Wig_Distr_KYWD|WEAdventurerBrawlerKhajiitM
;Spell = No Spell for Hairstyle|WEAdventurerBrawlerKhajiitM</v>
      </c>
    </row>
    <row r="908" ht="12.75" customHeight="1">
      <c r="A908" s="15" t="s">
        <v>3718</v>
      </c>
      <c r="B908" s="5" t="s">
        <v>3719</v>
      </c>
      <c r="C908" s="5" t="s">
        <v>65</v>
      </c>
      <c r="D908" s="5" t="s">
        <v>65</v>
      </c>
      <c r="E908" s="5" t="s">
        <v>233</v>
      </c>
      <c r="F908" s="5" t="s">
        <v>3720</v>
      </c>
      <c r="G908" s="14" t="str">
        <f t="array" ref="G908">IF(B908="", "",
  LET(_xlpm.spell, IFERROR(IF(F908="", "", INDEX(_xlws.FILTER(Hairstyles!$F:$F, ISNUMBER(SEARCH(F908, Hairstyles!$B:$B))), 1)), "No Spell for Hairstyle"),
  _xlpm.vanillaPrefix, IF(LEFT(_xlpm.spell, 7)="Uvi_Wig", "", ";"),
  ";" &amp; IF(C908="", B908, C908) &amp; IF(M908="", "", " ("&amp;M908&amp;")") &amp; CHAR(10) &amp;
  _xlpm.vanillaPrefix &amp; "Keyword = Uvi_Wig_Distr_KYWD|" &amp; B908 &amp; CHAR(10) &amp;
  _xlpm.vanillaPrefix &amp; "Spell = " &amp; _xlpm.spell &amp; "|" &amp; B908
  )
)</f>
        <v>;Khajiit
;Keyword = Uvi_Wig_Distr_KYWD|WEAdventurerWarriorDualKhajiitM
;Spell = No Spell for Hairstyle|WEAdventurerWarriorDualKhajiitM</v>
      </c>
    </row>
    <row r="909" ht="12.75" customHeight="1">
      <c r="A909" s="15" t="s">
        <v>3721</v>
      </c>
      <c r="B909" s="5" t="s">
        <v>3722</v>
      </c>
      <c r="C909" s="5" t="s">
        <v>3723</v>
      </c>
      <c r="D909" s="5" t="s">
        <v>80</v>
      </c>
      <c r="E909" s="5" t="s">
        <v>233</v>
      </c>
      <c r="F909" s="5" t="s">
        <v>458</v>
      </c>
      <c r="G909" s="14" t="str">
        <f t="array" ref="G909">IF(B909="", "",
  LET(_xlpm.spell, IFERROR(IF(F909="", "", INDEX(_xlws.FILTER(Hairstyles!$F:$F, ISNUMBER(SEARCH(F909, Hairstyles!$B:$B))), 1)), "No Spell for Hairstyle"),
  _xlpm.vanillaPrefix, IF(LEFT(_xlpm.spell, 7)="Uvi_Wig", "", ";"),
  ";" &amp; IF(C909="", B909, C909) &amp; IF(M909="", "", " ("&amp;M909&amp;")") &amp; CHAR(10) &amp;
  _xlpm.vanillaPrefix &amp; "Keyword = Uvi_Wig_Distr_KYWD|" &amp; B909 &amp; CHAR(10) &amp;
  _xlpm.vanillaPrefix &amp; "Spell = " &amp; _xlpm.spell &amp; "|" &amp; B909
  )
)</f>
        <v>;Kharag gro-Shurkul
;Keyword = Uvi_Wig_Distr_KYWD|KharagGroShurkul
;Spell = No Spell for Hairstyle|KharagGroShurkul</v>
      </c>
    </row>
    <row r="910" ht="12.75" customHeight="1">
      <c r="A910" s="5" t="s">
        <v>3724</v>
      </c>
      <c r="B910" s="5" t="s">
        <v>3725</v>
      </c>
      <c r="C910" s="5" t="s">
        <v>3725</v>
      </c>
      <c r="D910" s="5" t="s">
        <v>65</v>
      </c>
      <c r="E910" s="5" t="s">
        <v>233</v>
      </c>
      <c r="F910" s="5" t="s">
        <v>1365</v>
      </c>
      <c r="G910" s="14" t="str">
        <f t="array" ref="G910">IF(B910="", "",
  LET(_xlpm.spell, IFERROR(IF(F910="", "", INDEX(_xlws.FILTER(Hairstyles!$F:$F, ISNUMBER(SEARCH(F910, Hairstyles!$B:$B))), 1)), "No Spell for Hairstyle"),
  _xlpm.vanillaPrefix, IF(LEFT(_xlpm.spell, 7)="Uvi_Wig", "", ";"),
  ";" &amp; IF(C910="", B910, C910) &amp; IF(M910="", "", " ("&amp;M910&amp;")") &amp; CHAR(10) &amp;
  _xlpm.vanillaPrefix &amp; "Keyword = Uvi_Wig_Distr_KYWD|" &amp; B910 &amp; CHAR(10) &amp;
  _xlpm.vanillaPrefix &amp; "Spell = " &amp; _xlpm.spell &amp; "|" &amp; B910
  )
)</f>
        <v>;Kharjo
;Keyword = Uvi_Wig_Distr_KYWD|Kharjo
;Spell = No Spell for Hairstyle|Kharjo</v>
      </c>
    </row>
    <row r="911" ht="12.75" customHeight="1">
      <c r="A911" s="5" t="s">
        <v>3726</v>
      </c>
      <c r="B911" s="5" t="s">
        <v>3727</v>
      </c>
      <c r="C911" s="5" t="s">
        <v>3727</v>
      </c>
      <c r="D911" s="5" t="s">
        <v>65</v>
      </c>
      <c r="E911" s="5" t="s">
        <v>41</v>
      </c>
      <c r="F911" s="5" t="s">
        <v>331</v>
      </c>
      <c r="G911" s="14" t="str">
        <f t="array" ref="G911">IF(B911="", "",
  LET(_xlpm.spell, IFERROR(IF(F911="", "", INDEX(_xlws.FILTER(Hairstyles!$F:$F, ISNUMBER(SEARCH(F911, Hairstyles!$B:$B))), 1)), "No Spell for Hairstyle"),
  _xlpm.vanillaPrefix, IF(LEFT(_xlpm.spell, 7)="Uvi_Wig", "", ";"),
  ";" &amp; IF(C911="", B911, C911) &amp; IF(M911="", "", " ("&amp;M911&amp;")") &amp; CHAR(10) &amp;
  _xlpm.vanillaPrefix &amp; "Keyword = Uvi_Wig_Distr_KYWD|" &amp; B911 &amp; CHAR(10) &amp;
  _xlpm.vanillaPrefix &amp; "Spell = " &amp; _xlpm.spell &amp; "|" &amp; B911
  )
)</f>
        <v>;Khayla
;Keyword = Uvi_Wig_Distr_KYWD|Khayla
;Spell = No Spell for Hairstyle|Khayla</v>
      </c>
    </row>
    <row r="912" ht="12.75" customHeight="1">
      <c r="A912" s="5" t="s">
        <v>3728</v>
      </c>
      <c r="B912" s="5" t="s">
        <v>3729</v>
      </c>
      <c r="C912" s="5" t="s">
        <v>3730</v>
      </c>
      <c r="D912" s="5" t="s">
        <v>38</v>
      </c>
      <c r="E912" s="5" t="s">
        <v>233</v>
      </c>
      <c r="F912" s="5" t="s">
        <v>1709</v>
      </c>
      <c r="G912" s="14" t="str">
        <f t="array" ref="G912">IF(B912="", "",
  LET(_xlpm.spell, IFERROR(IF(F912="", "", INDEX(_xlws.FILTER(Hairstyles!$F:$F, ISNUMBER(SEARCH(F912, Hairstyles!$B:$B))), 1)), "No Spell for Hairstyle"),
  _xlpm.vanillaPrefix, IF(LEFT(_xlpm.spell, 7)="Uvi_Wig", "", ";"),
  ";" &amp; IF(C912="", B912, C912) &amp; IF(M912="", "", " ("&amp;M912&amp;")") &amp; CHAR(10) &amp;
  _xlpm.vanillaPrefix &amp; "Keyword = Uvi_Wig_Distr_KYWD|" &amp; B912 &amp; CHAR(10) &amp;
  _xlpm.vanillaPrefix &amp; "Spell = " &amp; _xlpm.spell &amp; "|" &amp; B912
  )
)</f>
        <v>;Kibell
;Keyword = Uvi_Wig_Distr_KYWD|CarriageDriverMarkarth
;Spell = No Spell for Hairstyle|CarriageDriverMarkarth</v>
      </c>
    </row>
    <row r="913" ht="12.75" customHeight="1">
      <c r="A913" s="15" t="s">
        <v>3731</v>
      </c>
      <c r="B913" s="5" t="s">
        <v>3732</v>
      </c>
      <c r="C913" s="5" t="s">
        <v>3732</v>
      </c>
      <c r="D913" s="5" t="s">
        <v>38</v>
      </c>
      <c r="E913" s="5" t="s">
        <v>233</v>
      </c>
      <c r="F913" s="5" t="s">
        <v>215</v>
      </c>
      <c r="G913" s="14" t="str">
        <f t="array" ref="G913">IF(B913="", "",
  LET(_xlpm.spell, IFERROR(IF(F913="", "", INDEX(_xlws.FILTER(Hairstyles!$F:$F, ISNUMBER(SEARCH(F913, Hairstyles!$B:$B))), 1)), "No Spell for Hairstyle"),
  _xlpm.vanillaPrefix, IF(LEFT(_xlpm.spell, 7)="Uvi_Wig", "", ";"),
  ";" &amp; IF(C913="", B913, C913) &amp; IF(M913="", "", " ("&amp;M913&amp;")") &amp; CHAR(10) &amp;
  _xlpm.vanillaPrefix &amp; "Keyword = Uvi_Wig_Distr_KYWD|" &amp; B913 &amp; CHAR(10) &amp;
  _xlpm.vanillaPrefix &amp; "Spell = " &amp; _xlpm.spell &amp; "|" &amp; B913
  )
)</f>
        <v>;Kjar
;Keyword = Uvi_Wig_Distr_KYWD|Kjar
;Spell = No Spell for Hairstyle|Kjar</v>
      </c>
    </row>
    <row r="914" ht="12.75" customHeight="1">
      <c r="A914" s="15" t="s">
        <v>3733</v>
      </c>
      <c r="B914" s="5" t="s">
        <v>3734</v>
      </c>
      <c r="C914" s="5" t="s">
        <v>3734</v>
      </c>
      <c r="D914" s="5" t="s">
        <v>38</v>
      </c>
      <c r="E914" s="5" t="s">
        <v>233</v>
      </c>
      <c r="F914" s="5" t="s">
        <v>695</v>
      </c>
      <c r="G914" s="14" t="str">
        <f t="array" ref="G914">IF(B914="", "",
  LET(_xlpm.spell, IFERROR(IF(F914="", "", INDEX(_xlws.FILTER(Hairstyles!$F:$F, ISNUMBER(SEARCH(F914, Hairstyles!$B:$B))), 1)), "No Spell for Hairstyle"),
  _xlpm.vanillaPrefix, IF(LEFT(_xlpm.spell, 7)="Uvi_Wig", "", ";"),
  ";" &amp; IF(C914="", B914, C914) &amp; IF(M914="", "", " ("&amp;M914&amp;")") &amp; CHAR(10) &amp;
  _xlpm.vanillaPrefix &amp; "Keyword = Uvi_Wig_Distr_KYWD|" &amp; B914 &amp; CHAR(10) &amp;
  _xlpm.vanillaPrefix &amp; "Spell = " &amp; _xlpm.spell &amp; "|" &amp; B914
  )
)</f>
        <v>;Kjeld
;Keyword = Uvi_Wig_Distr_KYWD|Kjeld
;Spell = No Spell for Hairstyle|Kjeld</v>
      </c>
    </row>
    <row r="915" ht="12.75" customHeight="1">
      <c r="A915" s="15" t="s">
        <v>3735</v>
      </c>
      <c r="B915" s="5" t="s">
        <v>3736</v>
      </c>
      <c r="C915" s="5" t="s">
        <v>3737</v>
      </c>
      <c r="D915" s="5" t="s">
        <v>38</v>
      </c>
      <c r="E915" s="5" t="s">
        <v>233</v>
      </c>
      <c r="F915" s="5" t="s">
        <v>40</v>
      </c>
      <c r="G915" s="14" t="str">
        <f t="array" ref="G915">IF(B915="", "",
  LET(_xlpm.spell, IFERROR(IF(F915="", "", INDEX(_xlws.FILTER(Hairstyles!$F:$F, ISNUMBER(SEARCH(F915, Hairstyles!$B:$B))), 1)), "No Spell for Hairstyle"),
  _xlpm.vanillaPrefix, IF(LEFT(_xlpm.spell, 7)="Uvi_Wig", "", ";"),
  ";" &amp; IF(C915="", B915, C915) &amp; IF(M915="", "", " ("&amp;M915&amp;")") &amp; CHAR(10) &amp;
  _xlpm.vanillaPrefix &amp; "Keyword = Uvi_Wig_Distr_KYWD|" &amp; B915 &amp; CHAR(10) &amp;
  _xlpm.vanillaPrefix &amp; "Spell = " &amp; _xlpm.spell &amp; "|" &amp; B915
  )
)</f>
        <v>;Kjeld the Younger
;Keyword = Uvi_Wig_Distr_KYWD|KjeldtheYounger
;Spell = No Spell for Hairstyle|KjeldtheYounger</v>
      </c>
    </row>
    <row r="916" ht="12.75" customHeight="1">
      <c r="A916" s="5" t="s">
        <v>3738</v>
      </c>
      <c r="B916" s="5" t="s">
        <v>3739</v>
      </c>
      <c r="C916" s="5" t="s">
        <v>3739</v>
      </c>
      <c r="D916" s="5" t="s">
        <v>38</v>
      </c>
      <c r="E916" s="5" t="s">
        <v>233</v>
      </c>
      <c r="F916" s="5" t="s">
        <v>1700</v>
      </c>
      <c r="G916" s="14" t="str">
        <f t="array" ref="G916">IF(B916="", "",
  LET(_xlpm.spell, IFERROR(IF(F916="", "", INDEX(_xlws.FILTER(Hairstyles!$F:$F, ISNUMBER(SEARCH(F916, Hairstyles!$B:$B))), 1)), "No Spell for Hairstyle"),
  _xlpm.vanillaPrefix, IF(LEFT(_xlpm.spell, 7)="Uvi_Wig", "", ";"),
  ";" &amp; IF(C916="", B916, C916) &amp; IF(M916="", "", " ("&amp;M916&amp;")") &amp; CHAR(10) &amp;
  _xlpm.vanillaPrefix &amp; "Keyword = Uvi_Wig_Distr_KYWD|" &amp; B916 &amp; CHAR(10) &amp;
  _xlpm.vanillaPrefix &amp; "Spell = " &amp; _xlpm.spell &amp; "|" &amp; B916
  )
)</f>
        <v>;Kleppr
;Keyword = Uvi_Wig_Distr_KYWD|Kleppr
;Spell = No Spell for Hairstyle|Kleppr</v>
      </c>
    </row>
    <row r="917" ht="12.75" customHeight="1">
      <c r="A917" s="5" t="s">
        <v>3740</v>
      </c>
      <c r="B917" s="5" t="s">
        <v>3741</v>
      </c>
      <c r="C917" s="5" t="s">
        <v>3741</v>
      </c>
      <c r="D917" s="5" t="s">
        <v>38</v>
      </c>
      <c r="E917" s="5" t="s">
        <v>233</v>
      </c>
      <c r="F917" s="5" t="s">
        <v>1622</v>
      </c>
      <c r="G917" s="14" t="str">
        <f t="array" ref="G917">IF(B917="", "",
  LET(_xlpm.spell, IFERROR(IF(F917="", "", INDEX(_xlws.FILTER(Hairstyles!$F:$F, ISNUMBER(SEARCH(F917, Hairstyles!$B:$B))), 1)), "No Spell for Hairstyle"),
  _xlpm.vanillaPrefix, IF(LEFT(_xlpm.spell, 7)="Uvi_Wig", "", ";"),
  ";" &amp; IF(C917="", B917, C917) &amp; IF(M917="", "", " ("&amp;M917&amp;")") &amp; CHAR(10) &amp;
  _xlpm.vanillaPrefix &amp; "Keyword = Uvi_Wig_Distr_KYWD|" &amp; B917 &amp; CHAR(10) &amp;
  _xlpm.vanillaPrefix &amp; "Spell = " &amp; _xlpm.spell &amp; "|" &amp; B917
  )
)</f>
        <v>;Klimmek
;Keyword = Uvi_Wig_Distr_KYWD|Klimmek
;Spell = No Spell for Hairstyle|Klimmek</v>
      </c>
    </row>
    <row r="918" ht="12.75" customHeight="1">
      <c r="A918" s="5" t="s">
        <v>3742</v>
      </c>
      <c r="B918" s="5" t="s">
        <v>3743</v>
      </c>
      <c r="C918" s="5" t="s">
        <v>3744</v>
      </c>
      <c r="D918" s="5" t="s">
        <v>94</v>
      </c>
      <c r="E918" s="5" t="s">
        <v>233</v>
      </c>
      <c r="F918" s="5" t="s">
        <v>91</v>
      </c>
      <c r="G918" s="14" t="str">
        <f t="array" ref="G918">IF(B918="", "",
  LET(_xlpm.spell, IFERROR(IF(F918="", "", INDEX(_xlws.FILTER(Hairstyles!$F:$F, ISNUMBER(SEARCH(F918, Hairstyles!$B:$B))), 1)), "No Spell for Hairstyle"),
  _xlpm.vanillaPrefix, IF(LEFT(_xlpm.spell, 7)="Uvi_Wig", "", ";"),
  ";" &amp; IF(C918="", B918, C918) &amp; IF(M918="", "", " ("&amp;M918&amp;")") &amp; CHAR(10) &amp;
  _xlpm.vanillaPrefix &amp; "Keyword = Uvi_Wig_Distr_KYWD|" &amp; B918 &amp; CHAR(10) &amp;
  _xlpm.vanillaPrefix &amp; "Spell = " &amp; _xlpm.spell &amp; "|" &amp; B918
  )
)</f>
        <v>;Knight-Paladin Gelebor
;Keyword = Uvi_Wig_Distr_KYWD|DLC1Gelebor
;Spell = No Spell for Hairstyle|DLC1Gelebor</v>
      </c>
    </row>
    <row r="919" ht="12.75" customHeight="1">
      <c r="A919" s="15" t="s">
        <v>3745</v>
      </c>
      <c r="B919" s="5" t="s">
        <v>3746</v>
      </c>
      <c r="C919" s="5" t="s">
        <v>3746</v>
      </c>
      <c r="D919" s="5" t="s">
        <v>51</v>
      </c>
      <c r="E919" s="5" t="s">
        <v>233</v>
      </c>
      <c r="F919" s="5" t="s">
        <v>40</v>
      </c>
      <c r="G919" s="14" t="str">
        <f t="array" ref="G919">IF(B919="", "",
  LET(_xlpm.spell, IFERROR(IF(F919="", "", INDEX(_xlws.FILTER(Hairstyles!$F:$F, ISNUMBER(SEARCH(F919, Hairstyles!$B:$B))), 1)), "No Spell for Hairstyle"),
  _xlpm.vanillaPrefix, IF(LEFT(_xlpm.spell, 7)="Uvi_Wig", "", ";"),
  ";" &amp; IF(C919="", B919, C919) &amp; IF(M919="", "", " ("&amp;M919&amp;")") &amp; CHAR(10) &amp;
  _xlpm.vanillaPrefix &amp; "Keyword = Uvi_Wig_Distr_KYWD|" &amp; B919 &amp; CHAR(10) &amp;
  _xlpm.vanillaPrefix &amp; "Spell = " &amp; _xlpm.spell &amp; "|" &amp; B919
  )
)</f>
        <v>;Knjakr
;Keyword = Uvi_Wig_Distr_KYWD|Knjakr
;Spell = No Spell for Hairstyle|Knjakr</v>
      </c>
    </row>
    <row r="920" ht="12.75" customHeight="1">
      <c r="A920" s="15" t="s">
        <v>3747</v>
      </c>
      <c r="B920" s="5" t="s">
        <v>3748</v>
      </c>
      <c r="C920" s="5" t="s">
        <v>3748</v>
      </c>
      <c r="D920" s="5" t="s">
        <v>74</v>
      </c>
      <c r="E920" s="5" t="s">
        <v>233</v>
      </c>
      <c r="F920" s="5" t="s">
        <v>87</v>
      </c>
      <c r="G920" s="14" t="str">
        <f t="array" ref="G920">IF(B920="", "",
  LET(_xlpm.spell, IFERROR(IF(F920="", "", INDEX(_xlws.FILTER(Hairstyles!$F:$F, ISNUMBER(SEARCH(F920, Hairstyles!$B:$B))), 1)), "No Spell for Hairstyle"),
  _xlpm.vanillaPrefix, IF(LEFT(_xlpm.spell, 7)="Uvi_Wig", "", ";"),
  ";" &amp; IF(C920="", B920, C920) &amp; IF(M920="", "", " ("&amp;M920&amp;")") &amp; CHAR(10) &amp;
  _xlpm.vanillaPrefix &amp; "Keyword = Uvi_Wig_Distr_KYWD|" &amp; B920 &amp; CHAR(10) &amp;
  _xlpm.vanillaPrefix &amp; "Spell = " &amp; _xlpm.spell &amp; "|" &amp; B920
  )
)</f>
        <v>;Knud
;Keyword = Uvi_Wig_Distr_KYWD|Knud
;Spell = No Spell for Hairstyle|Knud</v>
      </c>
    </row>
    <row r="921" ht="12.75" customHeight="1">
      <c r="A921" s="5" t="s">
        <v>3749</v>
      </c>
      <c r="B921" s="5" t="s">
        <v>3750</v>
      </c>
      <c r="C921" s="5" t="s">
        <v>3751</v>
      </c>
      <c r="D921" s="5" t="s">
        <v>38</v>
      </c>
      <c r="E921" s="5" t="s">
        <v>233</v>
      </c>
      <c r="F921" s="5" t="s">
        <v>695</v>
      </c>
      <c r="G921" s="14" t="str">
        <f t="array" ref="G921">IF(B921="", "",
  LET(_xlpm.spell, IFERROR(IF(F921="", "", INDEX(_xlws.FILTER(Hairstyles!$F:$F, ISNUMBER(SEARCH(F921, Hairstyles!$B:$B))), 1)), "No Spell for Hairstyle"),
  _xlpm.vanillaPrefix, IF(LEFT(_xlpm.spell, 7)="Uvi_Wig", "", ";"),
  ";" &amp; IF(C921="", B921, C921) &amp; IF(M921="", "", " ("&amp;M921&amp;")") &amp; CHAR(10) &amp;
  _xlpm.vanillaPrefix &amp; "Keyword = Uvi_Wig_Distr_KYWD|" &amp; B921 &amp; CHAR(10) &amp;
  _xlpm.vanillaPrefix &amp; "Spell = " &amp; _xlpm.spell &amp; "|" &amp; B921
  )
)</f>
        <v>;Kodlak Whitemane
;Keyword = Uvi_Wig_Distr_KYWD|KodlakWhitemane
;Spell = No Spell for Hairstyle|KodlakWhitemane</v>
      </c>
    </row>
    <row r="922" ht="12.75" customHeight="1">
      <c r="A922" s="5" t="s">
        <v>3752</v>
      </c>
      <c r="B922" s="5" t="s">
        <v>3753</v>
      </c>
      <c r="C922" s="5" t="s">
        <v>3751</v>
      </c>
      <c r="D922" s="5" t="s">
        <v>38</v>
      </c>
      <c r="E922" s="5" t="s">
        <v>233</v>
      </c>
      <c r="F922" s="5" t="s">
        <v>695</v>
      </c>
      <c r="G922" s="14" t="str">
        <f t="array" ref="G922">IF(B922="", "",
  LET(_xlpm.spell, IFERROR(IF(F922="", "", INDEX(_xlws.FILTER(Hairstyles!$F:$F, ISNUMBER(SEARCH(F922, Hairstyles!$B:$B))), 1)), "No Spell for Hairstyle"),
  _xlpm.vanillaPrefix, IF(LEFT(_xlpm.spell, 7)="Uvi_Wig", "", ";"),
  ";" &amp; IF(C922="", B922, C922) &amp; IF(M922="", "", " ("&amp;M922&amp;")") &amp; CHAR(10) &amp;
  _xlpm.vanillaPrefix &amp; "Keyword = Uvi_Wig_Distr_KYWD|" &amp; B922 &amp; CHAR(10) &amp;
  _xlpm.vanillaPrefix &amp; "Spell = " &amp; _xlpm.spell &amp; "|" &amp; B922
  )
)</f>
        <v>;Kodlak Whitemane
;Keyword = Uvi_Wig_Distr_KYWD|MQ304Kodlak
;Spell = No Spell for Hairstyle|MQ304Kodlak</v>
      </c>
    </row>
    <row r="923" ht="12.75" customHeight="1">
      <c r="A923" s="5" t="s">
        <v>3754</v>
      </c>
      <c r="B923" s="5" t="s">
        <v>3755</v>
      </c>
      <c r="C923" s="5" t="s">
        <v>3755</v>
      </c>
      <c r="D923" s="5" t="s">
        <v>38</v>
      </c>
      <c r="E923" s="5" t="s">
        <v>233</v>
      </c>
      <c r="F923" s="5" t="s">
        <v>1894</v>
      </c>
      <c r="G923" s="14" t="str">
        <f t="array" ref="G923">IF(B923="", "",
  LET(_xlpm.spell, IFERROR(IF(F923="", "", INDEX(_xlws.FILTER(Hairstyles!$F:$F, ISNUMBER(SEARCH(F923, Hairstyles!$B:$B))), 1)), "No Spell for Hairstyle"),
  _xlpm.vanillaPrefix, IF(LEFT(_xlpm.spell, 7)="Uvi_Wig", "", ";"),
  ";" &amp; IF(C923="", B923, C923) &amp; IF(M923="", "", " ("&amp;M923&amp;")") &amp; CHAR(10) &amp;
  _xlpm.vanillaPrefix &amp; "Keyword = Uvi_Wig_Distr_KYWD|" &amp; B923 &amp; CHAR(10) &amp;
  _xlpm.vanillaPrefix &amp; "Spell = " &amp; _xlpm.spell &amp; "|" &amp; B923
  )
)</f>
        <v>;Kodrir
;Keyword = Uvi_Wig_Distr_KYWD|Kodrir
;Spell = No Spell for Hairstyle|Kodrir</v>
      </c>
    </row>
    <row r="924" ht="12.75" customHeight="1">
      <c r="A924" s="5" t="s">
        <v>3756</v>
      </c>
      <c r="B924" s="5" t="s">
        <v>3757</v>
      </c>
      <c r="C924" s="5" t="s">
        <v>3758</v>
      </c>
      <c r="D924" s="5" t="s">
        <v>38</v>
      </c>
      <c r="E924" s="5" t="s">
        <v>233</v>
      </c>
      <c r="F924" s="5" t="s">
        <v>1894</v>
      </c>
      <c r="G924" s="14" t="str">
        <f t="array" ref="G924">IF(B924="", "",
  LET(_xlpm.spell, IFERROR(IF(F924="", "", INDEX(_xlws.FILTER(Hairstyles!$F:$F, ISNUMBER(SEARCH(F924, Hairstyles!$B:$B))), 1)), "No Spell for Hairstyle"),
  _xlpm.vanillaPrefix, IF(LEFT(_xlpm.spell, 7)="Uvi_Wig", "", ";"),
  ";" &amp; IF(C924="", B924, C924) &amp; IF(M924="", "", " ("&amp;M924&amp;")") &amp; CHAR(10) &amp;
  _xlpm.vanillaPrefix &amp; "Keyword = Uvi_Wig_Distr_KYWD|" &amp; B924 &amp; CHAR(10) &amp;
  _xlpm.vanillaPrefix &amp; "Spell = " &amp; _xlpm.spell &amp; "|" &amp; B924
  )
)</f>
        <v>;Kolbjorn Guard
;Keyword = Uvi_Wig_Distr_KYWD|DLC2dunKolbjornMiner_GuardM01
;Spell = No Spell for Hairstyle|DLC2dunKolbjornMiner_GuardM01</v>
      </c>
    </row>
    <row r="925" ht="12.75" customHeight="1">
      <c r="A925" s="15" t="s">
        <v>3759</v>
      </c>
      <c r="B925" s="5" t="s">
        <v>3760</v>
      </c>
      <c r="C925" s="5" t="s">
        <v>3758</v>
      </c>
      <c r="D925" s="5" t="s">
        <v>38</v>
      </c>
      <c r="E925" s="5" t="s">
        <v>233</v>
      </c>
      <c r="F925" s="5" t="s">
        <v>521</v>
      </c>
      <c r="G925" s="14" t="str">
        <f t="array" ref="G925">IF(B925="", "",
  LET(_xlpm.spell, IFERROR(IF(F925="", "", INDEX(_xlws.FILTER(Hairstyles!$F:$F, ISNUMBER(SEARCH(F925, Hairstyles!$B:$B))), 1)), "No Spell for Hairstyle"),
  _xlpm.vanillaPrefix, IF(LEFT(_xlpm.spell, 7)="Uvi_Wig", "", ";"),
  ";" &amp; IF(C925="", B925, C925) &amp; IF(M925="", "", " ("&amp;M925&amp;")") &amp; CHAR(10) &amp;
  _xlpm.vanillaPrefix &amp; "Keyword = Uvi_Wig_Distr_KYWD|" &amp; B925 &amp; CHAR(10) &amp;
  _xlpm.vanillaPrefix &amp; "Spell = " &amp; _xlpm.spell &amp; "|" &amp; B925
  )
)</f>
        <v>;Kolbjorn Guard
;Keyword = Uvi_Wig_Distr_KYWD|DLC2dunKolbjornMiner_GuardM02
;Spell = No Spell for Hairstyle|DLC2dunKolbjornMiner_GuardM02</v>
      </c>
    </row>
    <row r="926" ht="12.75" customHeight="1">
      <c r="A926" s="15" t="s">
        <v>3761</v>
      </c>
      <c r="B926" s="5" t="s">
        <v>3762</v>
      </c>
      <c r="C926" s="5" t="s">
        <v>3758</v>
      </c>
      <c r="D926" s="5" t="s">
        <v>45</v>
      </c>
      <c r="E926" s="5" t="s">
        <v>233</v>
      </c>
      <c r="F926" s="5" t="s">
        <v>2489</v>
      </c>
      <c r="G926" s="14" t="str">
        <f t="array" ref="G926">IF(B926="", "",
  LET(_xlpm.spell, IFERROR(IF(F926="", "", INDEX(_xlws.FILTER(Hairstyles!$F:$F, ISNUMBER(SEARCH(F926, Hairstyles!$B:$B))), 1)), "No Spell for Hairstyle"),
  _xlpm.vanillaPrefix, IF(LEFT(_xlpm.spell, 7)="Uvi_Wig", "", ";"),
  ";" &amp; IF(C926="", B926, C926) &amp; IF(M926="", "", " ("&amp;M926&amp;")") &amp; CHAR(10) &amp;
  _xlpm.vanillaPrefix &amp; "Keyword = Uvi_Wig_Distr_KYWD|" &amp; B926 &amp; CHAR(10) &amp;
  _xlpm.vanillaPrefix &amp; "Spell = " &amp; _xlpm.spell &amp; "|" &amp; B926
  )
)</f>
        <v>;Kolbjorn Guard
;Keyword = Uvi_Wig_Distr_KYWD|DLC2dunKolbjornMiner_GuardM03
;Spell = No Spell for Hairstyle|DLC2dunKolbjornMiner_GuardM03</v>
      </c>
    </row>
    <row r="927" ht="12.75" customHeight="1">
      <c r="A927" s="15" t="s">
        <v>3763</v>
      </c>
      <c r="B927" s="5" t="s">
        <v>3764</v>
      </c>
      <c r="C927" s="5" t="s">
        <v>3758</v>
      </c>
      <c r="D927" s="5" t="s">
        <v>45</v>
      </c>
      <c r="E927" s="5" t="s">
        <v>233</v>
      </c>
      <c r="F927" s="5" t="s">
        <v>1937</v>
      </c>
      <c r="G927" s="14" t="str">
        <f t="array" ref="G927">IF(B927="", "",
  LET(_xlpm.spell, IFERROR(IF(F927="", "", INDEX(_xlws.FILTER(Hairstyles!$F:$F, ISNUMBER(SEARCH(F927, Hairstyles!$B:$B))), 1)), "No Spell for Hairstyle"),
  _xlpm.vanillaPrefix, IF(LEFT(_xlpm.spell, 7)="Uvi_Wig", "", ";"),
  ";" &amp; IF(C927="", B927, C927) &amp; IF(M927="", "", " ("&amp;M927&amp;")") &amp; CHAR(10) &amp;
  _xlpm.vanillaPrefix &amp; "Keyword = Uvi_Wig_Distr_KYWD|" &amp; B927 &amp; CHAR(10) &amp;
  _xlpm.vanillaPrefix &amp; "Spell = " &amp; _xlpm.spell &amp; "|" &amp; B927
  )
)</f>
        <v>;Kolbjorn Guard
;Keyword = Uvi_Wig_Distr_KYWD|DLC2dunKolbjornMiner_GuardM04
;Spell = No Spell for Hairstyle|DLC2dunKolbjornMiner_GuardM04</v>
      </c>
    </row>
    <row r="928" ht="12.75" customHeight="1">
      <c r="A928" s="5" t="s">
        <v>3765</v>
      </c>
      <c r="B928" s="5" t="s">
        <v>3766</v>
      </c>
      <c r="C928" s="5" t="s">
        <v>3766</v>
      </c>
      <c r="D928" s="5" t="s">
        <v>38</v>
      </c>
      <c r="E928" s="5" t="s">
        <v>233</v>
      </c>
      <c r="F928" s="5" t="s">
        <v>2030</v>
      </c>
      <c r="G928" s="14" t="str">
        <f t="array" ref="G928">IF(B928="", "",
  LET(_xlpm.spell, IFERROR(IF(F928="", "", INDEX(_xlws.FILTER(Hairstyles!$F:$F, ISNUMBER(SEARCH(F928, Hairstyles!$B:$B))), 1)), "No Spell for Hairstyle"),
  _xlpm.vanillaPrefix, IF(LEFT(_xlpm.spell, 7)="Uvi_Wig", "", ";"),
  ";" &amp; IF(C928="", B928, C928) &amp; IF(M928="", "", " ("&amp;M928&amp;")") &amp; CHAR(10) &amp;
  _xlpm.vanillaPrefix &amp; "Keyword = Uvi_Wig_Distr_KYWD|" &amp; B928 &amp; CHAR(10) &amp;
  _xlpm.vanillaPrefix &amp; "Spell = " &amp; _xlpm.spell &amp; "|" &amp; B928
  )
)</f>
        <v>;Korir
;Keyword = Uvi_Wig_Distr_KYWD|Korir
;Spell = No Spell for Hairstyle|Korir</v>
      </c>
    </row>
    <row r="929" ht="12.75" customHeight="1">
      <c r="A929" s="15" t="s">
        <v>3767</v>
      </c>
      <c r="B929" s="5" t="s">
        <v>3768</v>
      </c>
      <c r="C929" s="5" t="s">
        <v>3769</v>
      </c>
      <c r="D929" s="5" t="s">
        <v>38</v>
      </c>
      <c r="E929" s="5" t="s">
        <v>233</v>
      </c>
      <c r="F929" s="5" t="s">
        <v>1906</v>
      </c>
      <c r="G929" s="14" t="str">
        <f t="array" ref="G929">IF(B929="", "",
  LET(_xlpm.spell, IFERROR(IF(F929="", "", INDEX(_xlws.FILTER(Hairstyles!$F:$F, ISNUMBER(SEARCH(F929, Hairstyles!$B:$B))), 1)), "No Spell for Hairstyle"),
  _xlpm.vanillaPrefix, IF(LEFT(_xlpm.spell, 7)="Uvi_Wig", "", ";"),
  ";" &amp; IF(C929="", B929, C929) &amp; IF(M929="", "", " ("&amp;M929&amp;")") &amp; CHAR(10) &amp;
  _xlpm.vanillaPrefix &amp; "Keyword = Uvi_Wig_Distr_KYWD|" &amp; B929 &amp; CHAR(10) &amp;
  _xlpm.vanillaPrefix &amp; "Spell = " &amp; _xlpm.spell &amp; "|" &amp; B929
  )
)</f>
        <v>;Kottir Red-Shoal
;Keyword = Uvi_Wig_Distr_KYWD|CWFieldCOSonsReach
;Spell = No Spell for Hairstyle|CWFieldCOSonsReach</v>
      </c>
    </row>
    <row r="930" ht="12.75" customHeight="1">
      <c r="A930" s="5" t="s">
        <v>3770</v>
      </c>
      <c r="B930" s="5" t="s">
        <v>3771</v>
      </c>
      <c r="C930" s="5" t="s">
        <v>3772</v>
      </c>
      <c r="D930" s="5" t="s">
        <v>16</v>
      </c>
      <c r="E930" s="5" t="s">
        <v>233</v>
      </c>
      <c r="F930" s="5" t="s">
        <v>1894</v>
      </c>
      <c r="G930" s="14" t="str">
        <f t="array" ref="G930">IF(B930="", "",
  LET(_xlpm.spell, IFERROR(IF(F930="", "", INDEX(_xlws.FILTER(Hairstyles!$F:$F, ISNUMBER(SEARCH(F930, Hairstyles!$B:$B))), 1)), "No Spell for Hairstyle"),
  _xlpm.vanillaPrefix, IF(LEFT(_xlpm.spell, 7)="Uvi_Wig", "", ";"),
  ";" &amp; IF(C930="", B930, C930) &amp; IF(M930="", "", " ("&amp;M930&amp;")") &amp; CHAR(10) &amp;
  _xlpm.vanillaPrefix &amp; "Keyword = Uvi_Wig_Distr_KYWD|" &amp; B930 &amp; CHAR(10) &amp;
  _xlpm.vanillaPrefix &amp; "Spell = " &amp; _xlpm.spell &amp; "|" &amp; B930
  )
)</f>
        <v>;Krag
;Keyword = Uvi_Wig_Distr_KYWD|dunNchuandKrag
;Spell = No Spell for Hairstyle|dunNchuandKrag</v>
      </c>
    </row>
    <row r="931" ht="12.75" customHeight="1">
      <c r="A931" s="5" t="s">
        <v>3773</v>
      </c>
      <c r="B931" s="5" t="s">
        <v>3774</v>
      </c>
      <c r="C931" s="5" t="s">
        <v>3774</v>
      </c>
      <c r="D931" s="5" t="s">
        <v>38</v>
      </c>
      <c r="E931" s="5" t="s">
        <v>233</v>
      </c>
      <c r="F931" s="5" t="s">
        <v>762</v>
      </c>
      <c r="G931" s="14" t="str">
        <f t="array" ref="G931">IF(B931="", "",
  LET(_xlpm.spell, IFERROR(IF(F931="", "", INDEX(_xlws.FILTER(Hairstyles!$F:$F, ISNUMBER(SEARCH(F931, Hairstyles!$B:$B))), 1)), "No Spell for Hairstyle"),
  _xlpm.vanillaPrefix, IF(LEFT(_xlpm.spell, 7)="Uvi_Wig", "", ";"),
  ";" &amp; IF(C931="", B931, C931) &amp; IF(M931="", "", " ("&amp;M931&amp;")") &amp; CHAR(10) &amp;
  _xlpm.vanillaPrefix &amp; "Keyword = Uvi_Wig_Distr_KYWD|" &amp; B931 &amp; CHAR(10) &amp;
  _xlpm.vanillaPrefix &amp; "Spell = " &amp; _xlpm.spell &amp; "|" &amp; B931
  )
)</f>
        <v>;Kraldar
;Keyword = Uvi_Wig_Distr_KYWD|Kraldar
;Spell = No Spell for Hairstyle|Kraldar</v>
      </c>
    </row>
    <row r="932" ht="12.75" customHeight="1">
      <c r="A932" s="5" t="s">
        <v>3775</v>
      </c>
      <c r="B932" s="5" t="s">
        <v>3776</v>
      </c>
      <c r="C932" s="5" t="s">
        <v>3776</v>
      </c>
      <c r="D932" s="5" t="s">
        <v>38</v>
      </c>
      <c r="E932" s="5" t="s">
        <v>233</v>
      </c>
      <c r="F932" s="5" t="s">
        <v>1622</v>
      </c>
      <c r="G932" s="14" t="str">
        <f t="array" ref="G932">IF(B932="", "",
  LET(_xlpm.spell, IFERROR(IF(F932="", "", INDEX(_xlws.FILTER(Hairstyles!$F:$F, ISNUMBER(SEARCH(F932, Hairstyles!$B:$B))), 1)), "No Spell for Hairstyle"),
  _xlpm.vanillaPrefix, IF(LEFT(_xlpm.spell, 7)="Uvi_Wig", "", ";"),
  ";" &amp; IF(C932="", B932, C932) &amp; IF(M932="", "", " ("&amp;M932&amp;")") &amp; CHAR(10) &amp;
  _xlpm.vanillaPrefix &amp; "Keyword = Uvi_Wig_Distr_KYWD|" &amp; B932 &amp; CHAR(10) &amp;
  _xlpm.vanillaPrefix &amp; "Spell = " &amp; _xlpm.spell &amp; "|" &amp; B932
  )
)</f>
        <v>;Kust
;Keyword = Uvi_Wig_Distr_KYWD|Kust
;Spell = No Spell for Hairstyle|Kust</v>
      </c>
    </row>
    <row r="933" ht="12.75" customHeight="1">
      <c r="A933" s="5" t="s">
        <v>3777</v>
      </c>
      <c r="B933" s="5" t="s">
        <v>3778</v>
      </c>
      <c r="C933" s="5" t="s">
        <v>3779</v>
      </c>
      <c r="D933" s="5" t="s">
        <v>38</v>
      </c>
      <c r="E933" s="5" t="s">
        <v>233</v>
      </c>
      <c r="F933" s="5" t="s">
        <v>475</v>
      </c>
      <c r="G933" s="14" t="str">
        <f t="array" ref="G933">IF(B933="", "",
  LET(_xlpm.spell, IFERROR(IF(F933="", "", INDEX(_xlws.FILTER(Hairstyles!$F:$F, ISNUMBER(SEARCH(F933, Hairstyles!$B:$B))), 1)), "No Spell for Hairstyle"),
  _xlpm.vanillaPrefix, IF(LEFT(_xlpm.spell, 7)="Uvi_Wig", "", ";"),
  ";" &amp; IF(C933="", B933, C933) &amp; IF(M933="", "", " ("&amp;M933&amp;")") &amp; CHAR(10) &amp;
  _xlpm.vanillaPrefix &amp; "Keyword = Uvi_Wig_Distr_KYWD|" &amp; B933 &amp; CHAR(10) &amp;
  _xlpm.vanillaPrefix &amp; "Spell = " &amp; _xlpm.spell &amp; "|" &amp; B933
  )
)</f>
        <v>;Kuvar
;Keyword = Uvi_Wig_Distr_KYWD|DLC2Kuvar
;Spell = No Spell for Hairstyle|DLC2Kuvar</v>
      </c>
    </row>
    <row r="934" ht="12.75" customHeight="1">
      <c r="A934" s="5" t="s">
        <v>3780</v>
      </c>
      <c r="B934" s="5" t="s">
        <v>3781</v>
      </c>
      <c r="C934" s="5" t="s">
        <v>3782</v>
      </c>
      <c r="D934" s="5" t="s">
        <v>38</v>
      </c>
      <c r="E934" s="5" t="s">
        <v>233</v>
      </c>
      <c r="F934" s="5" t="s">
        <v>475</v>
      </c>
      <c r="G934" s="14" t="str">
        <f t="array" ref="G934">IF(B934="", "",
  LET(_xlpm.spell, IFERROR(IF(F934="", "", INDEX(_xlws.FILTER(Hairstyles!$F:$F, ISNUMBER(SEARCH(F934, Hairstyles!$B:$B))), 1)), "No Spell for Hairstyle"),
  _xlpm.vanillaPrefix, IF(LEFT(_xlpm.spell, 7)="Uvi_Wig", "", ";"),
  ";" &amp; IF(C934="", B934, C934) &amp; IF(M934="", "", " ("&amp;M934&amp;")") &amp; CHAR(10) &amp;
  _xlpm.vanillaPrefix &amp; "Keyword = Uvi_Wig_Distr_KYWD|" &amp; B934 &amp; CHAR(10) &amp;
  _xlpm.vanillaPrefix &amp; "Spell = " &amp; _xlpm.spell &amp; "|" &amp; B934
  )
)</f>
        <v>;Kyr
;Keyword = Uvi_Wig_Distr_KYWD|dunFrostmereCrypt_Kyr
;Spell = No Spell for Hairstyle|dunFrostmereCrypt_Kyr</v>
      </c>
    </row>
    <row r="935" ht="12.75" customHeight="1">
      <c r="A935" s="5" t="s">
        <v>3783</v>
      </c>
      <c r="B935" s="5" t="s">
        <v>3784</v>
      </c>
      <c r="C935" s="5" t="s">
        <v>3785</v>
      </c>
      <c r="D935" s="5" t="s">
        <v>34</v>
      </c>
      <c r="E935" s="5" t="s">
        <v>41</v>
      </c>
      <c r="F935" s="5" t="s">
        <v>862</v>
      </c>
      <c r="G935" s="14" t="str">
        <f t="array" ref="G935">IF(B935="", "",
  LET(_xlpm.spell, IFERROR(IF(F935="", "", INDEX(_xlws.FILTER(Hairstyles!$F:$F, ISNUMBER(SEARCH(F935, Hairstyles!$B:$B))), 1)), "No Spell for Hairstyle"),
  _xlpm.vanillaPrefix, IF(LEFT(_xlpm.spell, 7)="Uvi_Wig", "", ";"),
  ";" &amp; IF(C935="", B935, C935) &amp; IF(M935="", "", " ("&amp;M935&amp;")") &amp; CHAR(10) &amp;
  _xlpm.vanillaPrefix &amp; "Keyword = Uvi_Wig_Distr_KYWD|" &amp; B935 &amp; CHAR(10) &amp;
  _xlpm.vanillaPrefix &amp; "Spell = " &amp; _xlpm.spell &amp; "|" &amp; B935
  )
)</f>
        <v>;Laelette the Vampire
;Keyword = Uvi_Wig_Distr_KYWD|MS14LaeletteVampire
;Spell = No Spell for Hairstyle|MS14LaeletteVampire</v>
      </c>
    </row>
    <row r="936" ht="12.75" customHeight="1">
      <c r="A936" s="15" t="s">
        <v>3786</v>
      </c>
      <c r="B936" s="5" t="s">
        <v>3787</v>
      </c>
      <c r="C936" s="5" t="s">
        <v>3788</v>
      </c>
      <c r="D936" s="5" t="s">
        <v>38</v>
      </c>
      <c r="E936" s="5" t="s">
        <v>41</v>
      </c>
      <c r="F936" s="5" t="s">
        <v>22</v>
      </c>
      <c r="G936" s="14" t="str">
        <f t="array" ref="G936">IF(B936="", "",
  LET(_xlpm.spell, IFERROR(IF(F936="", "", INDEX(_xlws.FILTER(Hairstyles!$F:$F, ISNUMBER(SEARCH(F936, Hairstyles!$B:$B))), 1)), "No Spell for Hairstyle"),
  _xlpm.vanillaPrefix, IF(LEFT(_xlpm.spell, 7)="Uvi_Wig", "", ";"),
  ";" &amp; IF(C936="", B936, C936) &amp; IF(M936="", "", " ("&amp;M936&amp;")") &amp; CHAR(10) &amp;
  _xlpm.vanillaPrefix &amp; "Keyword = Uvi_Wig_Distr_KYWD|" &amp; B936 &amp; CHAR(10) &amp;
  _xlpm.vanillaPrefix &amp; "Spell = " &amp; _xlpm.spell &amp; "|" &amp; B936
  )
)</f>
        <v>;Laila Law-Giver
;Keyword = Uvi_Wig_Distr_KYWD|Laila
;Spell = No Spell for Hairstyle|Laila</v>
      </c>
    </row>
    <row r="937" ht="12.75" customHeight="1">
      <c r="A937" s="5" t="s">
        <v>3789</v>
      </c>
      <c r="B937" s="5" t="s">
        <v>3790</v>
      </c>
      <c r="C937" s="5" t="s">
        <v>3790</v>
      </c>
      <c r="D937" s="5" t="s">
        <v>38</v>
      </c>
      <c r="E937" s="5" t="s">
        <v>41</v>
      </c>
      <c r="F937" s="5" t="s">
        <v>1063</v>
      </c>
      <c r="G937" s="14" t="str">
        <f t="array" ref="G937">IF(B937="", "",
  LET(_xlpm.spell, IFERROR(IF(F937="", "", INDEX(_xlws.FILTER(Hairstyles!$F:$F, ISNUMBER(SEARCH(F937, Hairstyles!$B:$B))), 1)), "No Spell for Hairstyle"),
  _xlpm.vanillaPrefix, IF(LEFT(_xlpm.spell, 7)="Uvi_Wig", "", ";"),
  ";" &amp; IF(C937="", B937, C937) &amp; IF(M937="", "", " ("&amp;M937&amp;")") &amp; CHAR(10) &amp;
  _xlpm.vanillaPrefix &amp; "Keyword = Uvi_Wig_Distr_KYWD|" &amp; B937 &amp; CHAR(10) &amp;
  _xlpm.vanillaPrefix &amp; "Spell = " &amp; _xlpm.spell &amp; "|" &amp; B937
  )
)</f>
        <v>;Lami
;Keyword = Uvi_Wig_Distr_KYWD|Lami
;Spell = No Spell for Hairstyle|Lami</v>
      </c>
    </row>
    <row r="938" ht="12.75" customHeight="1">
      <c r="A938" s="5" t="s">
        <v>3791</v>
      </c>
      <c r="B938" s="5" t="s">
        <v>3792</v>
      </c>
      <c r="C938" s="5" t="s">
        <v>3793</v>
      </c>
      <c r="D938" s="5" t="s">
        <v>59</v>
      </c>
      <c r="E938" s="5" t="s">
        <v>41</v>
      </c>
      <c r="F938" s="5" t="s">
        <v>1063</v>
      </c>
      <c r="G938" s="14" t="str">
        <f t="array" ref="G938">IF(B938="", "",
  LET(_xlpm.spell, IFERROR(IF(F938="", "", INDEX(_xlws.FILTER(Hairstyles!$F:$F, ISNUMBER(SEARCH(F938, Hairstyles!$B:$B))), 1)), "No Spell for Hairstyle"),
  _xlpm.vanillaPrefix, IF(LEFT(_xlpm.spell, 7)="Uvi_Wig", "", ";"),
  ";" &amp; IF(C938="", B938, C938) &amp; IF(M938="", "", " ("&amp;M938&amp;")") &amp; CHAR(10) &amp;
  _xlpm.vanillaPrefix &amp; "Keyword = Uvi_Wig_Distr_KYWD|" &amp; B938 &amp; CHAR(10) &amp;
  _xlpm.vanillaPrefix &amp; "Spell = " &amp; _xlpm.spell &amp; "|" &amp; B938
  )
)</f>
        <v>;Larina
;Keyword = Uvi_Wig_Distr_KYWD|dunHobsFall_TreasCorpseCommonerImperialFemale
;Spell = No Spell for Hairstyle|dunHobsFall_TreasCorpseCommonerImperialFemale</v>
      </c>
    </row>
    <row r="939" ht="12.75" customHeight="1">
      <c r="A939" s="5" t="s">
        <v>3794</v>
      </c>
      <c r="B939" s="5" t="s">
        <v>3795</v>
      </c>
      <c r="C939" s="5" t="s">
        <v>3796</v>
      </c>
      <c r="D939" s="5" t="s">
        <v>74</v>
      </c>
      <c r="E939" s="5" t="s">
        <v>233</v>
      </c>
      <c r="F939" s="5" t="s">
        <v>76</v>
      </c>
      <c r="G939" s="14" t="str">
        <f t="array" ref="G939">IF(B939="", "",
  LET(_xlpm.spell, IFERROR(IF(F939="", "", INDEX(_xlws.FILTER(Hairstyles!$F:$F, ISNUMBER(SEARCH(F939, Hairstyles!$B:$B))), 1)), "No Spell for Hairstyle"),
  _xlpm.vanillaPrefix, IF(LEFT(_xlpm.spell, 7)="Uvi_Wig", "", ";"),
  ";" &amp; IF(C939="", B939, C939) &amp; IF(M939="", "", " ("&amp;M939&amp;")") &amp; CHAR(10) &amp;
  _xlpm.vanillaPrefix &amp; "Keyword = Uvi_Wig_Distr_KYWD|" &amp; B939 &amp; CHAR(10) &amp;
  _xlpm.vanillaPrefix &amp; "Spell = " &amp; _xlpm.spell &amp; "|" &amp; B939
  )
)</f>
        <v>;Lars Battle-Born
;Keyword = Uvi_Wig_Distr_KYWD|LarsBattleBorn
;Spell = No Spell for Hairstyle|LarsBattleBorn</v>
      </c>
    </row>
    <row r="940" ht="12.75" customHeight="1">
      <c r="A940" s="5" t="s">
        <v>3797</v>
      </c>
      <c r="B940" s="5" t="s">
        <v>3798</v>
      </c>
      <c r="C940" s="5" t="s">
        <v>3799</v>
      </c>
      <c r="D940" s="5" t="s">
        <v>80</v>
      </c>
      <c r="E940" s="5" t="s">
        <v>41</v>
      </c>
      <c r="F940" s="5" t="s">
        <v>1841</v>
      </c>
      <c r="G940" s="14" t="str">
        <f t="array" ref="G940">IF(B940="", "",
  LET(_xlpm.spell, IFERROR(IF(F940="", "", INDEX(_xlws.FILTER(Hairstyles!$F:$F, ISNUMBER(SEARCH(F940, Hairstyles!$B:$B))), 1)), "No Spell for Hairstyle"),
  _xlpm.vanillaPrefix, IF(LEFT(_xlpm.spell, 7)="Uvi_Wig", "", ";"),
  ";" &amp; IF(C940="", B940, C940) &amp; IF(M940="", "", " ("&amp;M940&amp;")") &amp; CHAR(10) &amp;
  _xlpm.vanillaPrefix &amp; "Keyword = Uvi_Wig_Distr_KYWD|" &amp; B940 &amp; CHAR(10) &amp;
  _xlpm.vanillaPrefix &amp; "Spell = " &amp; _xlpm.spell &amp; "|" &amp; B940
  )
)</f>
        <v>;Lash gra-Dushnikh
;Keyword = Uvi_Wig_Distr_KYWD|LashGraDushnikh
;Spell = No Spell for Hairstyle|LashGraDushnikh</v>
      </c>
    </row>
    <row r="941" ht="12.75" customHeight="1">
      <c r="A941" s="5" t="s">
        <v>3800</v>
      </c>
      <c r="B941" s="5" t="s">
        <v>3801</v>
      </c>
      <c r="C941" s="5" t="s">
        <v>3802</v>
      </c>
      <c r="D941" s="5" t="s">
        <v>59</v>
      </c>
      <c r="E941" s="5" t="s">
        <v>233</v>
      </c>
      <c r="F941" s="5" t="s">
        <v>84</v>
      </c>
      <c r="G941" s="14" t="str">
        <f t="array" ref="G941">IF(B941="", "",
  LET(_xlpm.spell, IFERROR(IF(F941="", "", INDEX(_xlws.FILTER(Hairstyles!$F:$F, ISNUMBER(SEARCH(F941, Hairstyles!$B:$B))), 1)), "No Spell for Hairstyle"),
  _xlpm.vanillaPrefix, IF(LEFT(_xlpm.spell, 7)="Uvi_Wig", "", ";"),
  ";" &amp; IF(C941="", B941, C941) &amp; IF(M941="", "", " ("&amp;M941&amp;")") &amp; CHAR(10) &amp;
  _xlpm.vanillaPrefix &amp; "Keyword = Uvi_Wig_Distr_KYWD|" &amp; B941 &amp; CHAR(10) &amp;
  _xlpm.vanillaPrefix &amp; "Spell = " &amp; _xlpm.spell &amp; "|" &amp; B941
  )
)</f>
        <v>;Legate Adventus Caesennius
;Keyword = Uvi_Wig_Distr_KYWD|CWFieldCOImperialHaafingar
;Spell = No Spell for Hairstyle|CWFieldCOImperialHaafingar</v>
      </c>
    </row>
    <row r="942" ht="12.75" customHeight="1">
      <c r="A942" s="15" t="s">
        <v>3803</v>
      </c>
      <c r="B942" s="5" t="s">
        <v>3804</v>
      </c>
      <c r="C942" s="5" t="s">
        <v>3805</v>
      </c>
      <c r="D942" s="5" t="s">
        <v>59</v>
      </c>
      <c r="E942" s="5" t="s">
        <v>233</v>
      </c>
      <c r="F942" s="5" t="s">
        <v>19</v>
      </c>
      <c r="G942" s="14" t="str">
        <f t="array" ref="G942">IF(B942="", "",
  LET(_xlpm.spell, IFERROR(IF(F942="", "", INDEX(_xlws.FILTER(Hairstyles!$F:$F, ISNUMBER(SEARCH(F942, Hairstyles!$B:$B))), 1)), "No Spell for Hairstyle"),
  _xlpm.vanillaPrefix, IF(LEFT(_xlpm.spell, 7)="Uvi_Wig", "", ";"),
  ";" &amp; IF(C942="", B942, C942) &amp; IF(M942="", "", " ("&amp;M942&amp;")") &amp; CHAR(10) &amp;
  _xlpm.vanillaPrefix &amp; "Keyword = Uvi_Wig_Distr_KYWD|" &amp; B942 &amp; CHAR(10) &amp;
  _xlpm.vanillaPrefix &amp; "Spell = " &amp; _xlpm.spell &amp; "|" &amp; B942
  )
)</f>
        <v>;Legate Constantius Tituleius
;Keyword = Uvi_Wig_Distr_KYWD|CWFieldCOImperialPale
;Spell = No Spell for Hairstyle|CWFieldCOImperialPale</v>
      </c>
    </row>
    <row r="943" ht="12.75" customHeight="1">
      <c r="A943" s="5" t="s">
        <v>3806</v>
      </c>
      <c r="B943" s="5" t="s">
        <v>3807</v>
      </c>
      <c r="C943" s="5" t="s">
        <v>3808</v>
      </c>
      <c r="D943" s="5" t="s">
        <v>16</v>
      </c>
      <c r="E943" s="5" t="s">
        <v>233</v>
      </c>
      <c r="F943" s="5" t="s">
        <v>218</v>
      </c>
      <c r="G943" s="14" t="str">
        <f t="array" ref="G943">IF(B943="", "",
  LET(_xlpm.spell, IFERROR(IF(F943="", "", INDEX(_xlws.FILTER(Hairstyles!$F:$F, ISNUMBER(SEARCH(F943, Hairstyles!$B:$B))), 1)), "No Spell for Hairstyle"),
  _xlpm.vanillaPrefix, IF(LEFT(_xlpm.spell, 7)="Uvi_Wig", "", ";"),
  ";" &amp; IF(C943="", B943, C943) &amp; IF(M943="", "", " ("&amp;M943&amp;")") &amp; CHAR(10) &amp;
  _xlpm.vanillaPrefix &amp; "Keyword = Uvi_Wig_Distr_KYWD|" &amp; B943 &amp; CHAR(10) &amp;
  _xlpm.vanillaPrefix &amp; "Spell = " &amp; _xlpm.spell &amp; "|" &amp; B943
  )
)</f>
        <v>;Legate Emmanuel Admand
;Keyword = Uvi_Wig_Distr_KYWD|CWFieldCOImperialReach
;Spell = No Spell for Hairstyle|CWFieldCOImperialReach</v>
      </c>
    </row>
    <row r="944" ht="12.75" customHeight="1">
      <c r="A944" s="5" t="s">
        <v>3809</v>
      </c>
      <c r="B944" s="5" t="s">
        <v>3810</v>
      </c>
      <c r="C944" s="5" t="s">
        <v>3811</v>
      </c>
      <c r="D944" s="5" t="s">
        <v>57</v>
      </c>
      <c r="E944" s="5" t="s">
        <v>233</v>
      </c>
      <c r="F944" s="5" t="s">
        <v>1787</v>
      </c>
      <c r="G944" s="14" t="str">
        <f t="array" ref="G944">IF(B944="", "",
  LET(_xlpm.spell, IFERROR(IF(F944="", "", INDEX(_xlws.FILTER(Hairstyles!$F:$F, ISNUMBER(SEARCH(F944, Hairstyles!$B:$B))), 1)), "No Spell for Hairstyle"),
  _xlpm.vanillaPrefix, IF(LEFT(_xlpm.spell, 7)="Uvi_Wig", "", ";"),
  ";" &amp; IF(C944="", B944, C944) &amp; IF(M944="", "", " ("&amp;M944&amp;")") &amp; CHAR(10) &amp;
  _xlpm.vanillaPrefix &amp; "Keyword = Uvi_Wig_Distr_KYWD|" &amp; B944 &amp; CHAR(10) &amp;
  _xlpm.vanillaPrefix &amp; "Spell = " &amp; _xlpm.spell &amp; "|" &amp; B944
  )
)</f>
        <v>;Legate Fasendil
;Keyword = Uvi_Wig_Distr_KYWD|CWFieldCOImperialRift
;Spell = No Spell for Hairstyle|CWFieldCOImperialRift</v>
      </c>
    </row>
    <row r="945" ht="12.75" customHeight="1">
      <c r="A945" s="5" t="s">
        <v>3812</v>
      </c>
      <c r="B945" s="5" t="s">
        <v>3813</v>
      </c>
      <c r="C945" s="5" t="s">
        <v>3814</v>
      </c>
      <c r="D945" s="5" t="s">
        <v>38</v>
      </c>
      <c r="E945" s="5" t="s">
        <v>233</v>
      </c>
      <c r="F945" s="5" t="s">
        <v>19</v>
      </c>
      <c r="G945" s="14" t="str">
        <f t="array" ref="G945">IF(B945="", "",
  LET(_xlpm.spell, IFERROR(IF(F945="", "", INDEX(_xlws.FILTER(Hairstyles!$F:$F, ISNUMBER(SEARCH(F945, Hairstyles!$B:$B))), 1)), "No Spell for Hairstyle"),
  _xlpm.vanillaPrefix, IF(LEFT(_xlpm.spell, 7)="Uvi_Wig", "", ";"),
  ";" &amp; IF(C945="", B945, C945) &amp; IF(M945="", "", " ("&amp;M945&amp;")") &amp; CHAR(10) &amp;
  _xlpm.vanillaPrefix &amp; "Keyword = Uvi_Wig_Distr_KYWD|" &amp; B945 &amp; CHAR(10) &amp;
  _xlpm.vanillaPrefix &amp; "Spell = " &amp; _xlpm.spell &amp; "|" &amp; B945
  )
)</f>
        <v>;Legate Hrollod
;Keyword = Uvi_Wig_Distr_KYWD|CWFieldCOImperialEastmarch
;Spell = No Spell for Hairstyle|CWFieldCOImperialEastmarch</v>
      </c>
    </row>
    <row r="946" ht="12.75" customHeight="1">
      <c r="A946" s="5" t="s">
        <v>3815</v>
      </c>
      <c r="B946" s="5" t="s">
        <v>3816</v>
      </c>
      <c r="C946" s="5" t="s">
        <v>3817</v>
      </c>
      <c r="D946" s="5" t="s">
        <v>59</v>
      </c>
      <c r="E946" s="5" t="s">
        <v>233</v>
      </c>
      <c r="F946" s="5" t="s">
        <v>1906</v>
      </c>
      <c r="G946" s="14" t="str">
        <f t="array" ref="G946">IF(B946="", "",
  LET(_xlpm.spell, IFERROR(IF(F946="", "", INDEX(_xlws.FILTER(Hairstyles!$F:$F, ISNUMBER(SEARCH(F946, Hairstyles!$B:$B))), 1)), "No Spell for Hairstyle"),
  _xlpm.vanillaPrefix, IF(LEFT(_xlpm.spell, 7)="Uvi_Wig", "", ";"),
  ";" &amp; IF(C946="", B946, C946) &amp; IF(M946="", "", " ("&amp;M946&amp;")") &amp; CHAR(10) &amp;
  _xlpm.vanillaPrefix &amp; "Keyword = Uvi_Wig_Distr_KYWD|" &amp; B946 &amp; CHAR(10) &amp;
  _xlpm.vanillaPrefix &amp; "Spell = " &amp; _xlpm.spell &amp; "|" &amp; B946
  )
)</f>
        <v>;Legate Quentin Cipius
;Keyword = Uvi_Wig_Distr_KYWD|CWFieldCOImperialWhiterun
;Spell = No Spell for Hairstyle|CWFieldCOImperialWhiterun</v>
      </c>
    </row>
    <row r="947" ht="12.75" customHeight="1">
      <c r="A947" s="5" t="s">
        <v>3818</v>
      </c>
      <c r="B947" s="5" t="s">
        <v>3819</v>
      </c>
      <c r="C947" s="5" t="s">
        <v>3820</v>
      </c>
      <c r="D947" s="5" t="s">
        <v>38</v>
      </c>
      <c r="E947" s="5" t="s">
        <v>41</v>
      </c>
      <c r="F947" s="5" t="s">
        <v>371</v>
      </c>
      <c r="G947" s="14" t="str">
        <f t="array" ref="G947">IF(B947="", "",
  LET(_xlpm.spell, IFERROR(IF(F947="", "", INDEX(_xlws.FILTER(Hairstyles!$F:$F, ISNUMBER(SEARCH(F947, Hairstyles!$B:$B))), 1)), "No Spell for Hairstyle"),
  _xlpm.vanillaPrefix, IF(LEFT(_xlpm.spell, 7)="Uvi_Wig", "", ";"),
  ";" &amp; IF(C947="", B947, C947) &amp; IF(M947="", "", " ("&amp;M947&amp;")") &amp; CHAR(10) &amp;
  _xlpm.vanillaPrefix &amp; "Keyword = Uvi_Wig_Distr_KYWD|" &amp; B947 &amp; CHAR(10) &amp;
  _xlpm.vanillaPrefix &amp; "Spell = " &amp; _xlpm.spell &amp; "|" &amp; B947
  )
)</f>
        <v>;Legate Rikke
;Keyword = Uvi_Wig_Distr_KYWD|CWBattleRikke
;Spell = No Spell for Hairstyle|CWBattleRikke</v>
      </c>
    </row>
    <row r="948" ht="12.75" customHeight="1">
      <c r="A948" s="5" t="s">
        <v>3821</v>
      </c>
      <c r="B948" s="5" t="s">
        <v>3822</v>
      </c>
      <c r="C948" s="5" t="s">
        <v>3820</v>
      </c>
      <c r="D948" s="5" t="s">
        <v>38</v>
      </c>
      <c r="E948" s="5" t="s">
        <v>41</v>
      </c>
      <c r="F948" s="5" t="s">
        <v>1822</v>
      </c>
      <c r="G948" s="14" t="str">
        <f t="array" ref="G948">IF(B948="", "",
  LET(_xlpm.spell, IFERROR(IF(F948="", "", INDEX(_xlws.FILTER(Hairstyles!$F:$F, ISNUMBER(SEARCH(F948, Hairstyles!$B:$B))), 1)), "No Spell for Hairstyle"),
  _xlpm.vanillaPrefix, IF(LEFT(_xlpm.spell, 7)="Uvi_Wig", "", ";"),
  ";" &amp; IF(C948="", B948, C948) &amp; IF(M948="", "", " ("&amp;M948&amp;")") &amp; CHAR(10) &amp;
  _xlpm.vanillaPrefix &amp; "Keyword = Uvi_Wig_Distr_KYWD|" &amp; B948 &amp; CHAR(10) &amp;
  _xlpm.vanillaPrefix &amp; "Spell = " &amp; _xlpm.spell &amp; "|" &amp; B948
  )
)</f>
        <v>;Legate Rikke
;Keyword = Uvi_Wig_Distr_KYWD|Rikke
;Spell = No Spell for Hairstyle|Rikke</v>
      </c>
    </row>
    <row r="949" ht="12.75" customHeight="1">
      <c r="A949" s="5" t="s">
        <v>3823</v>
      </c>
      <c r="B949" s="5" t="s">
        <v>3824</v>
      </c>
      <c r="C949" s="5" t="s">
        <v>3825</v>
      </c>
      <c r="D949" s="5" t="s">
        <v>45</v>
      </c>
      <c r="E949" s="5" t="s">
        <v>233</v>
      </c>
      <c r="F949" s="5" t="s">
        <v>1541</v>
      </c>
      <c r="G949" s="14" t="str">
        <f t="array" ref="G949">IF(B949="", "",
  LET(_xlpm.spell, IFERROR(IF(F949="", "", INDEX(_xlws.FILTER(Hairstyles!$F:$F, ISNUMBER(SEARCH(F949, Hairstyles!$B:$B))), 1)), "No Spell for Hairstyle"),
  _xlpm.vanillaPrefix, IF(LEFT(_xlpm.spell, 7)="Uvi_Wig", "", ";"),
  ";" &amp; IF(C949="", B949, C949) &amp; IF(M949="", "", " ("&amp;M949&amp;")") &amp; CHAR(10) &amp;
  _xlpm.vanillaPrefix &amp; "Keyword = Uvi_Wig_Distr_KYWD|" &amp; B949 &amp; CHAR(10) &amp;
  _xlpm.vanillaPrefix &amp; "Spell = " &amp; _xlpm.spell &amp; "|" &amp; B949
  )
)</f>
        <v>;Legate Sevan Telendas
;Keyword = Uvi_Wig_Distr_KYWD|CWFieldCOImperialWinterhold
;Spell = No Spell for Hairstyle|CWFieldCOImperialWinterhold</v>
      </c>
    </row>
    <row r="950" ht="12.75" customHeight="1">
      <c r="A950" s="5" t="s">
        <v>3826</v>
      </c>
      <c r="B950" s="5" t="s">
        <v>3827</v>
      </c>
      <c r="C950" s="5" t="s">
        <v>3828</v>
      </c>
      <c r="D950" s="5" t="s">
        <v>38</v>
      </c>
      <c r="E950" s="5" t="s">
        <v>233</v>
      </c>
      <c r="F950" s="5" t="s">
        <v>19</v>
      </c>
      <c r="G950" s="14" t="str">
        <f t="array" ref="G950">IF(B950="", "",
  LET(_xlpm.spell, IFERROR(IF(F950="", "", INDEX(_xlws.FILTER(Hairstyles!$F:$F, ISNUMBER(SEARCH(F950, Hairstyles!$B:$B))), 1)), "No Spell for Hairstyle"),
  _xlpm.vanillaPrefix, IF(LEFT(_xlpm.spell, 7)="Uvi_Wig", "", ";"),
  ";" &amp; IF(C950="", B950, C950) &amp; IF(M950="", "", " ("&amp;M950&amp;")") &amp; CHAR(10) &amp;
  _xlpm.vanillaPrefix &amp; "Keyword = Uvi_Wig_Distr_KYWD|" &amp; B950 &amp; CHAR(10) &amp;
  _xlpm.vanillaPrefix &amp; "Spell = " &amp; _xlpm.spell &amp; "|" &amp; B950
  )
)</f>
        <v>;Legate Skulnar
;Keyword = Uvi_Wig_Distr_KYWD|CWFieldCOImperialFalkreath
;Spell = No Spell for Hairstyle|CWFieldCOImperialFalkreath</v>
      </c>
    </row>
    <row r="951" ht="12.75" customHeight="1">
      <c r="A951" s="5" t="s">
        <v>3829</v>
      </c>
      <c r="B951" s="5" t="s">
        <v>3830</v>
      </c>
      <c r="C951" s="5" t="s">
        <v>3831</v>
      </c>
      <c r="D951" s="5" t="s">
        <v>59</v>
      </c>
      <c r="E951" s="5" t="s">
        <v>233</v>
      </c>
      <c r="F951" s="5" t="s">
        <v>990</v>
      </c>
      <c r="G951" s="14" t="str">
        <f t="array" ref="G951">IF(B951="", "",
  LET(_xlpm.spell, IFERROR(IF(F951="", "", INDEX(_xlws.FILTER(Hairstyles!$F:$F, ISNUMBER(SEARCH(F951, Hairstyles!$B:$B))), 1)), "No Spell for Hairstyle"),
  _xlpm.vanillaPrefix, IF(LEFT(_xlpm.spell, 7)="Uvi_Wig", "", ";"),
  ";" &amp; IF(C951="", B951, C951) &amp; IF(M951="", "", " ("&amp;M951&amp;")") &amp; CHAR(10) &amp;
  _xlpm.vanillaPrefix &amp; "Keyword = Uvi_Wig_Distr_KYWD|" &amp; B951 &amp; CHAR(10) &amp;
  _xlpm.vanillaPrefix &amp; "Spell = " &amp; _xlpm.spell &amp; "|" &amp; B951
  )
)</f>
        <v>;Legate Taurinus Duilis
;Keyword = Uvi_Wig_Distr_KYWD|CWFieldCOImperialHjaalmarch
;Spell = No Spell for Hairstyle|CWFieldCOImperialHjaalmarch</v>
      </c>
    </row>
    <row r="952" ht="12.75" customHeight="1">
      <c r="A952" s="15" t="s">
        <v>3832</v>
      </c>
      <c r="B952" s="5" t="s">
        <v>3833</v>
      </c>
      <c r="C952" s="5" t="s">
        <v>3833</v>
      </c>
      <c r="D952" s="5" t="s">
        <v>38</v>
      </c>
      <c r="E952" s="5" t="s">
        <v>233</v>
      </c>
      <c r="F952" s="5" t="s">
        <v>424</v>
      </c>
      <c r="G952" s="14" t="str">
        <f t="array" ref="G952">IF(B952="", "",
  LET(_xlpm.spell, IFERROR(IF(F952="", "", INDEX(_xlws.FILTER(Hairstyles!$F:$F, ISNUMBER(SEARCH(F952, Hairstyles!$B:$B))), 1)), "No Spell for Hairstyle"),
  _xlpm.vanillaPrefix, IF(LEFT(_xlpm.spell, 7)="Uvi_Wig", "", ";"),
  ";" &amp; IF(C952="", B952, C952) &amp; IF(M952="", "", " ("&amp;M952&amp;")") &amp; CHAR(10) &amp;
  _xlpm.vanillaPrefix &amp; "Keyword = Uvi_Wig_Distr_KYWD|" &amp; B952 &amp; CHAR(10) &amp;
  _xlpm.vanillaPrefix &amp; "Spell = " &amp; _xlpm.spell &amp; "|" &amp; B952
  )
)</f>
        <v>;Leifur
;Keyword = Uvi_Wig_Distr_KYWD|Leifur
;Spell = No Spell for Hairstyle|Leifur</v>
      </c>
    </row>
    <row r="953" ht="12.75" customHeight="1">
      <c r="A953" s="5" t="s">
        <v>3834</v>
      </c>
      <c r="B953" s="5" t="s">
        <v>3835</v>
      </c>
      <c r="C953" s="5" t="s">
        <v>3835</v>
      </c>
      <c r="D953" s="5" t="s">
        <v>38</v>
      </c>
      <c r="E953" s="5" t="s">
        <v>233</v>
      </c>
      <c r="F953" s="5" t="s">
        <v>235</v>
      </c>
      <c r="G953" s="14" t="str">
        <f t="array" ref="G953">IF(B953="", "",
  LET(_xlpm.spell, IFERROR(IF(F953="", "", INDEX(_xlws.FILTER(Hairstyles!$F:$F, ISNUMBER(SEARCH(F953, Hairstyles!$B:$B))), 1)), "No Spell for Hairstyle"),
  _xlpm.vanillaPrefix, IF(LEFT(_xlpm.spell, 7)="Uvi_Wig", "", ";"),
  ";" &amp; IF(C953="", B953, C953) &amp; IF(M953="", "", " ("&amp;M953&amp;")") &amp; CHAR(10) &amp;
  _xlpm.vanillaPrefix &amp; "Keyword = Uvi_Wig_Distr_KYWD|" &amp; B953 &amp; CHAR(10) &amp;
  _xlpm.vanillaPrefix &amp; "Spell = " &amp; _xlpm.spell &amp; "|" &amp; B953
  )
)</f>
        <v>;Leigelf
;Keyword = Uvi_Wig_Distr_KYWD|Leigelf
;Spell = No Spell for Hairstyle|Leigelf</v>
      </c>
    </row>
    <row r="954" ht="12.75" customHeight="1">
      <c r="A954" s="5" t="s">
        <v>3836</v>
      </c>
      <c r="B954" s="5" t="s">
        <v>3837</v>
      </c>
      <c r="C954" s="5" t="s">
        <v>3837</v>
      </c>
      <c r="D954" s="5" t="s">
        <v>38</v>
      </c>
      <c r="E954" s="5" t="s">
        <v>233</v>
      </c>
      <c r="F954" s="5" t="s">
        <v>209</v>
      </c>
      <c r="G954" s="14" t="str">
        <f t="array" ref="G954">IF(B954="", "",
  LET(_xlpm.spell, IFERROR(IF(F954="", "", INDEX(_xlws.FILTER(Hairstyles!$F:$F, ISNUMBER(SEARCH(F954, Hairstyles!$B:$B))), 1)), "No Spell for Hairstyle"),
  _xlpm.vanillaPrefix, IF(LEFT(_xlpm.spell, 7)="Uvi_Wig", "", ";"),
  ";" &amp; IF(C954="", B954, C954) &amp; IF(M954="", "", " ("&amp;M954&amp;")") &amp; CHAR(10) &amp;
  _xlpm.vanillaPrefix &amp; "Keyword = Uvi_Wig_Distr_KYWD|" &amp; B954 &amp; CHAR(10) &amp;
  _xlpm.vanillaPrefix &amp; "Spell = " &amp; _xlpm.spell &amp; "|" &amp; B954
  )
)</f>
        <v>;Lemkil
;Keyword = Uvi_Wig_Distr_KYWD|Lemkil
;Spell = No Spell for Hairstyle|Lemkil</v>
      </c>
    </row>
    <row r="955" ht="12.75" customHeight="1">
      <c r="A955" s="15" t="s">
        <v>3838</v>
      </c>
      <c r="B955" s="5" t="s">
        <v>3839</v>
      </c>
      <c r="C955" s="5" t="s">
        <v>3840</v>
      </c>
      <c r="D955" s="5" t="s">
        <v>59</v>
      </c>
      <c r="E955" s="5" t="s">
        <v>41</v>
      </c>
      <c r="F955" s="5" t="s">
        <v>44</v>
      </c>
      <c r="G955" s="14" t="str">
        <f t="array" ref="G955">IF(B955="", "",
  LET(_xlpm.spell, IFERROR(IF(F955="", "", INDEX(_xlws.FILTER(Hairstyles!$F:$F, ISNUMBER(SEARCH(F955, Hairstyles!$B:$B))), 1)), "No Spell for Hairstyle"),
  _xlpm.vanillaPrefix, IF(LEFT(_xlpm.spell, 7)="Uvi_Wig", "", ";"),
  ";" &amp; IF(C955="", B955, C955) &amp; IF(M955="", "", " ("&amp;M955&amp;")") &amp; CHAR(10) &amp;
  _xlpm.vanillaPrefix &amp; "Keyword = Uvi_Wig_Distr_KYWD|" &amp; B955 &amp; CHAR(10) &amp;
  _xlpm.vanillaPrefix &amp; "Spell = " &amp; _xlpm.spell &amp; "|" &amp; B955
  )
)</f>
        <v>;Leonara Arius
;Keyword = Uvi_Wig_Distr_KYWD|LeonaraArius
;Spell = No Spell for Hairstyle|LeonaraArius</v>
      </c>
    </row>
    <row r="956" ht="12.75" customHeight="1">
      <c r="A956" s="5" t="s">
        <v>3841</v>
      </c>
      <c r="B956" s="5" t="s">
        <v>3842</v>
      </c>
      <c r="C956" s="5" t="s">
        <v>3843</v>
      </c>
      <c r="D956" s="5" t="s">
        <v>59</v>
      </c>
      <c r="E956" s="5" t="s">
        <v>233</v>
      </c>
      <c r="F956" s="5" t="s">
        <v>224</v>
      </c>
      <c r="G956" s="14" t="str">
        <f t="array" ref="G956">IF(B956="", "",
  LET(_xlpm.spell, IFERROR(IF(F956="", "", INDEX(_xlws.FILTER(Hairstyles!$F:$F, ISNUMBER(SEARCH(F956, Hairstyles!$B:$B))), 1)), "No Spell for Hairstyle"),
  _xlpm.vanillaPrefix, IF(LEFT(_xlpm.spell, 7)="Uvi_Wig", "", ";"),
  ";" &amp; IF(C956="", B956, C956) &amp; IF(M956="", "", " ("&amp;M956&amp;")") &amp; CHAR(10) &amp;
  _xlpm.vanillaPrefix &amp; "Keyword = Uvi_Wig_Distr_KYWD|" &amp; B956 &amp; CHAR(10) &amp;
  _xlpm.vanillaPrefix &amp; "Spell = " &amp; _xlpm.spell &amp; "|" &amp; B956
  )
)</f>
        <v>;Leontius Salvius
;Keyword = Uvi_Wig_Distr_KYWD|LeontiusSalvius
;Spell = No Spell for Hairstyle|LeontiusSalvius</v>
      </c>
    </row>
    <row r="957" ht="12.75" customHeight="1">
      <c r="A957" s="5" t="s">
        <v>3844</v>
      </c>
      <c r="B957" s="5" t="s">
        <v>3845</v>
      </c>
      <c r="C957" s="5" t="s">
        <v>3846</v>
      </c>
      <c r="D957" s="5" t="s">
        <v>38</v>
      </c>
      <c r="E957" s="5" t="s">
        <v>41</v>
      </c>
      <c r="F957" s="5" t="s">
        <v>69</v>
      </c>
      <c r="G957" s="14" t="str">
        <f t="array" ref="G957">IF(B957="", "",
  LET(_xlpm.spell, IFERROR(IF(F957="", "", INDEX(_xlws.FILTER(Hairstyles!$F:$F, ISNUMBER(SEARCH(F957, Hairstyles!$B:$B))), 1)), "No Spell for Hairstyle"),
  _xlpm.vanillaPrefix, IF(LEFT(_xlpm.spell, 7)="Uvi_Wig", "", ";"),
  ";" &amp; IF(C957="", B957, C957) &amp; IF(M957="", "", " ("&amp;M957&amp;")") &amp; CHAR(10) &amp;
  _xlpm.vanillaPrefix &amp; "Keyword = Uvi_Wig_Distr_KYWD|" &amp; B957 &amp; CHAR(10) &amp;
  _xlpm.vanillaPrefix &amp; "Spell = " &amp; _xlpm.spell &amp; "|" &amp; B957
  )
)</f>
        <v>;Liesl
;Keyword = Uvi_Wig_Distr_KYWD|DLC2WaterStoneSailor3
;Spell = No Spell for Hairstyle|DLC2WaterStoneSailor3</v>
      </c>
    </row>
    <row r="958" ht="12.75" customHeight="1">
      <c r="A958" s="5" t="s">
        <v>3847</v>
      </c>
      <c r="B958" s="5" t="s">
        <v>3846</v>
      </c>
      <c r="C958" s="5" t="s">
        <v>3846</v>
      </c>
      <c r="D958" s="5" t="s">
        <v>38</v>
      </c>
      <c r="E958" s="5" t="s">
        <v>41</v>
      </c>
      <c r="F958" s="5" t="s">
        <v>1759</v>
      </c>
      <c r="G958" s="14" t="str">
        <f t="array" ref="G958">IF(B958="", "",
  LET(_xlpm.spell, IFERROR(IF(F958="", "", INDEX(_xlws.FILTER(Hairstyles!$F:$F, ISNUMBER(SEARCH(F958, Hairstyles!$B:$B))), 1)), "No Spell for Hairstyle"),
  _xlpm.vanillaPrefix, IF(LEFT(_xlpm.spell, 7)="Uvi_Wig", "", ";"),
  ";" &amp; IF(C958="", B958, C958) &amp; IF(M958="", "", " ("&amp;M958&amp;")") &amp; CHAR(10) &amp;
  _xlpm.vanillaPrefix &amp; "Keyword = Uvi_Wig_Distr_KYWD|" &amp; B958 &amp; CHAR(10) &amp;
  _xlpm.vanillaPrefix &amp; "Spell = " &amp; _xlpm.spell &amp; "|" &amp; B958
  )
)</f>
        <v>;Liesl
;Keyword = Uvi_Wig_Distr_KYWD|Liesl
;Spell = No Spell for Hairstyle|Liesl</v>
      </c>
    </row>
    <row r="959" ht="12.75" customHeight="1">
      <c r="A959" s="5" t="s">
        <v>3848</v>
      </c>
      <c r="B959" s="5" t="s">
        <v>3849</v>
      </c>
      <c r="C959" s="5" t="s">
        <v>3850</v>
      </c>
      <c r="D959" s="5" t="s">
        <v>51</v>
      </c>
      <c r="E959" s="5" t="s">
        <v>41</v>
      </c>
      <c r="F959" s="5" t="s">
        <v>371</v>
      </c>
      <c r="G959" s="14" t="str">
        <f t="array" ref="G959">IF(B959="", "",
  LET(_xlpm.spell, IFERROR(IF(F959="", "", INDEX(_xlws.FILTER(Hairstyles!$F:$F, ISNUMBER(SEARCH(F959, Hairstyles!$B:$B))), 1)), "No Spell for Hairstyle"),
  _xlpm.vanillaPrefix, IF(LEFT(_xlpm.spell, 7)="Uvi_Wig", "", ";"),
  ";" &amp; IF(C959="", B959, C959) &amp; IF(M959="", "", " ("&amp;M959&amp;")") &amp; CHAR(10) &amp;
  _xlpm.vanillaPrefix &amp; "Keyword = Uvi_Wig_Distr_KYWD|" &amp; B959 &amp; CHAR(10) &amp;
  _xlpm.vanillaPrefix &amp; "Spell = " &amp; _xlpm.spell &amp; "|" &amp; B959
  )
)</f>
        <v>;Lillith Maiden-Loom
;Keyword = Uvi_Wig_Distr_KYWD|LillithMaidenLoom
;Spell = No Spell for Hairstyle|LillithMaidenLoom</v>
      </c>
    </row>
    <row r="960" ht="12.75" customHeight="1">
      <c r="A960" s="5" t="s">
        <v>3851</v>
      </c>
      <c r="B960" s="5" t="s">
        <v>3852</v>
      </c>
      <c r="C960" s="5" t="s">
        <v>3852</v>
      </c>
      <c r="D960" s="5" t="s">
        <v>57</v>
      </c>
      <c r="E960" s="5" t="s">
        <v>233</v>
      </c>
      <c r="F960" s="5" t="s">
        <v>1667</v>
      </c>
      <c r="G960" s="14" t="str">
        <f t="array" ref="G960">IF(B960="", "",
  LET(_xlpm.spell, IFERROR(IF(F960="", "", INDEX(_xlws.FILTER(Hairstyles!$F:$F, ISNUMBER(SEARCH(F960, Hairstyles!$B:$B))), 1)), "No Spell for Hairstyle"),
  _xlpm.vanillaPrefix, IF(LEFT(_xlpm.spell, 7)="Uvi_Wig", "", ";"),
  ";" &amp; IF(C960="", B960, C960) &amp; IF(M960="", "", " ("&amp;M960&amp;")") &amp; CHAR(10) &amp;
  _xlpm.vanillaPrefix &amp; "Keyword = Uvi_Wig_Distr_KYWD|" &amp; B960 &amp; CHAR(10) &amp;
  _xlpm.vanillaPrefix &amp; "Spell = " &amp; _xlpm.spell &amp; "|" &amp; B960
  )
)</f>
        <v>;Linwe
;Keyword = Uvi_Wig_Distr_KYWD|Linwe
;Spell = No Spell for Hairstyle|Linwe</v>
      </c>
    </row>
    <row r="961" ht="12.75" customHeight="1">
      <c r="A961" s="5" t="s">
        <v>3853</v>
      </c>
      <c r="B961" s="5" t="s">
        <v>3854</v>
      </c>
      <c r="C961" s="5" t="s">
        <v>3854</v>
      </c>
      <c r="D961" s="5" t="s">
        <v>38</v>
      </c>
      <c r="E961" s="5" t="s">
        <v>41</v>
      </c>
      <c r="F961" s="5" t="s">
        <v>22</v>
      </c>
      <c r="G961" s="14" t="str">
        <f t="array" ref="G961">IF(B961="", "",
  LET(_xlpm.spell, IFERROR(IF(F961="", "", INDEX(_xlws.FILTER(Hairstyles!$F:$F, ISNUMBER(SEARCH(F961, Hairstyles!$B:$B))), 1)), "No Spell for Hairstyle"),
  _xlpm.vanillaPrefix, IF(LEFT(_xlpm.spell, 7)="Uvi_Wig", "", ";"),
  ";" &amp; IF(C961="", B961, C961) &amp; IF(M961="", "", " ("&amp;M961&amp;")") &amp; CHAR(10) &amp;
  _xlpm.vanillaPrefix &amp; "Keyword = Uvi_Wig_Distr_KYWD|" &amp; B961 &amp; CHAR(10) &amp;
  _xlpm.vanillaPrefix &amp; "Spell = " &amp; _xlpm.spell &amp; "|" &amp; B961
  )
)</f>
        <v>;Lisbet
;Keyword = Uvi_Wig_Distr_KYWD|Lisbet
;Spell = No Spell for Hairstyle|Lisbet</v>
      </c>
    </row>
    <row r="962" ht="12.75" customHeight="1">
      <c r="A962" s="15" t="s">
        <v>3855</v>
      </c>
      <c r="B962" s="5" t="s">
        <v>3856</v>
      </c>
      <c r="C962" s="5" t="s">
        <v>3856</v>
      </c>
      <c r="D962" s="5" t="s">
        <v>16</v>
      </c>
      <c r="E962" s="5" t="s">
        <v>41</v>
      </c>
      <c r="F962" s="5" t="s">
        <v>1041</v>
      </c>
      <c r="G962" s="14" t="str">
        <f t="array" ref="G962">IF(B962="", "",
  LET(_xlpm.spell, IFERROR(IF(F962="", "", INDEX(_xlws.FILTER(Hairstyles!$F:$F, ISNUMBER(SEARCH(F962, Hairstyles!$B:$B))), 1)), "No Spell for Hairstyle"),
  _xlpm.vanillaPrefix, IF(LEFT(_xlpm.spell, 7)="Uvi_Wig", "", ";"),
  ";" &amp; IF(C962="", B962, C962) &amp; IF(M962="", "", " ("&amp;M962&amp;")") &amp; CHAR(10) &amp;
  _xlpm.vanillaPrefix &amp; "Keyword = Uvi_Wig_Distr_KYWD|" &amp; B962 &amp; CHAR(10) &amp;
  _xlpm.vanillaPrefix &amp; "Spell = " &amp; _xlpm.spell &amp; "|" &amp; B962
  )
)</f>
        <v>;Lisette
;Keyword = Uvi_Wig_Distr_KYWD|Lisette
;Spell = No Spell for Hairstyle|Lisette</v>
      </c>
    </row>
    <row r="963" ht="12.75" customHeight="1">
      <c r="A963" s="5" t="s">
        <v>3857</v>
      </c>
      <c r="B963" s="5" t="s">
        <v>3858</v>
      </c>
      <c r="C963" s="5" t="s">
        <v>3859</v>
      </c>
      <c r="D963" s="5" t="s">
        <v>74</v>
      </c>
      <c r="E963" s="5" t="s">
        <v>233</v>
      </c>
      <c r="F963" s="5" t="s">
        <v>27</v>
      </c>
      <c r="G963" s="14" t="str">
        <f t="array" ref="G963">IF(B963="", "",
  LET(_xlpm.spell, IFERROR(IF(F963="", "", INDEX(_xlws.FILTER(Hairstyles!$F:$F, ISNUMBER(SEARCH(F963, Hairstyles!$B:$B))), 1)), "No Spell for Hairstyle"),
  _xlpm.vanillaPrefix, IF(LEFT(_xlpm.spell, 7)="Uvi_Wig", "", ";"),
  ";" &amp; IF(C963="", B963, C963) &amp; IF(M963="", "", " ("&amp;M963&amp;")") &amp; CHAR(10) &amp;
  _xlpm.vanillaPrefix &amp; "Keyword = Uvi_Wig_Distr_KYWD|" &amp; B963 &amp; CHAR(10) &amp;
  _xlpm.vanillaPrefix &amp; "Spell = " &amp; _xlpm.spell &amp; "|" &amp; B963
  )
)</f>
        <v>;Little Pelagius
;Keyword = Uvi_Wig_Distr_KYWD|dunBluePalaceWingLittlePelagius
;Spell = No Spell for Hairstyle|dunBluePalaceWingLittlePelagius</v>
      </c>
    </row>
    <row r="964" ht="12.75" customHeight="1">
      <c r="A964" s="5" t="s">
        <v>3860</v>
      </c>
      <c r="B964" s="5" t="s">
        <v>3861</v>
      </c>
      <c r="C964" s="5" t="s">
        <v>3862</v>
      </c>
      <c r="D964" s="5" t="s">
        <v>45</v>
      </c>
      <c r="E964" s="5" t="s">
        <v>233</v>
      </c>
      <c r="F964" s="5" t="s">
        <v>2469</v>
      </c>
      <c r="G964" s="14" t="str">
        <f t="array" ref="G964">IF(B964="", "",
  LET(_xlpm.spell, IFERROR(IF(F964="", "", INDEX(_xlws.FILTER(Hairstyles!$F:$F, ISNUMBER(SEARCH(F964, Hairstyles!$B:$B))), 1)), "No Spell for Hairstyle"),
  _xlpm.vanillaPrefix, IF(LEFT(_xlpm.spell, 7)="Uvi_Wig", "", ";"),
  ";" &amp; IF(C964="", B964, C964) &amp; IF(M964="", "", " ("&amp;M964&amp;")") &amp; CHAR(10) &amp;
  _xlpm.vanillaPrefix &amp; "Keyword = Uvi_Wig_Distr_KYWD|" &amp; B964 &amp; CHAR(10) &amp;
  _xlpm.vanillaPrefix &amp; "Spell = " &amp; _xlpm.spell &amp; "|" &amp; B964
  )
)</f>
        <v>;Lleril Morvayn
;Keyword = Uvi_Wig_Distr_KYWD|DLC2RRLlerilMorvayn
;Spell = No Spell for Hairstyle|DLC2RRLlerilMorvayn</v>
      </c>
    </row>
    <row r="965" ht="12.75" customHeight="1">
      <c r="A965" s="5" t="s">
        <v>3863</v>
      </c>
      <c r="B965" s="5" t="s">
        <v>3864</v>
      </c>
      <c r="C965" s="5" t="s">
        <v>3865</v>
      </c>
      <c r="D965" s="5" t="s">
        <v>38</v>
      </c>
      <c r="E965" s="5" t="s">
        <v>233</v>
      </c>
      <c r="F965" s="5" t="s">
        <v>19</v>
      </c>
      <c r="G965" s="14" t="str">
        <f t="array" ref="G965">IF(B965="", "",
  LET(_xlpm.spell, IFERROR(IF(F965="", "", INDEX(_xlws.FILTER(Hairstyles!$F:$F, ISNUMBER(SEARCH(F965, Hairstyles!$B:$B))), 1)), "No Spell for Hairstyle"),
  _xlpm.vanillaPrefix, IF(LEFT(_xlpm.spell, 7)="Uvi_Wig", "", ";"),
  ";" &amp; IF(C965="", B965, C965) &amp; IF(M965="", "", " ("&amp;M965&amp;")") &amp; CHAR(10) &amp;
  _xlpm.vanillaPrefix &amp; "Keyword = Uvi_Wig_Distr_KYWD|" &amp; B965 &amp; CHAR(10) &amp;
  _xlpm.vanillaPrefix &amp; "Spell = " &amp; _xlpm.spell &amp; "|" &amp; B965
  )
)</f>
        <v>;Llewellyn the Nightingale
;Keyword = Uvi_Wig_Distr_KYWD|BYOHHouse1Bard
;Spell = No Spell for Hairstyle|BYOHHouse1Bard</v>
      </c>
    </row>
    <row r="966" ht="12.75" customHeight="1">
      <c r="A966" s="5" t="s">
        <v>3866</v>
      </c>
      <c r="B966" s="5" t="s">
        <v>3867</v>
      </c>
      <c r="C966" s="5" t="s">
        <v>3867</v>
      </c>
      <c r="D966" s="5" t="s">
        <v>80</v>
      </c>
      <c r="E966" s="5" t="s">
        <v>233</v>
      </c>
      <c r="F966" s="5" t="s">
        <v>458</v>
      </c>
      <c r="G966" s="14" t="str">
        <f t="array" ref="G966">IF(B966="", "",
  LET(_xlpm.spell, IFERROR(IF(F966="", "", INDEX(_xlws.FILTER(Hairstyles!$F:$F, ISNUMBER(SEARCH(F966, Hairstyles!$B:$B))), 1)), "No Spell for Hairstyle"),
  _xlpm.vanillaPrefix, IF(LEFT(_xlpm.spell, 7)="Uvi_Wig", "", ";"),
  ";" &amp; IF(C966="", B966, C966) &amp; IF(M966="", "", " ("&amp;M966&amp;")") &amp; CHAR(10) &amp;
  _xlpm.vanillaPrefix &amp; "Keyword = Uvi_Wig_Distr_KYWD|" &amp; B966 &amp; CHAR(10) &amp;
  _xlpm.vanillaPrefix &amp; "Spell = " &amp; _xlpm.spell &amp; "|" &amp; B966
  )
)</f>
        <v>;Lob
;Keyword = Uvi_Wig_Distr_KYWD|Lob
;Spell = No Spell for Hairstyle|Lob</v>
      </c>
    </row>
    <row r="967" ht="12.75" customHeight="1">
      <c r="A967" s="15" t="s">
        <v>3868</v>
      </c>
      <c r="B967" s="5" t="s">
        <v>3869</v>
      </c>
      <c r="C967" s="5" t="s">
        <v>3869</v>
      </c>
      <c r="D967" s="5" t="s">
        <v>38</v>
      </c>
      <c r="E967" s="5" t="s">
        <v>233</v>
      </c>
      <c r="F967" s="5" t="s">
        <v>19</v>
      </c>
      <c r="G967" s="14" t="str">
        <f t="array" ref="G967">IF(B967="", "",
  LET(_xlpm.spell, IFERROR(IF(F967="", "", INDEX(_xlws.FILTER(Hairstyles!$F:$F, ISNUMBER(SEARCH(F967, Hairstyles!$B:$B))), 1)), "No Spell for Hairstyle"),
  _xlpm.vanillaPrefix, IF(LEFT(_xlpm.spell, 7)="Uvi_Wig", "", ";"),
  ";" &amp; IF(C967="", B967, C967) &amp; IF(M967="", "", " ("&amp;M967&amp;")") &amp; CHAR(10) &amp;
  _xlpm.vanillaPrefix &amp; "Keyword = Uvi_Wig_Distr_KYWD|" &amp; B967 &amp; CHAR(10) &amp;
  _xlpm.vanillaPrefix &amp; "Spell = " &amp; _xlpm.spell &amp; "|" &amp; B967
  )
)</f>
        <v>;Lod
;Keyword = Uvi_Wig_Distr_KYWD|Lod
;Spell = No Spell for Hairstyle|Lod</v>
      </c>
    </row>
    <row r="968" ht="12.75" customHeight="1">
      <c r="A968" s="5" t="s">
        <v>3870</v>
      </c>
      <c r="B968" s="5" t="s">
        <v>3871</v>
      </c>
      <c r="C968" s="5" t="s">
        <v>3872</v>
      </c>
      <c r="D968" s="5" t="s">
        <v>38</v>
      </c>
      <c r="E968" s="5" t="s">
        <v>233</v>
      </c>
      <c r="F968" s="5" t="s">
        <v>68</v>
      </c>
      <c r="G968" s="14" t="str">
        <f t="array" ref="G968">IF(B968="", "",
  LET(_xlpm.spell, IFERROR(IF(F968="", "", INDEX(_xlws.FILTER(Hairstyles!$F:$F, ISNUMBER(SEARCH(F968, Hairstyles!$B:$B))), 1)), "No Spell for Hairstyle"),
  _xlpm.vanillaPrefix, IF(LEFT(_xlpm.spell, 7)="Uvi_Wig", "", ";"),
  ";" &amp; IF(C968="", B968, C968) &amp; IF(M968="", "", " ("&amp;M968&amp;")") &amp; CHAR(10) &amp;
  _xlpm.vanillaPrefix &amp; "Keyword = Uvi_Wig_Distr_KYWD|" &amp; B968 &amp; CHAR(10) &amp;
  _xlpm.vanillaPrefix &amp; "Spell = " &amp; _xlpm.spell &amp; "|" &amp; B968
  )
)</f>
        <v>;Lodi
;Keyword = Uvi_Wig_Distr_KYWD|DB05Lodi
;Spell = No Spell for Hairstyle|DB05Lodi</v>
      </c>
    </row>
    <row r="969" ht="12.75" customHeight="1">
      <c r="A969" s="5" t="s">
        <v>3873</v>
      </c>
      <c r="B969" s="5" t="s">
        <v>3874</v>
      </c>
      <c r="C969" s="5" t="s">
        <v>3874</v>
      </c>
      <c r="D969" s="5" t="s">
        <v>38</v>
      </c>
      <c r="E969" s="5" t="s">
        <v>233</v>
      </c>
      <c r="F969" s="5" t="s">
        <v>1894</v>
      </c>
      <c r="G969" s="14" t="str">
        <f t="array" ref="G969">IF(B969="", "",
  LET(_xlpm.spell, IFERROR(IF(F969="", "", INDEX(_xlws.FILTER(Hairstyles!$F:$F, ISNUMBER(SEARCH(F969, Hairstyles!$B:$B))), 1)), "No Spell for Hairstyle"),
  _xlpm.vanillaPrefix, IF(LEFT(_xlpm.spell, 7)="Uvi_Wig", "", ";"),
  ";" &amp; IF(C969="", B969, C969) &amp; IF(M969="", "", " ("&amp;M969&amp;")") &amp; CHAR(10) &amp;
  _xlpm.vanillaPrefix &amp; "Keyword = Uvi_Wig_Distr_KYWD|" &amp; B969 &amp; CHAR(10) &amp;
  _xlpm.vanillaPrefix &amp; "Spell = " &amp; _xlpm.spell &amp; "|" &amp; B969
  )
)</f>
        <v>;Lodvar
;Keyword = Uvi_Wig_Distr_KYWD|Lodvar
;Spell = No Spell for Hairstyle|Lodvar</v>
      </c>
    </row>
    <row r="970" ht="12.75" customHeight="1">
      <c r="A970" s="5" t="s">
        <v>3875</v>
      </c>
      <c r="B970" s="5" t="s">
        <v>3876</v>
      </c>
      <c r="C970" s="5" t="s">
        <v>3877</v>
      </c>
      <c r="D970" s="5" t="s">
        <v>51</v>
      </c>
      <c r="E970" s="5" t="s">
        <v>233</v>
      </c>
      <c r="F970" s="5" t="s">
        <v>1622</v>
      </c>
      <c r="G970" s="14" t="str">
        <f t="array" ref="G970">IF(B970="", "",
  LET(_xlpm.spell, IFERROR(IF(F970="", "", INDEX(_xlws.FILTER(Hairstyles!$F:$F, ISNUMBER(SEARCH(F970, Hairstyles!$B:$B))), 1)), "No Spell for Hairstyle"),
  _xlpm.vanillaPrefix, IF(LEFT(_xlpm.spell, 7)="Uvi_Wig", "", ";"),
  ";" &amp; IF(C970="", B970, C970) &amp; IF(M970="", "", " ("&amp;M970&amp;")") &amp; CHAR(10) &amp;
  _xlpm.vanillaPrefix &amp; "Keyword = Uvi_Wig_Distr_KYWD|" &amp; B970 &amp; CHAR(10) &amp;
  _xlpm.vanillaPrefix &amp; "Spell = " &amp; _xlpm.spell &amp; "|" &amp; B970
  )
)</f>
        <v>;Logrolf the Willful
;Keyword = Uvi_Wig_Distr_KYWD|Logrolf
;Spell = No Spell for Hairstyle|Logrolf</v>
      </c>
    </row>
    <row r="971" ht="12.75" customHeight="1">
      <c r="A971" s="5" t="s">
        <v>3878</v>
      </c>
      <c r="B971" s="5" t="s">
        <v>3879</v>
      </c>
      <c r="C971" s="5" t="s">
        <v>3880</v>
      </c>
      <c r="D971" s="5" t="s">
        <v>38</v>
      </c>
      <c r="E971" s="5" t="s">
        <v>233</v>
      </c>
      <c r="F971" s="5" t="s">
        <v>1906</v>
      </c>
      <c r="G971" s="14" t="str">
        <f t="array" ref="G971">IF(B971="", "",
  LET(_xlpm.spell, IFERROR(IF(F971="", "", INDEX(_xlws.FILTER(Hairstyles!$F:$F, ISNUMBER(SEARCH(F971, Hairstyles!$B:$B))), 1)), "No Spell for Hairstyle"),
  _xlpm.vanillaPrefix, IF(LEFT(_xlpm.spell, 7)="Uvi_Wig", "", ";"),
  ";" &amp; IF(C971="", B971, C971) &amp; IF(M971="", "", " ("&amp;M971&amp;")") &amp; CHAR(10) &amp;
  _xlpm.vanillaPrefix &amp; "Keyword = Uvi_Wig_Distr_KYWD|" &amp; B971 &amp; CHAR(10) &amp;
  _xlpm.vanillaPrefix &amp; "Spell = " &amp; _xlpm.spell &amp; "|" &amp; B971
  )
)</f>
        <v>;Lokir
;Keyword = Uvi_Wig_Distr_KYWD|MQ101Prisoner
;Spell = No Spell for Hairstyle|MQ101Prisoner</v>
      </c>
    </row>
    <row r="972" ht="12.75" customHeight="1">
      <c r="A972" s="5" t="s">
        <v>3881</v>
      </c>
      <c r="B972" s="5" t="s">
        <v>3882</v>
      </c>
      <c r="C972" s="5" t="s">
        <v>3883</v>
      </c>
      <c r="D972" s="5" t="s">
        <v>38</v>
      </c>
      <c r="E972" s="5" t="s">
        <v>233</v>
      </c>
      <c r="F972" s="5" t="s">
        <v>2694</v>
      </c>
      <c r="G972" s="14" t="str">
        <f t="array" ref="G972">IF(B972="", "",
  LET(_xlpm.spell, IFERROR(IF(F972="", "", INDEX(_xlws.FILTER(Hairstyles!$F:$F, ISNUMBER(SEARCH(F972, Hairstyles!$B:$B))), 1)), "No Spell for Hairstyle"),
  _xlpm.vanillaPrefix, IF(LEFT(_xlpm.spell, 7)="Uvi_Wig", "", ";"),
  ";" &amp; IF(C972="", B972, C972) &amp; IF(M972="", "", " ("&amp;M972&amp;")") &amp; CHAR(10) &amp;
  _xlpm.vanillaPrefix &amp; "Keyword = Uvi_Wig_Distr_KYWD|" &amp; B972 &amp; CHAR(10) &amp;
  _xlpm.vanillaPrefix &amp; "Spell = " &amp; _xlpm.spell &amp; "|" &amp; B972
  )
)</f>
        <v>;Lond
;Keyword = Uvi_Wig_Distr_KYWD|LondNorthstrider
;Spell = No Spell for Hairstyle|LondNorthstrider</v>
      </c>
    </row>
    <row r="973" ht="12.75" customHeight="1">
      <c r="A973" s="5" t="s">
        <v>3884</v>
      </c>
      <c r="B973" s="5" t="s">
        <v>3885</v>
      </c>
      <c r="C973" s="5" t="s">
        <v>3886</v>
      </c>
      <c r="D973" s="5" t="s">
        <v>38</v>
      </c>
      <c r="E973" s="5" t="s">
        <v>233</v>
      </c>
      <c r="F973" s="5" t="s">
        <v>990</v>
      </c>
      <c r="G973" s="14" t="str">
        <f t="array" ref="G973">IF(B973="", "",
  LET(_xlpm.spell, IFERROR(IF(F973="", "", INDEX(_xlws.FILTER(Hairstyles!$F:$F, ISNUMBER(SEARCH(F973, Hairstyles!$B:$B))), 1)), "No Spell for Hairstyle"),
  _xlpm.vanillaPrefix, IF(LEFT(_xlpm.spell, 7)="Uvi_Wig", "", ";"),
  ";" &amp; IF(C973="", B973, C973) &amp; IF(M973="", "", " ("&amp;M973&amp;")") &amp; CHAR(10) &amp;
  _xlpm.vanillaPrefix &amp; "Keyword = Uvi_Wig_Distr_KYWD|" &amp; B973 &amp; CHAR(10) &amp;
  _xlpm.vanillaPrefix &amp; "Spell = " &amp; _xlpm.spell &amp; "|" &amp; B973
  )
)</f>
        <v>;Lord Harkon
;Keyword = Uvi_Wig_Distr_KYWD|DLC1Harkon
;Spell = No Spell for Hairstyle|DLC1Harkon</v>
      </c>
    </row>
    <row r="974" ht="12.75" customHeight="1">
      <c r="A974" s="15" t="s">
        <v>3887</v>
      </c>
      <c r="B974" s="5" t="s">
        <v>3888</v>
      </c>
      <c r="C974" s="5" t="s">
        <v>3888</v>
      </c>
      <c r="D974" s="5" t="s">
        <v>38</v>
      </c>
      <c r="E974" s="5" t="s">
        <v>233</v>
      </c>
      <c r="F974" s="5" t="s">
        <v>224</v>
      </c>
      <c r="G974" s="14" t="str">
        <f t="array" ref="G974">IF(B974="", "",
  LET(_xlpm.spell, IFERROR(IF(F974="", "", INDEX(_xlws.FILTER(Hairstyles!$F:$F, ISNUMBER(SEARCH(F974, Hairstyles!$B:$B))), 1)), "No Spell for Hairstyle"),
  _xlpm.vanillaPrefix, IF(LEFT(_xlpm.spell, 7)="Uvi_Wig", "", ";"),
  ";" &amp; IF(C974="", B974, C974) &amp; IF(M974="", "", " ("&amp;M974&amp;")") &amp; CHAR(10) &amp;
  _xlpm.vanillaPrefix &amp; "Keyword = Uvi_Wig_Distr_KYWD|" &amp; B974 &amp; CHAR(10) &amp;
  _xlpm.vanillaPrefix &amp; "Spell = " &amp; _xlpm.spell &amp; "|" &amp; B974
  )
)</f>
        <v>;Lortheim
;Keyword = Uvi_Wig_Distr_KYWD|Lortheim
;Spell = No Spell for Hairstyle|Lortheim</v>
      </c>
    </row>
    <row r="975" ht="12.75" customHeight="1">
      <c r="A975" s="15" t="s">
        <v>3889</v>
      </c>
      <c r="B975" s="5" t="s">
        <v>3890</v>
      </c>
      <c r="C975" s="5" t="s">
        <v>3891</v>
      </c>
      <c r="D975" s="5" t="s">
        <v>16</v>
      </c>
      <c r="E975" s="5" t="s">
        <v>233</v>
      </c>
      <c r="F975" s="5" t="s">
        <v>1700</v>
      </c>
      <c r="G975" s="14" t="str">
        <f t="array" ref="G975">IF(B975="", "",
  LET(_xlpm.spell, IFERROR(IF(F975="", "", INDEX(_xlws.FILTER(Hairstyles!$F:$F, ISNUMBER(SEARCH(F975, Hairstyles!$B:$B))), 1)), "No Spell for Hairstyle"),
  _xlpm.vanillaPrefix, IF(LEFT(_xlpm.spell, 7)="Uvi_Wig", "", ";"),
  ";" &amp; IF(C975="", B975, C975) &amp; IF(M975="", "", " ("&amp;M975&amp;")") &amp; CHAR(10) &amp;
  _xlpm.vanillaPrefix &amp; "Keyword = Uvi_Wig_Distr_KYWD|" &amp; B975 &amp; CHAR(10) &amp;
  _xlpm.vanillaPrefix &amp; "Spell = " &amp; _xlpm.spell &amp; "|" &amp; B975
  )
)</f>
        <v>;Louis Letrush
;Keyword = Uvi_Wig_Distr_KYWD|LouisLetrush
;Spell = No Spell for Hairstyle|LouisLetrush</v>
      </c>
    </row>
    <row r="976" ht="12.75" customHeight="1">
      <c r="A976" s="5" t="s">
        <v>3892</v>
      </c>
      <c r="B976" s="5" t="s">
        <v>3893</v>
      </c>
      <c r="C976" s="5" t="s">
        <v>3894</v>
      </c>
      <c r="D976" s="5" t="s">
        <v>83</v>
      </c>
      <c r="E976" s="5" t="s">
        <v>41</v>
      </c>
      <c r="F976" s="5" t="s">
        <v>85</v>
      </c>
      <c r="G976" s="14" t="str">
        <f t="array" ref="G976">IF(B976="", "",
  LET(_xlpm.spell, IFERROR(IF(F976="", "", INDEX(_xlws.FILTER(Hairstyles!$F:$F, ISNUMBER(SEARCH(F976, Hairstyles!$B:$B))), 1)), "No Spell for Hairstyle"),
  _xlpm.vanillaPrefix, IF(LEFT(_xlpm.spell, 7)="Uvi_Wig", "", ";"),
  ";" &amp; IF(C976="", B976, C976) &amp; IF(M976="", "", " ("&amp;M976&amp;")") &amp; CHAR(10) &amp;
  _xlpm.vanillaPrefix &amp; "Keyword = Uvi_Wig_Distr_KYWD|" &amp; B976 &amp; CHAR(10) &amp;
  _xlpm.vanillaPrefix &amp; "Spell = " &amp; _xlpm.spell &amp; "|" &amp; B976
  )
)</f>
        <v>;Lu'ah Al-Skaven
;Keyword = Uvi_Wig_Distr_KYWD|dunAnsilvundLuahAlSkaven
;Spell = No Spell for Hairstyle|dunAnsilvundLuahAlSkaven</v>
      </c>
    </row>
    <row r="977" ht="12.75" customHeight="1">
      <c r="A977" s="5" t="s">
        <v>3895</v>
      </c>
      <c r="B977" s="5" t="s">
        <v>3896</v>
      </c>
      <c r="C977" s="5" t="s">
        <v>3896</v>
      </c>
      <c r="D977" s="5" t="s">
        <v>45</v>
      </c>
      <c r="E977" s="5" t="s">
        <v>41</v>
      </c>
      <c r="F977" s="5" t="s">
        <v>512</v>
      </c>
      <c r="G977" s="14" t="str">
        <f t="array" ref="G977">IF(B977="", "",
  LET(_xlpm.spell, IFERROR(IF(F977="", "", INDEX(_xlws.FILTER(Hairstyles!$F:$F, ISNUMBER(SEARCH(F977, Hairstyles!$B:$B))), 1)), "No Spell for Hairstyle"),
  _xlpm.vanillaPrefix, IF(LEFT(_xlpm.spell, 7)="Uvi_Wig", "", ";"),
  ";" &amp; IF(C977="", B977, C977) &amp; IF(M977="", "", " ("&amp;M977&amp;")") &amp; CHAR(10) &amp;
  _xlpm.vanillaPrefix &amp; "Keyword = Uvi_Wig_Distr_KYWD|" &amp; B977 &amp; CHAR(10) &amp;
  _xlpm.vanillaPrefix &amp; "Spell = " &amp; _xlpm.spell &amp; "|" &amp; B977
  )
)</f>
        <v>;Luaffyn
;Keyword = Uvi_Wig_Distr_KYWD|Luaffyn
;Spell = No Spell for Hairstyle|Luaffyn</v>
      </c>
    </row>
    <row r="978" ht="12.75" customHeight="1">
      <c r="A978" s="5" t="s">
        <v>3897</v>
      </c>
      <c r="B978" s="5" t="s">
        <v>3898</v>
      </c>
      <c r="C978" s="5" t="s">
        <v>3899</v>
      </c>
      <c r="D978" s="5" t="s">
        <v>59</v>
      </c>
      <c r="E978" s="5" t="s">
        <v>233</v>
      </c>
      <c r="F978" s="5" t="s">
        <v>19</v>
      </c>
      <c r="G978" s="14" t="str">
        <f t="array" ref="G978">IF(B978="", "",
  LET(_xlpm.spell, IFERROR(IF(F978="", "", INDEX(_xlws.FILTER(Hairstyles!$F:$F, ISNUMBER(SEARCH(F978, Hairstyles!$B:$B))), 1)), "No Spell for Hairstyle"),
  _xlpm.vanillaPrefix, IF(LEFT(_xlpm.spell, 7)="Uvi_Wig", "", ";"),
  ";" &amp; IF(C978="", B978, C978) &amp; IF(M978="", "", " ("&amp;M978&amp;")") &amp; CHAR(10) &amp;
  _xlpm.vanillaPrefix &amp; "Keyword = Uvi_Wig_Distr_KYWD|" &amp; B978 &amp; CHAR(10) &amp;
  _xlpm.vanillaPrefix &amp; "Spell = " &amp; _xlpm.spell &amp; "|" &amp; B978
  )
)</f>
        <v>;Lucan Valerius
;Keyword = Uvi_Wig_Distr_KYWD|LucanValerius
;Spell = No Spell for Hairstyle|LucanValerius</v>
      </c>
    </row>
    <row r="979" ht="12.75" customHeight="1">
      <c r="A979" s="5" t="s">
        <v>3900</v>
      </c>
      <c r="B979" s="5" t="s">
        <v>3901</v>
      </c>
      <c r="C979" s="5" t="s">
        <v>3902</v>
      </c>
      <c r="D979" s="5" t="s">
        <v>60</v>
      </c>
      <c r="E979" s="5" t="s">
        <v>41</v>
      </c>
      <c r="F979" s="5" t="s">
        <v>88</v>
      </c>
      <c r="G979" s="14" t="str">
        <f t="array" ref="G979">IF(B979="", "",
  LET(_xlpm.spell, IFERROR(IF(F979="", "", INDEX(_xlws.FILTER(Hairstyles!$F:$F, ISNUMBER(SEARCH(F979, Hairstyles!$B:$B))), 1)), "No Spell for Hairstyle"),
  _xlpm.vanillaPrefix, IF(LEFT(_xlpm.spell, 7)="Uvi_Wig", "", ";"),
  ";" &amp; IF(C979="", B979, C979) &amp; IF(M979="", "", " ("&amp;M979&amp;")") &amp; CHAR(10) &amp;
  _xlpm.vanillaPrefix &amp; "Keyword = Uvi_Wig_Distr_KYWD|" &amp; B979 &amp; CHAR(10) &amp;
  _xlpm.vanillaPrefix &amp; "Spell = " &amp; _xlpm.spell &amp; "|" &amp; B979
  )
)</f>
        <v>;Lucia
;Keyword = Uvi_Wig_Distr_KYWD|BYOHUrchin_Lucia
;Spell = No Spell for Hairstyle|BYOHUrchin_Lucia</v>
      </c>
    </row>
    <row r="980" ht="12.75" customHeight="1">
      <c r="A980" s="5" t="s">
        <v>3903</v>
      </c>
      <c r="B980" s="5" t="s">
        <v>3904</v>
      </c>
      <c r="C980" s="5" t="s">
        <v>3905</v>
      </c>
      <c r="D980" s="5" t="s">
        <v>38</v>
      </c>
      <c r="E980" s="5" t="s">
        <v>233</v>
      </c>
      <c r="F980" s="5" t="s">
        <v>521</v>
      </c>
      <c r="G980" s="14" t="str">
        <f t="array" ref="G980">IF(B980="", "",
  LET(_xlpm.spell, IFERROR(IF(F980="", "", INDEX(_xlws.FILTER(Hairstyles!$F:$F, ISNUMBER(SEARCH(F980, Hairstyles!$B:$B))), 1)), "No Spell for Hairstyle"),
  _xlpm.vanillaPrefix, IF(LEFT(_xlpm.spell, 7)="Uvi_Wig", "", ";"),
  ";" &amp; IF(C980="", B980, C980) &amp; IF(M980="", "", " ("&amp;M980&amp;")") &amp; CHAR(10) &amp;
  _xlpm.vanillaPrefix &amp; "Keyword = Uvi_Wig_Distr_KYWD|" &amp; B980 &amp; CHAR(10) &amp;
  _xlpm.vanillaPrefix &amp; "Spell = " &amp; _xlpm.spell &amp; "|" &amp; B980
  )
)</f>
        <v>;Lucky Lorenz
;Keyword = Uvi_Wig_Distr_KYWD|dunPOIVolcanicLuckyLorenze
;Spell = No Spell for Hairstyle|dunPOIVolcanicLuckyLorenze</v>
      </c>
    </row>
    <row r="981" ht="12.75" customHeight="1">
      <c r="A981" s="5" t="s">
        <v>3906</v>
      </c>
      <c r="B981" s="5" t="s">
        <v>3907</v>
      </c>
      <c r="C981" s="5" t="s">
        <v>3908</v>
      </c>
      <c r="D981" s="5" t="s">
        <v>38</v>
      </c>
      <c r="E981" s="5" t="s">
        <v>233</v>
      </c>
      <c r="F981" s="5" t="s">
        <v>424</v>
      </c>
      <c r="G981" s="14" t="str">
        <f t="array" ref="G981">IF(B981="", "",
  LET(_xlpm.spell, IFERROR(IF(F981="", "", INDEX(_xlws.FILTER(Hairstyles!$F:$F, ISNUMBER(SEARCH(F981, Hairstyles!$B:$B))), 1)), "No Spell for Hairstyle"),
  _xlpm.vanillaPrefix, IF(LEFT(_xlpm.spell, 7)="Uvi_Wig", "", ";"),
  ";" &amp; IF(C981="", B981, C981) &amp; IF(M981="", "", " ("&amp;M981&amp;")") &amp; CHAR(10) &amp;
  _xlpm.vanillaPrefix &amp; "Keyword = Uvi_Wig_Distr_KYWD|" &amp; B981 &amp; CHAR(10) &amp;
  _xlpm.vanillaPrefix &amp; "Spell = " &amp; _xlpm.spell &amp; "|" &amp; B981
  )
)</f>
        <v>;Lund
;Keyword = Uvi_Wig_Distr_KYWD|dunLundsHut_TreasCorpseCommonerNordMale
;Spell = No Spell for Hairstyle|dunLundsHut_TreasCorpseCommonerNordMale</v>
      </c>
    </row>
    <row r="982" ht="12.75" customHeight="1">
      <c r="A982" s="5" t="s">
        <v>3909</v>
      </c>
      <c r="B982" s="5" t="s">
        <v>3910</v>
      </c>
      <c r="C982" s="5" t="s">
        <v>3910</v>
      </c>
      <c r="D982" s="5" t="s">
        <v>80</v>
      </c>
      <c r="E982" s="5" t="s">
        <v>233</v>
      </c>
      <c r="F982" s="5" t="s">
        <v>3911</v>
      </c>
      <c r="G982" s="14" t="str">
        <f t="array" ref="G982">IF(B982="", "",
  LET(_xlpm.spell, IFERROR(IF(F982="", "", INDEX(_xlws.FILTER(Hairstyles!$F:$F, ISNUMBER(SEARCH(F982, Hairstyles!$B:$B))), 1)), "No Spell for Hairstyle"),
  _xlpm.vanillaPrefix, IF(LEFT(_xlpm.spell, 7)="Uvi_Wig", "", ";"),
  ";" &amp; IF(C982="", B982, C982) &amp; IF(M982="", "", " ("&amp;M982&amp;")") &amp; CHAR(10) &amp;
  _xlpm.vanillaPrefix &amp; "Keyword = Uvi_Wig_Distr_KYWD|" &amp; B982 &amp; CHAR(10) &amp;
  _xlpm.vanillaPrefix &amp; "Spell = " &amp; _xlpm.spell &amp; "|" &amp; B982
  )
)</f>
        <v>;Lurbuk
;Keyword = Uvi_Wig_Distr_KYWD|Lurbuk
;Spell = No Spell for Hairstyle|Lurbuk</v>
      </c>
    </row>
    <row r="983" ht="12.75" customHeight="1">
      <c r="A983" s="5" t="s">
        <v>3912</v>
      </c>
      <c r="B983" s="5" t="s">
        <v>3913</v>
      </c>
      <c r="C983" s="5" t="s">
        <v>3914</v>
      </c>
      <c r="D983" s="5" t="s">
        <v>38</v>
      </c>
      <c r="E983" s="5" t="s">
        <v>41</v>
      </c>
      <c r="F983" s="5" t="s">
        <v>2912</v>
      </c>
      <c r="G983" s="14" t="str">
        <f t="array" ref="G983">IF(B983="", "",
  LET(_xlpm.spell, IFERROR(IF(F983="", "", INDEX(_xlws.FILTER(Hairstyles!$F:$F, ISNUMBER(SEARCH(F983, Hairstyles!$B:$B))), 1)), "No Spell for Hairstyle"),
  _xlpm.vanillaPrefix, IF(LEFT(_xlpm.spell, 7)="Uvi_Wig", "", ";"),
  ";" &amp; IF(C983="", B983, C983) &amp; IF(M983="", "", " ("&amp;M983&amp;")") &amp; CHAR(10) &amp;
  _xlpm.vanillaPrefix &amp; "Keyword = Uvi_Wig_Distr_KYWD|" &amp; B983 &amp; CHAR(10) &amp;
  _xlpm.vanillaPrefix &amp; "Spell = " &amp; _xlpm.spell &amp; "|" &amp; B983
  )
)</f>
        <v>;Lydia
;Keyword = Uvi_Wig_Distr_KYWD|HousecarlWhiterun
;Spell = No Spell for Hairstyle|HousecarlWhiterun</v>
      </c>
    </row>
    <row r="984" ht="12.75" customHeight="1">
      <c r="A984" s="5" t="s">
        <v>3915</v>
      </c>
      <c r="B984" s="5" t="s">
        <v>3916</v>
      </c>
      <c r="C984" s="5" t="s">
        <v>3917</v>
      </c>
      <c r="D984" s="5" t="s">
        <v>38</v>
      </c>
      <c r="E984" s="5" t="s">
        <v>233</v>
      </c>
      <c r="F984" s="5" t="s">
        <v>1088</v>
      </c>
      <c r="G984" s="14" t="str">
        <f t="array" ref="G984">IF(B984="", "",
  LET(_xlpm.spell, IFERROR(IF(F984="", "", INDEX(_xlws.FILTER(Hairstyles!$F:$F, ISNUMBER(SEARCH(F984, Hairstyles!$B:$B))), 1)), "No Spell for Hairstyle"),
  _xlpm.vanillaPrefix, IF(LEFT(_xlpm.spell, 7)="Uvi_Wig", "", ";"),
  ";" &amp; IF(C984="", B984, C984) &amp; IF(M984="", "", " ("&amp;M984&amp;")") &amp; CHAR(10) &amp;
  _xlpm.vanillaPrefix &amp; "Keyword = Uvi_Wig_Distr_KYWD|" &amp; B984 &amp; CHAR(10) &amp;
  _xlpm.vanillaPrefix &amp; "Spell = " &amp; _xlpm.spell &amp; "|" &amp; B984
  )
)</f>
        <v>;Lygrleid
;Keyword = Uvi_Wig_Distr_KYWD|DLC2RRLygrleidSolstheim
;Spell = No Spell for Hairstyle|DLC2RRLygrleidSolstheim</v>
      </c>
    </row>
    <row r="985" ht="12.75" customHeight="1">
      <c r="A985" s="5" t="s">
        <v>3918</v>
      </c>
      <c r="B985" s="5" t="s">
        <v>3919</v>
      </c>
      <c r="C985" s="5" t="s">
        <v>3917</v>
      </c>
      <c r="D985" s="5" t="s">
        <v>38</v>
      </c>
      <c r="E985" s="5" t="s">
        <v>233</v>
      </c>
      <c r="F985" s="5" t="s">
        <v>40</v>
      </c>
      <c r="G985" s="14" t="str">
        <f t="array" ref="G985">IF(B985="", "",
  LET(_xlpm.spell, IFERROR(IF(F985="", "", INDEX(_xlws.FILTER(Hairstyles!$F:$F, ISNUMBER(SEARCH(F985, Hairstyles!$B:$B))), 1)), "No Spell for Hairstyle"),
  _xlpm.vanillaPrefix, IF(LEFT(_xlpm.spell, 7)="Uvi_Wig", "", ";"),
  ";" &amp; IF(C985="", B985, C985) &amp; IF(M985="", "", " ("&amp;M985&amp;")") &amp; CHAR(10) &amp;
  _xlpm.vanillaPrefix &amp; "Keyword = Uvi_Wig_Distr_KYWD|" &amp; B985 &amp; CHAR(10) &amp;
  _xlpm.vanillaPrefix &amp; "Spell = " &amp; _xlpm.spell &amp; "|" &amp; B985
  )
)</f>
        <v>;Lygrleid
;Keyword = Uvi_Wig_Distr_KYWD|DLC2RRLygrleidWindhelm
;Spell = No Spell for Hairstyle|DLC2RRLygrleidWindhelm</v>
      </c>
    </row>
    <row r="986" ht="12.75" customHeight="1">
      <c r="A986" s="5" t="s">
        <v>3920</v>
      </c>
      <c r="B986" s="5" t="s">
        <v>3921</v>
      </c>
      <c r="C986" s="5" t="s">
        <v>3922</v>
      </c>
      <c r="D986" s="5" t="s">
        <v>38</v>
      </c>
      <c r="E986" s="5" t="s">
        <v>41</v>
      </c>
      <c r="F986" s="5" t="s">
        <v>44</v>
      </c>
      <c r="G986" s="14" t="str">
        <f t="array" ref="G986">IF(B986="", "",
  LET(_xlpm.spell, IFERROR(IF(F986="", "", INDEX(_xlws.FILTER(Hairstyles!$F:$F, ISNUMBER(SEARCH(F986, Hairstyles!$B:$B))), 1)), "No Spell for Hairstyle"),
  _xlpm.vanillaPrefix, IF(LEFT(_xlpm.spell, 7)="Uvi_Wig", "", ";"),
  ";" &amp; IF(C986="", B986, C986) &amp; IF(M986="", "", " ("&amp;M986&amp;")") &amp; CHAR(10) &amp;
  _xlpm.vanillaPrefix &amp; "Keyword = Uvi_Wig_Distr_KYWD|" &amp; B986 &amp; CHAR(10) &amp;
  _xlpm.vanillaPrefix &amp; "Spell = " &amp; _xlpm.spell &amp; "|" &amp; B986
  )
)</f>
        <v>;Lynly Star-Sung
;Keyword = Uvi_Wig_Distr_KYWD|Lynly
;Spell = No Spell for Hairstyle|Lynly</v>
      </c>
    </row>
    <row r="987" ht="12.75" customHeight="1">
      <c r="A987" s="5" t="s">
        <v>3923</v>
      </c>
      <c r="B987" s="5" t="s">
        <v>3924</v>
      </c>
      <c r="C987" s="5" t="s">
        <v>3925</v>
      </c>
      <c r="D987" s="5" t="s">
        <v>38</v>
      </c>
      <c r="E987" s="5" t="s">
        <v>233</v>
      </c>
      <c r="F987" s="5" t="s">
        <v>68</v>
      </c>
      <c r="G987" s="14" t="str">
        <f t="array" ref="G987">IF(B987="", "",
  LET(_xlpm.spell, IFERROR(IF(F987="", "", INDEX(_xlws.FILTER(Hairstyles!$F:$F, ISNUMBER(SEARCH(F987, Hairstyles!$B:$B))), 1)), "No Spell for Hairstyle"),
  _xlpm.vanillaPrefix, IF(LEFT(_xlpm.spell, 7)="Uvi_Wig", "", ";"),
  ";" &amp; IF(C987="", B987, C987) &amp; IF(M987="", "", " ("&amp;M987&amp;")") &amp; CHAR(10) &amp;
  _xlpm.vanillaPrefix &amp; "Keyword = Uvi_Wig_Distr_KYWD|" &amp; B987 &amp; CHAR(10) &amp;
  _xlpm.vanillaPrefix &amp; "Spell = " &amp; _xlpm.spell &amp; "|" &amp; B987
  )
)</f>
        <v>;Lynoit
;Keyword = Uvi_Wig_Distr_KYWD|DLC1_WESC08_LvlDawnguardSlain
;Spell = No Spell for Hairstyle|DLC1_WESC08_LvlDawnguardSlain</v>
      </c>
    </row>
    <row r="988" ht="12.75" customHeight="1">
      <c r="A988" s="5" t="s">
        <v>3926</v>
      </c>
      <c r="B988" s="5" t="s">
        <v>3927</v>
      </c>
      <c r="C988" s="5" t="s">
        <v>3928</v>
      </c>
      <c r="D988" s="5" t="s">
        <v>65</v>
      </c>
      <c r="E988" s="5" t="s">
        <v>233</v>
      </c>
      <c r="F988" s="5" t="s">
        <v>3599</v>
      </c>
      <c r="G988" s="14" t="str">
        <f t="array" ref="G988">IF(B988="", "",
  LET(_xlpm.spell, IFERROR(IF(F988="", "", INDEX(_xlws.FILTER(Hairstyles!$F:$F, ISNUMBER(SEARCH(F988, Hairstyles!$B:$B))), 1)), "No Spell for Hairstyle"),
  _xlpm.vanillaPrefix, IF(LEFT(_xlpm.spell, 7)="Uvi_Wig", "", ";"),
  ";" &amp; IF(C988="", B988, C988) &amp; IF(M988="", "", " ("&amp;M988&amp;")") &amp; CHAR(10) &amp;
  _xlpm.vanillaPrefix &amp; "Keyword = Uvi_Wig_Distr_KYWD|" &amp; B988 &amp; CHAR(10) &amp;
  _xlpm.vanillaPrefix &amp; "Spell = " &amp; _xlpm.spell &amp; "|" &amp; B988
  )
)</f>
        <v>;M'aiq the Liar
;Keyword = Uvi_Wig_Distr_KYWD|MaiqTheLiar
;Spell = No Spell for Hairstyle|MaiqTheLiar</v>
      </c>
    </row>
    <row r="989" ht="12.75" customHeight="1">
      <c r="A989" s="5" t="s">
        <v>3929</v>
      </c>
      <c r="B989" s="5" t="s">
        <v>3930</v>
      </c>
      <c r="C989" s="5" t="s">
        <v>3931</v>
      </c>
      <c r="D989" s="5" t="s">
        <v>65</v>
      </c>
      <c r="E989" s="5" t="s">
        <v>233</v>
      </c>
      <c r="F989" s="5" t="s">
        <v>293</v>
      </c>
      <c r="G989" s="14" t="str">
        <f t="array" ref="G989">IF(B989="", "",
  LET(_xlpm.spell, IFERROR(IF(F989="", "", INDEX(_xlws.FILTER(Hairstyles!$F:$F, ISNUMBER(SEARCH(F989, Hairstyles!$B:$B))), 1)), "No Spell for Hairstyle"),
  _xlpm.vanillaPrefix, IF(LEFT(_xlpm.spell, 7)="Uvi_Wig", "", ";"),
  ";" &amp; IF(C989="", B989, C989) &amp; IF(M989="", "", " ("&amp;M989&amp;")") &amp; CHAR(10) &amp;
  _xlpm.vanillaPrefix &amp; "Keyword = Uvi_Wig_Distr_KYWD|" &amp; B989 &amp; CHAR(10) &amp;
  _xlpm.vanillaPrefix &amp; "Spell = " &amp; _xlpm.spell &amp; "|" &amp; B989
  )
)</f>
        <v>;Ma'dran
;Keyword = Uvi_Wig_Distr_KYWD|Madran
;Spell = No Spell for Hairstyle|Madran</v>
      </c>
    </row>
    <row r="990" ht="12.75" customHeight="1">
      <c r="A990" s="5" t="s">
        <v>3932</v>
      </c>
      <c r="B990" s="5" t="s">
        <v>3933</v>
      </c>
      <c r="C990" s="5" t="s">
        <v>3934</v>
      </c>
      <c r="D990" s="5" t="s">
        <v>65</v>
      </c>
      <c r="E990" s="5" t="s">
        <v>233</v>
      </c>
      <c r="F990" s="5" t="s">
        <v>2485</v>
      </c>
      <c r="G990" s="14" t="str">
        <f t="array" ref="G990">IF(B990="", "",
  LET(_xlpm.spell, IFERROR(IF(F990="", "", INDEX(_xlws.FILTER(Hairstyles!$F:$F, ISNUMBER(SEARCH(F990, Hairstyles!$B:$B))), 1)), "No Spell for Hairstyle"),
  _xlpm.vanillaPrefix, IF(LEFT(_xlpm.spell, 7)="Uvi_Wig", "", ";"),
  ";" &amp; IF(C990="", B990, C990) &amp; IF(M990="", "", " ("&amp;M990&amp;")") &amp; CHAR(10) &amp;
  _xlpm.vanillaPrefix &amp; "Keyword = Uvi_Wig_Distr_KYWD|" &amp; B990 &amp; CHAR(10) &amp;
  _xlpm.vanillaPrefix &amp; "Spell = " &amp; _xlpm.spell &amp; "|" &amp; B990
  )
)</f>
        <v>;Ma'jhad
;Keyword = Uvi_Wig_Distr_KYWD|Majhad
;Spell = No Spell for Hairstyle|Majhad</v>
      </c>
    </row>
    <row r="991" ht="12.75" customHeight="1">
      <c r="A991" s="5" t="s">
        <v>3935</v>
      </c>
      <c r="B991" s="5" t="s">
        <v>3936</v>
      </c>
      <c r="C991" s="5" t="s">
        <v>3937</v>
      </c>
      <c r="D991" s="5" t="s">
        <v>65</v>
      </c>
      <c r="E991" s="5" t="s">
        <v>233</v>
      </c>
      <c r="F991" s="5" t="s">
        <v>321</v>
      </c>
      <c r="G991" s="14" t="str">
        <f t="array" ref="G991">IF(B991="", "",
  LET(_xlpm.spell, IFERROR(IF(F991="", "", INDEX(_xlws.FILTER(Hairstyles!$F:$F, ISNUMBER(SEARCH(F991, Hairstyles!$B:$B))), 1)), "No Spell for Hairstyle"),
  _xlpm.vanillaPrefix, IF(LEFT(_xlpm.spell, 7)="Uvi_Wig", "", ";"),
  ";" &amp; IF(C991="", B991, C991) &amp; IF(M991="", "", " ("&amp;M991&amp;")") &amp; CHAR(10) &amp;
  _xlpm.vanillaPrefix &amp; "Keyword = Uvi_Wig_Distr_KYWD|" &amp; B991 &amp; CHAR(10) &amp;
  _xlpm.vanillaPrefix &amp; "Spell = " &amp; _xlpm.spell &amp; "|" &amp; B991
  )
)</f>
        <v>;Ma'randru-jo
;Keyword = Uvi_Wig_Distr_KYWD|Marandrujo
;Spell = No Spell for Hairstyle|Marandrujo</v>
      </c>
    </row>
    <row r="992" ht="12.75" customHeight="1">
      <c r="A992" s="5" t="s">
        <v>3938</v>
      </c>
      <c r="B992" s="5" t="s">
        <v>3939</v>
      </c>
      <c r="C992" s="5" t="s">
        <v>3940</v>
      </c>
      <c r="D992" s="5" t="s">
        <v>65</v>
      </c>
      <c r="E992" s="5" t="s">
        <v>233</v>
      </c>
      <c r="F992" s="4" t="s">
        <v>1741</v>
      </c>
      <c r="G992" s="14" t="str">
        <f t="array" ref="G992">IF(B992="", "",
  LET(_xlpm.spell, IFERROR(IF(F992="", "", INDEX(_xlws.FILTER(Hairstyles!$F:$F, ISNUMBER(SEARCH(F992, Hairstyles!$B:$B))), 1)), "No Spell for Hairstyle"),
  _xlpm.vanillaPrefix, IF(LEFT(_xlpm.spell, 7)="Uvi_Wig", "", ";"),
  ";" &amp; IF(C992="", B992, C992) &amp; IF(M992="", "", " ("&amp;M992&amp;")") &amp; CHAR(10) &amp;
  _xlpm.vanillaPrefix &amp; "Keyword = Uvi_Wig_Distr_KYWD|" &amp; B992 &amp; CHAR(10) &amp;
  _xlpm.vanillaPrefix &amp; "Spell = " &amp; _xlpm.spell &amp; "|" &amp; B992
  )
)</f>
        <v>;Ma'tasarr
;Keyword = Uvi_Wig_Distr_KYWD|DA05Hunter15_01DeadMelee_Matasarr
;Spell = No Spell for Hairstyle|DA05Hunter15_01DeadMelee_Matasarr</v>
      </c>
    </row>
    <row r="993" ht="12.75" customHeight="1">
      <c r="A993" s="15" t="s">
        <v>3941</v>
      </c>
      <c r="B993" s="5" t="s">
        <v>3942</v>
      </c>
      <c r="C993" s="5" t="s">
        <v>3943</v>
      </c>
      <c r="D993" s="5" t="s">
        <v>65</v>
      </c>
      <c r="E993" s="5" t="s">
        <v>233</v>
      </c>
      <c r="F993" s="5" t="s">
        <v>1365</v>
      </c>
      <c r="G993" s="14" t="str">
        <f t="array" ref="G993">IF(B993="", "",
  LET(_xlpm.spell, IFERROR(IF(F993="", "", INDEX(_xlws.FILTER(Hairstyles!$F:$F, ISNUMBER(SEARCH(F993, Hairstyles!$B:$B))), 1)), "No Spell for Hairstyle"),
  _xlpm.vanillaPrefix, IF(LEFT(_xlpm.spell, 7)="Uvi_Wig", "", ";"),
  ";" &amp; IF(C993="", B993, C993) &amp; IF(M993="", "", " ("&amp;M993&amp;")") &amp; CHAR(10) &amp;
  _xlpm.vanillaPrefix &amp; "Keyword = Uvi_Wig_Distr_KYWD|" &amp; B993 &amp; CHAR(10) &amp;
  _xlpm.vanillaPrefix &amp; "Spell = " &amp; _xlpm.spell &amp; "|" &amp; B993
  )
)</f>
        <v>;Ma'zaka
;Keyword = Uvi_Wig_Distr_KYWD|Mazaka
;Spell = No Spell for Hairstyle|Mazaka</v>
      </c>
    </row>
    <row r="994" ht="12.75" customHeight="1">
      <c r="A994" s="5" t="s">
        <v>3944</v>
      </c>
      <c r="B994" s="5" t="s">
        <v>3945</v>
      </c>
      <c r="C994" s="5" t="s">
        <v>3945</v>
      </c>
      <c r="D994" s="5" t="s">
        <v>16</v>
      </c>
      <c r="E994" s="5" t="s">
        <v>233</v>
      </c>
      <c r="F994" s="5" t="s">
        <v>762</v>
      </c>
      <c r="G994" s="14" t="str">
        <f t="array" ref="G994">IF(B994="", "",
  LET(_xlpm.spell, IFERROR(IF(F994="", "", INDEX(_xlws.FILTER(Hairstyles!$F:$F, ISNUMBER(SEARCH(F994, Hairstyles!$B:$B))), 1)), "No Spell for Hairstyle"),
  _xlpm.vanillaPrefix, IF(LEFT(_xlpm.spell, 7)="Uvi_Wig", "", ";"),
  ";" &amp; IF(C994="", B994, C994) &amp; IF(M994="", "", " ("&amp;M994&amp;")") &amp; CHAR(10) &amp;
  _xlpm.vanillaPrefix &amp; "Keyword = Uvi_Wig_Distr_KYWD|" &amp; B994 &amp; CHAR(10) &amp;
  _xlpm.vanillaPrefix &amp; "Spell = " &amp; _xlpm.spell &amp; "|" &amp; B994
  )
)</f>
        <v>;Madanach
;Keyword = Uvi_Wig_Distr_KYWD|Madanach
;Spell = No Spell for Hairstyle|Madanach</v>
      </c>
    </row>
    <row r="995" ht="12.75" customHeight="1">
      <c r="A995" s="5" t="s">
        <v>3946</v>
      </c>
      <c r="B995" s="5" t="s">
        <v>3947</v>
      </c>
      <c r="C995" s="5" t="s">
        <v>3947</v>
      </c>
      <c r="D995" s="5" t="s">
        <v>16</v>
      </c>
      <c r="E995" s="5" t="s">
        <v>41</v>
      </c>
      <c r="F995" s="5" t="s">
        <v>2118</v>
      </c>
      <c r="G995" s="14" t="str">
        <f t="array" ref="G995">IF(B995="", "",
  LET(_xlpm.spell, IFERROR(IF(F995="", "", INDEX(_xlws.FILTER(Hairstyles!$F:$F, ISNUMBER(SEARCH(F995, Hairstyles!$B:$B))), 1)), "No Spell for Hairstyle"),
  _xlpm.vanillaPrefix, IF(LEFT(_xlpm.spell, 7)="Uvi_Wig", "", ";"),
  ";" &amp; IF(C995="", B995, C995) &amp; IF(M995="", "", " ("&amp;M995&amp;")") &amp; CHAR(10) &amp;
  _xlpm.vanillaPrefix &amp; "Keyword = Uvi_Wig_Distr_KYWD|" &amp; B995 &amp; CHAR(10) &amp;
  _xlpm.vanillaPrefix &amp; "Spell = " &amp; _xlpm.spell &amp; "|" &amp; B995
  )
)</f>
        <v>;Madena
;Keyword = Uvi_Wig_Distr_KYWD|Madena
;Spell = No Spell for Hairstyle|Madena</v>
      </c>
    </row>
    <row r="996" ht="12.75" customHeight="1">
      <c r="A996" s="5" t="s">
        <v>3948</v>
      </c>
      <c r="B996" s="5" t="s">
        <v>3949</v>
      </c>
      <c r="C996" s="5" t="s">
        <v>3949</v>
      </c>
      <c r="D996" s="5" t="s">
        <v>10</v>
      </c>
      <c r="E996" s="5" t="s">
        <v>233</v>
      </c>
      <c r="F996" s="5" t="s">
        <v>1752</v>
      </c>
      <c r="G996" s="14" t="str">
        <f t="array" ref="G996">IF(B996="", "",
  LET(_xlpm.spell, IFERROR(IF(F996="", "", INDEX(_xlws.FILTER(Hairstyles!$F:$F, ISNUMBER(SEARCH(F996, Hairstyles!$B:$B))), 1)), "No Spell for Hairstyle"),
  _xlpm.vanillaPrefix, IF(LEFT(_xlpm.spell, 7)="Uvi_Wig", "", ";"),
  ";" &amp; IF(C996="", B996, C996) &amp; IF(M996="", "", " ("&amp;M996&amp;")") &amp; CHAR(10) &amp;
  _xlpm.vanillaPrefix &amp; "Keyword = Uvi_Wig_Distr_KYWD|" &amp; B996 &amp; CHAR(10) &amp;
  _xlpm.vanillaPrefix &amp; "Spell = " &amp; _xlpm.spell &amp; "|" &amp; B996
  )
)</f>
        <v>;Madesi
;Keyword = Uvi_Wig_Distr_KYWD|Madesi
;Spell = No Spell for Hairstyle|Madesi</v>
      </c>
    </row>
    <row r="997" ht="12.75" customHeight="1">
      <c r="A997" s="5" t="s">
        <v>3950</v>
      </c>
      <c r="B997" s="5" t="s">
        <v>3951</v>
      </c>
      <c r="C997" s="5" t="s">
        <v>3952</v>
      </c>
      <c r="D997" s="5" t="s">
        <v>38</v>
      </c>
      <c r="E997" s="5" t="s">
        <v>233</v>
      </c>
      <c r="F997" s="5" t="s">
        <v>762</v>
      </c>
      <c r="G997" s="14" t="str">
        <f t="array" ref="G997">IF(B997="", "",
  LET(_xlpm.spell, IFERROR(IF(F997="", "", INDEX(_xlws.FILTER(Hairstyles!$F:$F, ISNUMBER(SEARCH(F997, Hairstyles!$B:$B))), 1)), "No Spell for Hairstyle"),
  _xlpm.vanillaPrefix, IF(LEFT(_xlpm.spell, 7)="Uvi_Wig", "", ";"),
  ";" &amp; IF(C997="", B997, C997) &amp; IF(M997="", "", " ("&amp;M997&amp;")") &amp; CHAR(10) &amp;
  _xlpm.vanillaPrefix &amp; "Keyword = Uvi_Wig_Distr_KYWD|" &amp; B997 &amp; CHAR(10) &amp;
  _xlpm.vanillaPrefix &amp; "Spell = " &amp; _xlpm.spell &amp; "|" &amp; B997
  )
)</f>
        <v>;Madman
;Keyword = Uvi_Wig_Distr_KYWD|DLC2WE06Madman
;Spell = No Spell for Hairstyle|DLC2WE06Madman</v>
      </c>
    </row>
    <row r="998" ht="12.75" customHeight="1">
      <c r="A998" s="5" t="s">
        <v>3953</v>
      </c>
      <c r="B998" s="5" t="s">
        <v>3954</v>
      </c>
      <c r="C998" s="5" t="s">
        <v>3955</v>
      </c>
      <c r="D998" s="5" t="s">
        <v>51</v>
      </c>
      <c r="E998" s="5" t="s">
        <v>41</v>
      </c>
      <c r="F998" s="5" t="s">
        <v>42</v>
      </c>
      <c r="G998" s="14" t="str">
        <f t="array" ref="G998">IF(B998="", "",
  LET(_xlpm.spell, IFERROR(IF(F998="", "", INDEX(_xlws.FILTER(Hairstyles!$F:$F, ISNUMBER(SEARCH(F998, Hairstyles!$B:$B))), 1)), "No Spell for Hairstyle"),
  _xlpm.vanillaPrefix, IF(LEFT(_xlpm.spell, 7)="Uvi_Wig", "", ";"),
  ";" &amp; IF(C998="", B998, C998) &amp; IF(M998="", "", " ("&amp;M998&amp;")") &amp; CHAR(10) &amp;
  _xlpm.vanillaPrefix &amp; "Keyword = Uvi_Wig_Distr_KYWD|" &amp; B998 &amp; CHAR(10) &amp;
  _xlpm.vanillaPrefix &amp; "Spell = " &amp; _xlpm.spell &amp; "|" &amp; B998
  )
)</f>
        <v>;Madwoman
;Keyword = Uvi_Wig_Distr_KYWD|WEDL07Madwoman
;Spell = No Spell for Hairstyle|WEDL07Madwoman</v>
      </c>
    </row>
    <row r="999" ht="12.75" customHeight="1">
      <c r="A999" s="15" t="s">
        <v>3956</v>
      </c>
      <c r="B999" s="5" t="s">
        <v>3957</v>
      </c>
      <c r="C999" s="5" t="s">
        <v>3958</v>
      </c>
      <c r="D999" s="5" t="s">
        <v>16</v>
      </c>
      <c r="E999" s="5" t="s">
        <v>233</v>
      </c>
      <c r="F999" s="5" t="s">
        <v>19</v>
      </c>
      <c r="G999" s="14" t="str">
        <f t="array" ref="G999">IF(B999="", "",
  LET(_xlpm.spell, IFERROR(IF(F999="", "", INDEX(_xlws.FILTER(Hairstyles!$F:$F, ISNUMBER(SEARCH(F999, Hairstyles!$B:$B))), 1)), "No Spell for Hairstyle"),
  _xlpm.vanillaPrefix, IF(LEFT(_xlpm.spell, 7)="Uvi_Wig", "", ";"),
  ";" &amp; IF(C999="", B999, C999) &amp; IF(M999="", "", " ("&amp;M999&amp;")") &amp; CHAR(10) &amp;
  _xlpm.vanillaPrefix &amp; "Keyword = Uvi_Wig_Distr_KYWD|" &amp; B999 &amp; CHAR(10) &amp;
  _xlpm.vanillaPrefix &amp; "Spell = " &amp; _xlpm.spell &amp; "|" &amp; B999
  )
)</f>
        <v>;Mage
;Keyword = Uvi_Wig_Distr_KYWD|MQ101CorpseMagePrisoner01
;Spell = No Spell for Hairstyle|MQ101CorpseMagePrisoner01</v>
      </c>
    </row>
    <row r="1000" ht="12.75" customHeight="1">
      <c r="A1000" s="5" t="s">
        <v>3959</v>
      </c>
      <c r="B1000" s="5" t="s">
        <v>3960</v>
      </c>
      <c r="C1000" s="5" t="s">
        <v>3960</v>
      </c>
      <c r="D1000" s="5" t="s">
        <v>80</v>
      </c>
      <c r="E1000" s="5" t="s">
        <v>233</v>
      </c>
      <c r="F1000" s="5" t="s">
        <v>177</v>
      </c>
      <c r="G1000" s="14" t="str">
        <f t="array" ref="G1000">IF(B1000="", "",
  LET(_xlpm.spell, IFERROR(IF(F1000="", "", INDEX(_xlws.FILTER(Hairstyles!$F:$F, ISNUMBER(SEARCH(F1000, Hairstyles!$B:$B))), 1)), "No Spell for Hairstyle"),
  _xlpm.vanillaPrefix, IF(LEFT(_xlpm.spell, 7)="Uvi_Wig", "", ";"),
  ";" &amp; IF(C1000="", B1000, C1000) &amp; IF(M1000="", "", " ("&amp;M1000&amp;")") &amp; CHAR(10) &amp;
  _xlpm.vanillaPrefix &amp; "Keyword = Uvi_Wig_Distr_KYWD|" &amp; B1000 &amp; CHAR(10) &amp;
  _xlpm.vanillaPrefix &amp; "Spell = " &amp; _xlpm.spell &amp; "|" &amp; B1000
  )
)</f>
        <v>;Mahk
;Keyword = Uvi_Wig_Distr_KYWD|Mahk
;Spell = No Spell for Hairstyle|Mahk</v>
      </c>
    </row>
    <row r="1001" ht="12.75" customHeight="1">
      <c r="A1001" s="5" t="s">
        <v>3961</v>
      </c>
      <c r="B1001" s="5" t="s">
        <v>3962</v>
      </c>
      <c r="C1001" s="5" t="s">
        <v>3963</v>
      </c>
      <c r="D1001" s="5" t="s">
        <v>38</v>
      </c>
      <c r="E1001" s="5" t="s">
        <v>233</v>
      </c>
      <c r="F1001" s="5" t="s">
        <v>234</v>
      </c>
      <c r="G1001" s="14" t="str">
        <f t="array" ref="G1001">IF(B1001="", "",
  LET(_xlpm.spell, IFERROR(IF(F1001="", "", INDEX(_xlws.FILTER(Hairstyles!$F:$F, ISNUMBER(SEARCH(F1001, Hairstyles!$B:$B))), 1)), "No Spell for Hairstyle"),
  _xlpm.vanillaPrefix, IF(LEFT(_xlpm.spell, 7)="Uvi_Wig", "", ";"),
  ";" &amp; IF(C1001="", B1001, C1001) &amp; IF(M1001="", "", " ("&amp;M1001&amp;")") &amp; CHAR(10) &amp;
  _xlpm.vanillaPrefix &amp; "Keyword = Uvi_Wig_Distr_KYWD|" &amp; B1001 &amp; CHAR(10) &amp;
  _xlpm.vanillaPrefix &amp; "Spell = " &amp; _xlpm.spell &amp; "|" &amp; B1001
  )
)</f>
        <v>;Majni
;Keyword = Uvi_Wig_Distr_KYWD|DLC2dunFrostmoonMajni
;Spell = No Spell for Hairstyle|DLC2dunFrostmoonMajni</v>
      </c>
    </row>
    <row r="1002" ht="12.75" customHeight="1">
      <c r="A1002" s="5" t="s">
        <v>3964</v>
      </c>
      <c r="B1002" s="5" t="s">
        <v>3965</v>
      </c>
      <c r="C1002" s="5" t="s">
        <v>3966</v>
      </c>
      <c r="D1002" s="5" t="s">
        <v>80</v>
      </c>
      <c r="E1002" s="5" t="s">
        <v>233</v>
      </c>
      <c r="F1002" s="5" t="s">
        <v>81</v>
      </c>
      <c r="G1002" s="14" t="str">
        <f t="array" ref="G1002">IF(B1002="", "",
  LET(_xlpm.spell, IFERROR(IF(F1002="", "", INDEX(_xlws.FILTER(Hairstyles!$F:$F, ISNUMBER(SEARCH(F1002, Hairstyles!$B:$B))), 1)), "No Spell for Hairstyle"),
  _xlpm.vanillaPrefix, IF(LEFT(_xlpm.spell, 7)="Uvi_Wig", "", ";"),
  ";" &amp; IF(C1002="", B1002, C1002) &amp; IF(M1002="", "", " ("&amp;M1002&amp;")") &amp; CHAR(10) &amp;
  _xlpm.vanillaPrefix &amp; "Keyword = Uvi_Wig_Distr_KYWD|" &amp; B1002 &amp; CHAR(10) &amp;
  _xlpm.vanillaPrefix &amp; "Spell = " &amp; _xlpm.spell &amp; "|" &amp; B1002
  )
)</f>
        <v>;Makhel Abbas
;Keyword = Uvi_Wig_Distr_KYWD|CWMission11Orc
;Spell = No Spell for Hairstyle|CWMission11Orc</v>
      </c>
    </row>
    <row r="1003" ht="12.75" customHeight="1">
      <c r="A1003" s="15" t="s">
        <v>3967</v>
      </c>
      <c r="B1003" s="5" t="s">
        <v>3968</v>
      </c>
      <c r="C1003" s="5" t="s">
        <v>3968</v>
      </c>
      <c r="D1003" s="5" t="s">
        <v>90</v>
      </c>
      <c r="E1003" s="5" t="s">
        <v>233</v>
      </c>
      <c r="F1003" s="5" t="s">
        <v>91</v>
      </c>
      <c r="G1003" s="14" t="str">
        <f t="array" ref="G1003">IF(B1003="", "",
  LET(_xlpm.spell, IFERROR(IF(F1003="", "", INDEX(_xlws.FILTER(Hairstyles!$F:$F, ISNUMBER(SEARCH(F1003, Hairstyles!$B:$B))), 1)), "No Spell for Hairstyle"),
  _xlpm.vanillaPrefix, IF(LEFT(_xlpm.spell, 7)="Uvi_Wig", "", ";"),
  ";" &amp; IF(C1003="", B1003, C1003) &amp; IF(M1003="", "", " ("&amp;M1003&amp;")") &amp; CHAR(10) &amp;
  _xlpm.vanillaPrefix &amp; "Keyword = Uvi_Wig_Distr_KYWD|" &amp; B1003 &amp; CHAR(10) &amp;
  _xlpm.vanillaPrefix &amp; "Spell = " &amp; _xlpm.spell &amp; "|" &amp; B1003
  )
)</f>
        <v>;Malborn
;Keyword = Uvi_Wig_Distr_KYWD|Malborn
;Spell = No Spell for Hairstyle|Malborn</v>
      </c>
    </row>
    <row r="1004" ht="12.75" customHeight="1">
      <c r="A1004" s="15" t="s">
        <v>3969</v>
      </c>
      <c r="B1004" s="5" t="s">
        <v>3970</v>
      </c>
      <c r="C1004" s="5" t="s">
        <v>3968</v>
      </c>
      <c r="D1004" s="5" t="s">
        <v>90</v>
      </c>
      <c r="E1004" s="5" t="s">
        <v>233</v>
      </c>
      <c r="F1004" s="5" t="s">
        <v>525</v>
      </c>
      <c r="G1004" s="14" t="str">
        <f t="array" ref="G1004">IF(B1004="", "",
  LET(_xlpm.spell, IFERROR(IF(F1004="", "", INDEX(_xlws.FILTER(Hairstyles!$F:$F, ISNUMBER(SEARCH(F1004, Hairstyles!$B:$B))), 1)), "No Spell for Hairstyle"),
  _xlpm.vanillaPrefix, IF(LEFT(_xlpm.spell, 7)="Uvi_Wig", "", ";"),
  ";" &amp; IF(C1004="", B1004, C1004) &amp; IF(M1004="", "", " ("&amp;M1004&amp;")") &amp; CHAR(10) &amp;
  _xlpm.vanillaPrefix &amp; "Keyword = Uvi_Wig_Distr_KYWD|" &amp; B1004 &amp; CHAR(10) &amp;
  _xlpm.vanillaPrefix &amp; "Spell = " &amp; _xlpm.spell &amp; "|" &amp; B1004
  )
)</f>
        <v>;Malborn
;Keyword = Uvi_Wig_Distr_KYWD|MQ201FakeMalborn
;Spell = No Spell for Hairstyle|MQ201FakeMalborn</v>
      </c>
    </row>
    <row r="1005" ht="12.75" customHeight="1">
      <c r="A1005" s="5" t="s">
        <v>3971</v>
      </c>
      <c r="B1005" s="5" t="s">
        <v>3972</v>
      </c>
      <c r="C1005" s="5" t="s">
        <v>3973</v>
      </c>
      <c r="D1005" s="5" t="s">
        <v>82</v>
      </c>
      <c r="E1005" s="5" t="s">
        <v>233</v>
      </c>
      <c r="F1005" s="5" t="s">
        <v>3911</v>
      </c>
      <c r="G1005" s="14" t="str">
        <f t="array" ref="G1005">IF(B1005="", "",
  LET(_xlpm.spell, IFERROR(IF(F1005="", "", INDEX(_xlws.FILTER(Hairstyles!$F:$F, ISNUMBER(SEARCH(F1005, Hairstyles!$B:$B))), 1)), "No Spell for Hairstyle"),
  _xlpm.vanillaPrefix, IF(LEFT(_xlpm.spell, 7)="Uvi_Wig", "", ";"),
  ";" &amp; IF(C1005="", B1005, C1005) &amp; IF(M1005="", "", " ("&amp;M1005&amp;")") &amp; CHAR(10) &amp;
  _xlpm.vanillaPrefix &amp; "Keyword = Uvi_Wig_Distr_KYWD|" &amp; B1005 &amp; CHAR(10) &amp;
  _xlpm.vanillaPrefix &amp; "Spell = " &amp; _xlpm.spell &amp; "|" &amp; B1005
  )
)</f>
        <v>;Malkus
;Keyword = Uvi_Wig_Distr_KYWD|DLC1Malkus
;Spell = No Spell for Hairstyle|DLC1Malkus</v>
      </c>
    </row>
    <row r="1006" ht="12.75" customHeight="1">
      <c r="A1006" s="5" t="s">
        <v>3974</v>
      </c>
      <c r="B1006" s="5" t="s">
        <v>3975</v>
      </c>
      <c r="C1006" s="5" t="s">
        <v>3973</v>
      </c>
      <c r="D1006" s="5" t="s">
        <v>82</v>
      </c>
      <c r="E1006" s="5" t="s">
        <v>233</v>
      </c>
      <c r="F1006" s="5" t="s">
        <v>3911</v>
      </c>
      <c r="G1006" s="14" t="str">
        <f t="array" ref="G1006">IF(B1006="", "",
  LET(_xlpm.spell, IFERROR(IF(F1006="", "", INDEX(_xlws.FILTER(Hairstyles!$F:$F, ISNUMBER(SEARCH(F1006, Hairstyles!$B:$B))), 1)), "No Spell for Hairstyle"),
  _xlpm.vanillaPrefix, IF(LEFT(_xlpm.spell, 7)="Uvi_Wig", "", ";"),
  ";" &amp; IF(C1006="", B1006, C1006) &amp; IF(M1006="", "", " ("&amp;M1006&amp;")") &amp; CHAR(10) &amp;
  _xlpm.vanillaPrefix &amp; "Keyword = Uvi_Wig_Distr_KYWD|" &amp; B1006 &amp; CHAR(10) &amp;
  _xlpm.vanillaPrefix &amp; "Spell = " &amp; _xlpm.spell &amp; "|" &amp; B1006
  )
)</f>
        <v>;Malkus
;Keyword = Uvi_Wig_Distr_KYWD|DLC1MalkusDead
;Spell = No Spell for Hairstyle|DLC1MalkusDead</v>
      </c>
    </row>
    <row r="1007" ht="12.75" customHeight="1">
      <c r="A1007" s="5" t="s">
        <v>3976</v>
      </c>
      <c r="B1007" s="5" t="s">
        <v>3977</v>
      </c>
      <c r="C1007" s="5" t="s">
        <v>3978</v>
      </c>
      <c r="D1007" s="5" t="s">
        <v>59</v>
      </c>
      <c r="E1007" s="5" t="s">
        <v>233</v>
      </c>
      <c r="F1007" s="5" t="s">
        <v>40</v>
      </c>
      <c r="G1007" s="14" t="str">
        <f t="array" ref="G1007">IF(B1007="", "",
  LET(_xlpm.spell, IFERROR(IF(F1007="", "", INDEX(_xlws.FILTER(Hairstyles!$F:$F, ISNUMBER(SEARCH(F1007, Hairstyles!$B:$B))), 1)), "No Spell for Hairstyle"),
  _xlpm.vanillaPrefix, IF(LEFT(_xlpm.spell, 7)="Uvi_Wig", "", ";"),
  ";" &amp; IF(C1007="", B1007, C1007) &amp; IF(M1007="", "", " ("&amp;M1007&amp;")") &amp; CHAR(10) &amp;
  _xlpm.vanillaPrefix &amp; "Keyword = Uvi_Wig_Distr_KYWD|" &amp; B1007 &amp; CHAR(10) &amp;
  _xlpm.vanillaPrefix &amp; "Spell = " &amp; _xlpm.spell &amp; "|" &amp; B1007
  )
)</f>
        <v>;Mallus Maccius
;Keyword = Uvi_Wig_Distr_KYWD|MallusMaccius
;Spell = No Spell for Hairstyle|MallusMaccius</v>
      </c>
    </row>
    <row r="1008" ht="12.75" customHeight="1">
      <c r="A1008" s="5" t="s">
        <v>3979</v>
      </c>
      <c r="B1008" s="5" t="s">
        <v>3980</v>
      </c>
      <c r="C1008" s="5" t="s">
        <v>3981</v>
      </c>
      <c r="D1008" s="5" t="s">
        <v>45</v>
      </c>
      <c r="E1008" s="5" t="s">
        <v>233</v>
      </c>
      <c r="F1008" s="5" t="s">
        <v>1787</v>
      </c>
      <c r="G1008" s="14" t="str">
        <f t="array" ref="G1008">IF(B1008="", "",
  LET(_xlpm.spell, IFERROR(IF(F1008="", "", INDEX(_xlws.FILTER(Hairstyles!$F:$F, ISNUMBER(SEARCH(F1008, Hairstyles!$B:$B))), 1)), "No Spell for Hairstyle"),
  _xlpm.vanillaPrefix, IF(LEFT(_xlpm.spell, 7)="Uvi_Wig", "", ";"),
  ";" &amp; IF(C1008="", B1008, C1008) &amp; IF(M1008="", "", " ("&amp;M1008&amp;")") &amp; CHAR(10) &amp;
  _xlpm.vanillaPrefix &amp; "Keyword = Uvi_Wig_Distr_KYWD|" &amp; B1008 &amp; CHAR(10) &amp;
  _xlpm.vanillaPrefix &amp; "Spell = " &amp; _xlpm.spell &amp; "|" &amp; B1008
  )
)</f>
        <v>;Malthyr Elenil
;Keyword = Uvi_Wig_Distr_KYWD|MalthyrElenil
;Spell = No Spell for Hairstyle|MalthyrElenil</v>
      </c>
    </row>
    <row r="1009" ht="12.75" customHeight="1">
      <c r="A1009" s="5" t="s">
        <v>3982</v>
      </c>
      <c r="B1009" s="5" t="s">
        <v>3983</v>
      </c>
      <c r="C1009" s="5" t="s">
        <v>3984</v>
      </c>
      <c r="D1009" s="5" t="s">
        <v>45</v>
      </c>
      <c r="E1009" s="5" t="s">
        <v>233</v>
      </c>
      <c r="F1009" s="5" t="s">
        <v>1937</v>
      </c>
      <c r="G1009" s="14" t="str">
        <f t="array" ref="G1009">IF(B1009="", "",
  LET(_xlpm.spell, IFERROR(IF(F1009="", "", INDEX(_xlws.FILTER(Hairstyles!$F:$F, ISNUMBER(SEARCH(F1009, Hairstyles!$B:$B))), 1)), "No Spell for Hairstyle"),
  _xlpm.vanillaPrefix, IF(LEFT(_xlpm.spell, 7)="Uvi_Wig", "", ";"),
  ";" &amp; IF(C1009="", B1009, C1009) &amp; IF(M1009="", "", " ("&amp;M1009&amp;")") &amp; CHAR(10) &amp;
  _xlpm.vanillaPrefix &amp; "Keyword = Uvi_Wig_Distr_KYWD|" &amp; B1009 &amp; CHAR(10) &amp;
  _xlpm.vanillaPrefix &amp; "Spell = " &amp; _xlpm.spell &amp; "|" &amp; B1009
  )
)</f>
        <v>;Malur Seloth
;Keyword = Uvi_Wig_Distr_KYWD|MalurSeloth
;Spell = No Spell for Hairstyle|MalurSeloth</v>
      </c>
    </row>
    <row r="1010" ht="12.75" customHeight="1">
      <c r="A1010" s="15" t="s">
        <v>3985</v>
      </c>
      <c r="B1010" s="5" t="s">
        <v>3986</v>
      </c>
      <c r="C1010" s="5" t="s">
        <v>3987</v>
      </c>
      <c r="D1010" s="5" t="s">
        <v>45</v>
      </c>
      <c r="E1010" s="5" t="s">
        <v>233</v>
      </c>
      <c r="F1010" s="5" t="s">
        <v>543</v>
      </c>
      <c r="G1010" s="14" t="str">
        <f t="array" ref="G1010">IF(B1010="", "",
  LET(_xlpm.spell, IFERROR(IF(F1010="", "", INDEX(_xlws.FILTER(Hairstyles!$F:$F, ISNUMBER(SEARCH(F1010, Hairstyles!$B:$B))), 1)), "No Spell for Hairstyle"),
  _xlpm.vanillaPrefix, IF(LEFT(_xlpm.spell, 7)="Uvi_Wig", "", ";"),
  ";" &amp; IF(C1010="", B1010, C1010) &amp; IF(M1010="", "", " ("&amp;M1010&amp;")") &amp; CHAR(10) &amp;
  _xlpm.vanillaPrefix &amp; "Keyword = Uvi_Wig_Distr_KYWD|" &amp; B1010 &amp; CHAR(10) &amp;
  _xlpm.vanillaPrefix &amp; "Spell = " &amp; _xlpm.spell &amp; "|" &amp; B1010
  )
)</f>
        <v>;Maluril
;Keyword = Uvi_Wig_Distr_KYWD|DBContractMaluril
;Spell = No Spell for Hairstyle|DBContractMaluril</v>
      </c>
    </row>
    <row r="1011" ht="12.75" customHeight="1">
      <c r="A1011" s="5" t="s">
        <v>3988</v>
      </c>
      <c r="B1011" s="5" t="s">
        <v>3989</v>
      </c>
      <c r="C1011" s="5" t="s">
        <v>3990</v>
      </c>
      <c r="D1011" s="5" t="s">
        <v>45</v>
      </c>
      <c r="E1011" s="5" t="s">
        <v>233</v>
      </c>
      <c r="F1011" s="5" t="s">
        <v>47</v>
      </c>
      <c r="G1011" s="14" t="str">
        <f t="array" ref="G1011">IF(B1011="", "",
  LET(_xlpm.spell, IFERROR(IF(F1011="", "", INDEX(_xlws.FILTER(Hairstyles!$F:$F, ISNUMBER(SEARCH(F1011, Hairstyles!$B:$B))), 1)), "No Spell for Hairstyle"),
  _xlpm.vanillaPrefix, IF(LEFT(_xlpm.spell, 7)="Uvi_Wig", "", ";"),
  ";" &amp; IF(C1011="", B1011, C1011) &amp; IF(M1011="", "", " ("&amp;M1011&amp;")") &amp; CHAR(10) &amp;
  _xlpm.vanillaPrefix &amp; "Keyword = Uvi_Wig_Distr_KYWD|" &amp; B1011 &amp; CHAR(10) &amp;
  _xlpm.vanillaPrefix &amp; "Spell = " &amp; _xlpm.spell &amp; "|" &amp; B1011
  )
)</f>
        <v>;Malyn Varen
;Keyword = Uvi_Wig_Distr_KYWD|DA01MalynVaren
;Spell = No Spell for Hairstyle|DA01MalynVaren</v>
      </c>
    </row>
    <row r="1012" ht="12.75" customHeight="1">
      <c r="A1012" s="5" t="s">
        <v>3991</v>
      </c>
      <c r="B1012" s="5" t="s">
        <v>3992</v>
      </c>
      <c r="C1012" s="5" t="s">
        <v>3993</v>
      </c>
      <c r="D1012" s="5" t="s">
        <v>83</v>
      </c>
      <c r="E1012" s="5" t="s">
        <v>233</v>
      </c>
      <c r="F1012" s="5" t="s">
        <v>84</v>
      </c>
      <c r="G1012" s="14" t="str">
        <f t="array" ref="G1012">IF(B1012="", "",
  LET(_xlpm.spell, IFERROR(IF(F1012="", "", INDEX(_xlws.FILTER(Hairstyles!$F:$F, ISNUMBER(SEARCH(F1012, Hairstyles!$B:$B))), 1)), "No Spell for Hairstyle"),
  _xlpm.vanillaPrefix, IF(LEFT(_xlpm.spell, 7)="Uvi_Wig", "", ";"),
  ";" &amp; IF(C1012="", B1012, C1012) &amp; IF(M1012="", "", " ("&amp;M1012&amp;")") &amp; CHAR(10) &amp;
  _xlpm.vanillaPrefix &amp; "Keyword = Uvi_Wig_Distr_KYWD|" &amp; B1012 &amp; CHAR(10) &amp;
  _xlpm.vanillaPrefix &amp; "Spell = " &amp; _xlpm.spell &amp; "|" &amp; B1012
  )
)</f>
        <v>;Mani
;Keyword = Uvi_Wig_Distr_KYWD|dunFrostflowAbyssMani
;Spell = No Spell for Hairstyle|dunFrostflowAbyssMani</v>
      </c>
    </row>
    <row r="1013" ht="12.75" customHeight="1">
      <c r="A1013" s="5" t="s">
        <v>3994</v>
      </c>
      <c r="B1013" s="5" t="s">
        <v>3995</v>
      </c>
      <c r="C1013" s="5" t="s">
        <v>3995</v>
      </c>
      <c r="D1013" s="5" t="s">
        <v>83</v>
      </c>
      <c r="E1013" s="5" t="s">
        <v>233</v>
      </c>
      <c r="F1013" s="5" t="s">
        <v>84</v>
      </c>
      <c r="G1013" s="14" t="str">
        <f t="array" ref="G1013">IF(B1013="", "",
  LET(_xlpm.spell, IFERROR(IF(F1013="", "", INDEX(_xlws.FILTER(Hairstyles!$F:$F, ISNUMBER(SEARCH(F1013, Hairstyles!$B:$B))), 1)), "No Spell for Hairstyle"),
  _xlpm.vanillaPrefix, IF(LEFT(_xlpm.spell, 7)="Uvi_Wig", "", ";"),
  ";" &amp; IF(C1013="", B1013, C1013) &amp; IF(M1013="", "", " ("&amp;M1013&amp;")") &amp; CHAR(10) &amp;
  _xlpm.vanillaPrefix &amp; "Keyword = Uvi_Wig_Distr_KYWD|" &amp; B1013 &amp; CHAR(10) &amp;
  _xlpm.vanillaPrefix &amp; "Spell = " &amp; _xlpm.spell &amp; "|" &amp; B1013
  )
)</f>
        <v>;Maramal
;Keyword = Uvi_Wig_Distr_KYWD|Maramal
;Spell = No Spell for Hairstyle|Maramal</v>
      </c>
    </row>
    <row r="1014" ht="12.75" customHeight="1">
      <c r="A1014" s="15" t="s">
        <v>3996</v>
      </c>
      <c r="B1014" s="5" t="s">
        <v>3997</v>
      </c>
      <c r="C1014" s="5" t="s">
        <v>3998</v>
      </c>
      <c r="D1014" s="5" t="s">
        <v>80</v>
      </c>
      <c r="E1014" s="5" t="s">
        <v>233</v>
      </c>
      <c r="F1014" s="5" t="s">
        <v>537</v>
      </c>
      <c r="G1014" s="14" t="str">
        <f t="array" ref="G1014">IF(B1014="", "",
  LET(_xlpm.spell, IFERROR(IF(F1014="", "", INDEX(_xlws.FILTER(Hairstyles!$F:$F, ISNUMBER(SEARCH(F1014, Hairstyles!$B:$B))), 1)), "No Spell for Hairstyle"),
  _xlpm.vanillaPrefix, IF(LEFT(_xlpm.spell, 7)="Uvi_Wig", "", ";"),
  ";" &amp; IF(C1014="", B1014, C1014) &amp; IF(M1014="", "", " ("&amp;M1014&amp;")") &amp; CHAR(10) &amp;
  _xlpm.vanillaPrefix &amp; "Keyword = Uvi_Wig_Distr_KYWD|" &amp; B1014 &amp; CHAR(10) &amp;
  _xlpm.vanillaPrefix &amp; "Spell = " &amp; _xlpm.spell &amp; "|" &amp; B1014
  )
)</f>
        <v>;Marauder
;Keyword = Uvi_Wig_Distr_KYWD|E3DemoTowerBanditMelee
;Spell = No Spell for Hairstyle|E3DemoTowerBanditMelee</v>
      </c>
    </row>
    <row r="1015" ht="12.75" customHeight="1">
      <c r="A1015" s="5" t="s">
        <v>3999</v>
      </c>
      <c r="B1015" s="5" t="s">
        <v>4000</v>
      </c>
      <c r="C1015" s="5" t="s">
        <v>3998</v>
      </c>
      <c r="D1015" s="5" t="s">
        <v>80</v>
      </c>
      <c r="E1015" s="5" t="s">
        <v>233</v>
      </c>
      <c r="F1015" s="5" t="s">
        <v>458</v>
      </c>
      <c r="G1015" s="14" t="str">
        <f t="array" ref="G1015">IF(B1015="", "",
  LET(_xlpm.spell, IFERROR(IF(F1015="", "", INDEX(_xlws.FILTER(Hairstyles!$F:$F, ISNUMBER(SEARCH(F1015, Hairstyles!$B:$B))), 1)), "No Spell for Hairstyle"),
  _xlpm.vanillaPrefix, IF(LEFT(_xlpm.spell, 7)="Uvi_Wig", "", ";"),
  ";" &amp; IF(C1015="", B1015, C1015) &amp; IF(M1015="", "", " ("&amp;M1015&amp;")") &amp; CHAR(10) &amp;
  _xlpm.vanillaPrefix &amp; "Keyword = Uvi_Wig_Distr_KYWD|" &amp; B1015 &amp; CHAR(10) &amp;
  _xlpm.vanillaPrefix &amp; "Spell = " &amp; _xlpm.spell &amp; "|" &amp; B1015
  )
)</f>
        <v>;Marauder
;Keyword = Uvi_Wig_Distr_KYWD|E3DemoTowerBanditMissile
;Spell = No Spell for Hairstyle|E3DemoTowerBanditMissile</v>
      </c>
    </row>
    <row r="1016" ht="12.75" customHeight="1">
      <c r="A1016" s="5" t="s">
        <v>4001</v>
      </c>
      <c r="B1016" s="5" t="s">
        <v>4002</v>
      </c>
      <c r="C1016" s="5" t="s">
        <v>4003</v>
      </c>
      <c r="D1016" s="5" t="s">
        <v>59</v>
      </c>
      <c r="E1016" s="5" t="s">
        <v>233</v>
      </c>
      <c r="F1016" s="5" t="s">
        <v>990</v>
      </c>
      <c r="G1016" s="14" t="str">
        <f t="array" ref="G1016">IF(B1016="", "",
  LET(_xlpm.spell, IFERROR(IF(F1016="", "", INDEX(_xlws.FILTER(Hairstyles!$F:$F, ISNUMBER(SEARCH(F1016, Hairstyles!$B:$B))), 1)), "No Spell for Hairstyle"),
  _xlpm.vanillaPrefix, IF(LEFT(_xlpm.spell, 7)="Uvi_Wig", "", ";"),
  ";" &amp; IF(C1016="", B1016, C1016) &amp; IF(M1016="", "", " ("&amp;M1016&amp;")") &amp; CHAR(10) &amp;
  _xlpm.vanillaPrefix &amp; "Keyword = Uvi_Wig_Distr_KYWD|" &amp; B1016 &amp; CHAR(10) &amp;
  _xlpm.vanillaPrefix &amp; "Spell = " &amp; _xlpm.spell &amp; "|" &amp; B1016
  )
)</f>
        <v>;Marcurio
;Keyword = Uvi_Wig_Distr_KYWD|HirelingMarcurio
;Spell = No Spell for Hairstyle|HirelingMarcurio</v>
      </c>
    </row>
    <row r="1017" ht="12.75" customHeight="1">
      <c r="A1017" s="5" t="s">
        <v>4004</v>
      </c>
      <c r="B1017" s="5" t="s">
        <v>4005</v>
      </c>
      <c r="C1017" s="5" t="s">
        <v>4006</v>
      </c>
      <c r="D1017" s="5" t="s">
        <v>38</v>
      </c>
      <c r="E1017" s="5" t="s">
        <v>41</v>
      </c>
      <c r="F1017" s="5" t="s">
        <v>44</v>
      </c>
      <c r="G1017" s="14" t="str">
        <f t="array" ref="G1017">IF(B1017="", "",
  LET(_xlpm.spell, IFERROR(IF(F1017="", "", INDEX(_xlws.FILTER(Hairstyles!$F:$F, ISNUMBER(SEARCH(F1017, Hairstyles!$B:$B))), 1)), "No Spell for Hairstyle"),
  _xlpm.vanillaPrefix, IF(LEFT(_xlpm.spell, 7)="Uvi_Wig", "", ";"),
  ";" &amp; IF(C1017="", B1017, C1017) &amp; IF(M1017="", "", " ("&amp;M1017&amp;")") &amp; CHAR(10) &amp;
  _xlpm.vanillaPrefix &amp; "Keyword = Uvi_Wig_Distr_KYWD|" &amp; B1017 &amp; CHAR(10) &amp;
  _xlpm.vanillaPrefix &amp; "Spell = " &amp; _xlpm.spell &amp; "|" &amp; B1017
  )
)</f>
        <v>;Margret
;Keyword = Uvi_Wig_Distr_KYWD|MS01Margret
;Spell = No Spell for Hairstyle|MS01Margret</v>
      </c>
    </row>
    <row r="1018" ht="12.75" customHeight="1">
      <c r="A1018" s="15" t="s">
        <v>4007</v>
      </c>
      <c r="B1018" s="5" t="s">
        <v>4008</v>
      </c>
      <c r="C1018" s="5" t="s">
        <v>4009</v>
      </c>
      <c r="D1018" s="5" t="s">
        <v>45</v>
      </c>
      <c r="E1018" s="5" t="s">
        <v>41</v>
      </c>
      <c r="F1018" s="5" t="s">
        <v>512</v>
      </c>
      <c r="G1018" s="14" t="str">
        <f t="array" ref="G1018">IF(B1018="", "",
  LET(_xlpm.spell, IFERROR(IF(F1018="", "", INDEX(_xlws.FILTER(Hairstyles!$F:$F, ISNUMBER(SEARCH(F1018, Hairstyles!$B:$B))), 1)), "No Spell for Hairstyle"),
  _xlpm.vanillaPrefix, IF(LEFT(_xlpm.spell, 7)="Uvi_Wig", "", ";"),
  ";" &amp; IF(C1018="", B1018, C1018) &amp; IF(M1018="", "", " ("&amp;M1018&amp;")") &amp; CHAR(10) &amp;
  _xlpm.vanillaPrefix &amp; "Keyword = Uvi_Wig_Distr_KYWD|" &amp; B1018 &amp; CHAR(10) &amp;
  _xlpm.vanillaPrefix &amp; "Spell = " &amp; _xlpm.spell &amp; "|" &amp; B1018
  )
)</f>
        <v>;Marise Aravel
;Keyword = Uvi_Wig_Distr_KYWD|Marise
;Spell = No Spell for Hairstyle|Marise</v>
      </c>
    </row>
    <row r="1019" ht="12.75" customHeight="1">
      <c r="A1019" s="5" t="s">
        <v>4010</v>
      </c>
      <c r="B1019" s="5" t="s">
        <v>4011</v>
      </c>
      <c r="C1019" s="5" t="s">
        <v>4012</v>
      </c>
      <c r="D1019" s="5" t="s">
        <v>38</v>
      </c>
      <c r="E1019" s="5" t="s">
        <v>233</v>
      </c>
      <c r="F1019" s="5" t="s">
        <v>68</v>
      </c>
      <c r="G1019" s="14" t="str">
        <f t="array" ref="G1019">IF(B1019="", "",
  LET(_xlpm.spell, IFERROR(IF(F1019="", "", INDEX(_xlws.FILTER(Hairstyles!$F:$F, ISNUMBER(SEARCH(F1019, Hairstyles!$B:$B))), 1)), "No Spell for Hairstyle"),
  _xlpm.vanillaPrefix, IF(LEFT(_xlpm.spell, 7)="Uvi_Wig", "", ";"),
  ";" &amp; IF(C1019="", B1019, C1019) &amp; IF(M1019="", "", " ("&amp;M1019&amp;")") &amp; CHAR(10) &amp;
  _xlpm.vanillaPrefix &amp; "Keyword = Uvi_Wig_Distr_KYWD|" &amp; B1019 &amp; CHAR(10) &amp;
  _xlpm.vanillaPrefix &amp; "Spell = " &amp; _xlpm.spell &amp; "|" &amp; B1019
  )
)</f>
        <v>;Markarth City Guard
;Keyword = Uvi_Wig_Distr_KYWD|GuardMarkarthImperialMuseum
;Spell = No Spell for Hairstyle|GuardMarkarthImperialMuseum</v>
      </c>
    </row>
    <row r="1020" ht="12.75" customHeight="1">
      <c r="A1020" s="5" t="s">
        <v>4013</v>
      </c>
      <c r="B1020" s="5" t="s">
        <v>4014</v>
      </c>
      <c r="C1020" s="5" t="s">
        <v>4012</v>
      </c>
      <c r="D1020" s="5" t="s">
        <v>59</v>
      </c>
      <c r="E1020" s="5" t="s">
        <v>233</v>
      </c>
      <c r="F1020" s="5" t="s">
        <v>695</v>
      </c>
      <c r="G1020" s="14" t="str">
        <f t="array" ref="G1020">IF(B1020="", "",
  LET(_xlpm.spell, IFERROR(IF(F1020="", "", INDEX(_xlws.FILTER(Hairstyles!$F:$F, ISNUMBER(SEARCH(F1020, Hairstyles!$B:$B))), 1)), "No Spell for Hairstyle"),
  _xlpm.vanillaPrefix, IF(LEFT(_xlpm.spell, 7)="Uvi_Wig", "", ";"),
  ";" &amp; IF(C1020="", B1020, C1020) &amp; IF(M1020="", "", " ("&amp;M1020&amp;")") &amp; CHAR(10) &amp;
  _xlpm.vanillaPrefix &amp; "Keyword = Uvi_Wig_Distr_KYWD|" &amp; B1020 &amp; CHAR(10) &amp;
  _xlpm.vanillaPrefix &amp; "Spell = " &amp; _xlpm.spell &amp; "|" &amp; B1020
  )
)</f>
        <v>;Markarth City Guard
;Keyword = Uvi_Wig_Distr_KYWD|TreasCorpseMarkarthGuard
;Spell = No Spell for Hairstyle|TreasCorpseMarkarthGuard</v>
      </c>
    </row>
    <row r="1021" ht="12.75" customHeight="1">
      <c r="A1021" s="5" t="s">
        <v>4015</v>
      </c>
      <c r="B1021" s="5" t="s">
        <v>4016</v>
      </c>
      <c r="C1021" s="5" t="s">
        <v>4017</v>
      </c>
      <c r="D1021" s="5" t="s">
        <v>38</v>
      </c>
      <c r="E1021" s="5" t="s">
        <v>233</v>
      </c>
      <c r="F1021" s="5" t="s">
        <v>346</v>
      </c>
      <c r="G1021" s="14" t="str">
        <f t="array" ref="G1021">IF(B1021="", "",
  LET(_xlpm.spell, IFERROR(IF(F1021="", "", INDEX(_xlws.FILTER(Hairstyles!$F:$F, ISNUMBER(SEARCH(F1021, Hairstyles!$B:$B))), 1)), "No Spell for Hairstyle"),
  _xlpm.vanillaPrefix, IF(LEFT(_xlpm.spell, 7)="Uvi_Wig", "", ";"),
  ";" &amp; IF(C1021="", B1021, C1021) &amp; IF(M1021="", "", " ("&amp;M1021&amp;")") &amp; CHAR(10) &amp;
  _xlpm.vanillaPrefix &amp; "Keyword = Uvi_Wig_Distr_KYWD|" &amp; B1021 &amp; CHAR(10) &amp;
  _xlpm.vanillaPrefix &amp; "Spell = " &amp; _xlpm.spell &amp; "|" &amp; B1021
  )
)</f>
        <v>;Markus
;Keyword = Uvi_Wig_Distr_KYWD|BYOHCarriageDriver3
;Spell = No Spell for Hairstyle|BYOHCarriageDriver3</v>
      </c>
    </row>
    <row r="1022" ht="12.75" customHeight="1">
      <c r="A1022" s="5" t="s">
        <v>4018</v>
      </c>
      <c r="B1022" s="5" t="s">
        <v>4019</v>
      </c>
      <c r="C1022" s="5" t="s">
        <v>4020</v>
      </c>
      <c r="D1022" s="5" t="s">
        <v>16</v>
      </c>
      <c r="E1022" s="5" t="s">
        <v>233</v>
      </c>
      <c r="F1022" s="5" t="s">
        <v>1678</v>
      </c>
      <c r="G1022" s="14" t="str">
        <f t="array" ref="G1022">IF(B1022="", "",
  LET(_xlpm.spell, IFERROR(IF(F1022="", "", INDEX(_xlws.FILTER(Hairstyles!$F:$F, ISNUMBER(SEARCH(F1022, Hairstyles!$B:$B))), 1)), "No Spell for Hairstyle"),
  _xlpm.vanillaPrefix, IF(LEFT(_xlpm.spell, 7)="Uvi_Wig", "", ";"),
  ";" &amp; IF(C1022="", B1022, C1022) &amp; IF(M1022="", "", " ("&amp;M1022&amp;")") &amp; CHAR(10) &amp;
  _xlpm.vanillaPrefix &amp; "Keyword = Uvi_Wig_Distr_KYWD|" &amp; B1022 &amp; CHAR(10) &amp;
  _xlpm.vanillaPrefix &amp; "Spell = " &amp; _xlpm.spell &amp; "|" &amp; B1022
  )
)</f>
        <v>;Master Conjurer
;Keyword = Uvi_Wig_Distr_KYWD|EncWarlock06TemplateBossConjurer
;Spell = No Spell for Hairstyle|EncWarlock06TemplateBossConjurer</v>
      </c>
    </row>
    <row r="1023" ht="12.75" customHeight="1">
      <c r="A1023" s="5" t="s">
        <v>4021</v>
      </c>
      <c r="B1023" s="5" t="s">
        <v>4022</v>
      </c>
      <c r="C1023" s="5" t="s">
        <v>4020</v>
      </c>
      <c r="D1023" s="5" t="s">
        <v>16</v>
      </c>
      <c r="E1023" s="5" t="s">
        <v>233</v>
      </c>
      <c r="F1023" s="5" t="s">
        <v>1700</v>
      </c>
      <c r="G1023" s="14" t="str">
        <f t="array" ref="G1023">IF(B1023="", "",
  LET(_xlpm.spell, IFERROR(IF(F1023="", "", INDEX(_xlws.FILTER(Hairstyles!$F:$F, ISNUMBER(SEARCH(F1023, Hairstyles!$B:$B))), 1)), "No Spell for Hairstyle"),
  _xlpm.vanillaPrefix, IF(LEFT(_xlpm.spell, 7)="Uvi_Wig", "", ";"),
  ";" &amp; IF(C1023="", B1023, C1023) &amp; IF(M1023="", "", " ("&amp;M1023&amp;")") &amp; CHAR(10) &amp;
  _xlpm.vanillaPrefix &amp; "Keyword = Uvi_Wig_Distr_KYWD|" &amp; B1023 &amp; CHAR(10) &amp;
  _xlpm.vanillaPrefix &amp; "Spell = " &amp; _xlpm.spell &amp; "|" &amp; B1023
  )
)</f>
        <v>;Master Conjurer
;Keyword = Uvi_Wig_Distr_KYWD|EncWarlock06TemplateConjurer
;Spell = No Spell for Hairstyle|EncWarlock06TemplateConjurer</v>
      </c>
    </row>
    <row r="1024" ht="12.75" customHeight="1">
      <c r="A1024" s="5" t="s">
        <v>4023</v>
      </c>
      <c r="B1024" s="5" t="s">
        <v>4024</v>
      </c>
      <c r="C1024" s="5" t="s">
        <v>4025</v>
      </c>
      <c r="D1024" s="5" t="s">
        <v>38</v>
      </c>
      <c r="E1024" s="5" t="s">
        <v>233</v>
      </c>
      <c r="F1024" s="5" t="s">
        <v>762</v>
      </c>
      <c r="G1024" s="14" t="str">
        <f t="array" ref="G1024">IF(B1024="", "",
  LET(_xlpm.spell, IFERROR(IF(F1024="", "", INDEX(_xlws.FILTER(Hairstyles!$F:$F, ISNUMBER(SEARCH(F1024, Hairstyles!$B:$B))), 1)), "No Spell for Hairstyle"),
  _xlpm.vanillaPrefix, IF(LEFT(_xlpm.spell, 7)="Uvi_Wig", "", ";"),
  ";" &amp; IF(C1024="", B1024, C1024) &amp; IF(M1024="", "", " ("&amp;M1024&amp;")") &amp; CHAR(10) &amp;
  _xlpm.vanillaPrefix &amp; "Keyword = Uvi_Wig_Distr_KYWD|" &amp; B1024 &amp; CHAR(10) &amp;
  _xlpm.vanillaPrefix &amp; "Spell = " &amp; _xlpm.spell &amp; "|" &amp; B1024
  )
)</f>
        <v>;Master Cultist
;Keyword = Uvi_Wig_Distr_KYWD|DLC2EncCultist06Template
;Spell = No Spell for Hairstyle|DLC2EncCultist06Template</v>
      </c>
    </row>
    <row r="1025" ht="12.75" customHeight="1">
      <c r="A1025" s="5" t="s">
        <v>4026</v>
      </c>
      <c r="B1025" s="5" t="s">
        <v>4027</v>
      </c>
      <c r="C1025" s="5" t="s">
        <v>4028</v>
      </c>
      <c r="D1025" s="5" t="s">
        <v>16</v>
      </c>
      <c r="E1025" s="5" t="s">
        <v>233</v>
      </c>
      <c r="F1025" s="5" t="s">
        <v>84</v>
      </c>
      <c r="G1025" s="14" t="str">
        <f t="array" ref="G1025">IF(B1025="", "",
  LET(_xlpm.spell, IFERROR(IF(F1025="", "", INDEX(_xlws.FILTER(Hairstyles!$F:$F, ISNUMBER(SEARCH(F1025, Hairstyles!$B:$B))), 1)), "No Spell for Hairstyle"),
  _xlpm.vanillaPrefix, IF(LEFT(_xlpm.spell, 7)="Uvi_Wig", "", ";"),
  ";" &amp; IF(C1025="", B1025, C1025) &amp; IF(M1025="", "", " ("&amp;M1025&amp;")") &amp; CHAR(10) &amp;
  _xlpm.vanillaPrefix &amp; "Keyword = Uvi_Wig_Distr_KYWD|" &amp; B1025 &amp; CHAR(10) &amp;
  _xlpm.vanillaPrefix &amp; "Spell = " &amp; _xlpm.spell &amp; "|" &amp; B1025
  )
)</f>
        <v>;Master Necromancer
;Keyword = Uvi_Wig_Distr_KYWD|EncWarlock06TemplateBossNecro
;Spell = No Spell for Hairstyle|EncWarlock06TemplateBossNecro</v>
      </c>
    </row>
    <row r="1026" ht="12.75" customHeight="1">
      <c r="A1026" s="5" t="s">
        <v>4029</v>
      </c>
      <c r="B1026" s="5" t="s">
        <v>4030</v>
      </c>
      <c r="C1026" s="5" t="s">
        <v>4028</v>
      </c>
      <c r="D1026" s="5" t="s">
        <v>16</v>
      </c>
      <c r="E1026" s="5" t="s">
        <v>233</v>
      </c>
      <c r="F1026" s="5" t="s">
        <v>218</v>
      </c>
      <c r="G1026" s="14" t="str">
        <f t="array" ref="G1026">IF(B1026="", "",
  LET(_xlpm.spell, IFERROR(IF(F1026="", "", INDEX(_xlws.FILTER(Hairstyles!$F:$F, ISNUMBER(SEARCH(F1026, Hairstyles!$B:$B))), 1)), "No Spell for Hairstyle"),
  _xlpm.vanillaPrefix, IF(LEFT(_xlpm.spell, 7)="Uvi_Wig", "", ";"),
  ";" &amp; IF(C1026="", B1026, C1026) &amp; IF(M1026="", "", " ("&amp;M1026&amp;")") &amp; CHAR(10) &amp;
  _xlpm.vanillaPrefix &amp; "Keyword = Uvi_Wig_Distr_KYWD|" &amp; B1026 &amp; CHAR(10) &amp;
  _xlpm.vanillaPrefix &amp; "Spell = " &amp; _xlpm.spell &amp; "|" &amp; B1026
  )
)</f>
        <v>;Master Necromancer
;Keyword = Uvi_Wig_Distr_KYWD|EncWarlock06TemplateNecro
;Spell = No Spell for Hairstyle|EncWarlock06TemplateNecro</v>
      </c>
    </row>
    <row r="1027" ht="12.75" customHeight="1">
      <c r="A1027" s="15" t="s">
        <v>4031</v>
      </c>
      <c r="B1027" s="5" t="s">
        <v>4032</v>
      </c>
      <c r="C1027" s="5" t="s">
        <v>4033</v>
      </c>
      <c r="D1027" s="5" t="s">
        <v>79</v>
      </c>
      <c r="E1027" s="5" t="s">
        <v>41</v>
      </c>
      <c r="F1027" s="5" t="s">
        <v>1557</v>
      </c>
      <c r="G1027" s="14" t="str">
        <f t="array" ref="G1027">IF(B1027="", "",
  LET(_xlpm.spell, IFERROR(IF(F1027="", "", INDEX(_xlws.FILTER(Hairstyles!$F:$F, ISNUMBER(SEARCH(F1027, Hairstyles!$B:$B))), 1)), "No Spell for Hairstyle"),
  _xlpm.vanillaPrefix, IF(LEFT(_xlpm.spell, 7)="Uvi_Wig", "", ";"),
  ";" &amp; IF(C1027="", B1027, C1027) &amp; IF(M1027="", "", " ("&amp;M1027&amp;")") &amp; CHAR(10) &amp;
  _xlpm.vanillaPrefix &amp; "Keyword = Uvi_Wig_Distr_KYWD|" &amp; B1027 &amp; CHAR(10) &amp;
  _xlpm.vanillaPrefix &amp; "Spell = " &amp; _xlpm.spell &amp; "|" &amp; B1027
  )
)</f>
        <v>;Master Vampire
;Keyword = Uvi_Wig_Distr_KYWD|EncVampire02TemplateBoss
;Spell = No Spell for Hairstyle|EncVampire02TemplateBoss</v>
      </c>
    </row>
    <row r="1028" ht="12.75" customHeight="1">
      <c r="A1028" s="5" t="s">
        <v>4034</v>
      </c>
      <c r="B1028" s="5" t="s">
        <v>4035</v>
      </c>
      <c r="C1028" s="5" t="s">
        <v>4033</v>
      </c>
      <c r="D1028" s="5" t="s">
        <v>79</v>
      </c>
      <c r="E1028" s="5" t="s">
        <v>41</v>
      </c>
      <c r="F1028" s="5" t="s">
        <v>1557</v>
      </c>
      <c r="G1028" s="14" t="str">
        <f t="array" ref="G1028">IF(B1028="", "",
  LET(_xlpm.spell, IFERROR(IF(F1028="", "", INDEX(_xlws.FILTER(Hairstyles!$F:$F, ISNUMBER(SEARCH(F1028, Hairstyles!$B:$B))), 1)), "No Spell for Hairstyle"),
  _xlpm.vanillaPrefix, IF(LEFT(_xlpm.spell, 7)="Uvi_Wig", "", ";"),
  ";" &amp; IF(C1028="", B1028, C1028) &amp; IF(M1028="", "", " ("&amp;M1028&amp;")") &amp; CHAR(10) &amp;
  _xlpm.vanillaPrefix &amp; "Keyword = Uvi_Wig_Distr_KYWD|" &amp; B1028 &amp; CHAR(10) &amp;
  _xlpm.vanillaPrefix &amp; "Spell = " &amp; _xlpm.spell &amp; "|" &amp; B1028
  )
)</f>
        <v>;Master Vampire
;Keyword = Uvi_Wig_Distr_KYWD|EncVampire03TemplateBoss
;Spell = No Spell for Hairstyle|EncVampire03TemplateBoss</v>
      </c>
    </row>
    <row r="1029" ht="12.75" customHeight="1">
      <c r="A1029" s="5" t="s">
        <v>4036</v>
      </c>
      <c r="B1029" s="5" t="s">
        <v>4037</v>
      </c>
      <c r="C1029" s="5" t="s">
        <v>4033</v>
      </c>
      <c r="D1029" s="5" t="s">
        <v>79</v>
      </c>
      <c r="E1029" s="5" t="s">
        <v>41</v>
      </c>
      <c r="F1029" s="5" t="s">
        <v>1557</v>
      </c>
      <c r="G1029" s="14" t="str">
        <f t="array" ref="G1029">IF(B1029="", "",
  LET(_xlpm.spell, IFERROR(IF(F1029="", "", INDEX(_xlws.FILTER(Hairstyles!$F:$F, ISNUMBER(SEARCH(F1029, Hairstyles!$B:$B))), 1)), "No Spell for Hairstyle"),
  _xlpm.vanillaPrefix, IF(LEFT(_xlpm.spell, 7)="Uvi_Wig", "", ";"),
  ";" &amp; IF(C1029="", B1029, C1029) &amp; IF(M1029="", "", " ("&amp;M1029&amp;")") &amp; CHAR(10) &amp;
  _xlpm.vanillaPrefix &amp; "Keyword = Uvi_Wig_Distr_KYWD|" &amp; B1029 &amp; CHAR(10) &amp;
  _xlpm.vanillaPrefix &amp; "Spell = " &amp; _xlpm.spell &amp; "|" &amp; B1029
  )
)</f>
        <v>;Master Vampire
;Keyword = Uvi_Wig_Distr_KYWD|EncVampire04TemplateBoss
;Spell = No Spell for Hairstyle|EncVampire04TemplateBoss</v>
      </c>
    </row>
    <row r="1030" ht="12.75" customHeight="1">
      <c r="A1030" s="5" t="s">
        <v>4038</v>
      </c>
      <c r="B1030" s="5" t="s">
        <v>4039</v>
      </c>
      <c r="C1030" s="5" t="s">
        <v>4033</v>
      </c>
      <c r="D1030" s="5" t="s">
        <v>79</v>
      </c>
      <c r="E1030" s="5" t="s">
        <v>41</v>
      </c>
      <c r="F1030" s="5" t="s">
        <v>1557</v>
      </c>
      <c r="G1030" s="14" t="str">
        <f t="array" ref="G1030">IF(B1030="", "",
  LET(_xlpm.spell, IFERROR(IF(F1030="", "", INDEX(_xlws.FILTER(Hairstyles!$F:$F, ISNUMBER(SEARCH(F1030, Hairstyles!$B:$B))), 1)), "No Spell for Hairstyle"),
  _xlpm.vanillaPrefix, IF(LEFT(_xlpm.spell, 7)="Uvi_Wig", "", ";"),
  ";" &amp; IF(C1030="", B1030, C1030) &amp; IF(M1030="", "", " ("&amp;M1030&amp;")") &amp; CHAR(10) &amp;
  _xlpm.vanillaPrefix &amp; "Keyword = Uvi_Wig_Distr_KYWD|" &amp; B1030 &amp; CHAR(10) &amp;
  _xlpm.vanillaPrefix &amp; "Spell = " &amp; _xlpm.spell &amp; "|" &amp; B1030
  )
)</f>
        <v>;Master Vampire
;Keyword = Uvi_Wig_Distr_KYWD|EncVampire05TemplateBoss
;Spell = No Spell for Hairstyle|EncVampire05TemplateBoss</v>
      </c>
    </row>
    <row r="1031" ht="12.75" customHeight="1">
      <c r="A1031" s="5" t="s">
        <v>4040</v>
      </c>
      <c r="B1031" s="5" t="s">
        <v>4041</v>
      </c>
      <c r="C1031" s="5" t="s">
        <v>4041</v>
      </c>
      <c r="D1031" s="5" t="s">
        <v>38</v>
      </c>
      <c r="E1031" s="5" t="s">
        <v>233</v>
      </c>
      <c r="F1031" s="5" t="s">
        <v>2694</v>
      </c>
      <c r="G1031" s="14" t="str">
        <f t="array" ref="G1031">IF(B1031="", "",
  LET(_xlpm.spell, IFERROR(IF(F1031="", "", INDEX(_xlws.FILTER(Hairstyles!$F:$F, ISNUMBER(SEARCH(F1031, Hairstyles!$B:$B))), 1)), "No Spell for Hairstyle"),
  _xlpm.vanillaPrefix, IF(LEFT(_xlpm.spell, 7)="Uvi_Wig", "", ";"),
  ";" &amp; IF(C1031="", B1031, C1031) &amp; IF(M1031="", "", " ("&amp;M1031&amp;")") &amp; CHAR(10) &amp;
  _xlpm.vanillaPrefix &amp; "Keyword = Uvi_Wig_Distr_KYWD|" &amp; B1031 &amp; CHAR(10) &amp;
  _xlpm.vanillaPrefix &amp; "Spell = " &amp; _xlpm.spell &amp; "|" &amp; B1031
  )
)</f>
        <v>;Mathies
;Keyword = Uvi_Wig_Distr_KYWD|Mathies
;Spell = No Spell for Hairstyle|Mathies</v>
      </c>
    </row>
    <row r="1032" ht="12.75" customHeight="1">
      <c r="A1032" s="15" t="s">
        <v>4042</v>
      </c>
      <c r="B1032" s="5" t="s">
        <v>4043</v>
      </c>
      <c r="C1032" s="5" t="s">
        <v>4043</v>
      </c>
      <c r="D1032" s="5" t="s">
        <v>38</v>
      </c>
      <c r="E1032" s="5" t="s">
        <v>41</v>
      </c>
      <c r="F1032" s="5" t="s">
        <v>343</v>
      </c>
      <c r="G1032" s="14" t="str">
        <f t="array" ref="G1032">IF(B1032="", "",
  LET(_xlpm.spell, IFERROR(IF(F1032="", "", INDEX(_xlws.FILTER(Hairstyles!$F:$F, ISNUMBER(SEARCH(F1032, Hairstyles!$B:$B))), 1)), "No Spell for Hairstyle"),
  _xlpm.vanillaPrefix, IF(LEFT(_xlpm.spell, 7)="Uvi_Wig", "", ";"),
  ";" &amp; IF(C1032="", B1032, C1032) &amp; IF(M1032="", "", " ("&amp;M1032&amp;")") &amp; CHAR(10) &amp;
  _xlpm.vanillaPrefix &amp; "Keyword = Uvi_Wig_Distr_KYWD|" &amp; B1032 &amp; CHAR(10) &amp;
  _xlpm.vanillaPrefix &amp; "Spell = " &amp; _xlpm.spell &amp; "|" &amp; B1032
  )
)</f>
        <v>;Matlara
;Keyword = Uvi_Wig_Distr_KYWD|Matlara
;Spell = No Spell for Hairstyle|Matlara</v>
      </c>
    </row>
    <row r="1033" ht="12.75" customHeight="1">
      <c r="A1033" s="5" t="s">
        <v>4044</v>
      </c>
      <c r="B1033" s="5" t="s">
        <v>4045</v>
      </c>
      <c r="C1033" s="5" t="s">
        <v>4045</v>
      </c>
      <c r="D1033" s="5" t="s">
        <v>38</v>
      </c>
      <c r="E1033" s="5" t="s">
        <v>233</v>
      </c>
      <c r="F1033" s="5" t="s">
        <v>990</v>
      </c>
      <c r="G1033" s="14" t="str">
        <f t="array" ref="G1033">IF(B1033="", "",
  LET(_xlpm.spell, IFERROR(IF(F1033="", "", INDEX(_xlws.FILTER(Hairstyles!$F:$F, ISNUMBER(SEARCH(F1033, Hairstyles!$B:$B))), 1)), "No Spell for Hairstyle"),
  _xlpm.vanillaPrefix, IF(LEFT(_xlpm.spell, 7)="Uvi_Wig", "", ";"),
  ";" &amp; IF(C1033="", B1033, C1033) &amp; IF(M1033="", "", " ("&amp;M1033&amp;")") &amp; CHAR(10) &amp;
  _xlpm.vanillaPrefix &amp; "Keyword = Uvi_Wig_Distr_KYWD|" &amp; B1033 &amp; CHAR(10) &amp;
  _xlpm.vanillaPrefix &amp; "Spell = " &amp; _xlpm.spell &amp; "|" &amp; B1033
  )
)</f>
        <v>;Maul
;Keyword = Uvi_Wig_Distr_KYWD|Maul
;Spell = No Spell for Hairstyle|Maul</v>
      </c>
    </row>
    <row r="1034" ht="12.75" customHeight="1">
      <c r="A1034" s="5" t="s">
        <v>4046</v>
      </c>
      <c r="B1034" s="5" t="s">
        <v>4047</v>
      </c>
      <c r="C1034" s="5" t="s">
        <v>4048</v>
      </c>
      <c r="D1034" s="5" t="s">
        <v>16</v>
      </c>
      <c r="E1034" s="5" t="s">
        <v>233</v>
      </c>
      <c r="F1034" s="5" t="s">
        <v>2694</v>
      </c>
      <c r="G1034" s="14" t="str">
        <f t="array" ref="G1034">IF(B1034="", "",
  LET(_xlpm.spell, IFERROR(IF(F1034="", "", INDEX(_xlws.FILTER(Hairstyles!$F:$F, ISNUMBER(SEARCH(F1034, Hairstyles!$B:$B))), 1)), "No Spell for Hairstyle"),
  _xlpm.vanillaPrefix, IF(LEFT(_xlpm.spell, 7)="Uvi_Wig", "", ";"),
  ";" &amp; IF(C1034="", B1034, C1034) &amp; IF(M1034="", "", " ("&amp;M1034&amp;")") &amp; CHAR(10) &amp;
  _xlpm.vanillaPrefix &amp; "Keyword = Uvi_Wig_Distr_KYWD|" &amp; B1034 &amp; CHAR(10) &amp;
  _xlpm.vanillaPrefix &amp; "Spell = " &amp; _xlpm.spell &amp; "|" &amp; B1034
  )
)</f>
        <v>;Maurice Jondrelle
;Keyword = Uvi_Wig_Distr_KYWD|T03Maurice
;Spell = No Spell for Hairstyle|T03Maurice</v>
      </c>
    </row>
    <row r="1035" ht="12.75" customHeight="1">
      <c r="A1035" s="5" t="s">
        <v>4049</v>
      </c>
      <c r="B1035" s="5" t="s">
        <v>4050</v>
      </c>
      <c r="C1035" s="5" t="s">
        <v>4051</v>
      </c>
      <c r="D1035" s="5" t="s">
        <v>38</v>
      </c>
      <c r="E1035" s="5" t="s">
        <v>41</v>
      </c>
      <c r="F1035" s="5" t="s">
        <v>1596</v>
      </c>
      <c r="G1035" s="14" t="str">
        <f t="array" ref="G1035">IF(B1035="", "",
  LET(_xlpm.spell, IFERROR(IF(F1035="", "", INDEX(_xlws.FILTER(Hairstyles!$F:$F, ISNUMBER(SEARCH(F1035, Hairstyles!$B:$B))), 1)), "No Spell for Hairstyle"),
  _xlpm.vanillaPrefix, IF(LEFT(_xlpm.spell, 7)="Uvi_Wig", "", ";"),
  ";" &amp; IF(C1035="", B1035, C1035) &amp; IF(M1035="", "", " ("&amp;M1035&amp;")") &amp; CHAR(10) &amp;
  _xlpm.vanillaPrefix &amp; "Keyword = Uvi_Wig_Distr_KYWD|" &amp; B1035 &amp; CHAR(10) &amp;
  _xlpm.vanillaPrefix &amp; "Spell = " &amp; _xlpm.spell &amp; "|" &amp; B1035
  )
)</f>
        <v>;Maven Black-Briar
;Keyword = Uvi_Wig_Distr_KYWD|Maven
;Spell = No Spell for Hairstyle|Maven</v>
      </c>
    </row>
    <row r="1036" ht="12.75" customHeight="1">
      <c r="A1036" s="5" t="s">
        <v>4052</v>
      </c>
      <c r="B1036" s="5" t="s">
        <v>4053</v>
      </c>
      <c r="C1036" s="5" t="s">
        <v>4054</v>
      </c>
      <c r="D1036" s="5" t="s">
        <v>80</v>
      </c>
      <c r="E1036" s="5" t="s">
        <v>41</v>
      </c>
      <c r="F1036" s="4" t="s">
        <v>1741</v>
      </c>
      <c r="G1036" s="14" t="str">
        <f t="array" ref="G1036">IF(B1036="", "",
  LET(_xlpm.spell, IFERROR(IF(F1036="", "", INDEX(_xlws.FILTER(Hairstyles!$F:$F, ISNUMBER(SEARCH(F1036, Hairstyles!$B:$B))), 1)), "No Spell for Hairstyle"),
  _xlpm.vanillaPrefix, IF(LEFT(_xlpm.spell, 7)="Uvi_Wig", "", ";"),
  ";" &amp; IF(C1036="", B1036, C1036) &amp; IF(M1036="", "", " ("&amp;M1036&amp;")") &amp; CHAR(10) &amp;
  _xlpm.vanillaPrefix &amp; "Keyword = Uvi_Wig_Distr_KYWD|" &amp; B1036 &amp; CHAR(10) &amp;
  _xlpm.vanillaPrefix &amp; "Spell = " &amp; _xlpm.spell &amp; "|" &amp; B1036
  )
)</f>
        <v>;Mazgak
;Keyword = Uvi_Wig_Distr_KYWD|DA05Hunter06_02Melee_Mazgak
;Spell = No Spell for Hairstyle|DA05Hunter06_02Melee_Mazgak</v>
      </c>
    </row>
    <row r="1037" ht="12.75" customHeight="1">
      <c r="A1037" s="5" t="s">
        <v>4055</v>
      </c>
      <c r="B1037" s="5" t="s">
        <v>4056</v>
      </c>
      <c r="C1037" s="5" t="s">
        <v>4057</v>
      </c>
      <c r="D1037" s="5" t="s">
        <v>45</v>
      </c>
      <c r="E1037" s="5" t="s">
        <v>233</v>
      </c>
      <c r="F1037" s="5" t="s">
        <v>2088</v>
      </c>
      <c r="G1037" s="14" t="str">
        <f t="array" ref="G1037">IF(B1037="", "",
  LET(_xlpm.spell, IFERROR(IF(F1037="", "", INDEX(_xlws.FILTER(Hairstyles!$F:$F, ISNUMBER(SEARCH(F1037, Hairstyles!$B:$B))), 1)), "No Spell for Hairstyle"),
  _xlpm.vanillaPrefix, IF(LEFT(_xlpm.spell, 7)="Uvi_Wig", "", ";"),
  ";" &amp; IF(C1037="", B1037, C1037) &amp; IF(M1037="", "", " ("&amp;M1037&amp;")") &amp; CHAR(10) &amp;
  _xlpm.vanillaPrefix &amp; "Keyword = Uvi_Wig_Distr_KYWD|" &amp; B1037 &amp; CHAR(10) &amp;
  _xlpm.vanillaPrefix &amp; "Spell = " &amp; _xlpm.spell &amp; "|" &amp; B1037
  )
)</f>
        <v>;Meden Maren
;Keyword = Uvi_Wig_Distr_KYWD|DLC2RRMinerMeden
;Spell = No Spell for Hairstyle|DLC2RRMinerMeden</v>
      </c>
    </row>
    <row r="1038" ht="12.75" customHeight="1">
      <c r="A1038" s="5" t="s">
        <v>4058</v>
      </c>
      <c r="B1038" s="5" t="s">
        <v>4059</v>
      </c>
      <c r="C1038" s="5" t="s">
        <v>4060</v>
      </c>
      <c r="D1038" s="5" t="s">
        <v>45</v>
      </c>
      <c r="E1038" s="5" t="s">
        <v>41</v>
      </c>
      <c r="F1038" s="5" t="s">
        <v>2577</v>
      </c>
      <c r="G1038" s="14" t="str">
        <f t="array" ref="G1038">IF(B1038="", "",
  LET(_xlpm.spell, IFERROR(IF(F1038="", "", INDEX(_xlws.FILTER(Hairstyles!$F:$F, ISNUMBER(SEARCH(F1038, Hairstyles!$B:$B))), 1)), "No Spell for Hairstyle"),
  _xlpm.vanillaPrefix, IF(LEFT(_xlpm.spell, 7)="Uvi_Wig", "", ";"),
  ";" &amp; IF(C1038="", B1038, C1038) &amp; IF(M1038="", "", " ("&amp;M1038&amp;")") &amp; CHAR(10) &amp;
  _xlpm.vanillaPrefix &amp; "Keyword = Uvi_Wig_Distr_KYWD|" &amp; B1038 &amp; CHAR(10) &amp;
  _xlpm.vanillaPrefix &amp; "Spell = " &amp; _xlpm.spell &amp; "|" &amp; B1038
  )
)</f>
        <v>;Medresi Dran
;Keyword = Uvi_Wig_Distr_KYWD|dunAngarvundeMedresiDran
;Spell = No Spell for Hairstyle|dunAngarvundeMedresiDran</v>
      </c>
    </row>
    <row r="1039" ht="12.75" customHeight="1">
      <c r="A1039" s="15" t="s">
        <v>4061</v>
      </c>
      <c r="B1039" s="5" t="s">
        <v>4062</v>
      </c>
      <c r="C1039" s="5" t="s">
        <v>4062</v>
      </c>
      <c r="D1039" s="5" t="s">
        <v>57</v>
      </c>
      <c r="E1039" s="5" t="s">
        <v>233</v>
      </c>
      <c r="F1039" s="5" t="s">
        <v>543</v>
      </c>
      <c r="G1039" s="14" t="str">
        <f t="array" ref="G1039">IF(B1039="", "",
  LET(_xlpm.spell, IFERROR(IF(F1039="", "", INDEX(_xlws.FILTER(Hairstyles!$F:$F, ISNUMBER(SEARCH(F1039, Hairstyles!$B:$B))), 1)), "No Spell for Hairstyle"),
  _xlpm.vanillaPrefix, IF(LEFT(_xlpm.spell, 7)="Uvi_Wig", "", ";"),
  ";" &amp; IF(C1039="", B1039, C1039) &amp; IF(M1039="", "", " ("&amp;M1039&amp;")") &amp; CHAR(10) &amp;
  _xlpm.vanillaPrefix &amp; "Keyword = Uvi_Wig_Distr_KYWD|" &amp; B1039 &amp; CHAR(10) &amp;
  _xlpm.vanillaPrefix &amp; "Spell = " &amp; _xlpm.spell &amp; "|" &amp; B1039
  )
)</f>
        <v>;Melaran
;Keyword = Uvi_Wig_Distr_KYWD|Melaran
;Spell = No Spell for Hairstyle|Melaran</v>
      </c>
    </row>
    <row r="1040" ht="12.75" customHeight="1">
      <c r="A1040" s="5" t="s">
        <v>4063</v>
      </c>
      <c r="B1040" s="5" t="s">
        <v>4064</v>
      </c>
      <c r="C1040" s="5" t="s">
        <v>4064</v>
      </c>
      <c r="D1040" s="5" t="s">
        <v>16</v>
      </c>
      <c r="E1040" s="5" t="s">
        <v>41</v>
      </c>
      <c r="F1040" s="5" t="s">
        <v>2118</v>
      </c>
      <c r="G1040" s="14" t="str">
        <f t="array" ref="G1040">IF(B1040="", "",
  LET(_xlpm.spell, IFERROR(IF(F1040="", "", INDEX(_xlws.FILTER(Hairstyles!$F:$F, ISNUMBER(SEARCH(F1040, Hairstyles!$B:$B))), 1)), "No Spell for Hairstyle"),
  _xlpm.vanillaPrefix, IF(LEFT(_xlpm.spell, 7)="Uvi_Wig", "", ";"),
  ";" &amp; IF(C1040="", B1040, C1040) &amp; IF(M1040="", "", " ("&amp;M1040&amp;")") &amp; CHAR(10) &amp;
  _xlpm.vanillaPrefix &amp; "Keyword = Uvi_Wig_Distr_KYWD|" &amp; B1040 &amp; CHAR(10) &amp;
  _xlpm.vanillaPrefix &amp; "Spell = " &amp; _xlpm.spell &amp; "|" &amp; B1040
  )
)</f>
        <v>;Mena
;Keyword = Uvi_Wig_Distr_KYWD|Mena
;Spell = No Spell for Hairstyle|Mena</v>
      </c>
    </row>
    <row r="1041" ht="12.75" customHeight="1">
      <c r="A1041" s="5" t="s">
        <v>4065</v>
      </c>
      <c r="B1041" s="5" t="s">
        <v>4066</v>
      </c>
      <c r="C1041" s="5" t="s">
        <v>4067</v>
      </c>
      <c r="D1041" s="5" t="s">
        <v>65</v>
      </c>
      <c r="E1041" s="5" t="s">
        <v>41</v>
      </c>
      <c r="F1041" s="5" t="s">
        <v>4068</v>
      </c>
      <c r="G1041" s="14" t="str">
        <f t="array" ref="G1041">IF(B1041="", "",
  LET(_xlpm.spell, IFERROR(IF(F1041="", "", INDEX(_xlws.FILTER(Hairstyles!$F:$F, ISNUMBER(SEARCH(F1041, Hairstyles!$B:$B))), 1)), "No Spell for Hairstyle"),
  _xlpm.vanillaPrefix, IF(LEFT(_xlpm.spell, 7)="Uvi_Wig", "", ";"),
  ";" &amp; IF(C1041="", B1041, C1041) &amp; IF(M1041="", "", " ("&amp;M1041&amp;")") &amp; CHAR(10) &amp;
  _xlpm.vanillaPrefix &amp; "Keyword = Uvi_Wig_Distr_KYWD|" &amp; B1041 &amp; CHAR(10) &amp;
  _xlpm.vanillaPrefix &amp; "Spell = " &amp; _xlpm.spell &amp; "|" &amp; B1041
  )
)</f>
        <v>;Mephala
;Keyword = Uvi_Wig_Distr_KYWD|DA08Mephala
;Spell = No Spell for Hairstyle|DA08Mephala</v>
      </c>
    </row>
    <row r="1042" ht="12.75" customHeight="1">
      <c r="A1042" s="5" t="s">
        <v>4069</v>
      </c>
      <c r="B1042" s="5" t="s">
        <v>4070</v>
      </c>
      <c r="C1042" s="5" t="s">
        <v>4071</v>
      </c>
      <c r="D1042" s="5" t="s">
        <v>59</v>
      </c>
      <c r="E1042" s="5" t="s">
        <v>233</v>
      </c>
      <c r="F1042" s="5" t="s">
        <v>1709</v>
      </c>
      <c r="G1042" s="14" t="str">
        <f t="array" ref="G1042">IF(B1042="", "",
  LET(_xlpm.spell, IFERROR(IF(F1042="", "", INDEX(_xlws.FILTER(Hairstyles!$F:$F, ISNUMBER(SEARCH(F1042, Hairstyles!$B:$B))), 1)), "No Spell for Hairstyle"),
  _xlpm.vanillaPrefix, IF(LEFT(_xlpm.spell, 7)="Uvi_Wig", "", ";"),
  ";" &amp; IF(C1042="", B1042, C1042) &amp; IF(M1042="", "", " ("&amp;M1042&amp;")") &amp; CHAR(10) &amp;
  _xlpm.vanillaPrefix &amp; "Keyword = Uvi_Wig_Distr_KYWD|" &amp; B1042 &amp; CHAR(10) &amp;
  _xlpm.vanillaPrefix &amp; "Spell = " &amp; _xlpm.spell &amp; "|" &amp; B1042
  )
)</f>
        <v>;Mercenary
;Keyword = Uvi_Wig_Distr_KYWD|DLC1_WESC09TaronGuard01
;Spell = No Spell for Hairstyle|DLC1_WESC09TaronGuard01</v>
      </c>
    </row>
    <row r="1043" ht="12.75" customHeight="1">
      <c r="A1043" s="5" t="s">
        <v>4072</v>
      </c>
      <c r="B1043" s="5" t="s">
        <v>4073</v>
      </c>
      <c r="C1043" s="5" t="s">
        <v>4071</v>
      </c>
      <c r="D1043" s="5" t="s">
        <v>38</v>
      </c>
      <c r="E1043" s="5" t="s">
        <v>233</v>
      </c>
      <c r="F1043" s="5" t="s">
        <v>1088</v>
      </c>
      <c r="G1043" s="14" t="str">
        <f t="array" ref="G1043">IF(B1043="", "",
  LET(_xlpm.spell, IFERROR(IF(F1043="", "", INDEX(_xlws.FILTER(Hairstyles!$F:$F, ISNUMBER(SEARCH(F1043, Hairstyles!$B:$B))), 1)), "No Spell for Hairstyle"),
  _xlpm.vanillaPrefix, IF(LEFT(_xlpm.spell, 7)="Uvi_Wig", "", ";"),
  ";" &amp; IF(C1043="", B1043, C1043) &amp; IF(M1043="", "", " ("&amp;M1043&amp;")") &amp; CHAR(10) &amp;
  _xlpm.vanillaPrefix &amp; "Keyword = Uvi_Wig_Distr_KYWD|" &amp; B1043 &amp; CHAR(10) &amp;
  _xlpm.vanillaPrefix &amp; "Spell = " &amp; _xlpm.spell &amp; "|" &amp; B1043
  )
)</f>
        <v>;Mercenary
;Keyword = Uvi_Wig_Distr_KYWD|DLC1_WESC09TaronGuard02
;Spell = No Spell for Hairstyle|DLC1_WESC09TaronGuard02</v>
      </c>
    </row>
    <row r="1044" ht="12.75" customHeight="1">
      <c r="A1044" s="5" t="s">
        <v>4074</v>
      </c>
      <c r="B1044" s="5" t="s">
        <v>4075</v>
      </c>
      <c r="C1044" s="5" t="s">
        <v>4071</v>
      </c>
      <c r="D1044" s="5" t="s">
        <v>16</v>
      </c>
      <c r="E1044" s="5" t="s">
        <v>233</v>
      </c>
      <c r="F1044" s="5" t="s">
        <v>521</v>
      </c>
      <c r="G1044" s="14" t="str">
        <f t="array" ref="G1044">IF(B1044="", "",
  LET(_xlpm.spell, IFERROR(IF(F1044="", "", INDEX(_xlws.FILTER(Hairstyles!$F:$F, ISNUMBER(SEARCH(F1044, Hairstyles!$B:$B))), 1)), "No Spell for Hairstyle"),
  _xlpm.vanillaPrefix, IF(LEFT(_xlpm.spell, 7)="Uvi_Wig", "", ";"),
  ";" &amp; IF(C1044="", B1044, C1044) &amp; IF(M1044="", "", " ("&amp;M1044&amp;")") &amp; CHAR(10) &amp;
  _xlpm.vanillaPrefix &amp; "Keyword = Uvi_Wig_Distr_KYWD|" &amp; B1044 &amp; CHAR(10) &amp;
  _xlpm.vanillaPrefix &amp; "Spell = " &amp; _xlpm.spell &amp; "|" &amp; B1044
  )
)</f>
        <v>;Mercenary
;Keyword = Uvi_Wig_Distr_KYWD|DLC1_WESC09TaronGuard03
;Spell = No Spell for Hairstyle|DLC1_WESC09TaronGuard03</v>
      </c>
    </row>
    <row r="1045" ht="12.75" customHeight="1">
      <c r="A1045" s="5" t="s">
        <v>4076</v>
      </c>
      <c r="B1045" s="5" t="s">
        <v>4077</v>
      </c>
      <c r="C1045" s="5" t="s">
        <v>4071</v>
      </c>
      <c r="D1045" s="5" t="s">
        <v>38</v>
      </c>
      <c r="E1045" s="5" t="s">
        <v>233</v>
      </c>
      <c r="F1045" s="5" t="s">
        <v>84</v>
      </c>
      <c r="G1045" s="14" t="str">
        <f t="array" ref="G1045">IF(B1045="", "",
  LET(_xlpm.spell, IFERROR(IF(F1045="", "", INDEX(_xlws.FILTER(Hairstyles!$F:$F, ISNUMBER(SEARCH(F1045, Hairstyles!$B:$B))), 1)), "No Spell for Hairstyle"),
  _xlpm.vanillaPrefix, IF(LEFT(_xlpm.spell, 7)="Uvi_Wig", "", ";"),
  ";" &amp; IF(C1045="", B1045, C1045) &amp; IF(M1045="", "", " ("&amp;M1045&amp;")") &amp; CHAR(10) &amp;
  _xlpm.vanillaPrefix &amp; "Keyword = Uvi_Wig_Distr_KYWD|" &amp; B1045 &amp; CHAR(10) &amp;
  _xlpm.vanillaPrefix &amp; "Spell = " &amp; _xlpm.spell &amp; "|" &amp; B1045
  )
)</f>
        <v>;Mercenary
;Keyword = Uvi_Wig_Distr_KYWD|TG02EncMercenaryTemplate
;Spell = No Spell for Hairstyle|TG02EncMercenaryTemplate</v>
      </c>
    </row>
    <row r="1046" ht="12.75" customHeight="1">
      <c r="A1046" s="5" t="s">
        <v>4078</v>
      </c>
      <c r="B1046" s="5" t="s">
        <v>4079</v>
      </c>
      <c r="C1046" s="5" t="s">
        <v>4080</v>
      </c>
      <c r="D1046" s="5" t="s">
        <v>16</v>
      </c>
      <c r="E1046" s="5" t="s">
        <v>233</v>
      </c>
      <c r="F1046" s="5" t="s">
        <v>521</v>
      </c>
      <c r="G1046" s="14" t="str">
        <f t="array" ref="G1046">IF(B1046="", "",
  LET(_xlpm.spell, IFERROR(IF(F1046="", "", INDEX(_xlws.FILTER(Hairstyles!$F:$F, ISNUMBER(SEARCH(F1046, Hairstyles!$B:$B))), 1)), "No Spell for Hairstyle"),
  _xlpm.vanillaPrefix, IF(LEFT(_xlpm.spell, 7)="Uvi_Wig", "", ";"),
  ";" &amp; IF(C1046="", B1046, C1046) &amp; IF(M1046="", "", " ("&amp;M1046&amp;")") &amp; CHAR(10) &amp;
  _xlpm.vanillaPrefix &amp; "Keyword = Uvi_Wig_Distr_KYWD|" &amp; B1046 &amp; CHAR(10) &amp;
  _xlpm.vanillaPrefix &amp; "Spell = " &amp; _xlpm.spell &amp; "|" &amp; B1046
  )
)</f>
        <v>;Mercer Frey
;Keyword = Uvi_Wig_Distr_KYWD|MercerFrey
;Spell = No Spell for Hairstyle|MercerFrey</v>
      </c>
    </row>
    <row r="1047" ht="12.75" customHeight="1">
      <c r="A1047" s="5" t="s">
        <v>4081</v>
      </c>
      <c r="B1047" s="5" t="s">
        <v>4082</v>
      </c>
      <c r="C1047" s="5" t="s">
        <v>4083</v>
      </c>
      <c r="D1047" s="5" t="s">
        <v>57</v>
      </c>
      <c r="E1047" s="5" t="s">
        <v>41</v>
      </c>
      <c r="F1047" s="5" t="s">
        <v>2245</v>
      </c>
      <c r="G1047" s="14" t="str">
        <f t="array" ref="G1047">IF(B1047="", "",
  LET(_xlpm.spell, IFERROR(IF(F1047="", "", INDEX(_xlws.FILTER(Hairstyles!$F:$F, ISNUMBER(SEARCH(F1047, Hairstyles!$B:$B))), 1)), "No Spell for Hairstyle"),
  _xlpm.vanillaPrefix, IF(LEFT(_xlpm.spell, 7)="Uvi_Wig", "", ";"),
  ";" &amp; IF(C1047="", B1047, C1047) &amp; IF(M1047="", "", " ("&amp;M1047&amp;")") &amp; CHAR(10) &amp;
  _xlpm.vanillaPrefix &amp; "Keyword = Uvi_Wig_Distr_KYWD|" &amp; B1047 &amp; CHAR(10) &amp;
  _xlpm.vanillaPrefix &amp; "Spell = " &amp; _xlpm.spell &amp; "|" &amp; B1047
  )
)</f>
        <v>;Meridia
;Keyword = Uvi_Wig_Distr_KYWD|DA09Meridia
;Spell = No Spell for Hairstyle|DA09Meridia</v>
      </c>
    </row>
    <row r="1048" ht="12.75" customHeight="1">
      <c r="A1048" s="5" t="s">
        <v>4084</v>
      </c>
      <c r="B1048" s="5" t="s">
        <v>4085</v>
      </c>
      <c r="C1048" s="5" t="s">
        <v>4086</v>
      </c>
      <c r="D1048" s="5" t="s">
        <v>45</v>
      </c>
      <c r="E1048" s="5" t="s">
        <v>41</v>
      </c>
      <c r="F1048" s="5" t="s">
        <v>2034</v>
      </c>
      <c r="G1048" s="14" t="str">
        <f t="array" ref="G1048">IF(B1048="", "",
  LET(_xlpm.spell, IFERROR(IF(F1048="", "", INDEX(_xlws.FILTER(Hairstyles!$F:$F, ISNUMBER(SEARCH(F1048, Hairstyles!$B:$B))), 1)), "No Spell for Hairstyle"),
  _xlpm.vanillaPrefix, IF(LEFT(_xlpm.spell, 7)="Uvi_Wig", "", ";"),
  ";" &amp; IF(C1048="", B1048, C1048) &amp; IF(M1048="", "", " ("&amp;M1048&amp;")") &amp; CHAR(10) &amp;
  _xlpm.vanillaPrefix &amp; "Keyword = Uvi_Wig_Distr_KYWD|" &amp; B1048 &amp; CHAR(10) &amp;
  _xlpm.vanillaPrefix &amp; "Spell = " &amp; _xlpm.spell &amp; "|" &amp; B1048
  )
)</f>
        <v>;Merilar Rendas
;Keyword = Uvi_Wig_Distr_KYWD|DLC2MerilarRendas
;Spell = No Spell for Hairstyle|DLC2MerilarRendas</v>
      </c>
    </row>
    <row r="1049" ht="12.75" customHeight="1">
      <c r="A1049" s="5" t="s">
        <v>4087</v>
      </c>
      <c r="B1049" s="5" t="s">
        <v>4088</v>
      </c>
      <c r="C1049" s="5" t="s">
        <v>4089</v>
      </c>
      <c r="D1049" s="5" t="s">
        <v>16</v>
      </c>
      <c r="E1049" s="5" t="s">
        <v>41</v>
      </c>
      <c r="F1049" s="5" t="s">
        <v>1694</v>
      </c>
      <c r="G1049" s="14" t="str">
        <f t="array" ref="G1049">IF(B1049="", "",
  LET(_xlpm.spell, IFERROR(IF(F1049="", "", INDEX(_xlws.FILTER(Hairstyles!$F:$F, ISNUMBER(SEARCH(F1049, Hairstyles!$B:$B))), 1)), "No Spell for Hairstyle"),
  _xlpm.vanillaPrefix, IF(LEFT(_xlpm.spell, 7)="Uvi_Wig", "", ";"),
  ";" &amp; IF(C1049="", B1049, C1049) &amp; IF(M1049="", "", " ("&amp;M1049&amp;")") &amp; CHAR(10) &amp;
  _xlpm.vanillaPrefix &amp; "Keyword = Uvi_Wig_Distr_KYWD|" &amp; B1049 &amp; CHAR(10) &amp;
  _xlpm.vanillaPrefix &amp; "Spell = " &amp; _xlpm.spell &amp; "|" &amp; B1049
  )
)</f>
        <v>;Michel Lylvieve
;Keyword = Uvi_Wig_Distr_KYWD|MichelLylvieve
;Spell = No Spell for Hairstyle|MichelLylvieve</v>
      </c>
    </row>
    <row r="1050" ht="12.75" customHeight="1">
      <c r="A1050" s="5" t="s">
        <v>4090</v>
      </c>
      <c r="B1050" s="5" t="s">
        <v>4091</v>
      </c>
      <c r="C1050" s="5" t="s">
        <v>4091</v>
      </c>
      <c r="D1050" s="5" t="s">
        <v>38</v>
      </c>
      <c r="E1050" s="5" t="s">
        <v>233</v>
      </c>
      <c r="F1050" s="5" t="s">
        <v>521</v>
      </c>
      <c r="G1050" s="14" t="str">
        <f t="array" ref="G1050">IF(B1050="", "",
  LET(_xlpm.spell, IFERROR(IF(F1050="", "", INDEX(_xlws.FILTER(Hairstyles!$F:$F, ISNUMBER(SEARCH(F1050, Hairstyles!$B:$B))), 1)), "No Spell for Hairstyle"),
  _xlpm.vanillaPrefix, IF(LEFT(_xlpm.spell, 7)="Uvi_Wig", "", ";"),
  ";" &amp; IF(C1050="", B1050, C1050) &amp; IF(M1050="", "", " ("&amp;M1050&amp;")") &amp; CHAR(10) &amp;
  _xlpm.vanillaPrefix &amp; "Keyword = Uvi_Wig_Distr_KYWD|" &amp; B1050 &amp; CHAR(10) &amp;
  _xlpm.vanillaPrefix &amp; "Spell = " &amp; _xlpm.spell &amp; "|" &amp; B1050
  )
)</f>
        <v>;Mikael
;Keyword = Uvi_Wig_Distr_KYWD|Mikael
;Spell = No Spell for Hairstyle|Mikael</v>
      </c>
    </row>
    <row r="1051" ht="12.75" customHeight="1">
      <c r="A1051" s="5" t="s">
        <v>4092</v>
      </c>
      <c r="B1051" s="5" t="s">
        <v>4093</v>
      </c>
      <c r="C1051" s="5" t="s">
        <v>4094</v>
      </c>
      <c r="D1051" s="5" t="s">
        <v>60</v>
      </c>
      <c r="E1051" s="5" t="s">
        <v>41</v>
      </c>
      <c r="F1051" s="5" t="s">
        <v>62</v>
      </c>
      <c r="G1051" s="14" t="str">
        <f t="array" ref="G1051">IF(B1051="", "",
  LET(_xlpm.spell, IFERROR(IF(F1051="", "", INDEX(_xlws.FILTER(Hairstyles!$F:$F, ISNUMBER(SEARCH(F1051, Hairstyles!$B:$B))), 1)), "No Spell for Hairstyle"),
  _xlpm.vanillaPrefix, IF(LEFT(_xlpm.spell, 7)="Uvi_Wig", "", ";"),
  ";" &amp; IF(C1051="", B1051, C1051) &amp; IF(M1051="", "", " ("&amp;M1051&amp;")") &amp; CHAR(10) &amp;
  _xlpm.vanillaPrefix &amp; "Keyword = Uvi_Wig_Distr_KYWD|" &amp; B1051 &amp; CHAR(10) &amp;
  _xlpm.vanillaPrefix &amp; "Spell = " &amp; _xlpm.spell &amp; "|" &amp; B1051
  )
)</f>
        <v>;Mila Valentia
;Keyword = Uvi_Wig_Distr_KYWD|MilaValentia
;Spell = No Spell for Hairstyle|MilaValentia</v>
      </c>
    </row>
    <row r="1052" ht="12.75" customHeight="1">
      <c r="A1052" s="5" t="s">
        <v>4095</v>
      </c>
      <c r="B1052" s="5" t="s">
        <v>4096</v>
      </c>
      <c r="C1052" s="5" t="s">
        <v>4097</v>
      </c>
      <c r="D1052" s="5" t="s">
        <v>45</v>
      </c>
      <c r="E1052" s="5" t="s">
        <v>41</v>
      </c>
      <c r="F1052" s="5" t="s">
        <v>512</v>
      </c>
      <c r="G1052" s="14" t="str">
        <f t="array" ref="G1052">IF(B1052="", "",
  LET(_xlpm.spell, IFERROR(IF(F1052="", "", INDEX(_xlws.FILTER(Hairstyles!$F:$F, ISNUMBER(SEARCH(F1052, Hairstyles!$B:$B))), 1)), "No Spell for Hairstyle"),
  _xlpm.vanillaPrefix, IF(LEFT(_xlpm.spell, 7)="Uvi_Wig", "", ";"),
  ";" &amp; IF(C1052="", B1052, C1052) &amp; IF(M1052="", "", " ("&amp;M1052&amp;")") &amp; CHAR(10) &amp;
  _xlpm.vanillaPrefix &amp; "Keyword = Uvi_Wig_Distr_KYWD|" &amp; B1052 &amp; CHAR(10) &amp;
  _xlpm.vanillaPrefix &amp; "Spell = " &amp; _xlpm.spell &amp; "|" &amp; B1052
  )
)</f>
        <v>;Milore Ienth
;Keyword = Uvi_Wig_Distr_KYWD|DLC2RRMiloreIenth
;Spell = No Spell for Hairstyle|DLC2RRMiloreIenth</v>
      </c>
    </row>
    <row r="1053" ht="12.75" customHeight="1">
      <c r="A1053" s="5" t="s">
        <v>4098</v>
      </c>
      <c r="B1053" s="5" t="s">
        <v>4099</v>
      </c>
      <c r="C1053" s="5" t="s">
        <v>4100</v>
      </c>
      <c r="D1053" s="5" t="s">
        <v>45</v>
      </c>
      <c r="E1053" s="5" t="s">
        <v>41</v>
      </c>
      <c r="F1053" s="5" t="s">
        <v>512</v>
      </c>
      <c r="G1053" s="14" t="str">
        <f t="array" ref="G1053">IF(B1053="", "",
  LET(_xlpm.spell, IFERROR(IF(F1053="", "", INDEX(_xlws.FILTER(Hairstyles!$F:$F, ISNUMBER(SEARCH(F1053, Hairstyles!$B:$B))), 1)), "No Spell for Hairstyle"),
  _xlpm.vanillaPrefix, IF(LEFT(_xlpm.spell, 7)="Uvi_Wig", "", ";"),
  ";" &amp; IF(C1053="", B1053, C1053) &amp; IF(M1053="", "", " ("&amp;M1053&amp;")") &amp; CHAR(10) &amp;
  _xlpm.vanillaPrefix &amp; "Keyword = Uvi_Wig_Distr_KYWD|" &amp; B1053 &amp; CHAR(10) &amp;
  _xlpm.vanillaPrefix &amp; "Spell = " &amp; _xlpm.spell &amp; "|" &amp; B1053
  )
)</f>
        <v>;Miner
;Keyword = Uvi_Wig_Distr_KYWD|DLC2dunKolbjornMiner_DarkElfF01
;Spell = No Spell for Hairstyle|DLC2dunKolbjornMiner_DarkElfF01</v>
      </c>
    </row>
    <row r="1054" ht="12.75" customHeight="1">
      <c r="A1054" s="5" t="s">
        <v>4101</v>
      </c>
      <c r="B1054" s="5" t="s">
        <v>4102</v>
      </c>
      <c r="C1054" s="5" t="s">
        <v>4100</v>
      </c>
      <c r="D1054" s="5" t="s">
        <v>45</v>
      </c>
      <c r="E1054" s="5" t="s">
        <v>41</v>
      </c>
      <c r="F1054" s="5" t="s">
        <v>2034</v>
      </c>
      <c r="G1054" s="14" t="str">
        <f t="array" ref="G1054">IF(B1054="", "",
  LET(_xlpm.spell, IFERROR(IF(F1054="", "", INDEX(_xlws.FILTER(Hairstyles!$F:$F, ISNUMBER(SEARCH(F1054, Hairstyles!$B:$B))), 1)), "No Spell for Hairstyle"),
  _xlpm.vanillaPrefix, IF(LEFT(_xlpm.spell, 7)="Uvi_Wig", "", ";"),
  ";" &amp; IF(C1054="", B1054, C1054) &amp; IF(M1054="", "", " ("&amp;M1054&amp;")") &amp; CHAR(10) &amp;
  _xlpm.vanillaPrefix &amp; "Keyword = Uvi_Wig_Distr_KYWD|" &amp; B1054 &amp; CHAR(10) &amp;
  _xlpm.vanillaPrefix &amp; "Spell = " &amp; _xlpm.spell &amp; "|" &amp; B1054
  )
)</f>
        <v>;Miner
;Keyword = Uvi_Wig_Distr_KYWD|DLC2dunKolbjornMiner_DarkElfF02
;Spell = No Spell for Hairstyle|DLC2dunKolbjornMiner_DarkElfF02</v>
      </c>
    </row>
    <row r="1055" ht="12.75" customHeight="1">
      <c r="A1055" s="5" t="s">
        <v>4103</v>
      </c>
      <c r="B1055" s="5" t="s">
        <v>4104</v>
      </c>
      <c r="C1055" s="5" t="s">
        <v>4100</v>
      </c>
      <c r="D1055" s="5" t="s">
        <v>45</v>
      </c>
      <c r="E1055" s="5" t="s">
        <v>41</v>
      </c>
      <c r="F1055" s="5" t="s">
        <v>1854</v>
      </c>
      <c r="G1055" s="14" t="str">
        <f t="array" ref="G1055">IF(B1055="", "",
  LET(_xlpm.spell, IFERROR(IF(F1055="", "", INDEX(_xlws.FILTER(Hairstyles!$F:$F, ISNUMBER(SEARCH(F1055, Hairstyles!$B:$B))), 1)), "No Spell for Hairstyle"),
  _xlpm.vanillaPrefix, IF(LEFT(_xlpm.spell, 7)="Uvi_Wig", "", ";"),
  ";" &amp; IF(C1055="", B1055, C1055) &amp; IF(M1055="", "", " ("&amp;M1055&amp;")") &amp; CHAR(10) &amp;
  _xlpm.vanillaPrefix &amp; "Keyword = Uvi_Wig_Distr_KYWD|" &amp; B1055 &amp; CHAR(10) &amp;
  _xlpm.vanillaPrefix &amp; "Spell = " &amp; _xlpm.spell &amp; "|" &amp; B1055
  )
)</f>
        <v>;Miner
;Keyword = Uvi_Wig_Distr_KYWD|DLC2dunKolbjornMiner_DarkElfF03
;Spell = No Spell for Hairstyle|DLC2dunKolbjornMiner_DarkElfF03</v>
      </c>
    </row>
    <row r="1056" ht="12.75" customHeight="1">
      <c r="A1056" s="5" t="s">
        <v>4105</v>
      </c>
      <c r="B1056" s="5" t="s">
        <v>4106</v>
      </c>
      <c r="C1056" s="5" t="s">
        <v>4100</v>
      </c>
      <c r="D1056" s="5" t="s">
        <v>45</v>
      </c>
      <c r="E1056" s="5" t="s">
        <v>41</v>
      </c>
      <c r="F1056" s="5" t="s">
        <v>2373</v>
      </c>
      <c r="G1056" s="14" t="str">
        <f t="array" ref="G1056">IF(B1056="", "",
  LET(_xlpm.spell, IFERROR(IF(F1056="", "", INDEX(_xlws.FILTER(Hairstyles!$F:$F, ISNUMBER(SEARCH(F1056, Hairstyles!$B:$B))), 1)), "No Spell for Hairstyle"),
  _xlpm.vanillaPrefix, IF(LEFT(_xlpm.spell, 7)="Uvi_Wig", "", ";"),
  ";" &amp; IF(C1056="", B1056, C1056) &amp; IF(M1056="", "", " ("&amp;M1056&amp;")") &amp; CHAR(10) &amp;
  _xlpm.vanillaPrefix &amp; "Keyword = Uvi_Wig_Distr_KYWD|" &amp; B1056 &amp; CHAR(10) &amp;
  _xlpm.vanillaPrefix &amp; "Spell = " &amp; _xlpm.spell &amp; "|" &amp; B1056
  )
)</f>
        <v>;Miner
;Keyword = Uvi_Wig_Distr_KYWD|DLC2dunKolbjornMiner_DarkElfF04
;Spell = No Spell for Hairstyle|DLC2dunKolbjornMiner_DarkElfF04</v>
      </c>
    </row>
    <row r="1057" ht="12.75" customHeight="1">
      <c r="A1057" s="5" t="s">
        <v>4107</v>
      </c>
      <c r="B1057" s="5" t="s">
        <v>4108</v>
      </c>
      <c r="C1057" s="5" t="s">
        <v>4100</v>
      </c>
      <c r="D1057" s="5" t="s">
        <v>45</v>
      </c>
      <c r="E1057" s="5" t="s">
        <v>233</v>
      </c>
      <c r="F1057" s="5" t="s">
        <v>2489</v>
      </c>
      <c r="G1057" s="14" t="str">
        <f t="array" ref="G1057">IF(B1057="", "",
  LET(_xlpm.spell, IFERROR(IF(F1057="", "", INDEX(_xlws.FILTER(Hairstyles!$F:$F, ISNUMBER(SEARCH(F1057, Hairstyles!$B:$B))), 1)), "No Spell for Hairstyle"),
  _xlpm.vanillaPrefix, IF(LEFT(_xlpm.spell, 7)="Uvi_Wig", "", ";"),
  ";" &amp; IF(C1057="", B1057, C1057) &amp; IF(M1057="", "", " ("&amp;M1057&amp;")") &amp; CHAR(10) &amp;
  _xlpm.vanillaPrefix &amp; "Keyword = Uvi_Wig_Distr_KYWD|" &amp; B1057 &amp; CHAR(10) &amp;
  _xlpm.vanillaPrefix &amp; "Spell = " &amp; _xlpm.spell &amp; "|" &amp; B1057
  )
)</f>
        <v>;Miner
;Keyword = Uvi_Wig_Distr_KYWD|DLC2dunKolbjornMiner_DarkElfM01
;Spell = No Spell for Hairstyle|DLC2dunKolbjornMiner_DarkElfM01</v>
      </c>
    </row>
    <row r="1058" ht="12.75" customHeight="1">
      <c r="A1058" s="5" t="s">
        <v>4109</v>
      </c>
      <c r="B1058" s="5" t="s">
        <v>4110</v>
      </c>
      <c r="C1058" s="5" t="s">
        <v>4100</v>
      </c>
      <c r="D1058" s="5" t="s">
        <v>45</v>
      </c>
      <c r="E1058" s="5" t="s">
        <v>233</v>
      </c>
      <c r="F1058" s="5" t="s">
        <v>2612</v>
      </c>
      <c r="G1058" s="14" t="str">
        <f t="array" ref="G1058">IF(B1058="", "",
  LET(_xlpm.spell, IFERROR(IF(F1058="", "", INDEX(_xlws.FILTER(Hairstyles!$F:$F, ISNUMBER(SEARCH(F1058, Hairstyles!$B:$B))), 1)), "No Spell for Hairstyle"),
  _xlpm.vanillaPrefix, IF(LEFT(_xlpm.spell, 7)="Uvi_Wig", "", ";"),
  ";" &amp; IF(C1058="", B1058, C1058) &amp; IF(M1058="", "", " ("&amp;M1058&amp;")") &amp; CHAR(10) &amp;
  _xlpm.vanillaPrefix &amp; "Keyword = Uvi_Wig_Distr_KYWD|" &amp; B1058 &amp; CHAR(10) &amp;
  _xlpm.vanillaPrefix &amp; "Spell = " &amp; _xlpm.spell &amp; "|" &amp; B1058
  )
)</f>
        <v>;Miner
;Keyword = Uvi_Wig_Distr_KYWD|DLC2dunKolbjornMiner_DarkElfM02
;Spell = No Spell for Hairstyle|DLC2dunKolbjornMiner_DarkElfM02</v>
      </c>
    </row>
    <row r="1059" ht="12.75" customHeight="1">
      <c r="A1059" s="5" t="s">
        <v>4111</v>
      </c>
      <c r="B1059" s="5" t="s">
        <v>4112</v>
      </c>
      <c r="C1059" s="5" t="s">
        <v>4100</v>
      </c>
      <c r="D1059" s="5" t="s">
        <v>45</v>
      </c>
      <c r="E1059" s="5" t="s">
        <v>233</v>
      </c>
      <c r="F1059" s="5" t="s">
        <v>1787</v>
      </c>
      <c r="G1059" s="14" t="str">
        <f t="array" ref="G1059">IF(B1059="", "",
  LET(_xlpm.spell, IFERROR(IF(F1059="", "", INDEX(_xlws.FILTER(Hairstyles!$F:$F, ISNUMBER(SEARCH(F1059, Hairstyles!$B:$B))), 1)), "No Spell for Hairstyle"),
  _xlpm.vanillaPrefix, IF(LEFT(_xlpm.spell, 7)="Uvi_Wig", "", ";"),
  ";" &amp; IF(C1059="", B1059, C1059) &amp; IF(M1059="", "", " ("&amp;M1059&amp;")") &amp; CHAR(10) &amp;
  _xlpm.vanillaPrefix &amp; "Keyword = Uvi_Wig_Distr_KYWD|" &amp; B1059 &amp; CHAR(10) &amp;
  _xlpm.vanillaPrefix &amp; "Spell = " &amp; _xlpm.spell &amp; "|" &amp; B1059
  )
)</f>
        <v>;Miner
;Keyword = Uvi_Wig_Distr_KYWD|DLC2dunKolbjornMiner_DarkElfM03
;Spell = No Spell for Hairstyle|DLC2dunKolbjornMiner_DarkElfM03</v>
      </c>
    </row>
    <row r="1060" ht="12.75" customHeight="1">
      <c r="A1060" s="5" t="s">
        <v>4113</v>
      </c>
      <c r="B1060" s="5" t="s">
        <v>4114</v>
      </c>
      <c r="C1060" s="5" t="s">
        <v>4100</v>
      </c>
      <c r="D1060" s="5" t="s">
        <v>45</v>
      </c>
      <c r="E1060" s="5" t="s">
        <v>233</v>
      </c>
      <c r="F1060" s="5" t="s">
        <v>2088</v>
      </c>
      <c r="G1060" s="14" t="str">
        <f t="array" ref="G1060">IF(B1060="", "",
  LET(_xlpm.spell, IFERROR(IF(F1060="", "", INDEX(_xlws.FILTER(Hairstyles!$F:$F, ISNUMBER(SEARCH(F1060, Hairstyles!$B:$B))), 1)), "No Spell for Hairstyle"),
  _xlpm.vanillaPrefix, IF(LEFT(_xlpm.spell, 7)="Uvi_Wig", "", ";"),
  ";" &amp; IF(C1060="", B1060, C1060) &amp; IF(M1060="", "", " ("&amp;M1060&amp;")") &amp; CHAR(10) &amp;
  _xlpm.vanillaPrefix &amp; "Keyword = Uvi_Wig_Distr_KYWD|" &amp; B1060 &amp; CHAR(10) &amp;
  _xlpm.vanillaPrefix &amp; "Spell = " &amp; _xlpm.spell &amp; "|" &amp; B1060
  )
)</f>
        <v>;Miner
;Keyword = Uvi_Wig_Distr_KYWD|DLC2dunKolbjornMiner_DarkElfM04
;Spell = No Spell for Hairstyle|DLC2dunKolbjornMiner_DarkElfM04</v>
      </c>
    </row>
    <row r="1061" ht="12.75" customHeight="1">
      <c r="A1061" s="5" t="s">
        <v>4115</v>
      </c>
      <c r="B1061" s="5" t="s">
        <v>4116</v>
      </c>
      <c r="C1061" s="5" t="s">
        <v>4117</v>
      </c>
      <c r="D1061" s="5" t="s">
        <v>74</v>
      </c>
      <c r="E1061" s="5" t="s">
        <v>41</v>
      </c>
      <c r="F1061" s="5" t="s">
        <v>62</v>
      </c>
      <c r="G1061" s="14" t="str">
        <f t="array" ref="G1061">IF(B1061="", "",
  LET(_xlpm.spell, IFERROR(IF(F1061="", "", INDEX(_xlws.FILTER(Hairstyles!$F:$F, ISNUMBER(SEARCH(F1061, Hairstyles!$B:$B))), 1)), "No Spell for Hairstyle"),
  _xlpm.vanillaPrefix, IF(LEFT(_xlpm.spell, 7)="Uvi_Wig", "", ";"),
  ";" &amp; IF(C1061="", B1061, C1061) &amp; IF(M1061="", "", " ("&amp;M1061&amp;")") &amp; CHAR(10) &amp;
  _xlpm.vanillaPrefix &amp; "Keyword = Uvi_Wig_Distr_KYWD|" &amp; B1061 &amp; CHAR(10) &amp;
  _xlpm.vanillaPrefix &amp; "Spell = " &amp; _xlpm.spell &amp; "|" &amp; B1061
  )
)</f>
        <v>;Minette Vinius
;Keyword = Uvi_Wig_Distr_KYWD|MinetteVinius
;Spell = No Spell for Hairstyle|MinetteVinius</v>
      </c>
    </row>
    <row r="1062" ht="12.75" customHeight="1">
      <c r="A1062" s="15" t="s">
        <v>4118</v>
      </c>
      <c r="B1062" s="5" t="s">
        <v>4119</v>
      </c>
      <c r="C1062" s="5" t="s">
        <v>4120</v>
      </c>
      <c r="D1062" s="5" t="s">
        <v>57</v>
      </c>
      <c r="E1062" s="5" t="s">
        <v>41</v>
      </c>
      <c r="F1062" s="5" t="s">
        <v>48</v>
      </c>
      <c r="G1062" s="14" t="str">
        <f t="array" ref="G1062">IF(B1062="", "",
  LET(_xlpm.spell, IFERROR(IF(F1062="", "", INDEX(_xlws.FILTER(Hairstyles!$F:$F, ISNUMBER(SEARCH(F1062, Hairstyles!$B:$B))), 1)), "No Spell for Hairstyle"),
  _xlpm.vanillaPrefix, IF(LEFT(_xlpm.spell, 7)="Uvi_Wig", "", ";"),
  ";" &amp; IF(C1062="", B1062, C1062) &amp; IF(M1062="", "", " ("&amp;M1062&amp;")") &amp; CHAR(10) &amp;
  _xlpm.vanillaPrefix &amp; "Keyword = Uvi_Wig_Distr_KYWD|" &amp; B1062 &amp; CHAR(10) &amp;
  _xlpm.vanillaPrefix &amp; "Spell = " &amp; _xlpm.spell &amp; "|" &amp; B1062
  )
)</f>
        <v>;Minorne
;Keyword = Uvi_Wig_Distr_KYWD|DLC1RuunvaldWarlockBoss
;Spell = No Spell for Hairstyle|DLC1RuunvaldWarlockBoss</v>
      </c>
    </row>
    <row r="1063" ht="12.75" customHeight="1">
      <c r="A1063" s="5" t="s">
        <v>4121</v>
      </c>
      <c r="B1063" s="5" t="s">
        <v>101</v>
      </c>
      <c r="C1063" s="5" t="s">
        <v>4122</v>
      </c>
      <c r="D1063" s="5" t="s">
        <v>38</v>
      </c>
      <c r="E1063" s="5" t="s">
        <v>233</v>
      </c>
      <c r="F1063" s="5" t="s">
        <v>209</v>
      </c>
      <c r="G1063" s="14" t="str">
        <f t="array" ref="G1063">IF(B1063="", "",
  LET(_xlpm.spell, IFERROR(IF(F1063="", "", INDEX(_xlws.FILTER(Hairstyles!$F:$F, ISNUMBER(SEARCH(F1063, Hairstyles!$B:$B))), 1)), "No Spell for Hairstyle"),
  _xlpm.vanillaPrefix, IF(LEFT(_xlpm.spell, 7)="Uvi_Wig", "", ";"),
  ";" &amp; IF(C1063="", B1063, C1063) &amp; IF(M1063="", "", " ("&amp;M1063&amp;")") &amp; CHAR(10) &amp;
  _xlpm.vanillaPrefix &amp; "Keyword = Uvi_Wig_Distr_KYWD|" &amp; B1063 &amp; CHAR(10) &amp;
  _xlpm.vanillaPrefix &amp; "Spell = " &amp; _xlpm.spell &amp; "|" &amp; B1063
  )
)</f>
        <v>;Miraak
;Keyword = Uvi_Wig_Distr_KYWD|DLC2Miraak
;Spell = No Spell for Hairstyle|DLC2Miraak</v>
      </c>
    </row>
    <row r="1064" ht="12.75" customHeight="1">
      <c r="A1064" s="15" t="s">
        <v>4123</v>
      </c>
      <c r="B1064" s="5" t="s">
        <v>4124</v>
      </c>
      <c r="C1064" s="5" t="s">
        <v>4122</v>
      </c>
      <c r="D1064" s="5" t="s">
        <v>38</v>
      </c>
      <c r="E1064" s="5" t="s">
        <v>233</v>
      </c>
      <c r="F1064" s="5" t="s">
        <v>209</v>
      </c>
      <c r="G1064" s="14" t="str">
        <f t="array" ref="G1064">IF(B1064="", "",
  LET(_xlpm.spell, IFERROR(IF(F1064="", "", INDEX(_xlws.FILTER(Hairstyles!$F:$F, ISNUMBER(SEARCH(F1064, Hairstyles!$B:$B))), 1)), "No Spell for Hairstyle"),
  _xlpm.vanillaPrefix, IF(LEFT(_xlpm.spell, 7)="Uvi_Wig", "", ";"),
  ";" &amp; IF(C1064="", B1064, C1064) &amp; IF(M1064="", "", " ("&amp;M1064&amp;")") &amp; CHAR(10) &amp;
  _xlpm.vanillaPrefix &amp; "Keyword = Uvi_Wig_Distr_KYWD|" &amp; B1064 &amp; CHAR(10) &amp;
  _xlpm.vanillaPrefix &amp; "Spell = " &amp; _xlpm.spell &amp; "|" &amp; B1064
  )
)</f>
        <v>;Miraak
;Keyword = Uvi_Wig_Distr_KYWD|DLC2MiraakMQ01
;Spell = No Spell for Hairstyle|DLC2MiraakMQ01</v>
      </c>
    </row>
    <row r="1065" ht="12.75" customHeight="1">
      <c r="A1065" s="5" t="s">
        <v>4125</v>
      </c>
      <c r="B1065" s="5" t="s">
        <v>4126</v>
      </c>
      <c r="C1065" s="5" t="s">
        <v>4122</v>
      </c>
      <c r="D1065" s="5" t="s">
        <v>101</v>
      </c>
      <c r="E1065" s="5" t="s">
        <v>233</v>
      </c>
      <c r="F1065" s="5" t="s">
        <v>68</v>
      </c>
      <c r="G1065" s="14" t="str">
        <f t="array" ref="G1065">IF(B1065="", "",
  LET(_xlpm.spell, IFERROR(IF(F1065="", "", INDEX(_xlws.FILTER(Hairstyles!$F:$F, ISNUMBER(SEARCH(F1065, Hairstyles!$B:$B))), 1)), "No Spell for Hairstyle"),
  _xlpm.vanillaPrefix, IF(LEFT(_xlpm.spell, 7)="Uvi_Wig", "", ";"),
  ";" &amp; IF(C1065="", B1065, C1065) &amp; IF(M1065="", "", " ("&amp;M1065&amp;")") &amp; CHAR(10) &amp;
  _xlpm.vanillaPrefix &amp; "Keyword = Uvi_Wig_Distr_KYWD|" &amp; B1065 &amp; CHAR(10) &amp;
  _xlpm.vanillaPrefix &amp; "Spell = " &amp; _xlpm.spell &amp; "|" &amp; B1065
  )
)</f>
        <v>;Miraak
;Keyword = Uvi_Wig_Distr_KYWD|DLC2MiraakMQ06
;Spell = No Spell for Hairstyle|DLC2MiraakMQ06</v>
      </c>
    </row>
    <row r="1066" ht="12.75" customHeight="1">
      <c r="A1066" s="5" t="s">
        <v>4127</v>
      </c>
      <c r="B1066" s="5" t="s">
        <v>4128</v>
      </c>
      <c r="C1066" s="5" t="s">
        <v>4129</v>
      </c>
      <c r="D1066" s="5" t="s">
        <v>16</v>
      </c>
      <c r="E1066" s="5" t="s">
        <v>41</v>
      </c>
      <c r="F1066" s="5" t="s">
        <v>1063</v>
      </c>
      <c r="G1066" s="14" t="str">
        <f t="array" ref="G1066">IF(B1066="", "",
  LET(_xlpm.spell, IFERROR(IF(F1066="", "", INDEX(_xlws.FILTER(Hairstyles!$F:$F, ISNUMBER(SEARCH(F1066, Hairstyles!$B:$B))), 1)), "No Spell for Hairstyle"),
  _xlpm.vanillaPrefix, IF(LEFT(_xlpm.spell, 7)="Uvi_Wig", "", ";"),
  ";" &amp; IF(C1066="", B1066, C1066) &amp; IF(M1066="", "", " ("&amp;M1066&amp;")") &amp; CHAR(10) &amp;
  _xlpm.vanillaPrefix &amp; "Keyword = Uvi_Wig_Distr_KYWD|" &amp; B1066 &amp; CHAR(10) &amp;
  _xlpm.vanillaPrefix &amp; "Spell = " &amp; _xlpm.spell &amp; "|" &amp; B1066
  )
)</f>
        <v>;Mirabelle Ervine
;Keyword = Uvi_Wig_Distr_KYWD|MirabelleErvine
;Spell = No Spell for Hairstyle|MirabelleErvine</v>
      </c>
    </row>
    <row r="1067" ht="12.75" customHeight="1">
      <c r="A1067" s="5" t="s">
        <v>4130</v>
      </c>
      <c r="B1067" s="5" t="s">
        <v>4131</v>
      </c>
      <c r="C1067" s="5" t="s">
        <v>4132</v>
      </c>
      <c r="D1067" s="5" t="s">
        <v>45</v>
      </c>
      <c r="E1067" s="5" t="s">
        <v>41</v>
      </c>
      <c r="F1067" s="5" t="s">
        <v>491</v>
      </c>
      <c r="G1067" s="14" t="str">
        <f t="array" ref="G1067">IF(B1067="", "",
  LET(_xlpm.spell, IFERROR(IF(F1067="", "", INDEX(_xlws.FILTER(Hairstyles!$F:$F, ISNUMBER(SEARCH(F1067, Hairstyles!$B:$B))), 1)), "No Spell for Hairstyle"),
  _xlpm.vanillaPrefix, IF(LEFT(_xlpm.spell, 7)="Uvi_Wig", "", ";"),
  ";" &amp; IF(C1067="", B1067, C1067) &amp; IF(M1067="", "", " ("&amp;M1067&amp;")") &amp; CHAR(10) &amp;
  _xlpm.vanillaPrefix &amp; "Keyword = Uvi_Wig_Distr_KYWD|" &amp; B1067 &amp; CHAR(10) &amp;
  _xlpm.vanillaPrefix &amp; "Spell = " &amp; _xlpm.spell &amp; "|" &amp; B1067
  )
)</f>
        <v>;Mireli
;Keyword = Uvi_Wig_Distr_KYWD|DLC2dunKolbjornMiner_Mireli
;Spell = No Spell for Hairstyle|DLC2dunKolbjornMiner_Mireli</v>
      </c>
    </row>
    <row r="1068" ht="12.75" customHeight="1">
      <c r="A1068" s="15" t="s">
        <v>4133</v>
      </c>
      <c r="B1068" s="5" t="s">
        <v>4134</v>
      </c>
      <c r="C1068" s="5" t="s">
        <v>4135</v>
      </c>
      <c r="D1068" s="5" t="s">
        <v>45</v>
      </c>
      <c r="E1068" s="5" t="s">
        <v>41</v>
      </c>
      <c r="F1068" s="5" t="s">
        <v>48</v>
      </c>
      <c r="G1068" s="14" t="str">
        <f t="array" ref="G1068">IF(B1068="", "",
  LET(_xlpm.spell, IFERROR(IF(F1068="", "", INDEX(_xlws.FILTER(Hairstyles!$F:$F, ISNUMBER(SEARCH(F1068, Hairstyles!$B:$B))), 1)), "No Spell for Hairstyle"),
  _xlpm.vanillaPrefix, IF(LEFT(_xlpm.spell, 7)="Uvi_Wig", "", ";"),
  ";" &amp; IF(C1068="", B1068, C1068) &amp; IF(M1068="", "", " ("&amp;M1068&amp;")") &amp; CHAR(10) &amp;
  _xlpm.vanillaPrefix &amp; "Keyword = Uvi_Wig_Distr_KYWD|" &amp; B1068 &amp; CHAR(10) &amp;
  _xlpm.vanillaPrefix &amp; "Spell = " &amp; _xlpm.spell &amp; "|" &amp; B1068
  )
)</f>
        <v>;Mirri Severin
;Keyword = Uvi_Wig_Distr_KYWD|DLC2RRMirriSeverin
;Spell = No Spell for Hairstyle|DLC2RRMirriSeverin</v>
      </c>
    </row>
    <row r="1069" ht="12.75" customHeight="1">
      <c r="A1069" s="5" t="s">
        <v>4136</v>
      </c>
      <c r="B1069" s="5" t="s">
        <v>4137</v>
      </c>
      <c r="C1069" s="5" t="s">
        <v>4138</v>
      </c>
      <c r="D1069" s="5" t="s">
        <v>45</v>
      </c>
      <c r="E1069" s="5" t="s">
        <v>233</v>
      </c>
      <c r="F1069" s="5" t="s">
        <v>2088</v>
      </c>
      <c r="G1069" s="14" t="str">
        <f t="array" ref="G1069">IF(B1069="", "",
  LET(_xlpm.spell, IFERROR(IF(F1069="", "", INDEX(_xlws.FILTER(Hairstyles!$F:$F, ISNUMBER(SEARCH(F1069, Hairstyles!$B:$B))), 1)), "No Spell for Hairstyle"),
  _xlpm.vanillaPrefix, IF(LEFT(_xlpm.spell, 7)="Uvi_Wig", "", ";"),
  ";" &amp; IF(C1069="", B1069, C1069) &amp; IF(M1069="", "", " ("&amp;M1069&amp;")") &amp; CHAR(10) &amp;
  _xlpm.vanillaPrefix &amp; "Keyword = Uvi_Wig_Distr_KYWD|" &amp; B1069 &amp; CHAR(10) &amp;
  _xlpm.vanillaPrefix &amp; "Spell = " &amp; _xlpm.spell &amp; "|" &amp; B1069
  )
)</f>
        <v>;Mithorpa Nasyal
;Keyword = Uvi_Wig_Distr_KYWD|MithorpaNasyal
;Spell = No Spell for Hairstyle|MithorpaNasyal</v>
      </c>
    </row>
    <row r="1070" ht="12.75" customHeight="1">
      <c r="A1070" s="5" t="s">
        <v>4139</v>
      </c>
      <c r="B1070" s="5" t="s">
        <v>4140</v>
      </c>
      <c r="C1070" s="5" t="s">
        <v>4141</v>
      </c>
      <c r="D1070" s="5" t="s">
        <v>38</v>
      </c>
      <c r="E1070" s="5" t="s">
        <v>41</v>
      </c>
      <c r="F1070" s="5" t="s">
        <v>69</v>
      </c>
      <c r="G1070" s="14" t="str">
        <f t="array" ref="G1070">IF(B1070="", "",
  LET(_xlpm.spell, IFERROR(IF(F1070="", "", INDEX(_xlws.FILTER(Hairstyles!$F:$F, ISNUMBER(SEARCH(F1070, Hairstyles!$B:$B))), 1)), "No Spell for Hairstyle"),
  _xlpm.vanillaPrefix, IF(LEFT(_xlpm.spell, 7)="Uvi_Wig", "", ";"),
  ";" &amp; IF(C1070="", B1070, C1070) &amp; IF(M1070="", "", " ("&amp;M1070&amp;")") &amp; CHAR(10) &amp;
  _xlpm.vanillaPrefix &amp; "Keyword = Uvi_Wig_Distr_KYWD|" &amp; B1070 &amp; CHAR(10) &amp;
  _xlpm.vanillaPrefix &amp; "Spell = " &amp; _xlpm.spell &amp; "|" &amp; B1070
  )
)</f>
        <v>;Mjoll the Lioness
;Keyword = Uvi_Wig_Distr_KYWD|Mjoll
;Spell = No Spell for Hairstyle|Mjoll</v>
      </c>
    </row>
    <row r="1071" ht="12.75" customHeight="1">
      <c r="A1071" s="5" t="s">
        <v>4142</v>
      </c>
      <c r="B1071" s="5" t="s">
        <v>4143</v>
      </c>
      <c r="C1071" s="5" t="s">
        <v>4144</v>
      </c>
      <c r="D1071" s="5" t="s">
        <v>34</v>
      </c>
      <c r="E1071" s="5" t="s">
        <v>41</v>
      </c>
      <c r="F1071" s="5" t="s">
        <v>356</v>
      </c>
      <c r="G1071" s="14" t="str">
        <f t="array" ref="G1071">IF(B1071="", "",
  LET(_xlpm.spell, IFERROR(IF(F1071="", "", INDEX(_xlws.FILTER(Hairstyles!$F:$F, ISNUMBER(SEARCH(F1071, Hairstyles!$B:$B))), 1)), "No Spell for Hairstyle"),
  _xlpm.vanillaPrefix, IF(LEFT(_xlpm.spell, 7)="Uvi_Wig", "", ";"),
  ";" &amp; IF(C1071="", B1071, C1071) &amp; IF(M1071="", "", " ("&amp;M1071&amp;")") &amp; CHAR(10) &amp;
  _xlpm.vanillaPrefix &amp; "Keyword = Uvi_Wig_Distr_KYWD|" &amp; B1071 &amp; CHAR(10) &amp;
  _xlpm.vanillaPrefix &amp; "Spell = " &amp; _xlpm.spell &amp; "|" &amp; B1071
  )
)</f>
        <v>;Modhna
;Keyword = Uvi_Wig_Distr_KYWD|DLC1Modhna
;Spell = No Spell for Hairstyle|DLC1Modhna</v>
      </c>
    </row>
    <row r="1072" ht="12.75" customHeight="1">
      <c r="A1072" s="5" t="s">
        <v>4145</v>
      </c>
      <c r="B1072" s="5" t="s">
        <v>4146</v>
      </c>
      <c r="C1072" s="5" t="s">
        <v>4146</v>
      </c>
      <c r="D1072" s="5" t="s">
        <v>80</v>
      </c>
      <c r="E1072" s="5" t="s">
        <v>41</v>
      </c>
      <c r="F1072" s="5" t="s">
        <v>449</v>
      </c>
      <c r="G1072" s="14" t="str">
        <f t="array" ref="G1072">IF(B1072="", "",
  LET(_xlpm.spell, IFERROR(IF(F1072="", "", INDEX(_xlws.FILTER(Hairstyles!$F:$F, ISNUMBER(SEARCH(F1072, Hairstyles!$B:$B))), 1)), "No Spell for Hairstyle"),
  _xlpm.vanillaPrefix, IF(LEFT(_xlpm.spell, 7)="Uvi_Wig", "", ";"),
  ";" &amp; IF(C1072="", B1072, C1072) &amp; IF(M1072="", "", " ("&amp;M1072&amp;")") &amp; CHAR(10) &amp;
  _xlpm.vanillaPrefix &amp; "Keyword = Uvi_Wig_Distr_KYWD|" &amp; B1072 &amp; CHAR(10) &amp;
  _xlpm.vanillaPrefix &amp; "Spell = " &amp; _xlpm.spell &amp; "|" &amp; B1072
  )
)</f>
        <v>;Mogdurz
;Keyword = Uvi_Wig_Distr_KYWD|Mogdurz
;Spell = No Spell for Hairstyle|Mogdurz</v>
      </c>
    </row>
    <row r="1073" ht="12.75" customHeight="1">
      <c r="A1073" s="5" t="s">
        <v>4147</v>
      </c>
      <c r="B1073" s="5" t="s">
        <v>4148</v>
      </c>
      <c r="C1073" s="5" t="s">
        <v>4149</v>
      </c>
      <c r="D1073" s="5" t="s">
        <v>80</v>
      </c>
      <c r="E1073" s="5" t="s">
        <v>233</v>
      </c>
      <c r="F1073" s="5" t="s">
        <v>206</v>
      </c>
      <c r="G1073" s="14" t="str">
        <f t="array" ref="G1073">IF(B1073="", "",
  LET(_xlpm.spell, IFERROR(IF(F1073="", "", INDEX(_xlws.FILTER(Hairstyles!$F:$F, ISNUMBER(SEARCH(F1073, Hairstyles!$B:$B))), 1)), "No Spell for Hairstyle"),
  _xlpm.vanillaPrefix, IF(LEFT(_xlpm.spell, 7)="Uvi_Wig", "", ";"),
  ";" &amp; IF(C1073="", B1073, C1073) &amp; IF(M1073="", "", " ("&amp;M1073&amp;")") &amp; CHAR(10) &amp;
  _xlpm.vanillaPrefix &amp; "Keyword = Uvi_Wig_Distr_KYWD|" &amp; B1073 &amp; CHAR(10) &amp;
  _xlpm.vanillaPrefix &amp; "Spell = " &amp; _xlpm.spell &amp; "|" &amp; B1073
  )
)</f>
        <v>;Mogrul
;Keyword = Uvi_Wig_Distr_KYWD|DLC1DawnguardExterior04
;Spell = No Spell for Hairstyle|DLC1DawnguardExterior04</v>
      </c>
    </row>
    <row r="1074" ht="12.75" customHeight="1">
      <c r="A1074" s="5" t="s">
        <v>4150</v>
      </c>
      <c r="B1074" s="5" t="s">
        <v>4151</v>
      </c>
      <c r="C1074" s="5" t="s">
        <v>4149</v>
      </c>
      <c r="D1074" s="5" t="s">
        <v>80</v>
      </c>
      <c r="E1074" s="5" t="s">
        <v>233</v>
      </c>
      <c r="F1074" s="5" t="s">
        <v>206</v>
      </c>
      <c r="G1074" s="14" t="str">
        <f t="array" ref="G1074">IF(B1074="", "",
  LET(_xlpm.spell, IFERROR(IF(F1074="", "", INDEX(_xlws.FILTER(Hairstyles!$F:$F, ISNUMBER(SEARCH(F1074, Hairstyles!$B:$B))), 1)), "No Spell for Hairstyle"),
  _xlpm.vanillaPrefix, IF(LEFT(_xlpm.spell, 7)="Uvi_Wig", "", ";"),
  ";" &amp; IF(C1074="", B1074, C1074) &amp; IF(M1074="", "", " ("&amp;M1074&amp;")") &amp; CHAR(10) &amp;
  _xlpm.vanillaPrefix &amp; "Keyword = Uvi_Wig_Distr_KYWD|" &amp; B1074 &amp; CHAR(10) &amp;
  _xlpm.vanillaPrefix &amp; "Spell = " &amp; _xlpm.spell &amp; "|" &amp; B1074
  )
)</f>
        <v>;Mogrul
;Keyword = Uvi_Wig_Distr_KYWD|DLC2Mogrul
;Spell = No Spell for Hairstyle|DLC2Mogrul</v>
      </c>
    </row>
    <row r="1075" ht="12.75" customHeight="1">
      <c r="A1075" s="5" t="s">
        <v>4152</v>
      </c>
      <c r="B1075" s="5" t="s">
        <v>4153</v>
      </c>
      <c r="C1075" s="5" t="s">
        <v>4154</v>
      </c>
      <c r="D1075" s="5" t="s">
        <v>59</v>
      </c>
      <c r="E1075" s="5" t="s">
        <v>233</v>
      </c>
      <c r="F1075" s="5" t="s">
        <v>19</v>
      </c>
      <c r="G1075" s="14" t="str">
        <f t="array" ref="G1075">IF(B1075="", "",
  LET(_xlpm.spell, IFERROR(IF(F1075="", "", INDEX(_xlws.FILTER(Hairstyles!$F:$F, ISNUMBER(SEARCH(F1075, Hairstyles!$B:$B))), 1)), "No Spell for Hairstyle"),
  _xlpm.vanillaPrefix, IF(LEFT(_xlpm.spell, 7)="Uvi_Wig", "", ";"),
  ";" &amp; IF(C1075="", B1075, C1075) &amp; IF(M1075="", "", " ("&amp;M1075&amp;")") &amp; CHAR(10) &amp;
  _xlpm.vanillaPrefix &amp; "Keyword = Uvi_Wig_Distr_KYWD|" &amp; B1075 &amp; CHAR(10) &amp;
  _xlpm.vanillaPrefix &amp; "Spell = " &amp; _xlpm.spell &amp; "|" &amp; B1075
  )
)</f>
        <v>;Molag Bal
;Keyword = Uvi_Wig_Distr_KYWD|DA10MolagBalVoice
;Spell = No Spell for Hairstyle|DA10MolagBalVoice</v>
      </c>
    </row>
    <row r="1076" ht="12.75" customHeight="1">
      <c r="A1076" s="5" t="s">
        <v>4155</v>
      </c>
      <c r="B1076" s="5" t="s">
        <v>4156</v>
      </c>
      <c r="C1076" s="5" t="s">
        <v>4157</v>
      </c>
      <c r="D1076" s="5" t="s">
        <v>38</v>
      </c>
      <c r="E1076" s="5" t="s">
        <v>233</v>
      </c>
      <c r="F1076" s="5" t="s">
        <v>84</v>
      </c>
      <c r="G1076" s="14" t="str">
        <f t="array" ref="G1076">IF(B1076="", "",
  LET(_xlpm.spell, IFERROR(IF(F1076="", "", INDEX(_xlws.FILTER(Hairstyles!$F:$F, ISNUMBER(SEARCH(F1076, Hairstyles!$B:$B))), 1)), "No Spell for Hairstyle"),
  _xlpm.vanillaPrefix, IF(LEFT(_xlpm.spell, 7)="Uvi_Wig", "", ";"),
  ";" &amp; IF(C1076="", B1076, C1076) &amp; IF(M1076="", "", " ("&amp;M1076&amp;")") &amp; CHAR(10) &amp;
  _xlpm.vanillaPrefix &amp; "Keyword = Uvi_Wig_Distr_KYWD|" &amp; B1076 &amp; CHAR(10) &amp;
  _xlpm.vanillaPrefix &amp; "Spell = " &amp; _xlpm.spell &amp; "|" &amp; B1076
  )
)</f>
        <v>;Molgrom Twice-Killed
;Keyword = Uvi_Wig_Distr_KYWD|Molgrom
;Spell = No Spell for Hairstyle|Molgrom</v>
      </c>
    </row>
    <row r="1077" ht="12.75" customHeight="1">
      <c r="A1077" s="15" t="s">
        <v>4158</v>
      </c>
      <c r="B1077" s="5" t="s">
        <v>4159</v>
      </c>
      <c r="C1077" s="5" t="s">
        <v>4160</v>
      </c>
      <c r="D1077" s="5" t="s">
        <v>16</v>
      </c>
      <c r="E1077" s="5" t="s">
        <v>233</v>
      </c>
      <c r="F1077" s="5" t="s">
        <v>521</v>
      </c>
      <c r="G1077" s="14" t="str">
        <f t="array" ref="G1077">IF(B1077="", "",
  LET(_xlpm.spell, IFERROR(IF(F1077="", "", INDEX(_xlws.FILTER(Hairstyles!$F:$F, ISNUMBER(SEARCH(F1077, Hairstyles!$B:$B))), 1)), "No Spell for Hairstyle"),
  _xlpm.vanillaPrefix, IF(LEFT(_xlpm.spell, 7)="Uvi_Wig", "", ";"),
  ";" &amp; IF(C1077="", B1077, C1077) &amp; IF(M1077="", "", " ("&amp;M1077&amp;")") &amp; CHAR(10) &amp;
  _xlpm.vanillaPrefix &amp; "Keyword = Uvi_Wig_Distr_KYWD|" &amp; B1077 &amp; CHAR(10) &amp;
  _xlpm.vanillaPrefix &amp; "Spell = " &amp; _xlpm.spell &amp; "|" &amp; B1077
  )
)</f>
        <v>;Moric Sidrey
;Keyword = Uvi_Wig_Distr_KYWD|DLC1DunRuunvaldMoric
;Spell = No Spell for Hairstyle|DLC1DunRuunvaldMoric</v>
      </c>
    </row>
    <row r="1078" ht="12.75" customHeight="1">
      <c r="A1078" s="5" t="s">
        <v>4161</v>
      </c>
      <c r="B1078" s="5" t="s">
        <v>4162</v>
      </c>
      <c r="C1078" s="5" t="s">
        <v>4162</v>
      </c>
      <c r="D1078" s="5" t="s">
        <v>16</v>
      </c>
      <c r="E1078" s="5" t="s">
        <v>233</v>
      </c>
      <c r="F1078" s="5" t="s">
        <v>40</v>
      </c>
      <c r="G1078" s="14" t="str">
        <f t="array" ref="G1078">IF(B1078="", "",
  LET(_xlpm.spell, IFERROR(IF(F1078="", "", INDEX(_xlws.FILTER(Hairstyles!$F:$F, ISNUMBER(SEARCH(F1078, Hairstyles!$B:$B))), 1)), "No Spell for Hairstyle"),
  _xlpm.vanillaPrefix, IF(LEFT(_xlpm.spell, 7)="Uvi_Wig", "", ";"),
  ";" &amp; IF(C1078="", B1078, C1078) &amp; IF(M1078="", "", " ("&amp;M1078&amp;")") &amp; CHAR(10) &amp;
  _xlpm.vanillaPrefix &amp; "Keyword = Uvi_Wig_Distr_KYWD|" &amp; B1078 &amp; CHAR(10) &amp;
  _xlpm.vanillaPrefix &amp; "Spell = " &amp; _xlpm.spell &amp; "|" &amp; B1078
  )
)</f>
        <v>;Morven
;Keyword = Uvi_Wig_Distr_KYWD|Morven
;Spell = No Spell for Hairstyle|Morven</v>
      </c>
    </row>
    <row r="1079" ht="12.75" customHeight="1">
      <c r="A1079" s="5" t="s">
        <v>4163</v>
      </c>
      <c r="B1079" s="5" t="s">
        <v>4164</v>
      </c>
      <c r="C1079" s="5" t="s">
        <v>4165</v>
      </c>
      <c r="D1079" s="5" t="s">
        <v>16</v>
      </c>
      <c r="E1079" s="5" t="s">
        <v>233</v>
      </c>
      <c r="F1079" s="5" t="s">
        <v>19</v>
      </c>
      <c r="G1079" s="14" t="str">
        <f t="array" ref="G1079">IF(B1079="", "",
  LET(_xlpm.spell, IFERROR(IF(F1079="", "", INDEX(_xlws.FILTER(Hairstyles!$F:$F, ISNUMBER(SEARCH(F1079, Hairstyles!$B:$B))), 1)), "No Spell for Hairstyle"),
  _xlpm.vanillaPrefix, IF(LEFT(_xlpm.spell, 7)="Uvi_Wig", "", ";"),
  ";" &amp; IF(C1079="", B1079, C1079) &amp; IF(M1079="", "", " ("&amp;M1079&amp;")") &amp; CHAR(10) &amp;
  _xlpm.vanillaPrefix &amp; "Keyword = Uvi_Wig_Distr_KYWD|" &amp; B1079 &amp; CHAR(10) &amp;
  _xlpm.vanillaPrefix &amp; "Spell = " &amp; _xlpm.spell &amp; "|" &amp; B1079
  )
)</f>
        <v>;Morven Stroud
;Keyword = Uvi_Wig_Distr_KYWD|DLC01SoulCairnSoulMorven
;Spell = No Spell for Hairstyle|DLC01SoulCairnSoulMorven</v>
      </c>
    </row>
    <row r="1080" ht="12.75" customHeight="1">
      <c r="A1080" s="5" t="s">
        <v>4166</v>
      </c>
      <c r="B1080" s="5" t="s">
        <v>4167</v>
      </c>
      <c r="C1080" s="5" t="s">
        <v>4168</v>
      </c>
      <c r="D1080" s="5" t="s">
        <v>38</v>
      </c>
      <c r="E1080" s="5" t="s">
        <v>41</v>
      </c>
      <c r="F1080" s="5" t="s">
        <v>1996</v>
      </c>
      <c r="G1080" s="14" t="str">
        <f t="array" ref="G1080">IF(B1080="", "",
  LET(_xlpm.spell, IFERROR(IF(F1080="", "", INDEX(_xlws.FILTER(Hairstyles!$F:$F, ISNUMBER(SEARCH(F1080, Hairstyles!$B:$B))), 1)), "No Spell for Hairstyle"),
  _xlpm.vanillaPrefix, IF(LEFT(_xlpm.spell, 7)="Uvi_Wig", "", ";"),
  ";" &amp; IF(C1080="", B1080, C1080) &amp; IF(M1080="", "", " ("&amp;M1080&amp;")") &amp; CHAR(10) &amp;
  _xlpm.vanillaPrefix &amp; "Keyword = Uvi_Wig_Distr_KYWD|" &amp; B1080 &amp; CHAR(10) &amp;
  _xlpm.vanillaPrefix &amp; "Spell = " &amp; _xlpm.spell &amp; "|" &amp; B1080
  )
)</f>
        <v>;Morwen
;Keyword = Uvi_Wig_Distr_KYWD|DLC2SVMorwen
;Spell = No Spell for Hairstyle|DLC2SVMorwen</v>
      </c>
    </row>
    <row r="1081" ht="12.75" customHeight="1">
      <c r="A1081" s="5" t="s">
        <v>4169</v>
      </c>
      <c r="B1081" s="5" t="s">
        <v>4170</v>
      </c>
      <c r="C1081" s="5" t="s">
        <v>4171</v>
      </c>
      <c r="D1081" s="5" t="s">
        <v>80</v>
      </c>
      <c r="E1081" s="5" t="s">
        <v>233</v>
      </c>
      <c r="F1081" s="5" t="s">
        <v>391</v>
      </c>
      <c r="G1081" s="14" t="str">
        <f t="array" ref="G1081">IF(B1081="", "",
  LET(_xlpm.spell, IFERROR(IF(F1081="", "", INDEX(_xlws.FILTER(Hairstyles!$F:$F, ISNUMBER(SEARCH(F1081, Hairstyles!$B:$B))), 1)), "No Spell for Hairstyle"),
  _xlpm.vanillaPrefix, IF(LEFT(_xlpm.spell, 7)="Uvi_Wig", "", ";"),
  ";" &amp; IF(C1081="", B1081, C1081) &amp; IF(M1081="", "", " ("&amp;M1081&amp;")") &amp; CHAR(10) &amp;
  _xlpm.vanillaPrefix &amp; "Keyword = Uvi_Wig_Distr_KYWD|" &amp; B1081 &amp; CHAR(10) &amp;
  _xlpm.vanillaPrefix &amp; "Spell = " &amp; _xlpm.spell &amp; "|" &amp; B1081
  )
)</f>
        <v>;Moth gro-Bagol
;Keyword = Uvi_Wig_Distr_KYWD|MothgroBagol
;Spell = No Spell for Hairstyle|MothgroBagol</v>
      </c>
    </row>
    <row r="1082" ht="12.75" customHeight="1">
      <c r="A1082" s="5" t="s">
        <v>4172</v>
      </c>
      <c r="B1082" s="5" t="s">
        <v>4173</v>
      </c>
      <c r="C1082" s="5" t="s">
        <v>4173</v>
      </c>
      <c r="D1082" s="5" t="s">
        <v>38</v>
      </c>
      <c r="E1082" s="5" t="s">
        <v>233</v>
      </c>
      <c r="F1082" s="5" t="s">
        <v>235</v>
      </c>
      <c r="G1082" s="14" t="str">
        <f t="array" ref="G1082">IF(B1082="", "",
  LET(_xlpm.spell, IFERROR(IF(F1082="", "", INDEX(_xlws.FILTER(Hairstyles!$F:$F, ISNUMBER(SEARCH(F1082, Hairstyles!$B:$B))), 1)), "No Spell for Hairstyle"),
  _xlpm.vanillaPrefix, IF(LEFT(_xlpm.spell, 7)="Uvi_Wig", "", ";"),
  ";" &amp; IF(C1082="", B1082, C1082) &amp; IF(M1082="", "", " ("&amp;M1082&amp;")") &amp; CHAR(10) &amp;
  _xlpm.vanillaPrefix &amp; "Keyword = Uvi_Wig_Distr_KYWD|" &amp; B1082 &amp; CHAR(10) &amp;
  _xlpm.vanillaPrefix &amp; "Spell = " &amp; _xlpm.spell &amp; "|" &amp; B1082
  )
)</f>
        <v>;Mralki
;Keyword = Uvi_Wig_Distr_KYWD|Mralki
;Spell = No Spell for Hairstyle|Mralki</v>
      </c>
    </row>
    <row r="1083" ht="12.75" customHeight="1">
      <c r="A1083" s="5" t="s">
        <v>4174</v>
      </c>
      <c r="B1083" s="5" t="s">
        <v>4175</v>
      </c>
      <c r="C1083" s="5" t="s">
        <v>4175</v>
      </c>
      <c r="D1083" s="5" t="s">
        <v>16</v>
      </c>
      <c r="E1083" s="5" t="s">
        <v>41</v>
      </c>
      <c r="F1083" s="5" t="s">
        <v>1063</v>
      </c>
      <c r="G1083" s="14" t="str">
        <f t="array" ref="G1083">IF(B1083="", "",
  LET(_xlpm.spell, IFERROR(IF(F1083="", "", INDEX(_xlws.FILTER(Hairstyles!$F:$F, ISNUMBER(SEARCH(F1083, Hairstyles!$B:$B))), 1)), "No Spell for Hairstyle"),
  _xlpm.vanillaPrefix, IF(LEFT(_xlpm.spell, 7)="Uvi_Wig", "", ";"),
  ";" &amp; IF(C1083="", B1083, C1083) &amp; IF(M1083="", "", " ("&amp;M1083&amp;")") &amp; CHAR(10) &amp;
  _xlpm.vanillaPrefix &amp; "Keyword = Uvi_Wig_Distr_KYWD|" &amp; B1083 &amp; CHAR(10) &amp;
  _xlpm.vanillaPrefix &amp; "Spell = " &amp; _xlpm.spell &amp; "|" &amp; B1083
  )
)</f>
        <v>;Muiri
;Keyword = Uvi_Wig_Distr_KYWD|Muiri
;Spell = No Spell for Hairstyle|Muiri</v>
      </c>
    </row>
    <row r="1084" ht="12.75" customHeight="1">
      <c r="A1084" s="5" t="s">
        <v>4176</v>
      </c>
      <c r="B1084" s="5" t="s">
        <v>4177</v>
      </c>
      <c r="C1084" s="5" t="s">
        <v>4178</v>
      </c>
      <c r="D1084" s="5" t="s">
        <v>80</v>
      </c>
      <c r="E1084" s="5" t="s">
        <v>233</v>
      </c>
      <c r="F1084" s="5" t="s">
        <v>1876</v>
      </c>
      <c r="G1084" s="14" t="str">
        <f t="array" ref="G1084">IF(B1084="", "",
  LET(_xlpm.spell, IFERROR(IF(F1084="", "", INDEX(_xlws.FILTER(Hairstyles!$F:$F, ISNUMBER(SEARCH(F1084, Hairstyles!$B:$B))), 1)), "No Spell for Hairstyle"),
  _xlpm.vanillaPrefix, IF(LEFT(_xlpm.spell, 7)="Uvi_Wig", "", ";"),
  ";" &amp; IF(C1084="", B1084, C1084) &amp; IF(M1084="", "", " ("&amp;M1084&amp;")") &amp; CHAR(10) &amp;
  _xlpm.vanillaPrefix &amp; "Keyword = Uvi_Wig_Distr_KYWD|" &amp; B1084 &amp; CHAR(10) &amp;
  _xlpm.vanillaPrefix &amp; "Spell = " &amp; _xlpm.spell &amp; "|" &amp; B1084
  )
)</f>
        <v>;Mul gro-Largash
;Keyword = Uvi_Wig_Distr_KYWD|MulGroLargash
;Spell = No Spell for Hairstyle|MulGroLargash</v>
      </c>
    </row>
    <row r="1085" ht="12.75" customHeight="1">
      <c r="A1085" s="5" t="s">
        <v>4179</v>
      </c>
      <c r="B1085" s="5" t="s">
        <v>4180</v>
      </c>
      <c r="C1085" s="5" t="s">
        <v>4181</v>
      </c>
      <c r="D1085" s="5" t="s">
        <v>80</v>
      </c>
      <c r="E1085" s="5" t="s">
        <v>233</v>
      </c>
      <c r="F1085" s="5" t="s">
        <v>537</v>
      </c>
      <c r="G1085" s="14" t="str">
        <f t="array" ref="G1085">IF(B1085="", "",
  LET(_xlpm.spell, IFERROR(IF(F1085="", "", INDEX(_xlws.FILTER(Hairstyles!$F:$F, ISNUMBER(SEARCH(F1085, Hairstyles!$B:$B))), 1)), "No Spell for Hairstyle"),
  _xlpm.vanillaPrefix, IF(LEFT(_xlpm.spell, 7)="Uvi_Wig", "", ";"),
  ";" &amp; IF(C1085="", B1085, C1085) &amp; IF(M1085="", "", " ("&amp;M1085&amp;")") &amp; CHAR(10) &amp;
  _xlpm.vanillaPrefix &amp; "Keyword = Uvi_Wig_Distr_KYWD|" &amp; B1085 &amp; CHAR(10) &amp;
  _xlpm.vanillaPrefix &amp; "Spell = " &amp; _xlpm.spell &amp; "|" &amp; B1085
  )
)</f>
        <v>;Mulush gro-Shugurz
;Keyword = Uvi_Wig_Distr_KYWD|MulushGroShugurz
;Spell = No Spell for Hairstyle|MulushGroShugurz</v>
      </c>
    </row>
    <row r="1086" ht="12.75" customHeight="1">
      <c r="A1086" s="5" t="s">
        <v>4182</v>
      </c>
      <c r="B1086" s="5" t="s">
        <v>4183</v>
      </c>
      <c r="C1086" s="5" t="s">
        <v>4183</v>
      </c>
      <c r="D1086" s="5" t="s">
        <v>80</v>
      </c>
      <c r="E1086" s="5" t="s">
        <v>41</v>
      </c>
      <c r="F1086" s="5" t="s">
        <v>399</v>
      </c>
      <c r="G1086" s="14" t="str">
        <f t="array" ref="G1086">IF(B1086="", "",
  LET(_xlpm.spell, IFERROR(IF(F1086="", "", INDEX(_xlws.FILTER(Hairstyles!$F:$F, ISNUMBER(SEARCH(F1086, Hairstyles!$B:$B))), 1)), "No Spell for Hairstyle"),
  _xlpm.vanillaPrefix, IF(LEFT(_xlpm.spell, 7)="Uvi_Wig", "", ";"),
  ";" &amp; IF(C1086="", B1086, C1086) &amp; IF(M1086="", "", " ("&amp;M1086&amp;")") &amp; CHAR(10) &amp;
  _xlpm.vanillaPrefix &amp; "Keyword = Uvi_Wig_Distr_KYWD|" &amp; B1086 &amp; CHAR(10) &amp;
  _xlpm.vanillaPrefix &amp; "Spell = " &amp; _xlpm.spell &amp; "|" &amp; B1086
  )
)</f>
        <v>;Murbul
;Keyword = Uvi_Wig_Distr_KYWD|Murbul
;Spell = No Spell for Hairstyle|Murbul</v>
      </c>
    </row>
    <row r="1087" ht="12.75" customHeight="1">
      <c r="A1087" s="5" t="s">
        <v>4184</v>
      </c>
      <c r="B1087" s="5" t="s">
        <v>4185</v>
      </c>
      <c r="C1087" s="5" t="s">
        <v>4185</v>
      </c>
      <c r="D1087" s="5" t="s">
        <v>57</v>
      </c>
      <c r="E1087" s="5" t="s">
        <v>233</v>
      </c>
      <c r="F1087" s="5" t="s">
        <v>4186</v>
      </c>
      <c r="G1087" s="14" t="str">
        <f t="array" ref="G1087">IF(B1087="", "",
  LET(_xlpm.spell, IFERROR(IF(F1087="", "", INDEX(_xlws.FILTER(Hairstyles!$F:$F, ISNUMBER(SEARCH(F1087, Hairstyles!$B:$B))), 1)), "No Spell for Hairstyle"),
  _xlpm.vanillaPrefix, IF(LEFT(_xlpm.spell, 7)="Uvi_Wig", "", ";"),
  ";" &amp; IF(C1087="", B1087, C1087) &amp; IF(M1087="", "", " ("&amp;M1087&amp;")") &amp; CHAR(10) &amp;
  _xlpm.vanillaPrefix &amp; "Keyword = Uvi_Wig_Distr_KYWD|" &amp; B1087 &amp; CHAR(10) &amp;
  _xlpm.vanillaPrefix &amp; "Spell = " &amp; _xlpm.spell &amp; "|" &amp; B1087
  )
)</f>
        <v>;Muril
;Keyword = Uvi_Wig_Distr_KYWD|Muril
;Spell = No Spell for Hairstyle|Muril</v>
      </c>
    </row>
    <row r="1088" ht="12.75" customHeight="1">
      <c r="A1088" s="5" t="s">
        <v>4187</v>
      </c>
      <c r="B1088" s="5" t="s">
        <v>4188</v>
      </c>
      <c r="C1088" s="5" t="s">
        <v>4188</v>
      </c>
      <c r="D1088" s="5" t="s">
        <v>80</v>
      </c>
      <c r="E1088" s="5" t="s">
        <v>233</v>
      </c>
      <c r="F1088" s="5" t="s">
        <v>452</v>
      </c>
      <c r="G1088" s="14" t="str">
        <f t="array" ref="G1088">IF(B1088="", "",
  LET(_xlpm.spell, IFERROR(IF(F1088="", "", INDEX(_xlws.FILTER(Hairstyles!$F:$F, ISNUMBER(SEARCH(F1088, Hairstyles!$B:$B))), 1)), "No Spell for Hairstyle"),
  _xlpm.vanillaPrefix, IF(LEFT(_xlpm.spell, 7)="Uvi_Wig", "", ";"),
  ";" &amp; IF(C1088="", B1088, C1088) &amp; IF(M1088="", "", " ("&amp;M1088&amp;")") &amp; CHAR(10) &amp;
  _xlpm.vanillaPrefix &amp; "Keyword = Uvi_Wig_Distr_KYWD|" &amp; B1088 &amp; CHAR(10) &amp;
  _xlpm.vanillaPrefix &amp; "Spell = " &amp; _xlpm.spell &amp; "|" &amp; B1088
  )
)</f>
        <v>;Nagrub
;Keyword = Uvi_Wig_Distr_KYWD|Nagrub
;Spell = No Spell for Hairstyle|Nagrub</v>
      </c>
    </row>
    <row r="1089" ht="12.75" customHeight="1">
      <c r="A1089" s="5" t="s">
        <v>4189</v>
      </c>
      <c r="B1089" s="5" t="s">
        <v>4190</v>
      </c>
      <c r="C1089" s="5" t="s">
        <v>4191</v>
      </c>
      <c r="D1089" s="5" t="s">
        <v>89</v>
      </c>
      <c r="E1089" s="5" t="s">
        <v>233</v>
      </c>
      <c r="F1089" s="5" t="s">
        <v>174</v>
      </c>
      <c r="G1089" s="14" t="str">
        <f t="array" ref="G1089">IF(B1089="", "",
  LET(_xlpm.spell, IFERROR(IF(F1089="", "", INDEX(_xlws.FILTER(Hairstyles!$F:$F, ISNUMBER(SEARCH(F1089, Hairstyles!$B:$B))), 1)), "No Spell for Hairstyle"),
  _xlpm.vanillaPrefix, IF(LEFT(_xlpm.spell, 7)="Uvi_Wig", "", ";"),
  ";" &amp; IF(C1089="", B1089, C1089) &amp; IF(M1089="", "", " ("&amp;M1089&amp;")") &amp; CHAR(10) &amp;
  _xlpm.vanillaPrefix &amp; "Keyword = Uvi_Wig_Distr_KYWD|" &amp; B1089 &amp; CHAR(10) &amp;
  _xlpm.vanillaPrefix &amp; "Spell = " &amp; _xlpm.spell &amp; "|" &amp; B1089
  )
)</f>
        <v>;Namasur
;Keyword = Uvi_Wig_Distr_KYWD|DLC1Namasur
;Spell = No Spell for Hairstyle|DLC1Namasur</v>
      </c>
    </row>
    <row r="1090" ht="12.75" customHeight="1">
      <c r="A1090" s="5" t="s">
        <v>4192</v>
      </c>
      <c r="B1090" s="5" t="s">
        <v>4193</v>
      </c>
      <c r="C1090" s="5" t="s">
        <v>4194</v>
      </c>
      <c r="D1090" s="5" t="s">
        <v>16</v>
      </c>
      <c r="E1090" s="5" t="s">
        <v>41</v>
      </c>
      <c r="F1090" s="5" t="s">
        <v>356</v>
      </c>
      <c r="G1090" s="14" t="str">
        <f t="array" ref="G1090">IF(B1090="", "",
  LET(_xlpm.spell, IFERROR(IF(F1090="", "", INDEX(_xlws.FILTER(Hairstyles!$F:$F, ISNUMBER(SEARCH(F1090, Hairstyles!$B:$B))), 1)), "No Spell for Hairstyle"),
  _xlpm.vanillaPrefix, IF(LEFT(_xlpm.spell, 7)="Uvi_Wig", "", ";"),
  ";" &amp; IF(C1090="", B1090, C1090) &amp; IF(M1090="", "", " ("&amp;M1090&amp;")") &amp; CHAR(10) &amp;
  _xlpm.vanillaPrefix &amp; "Keyword = Uvi_Wig_Distr_KYWD|" &amp; B1090 &amp; CHAR(10) &amp;
  _xlpm.vanillaPrefix &amp; "Spell = " &amp; _xlpm.spell &amp; "|" &amp; B1090
  )
)</f>
        <v>;Nana Ildene
;Keyword = Uvi_Wig_Distr_KYWD|Ildene
;Spell = No Spell for Hairstyle|Ildene</v>
      </c>
    </row>
    <row r="1091" ht="12.75" customHeight="1">
      <c r="A1091" s="5" t="s">
        <v>4195</v>
      </c>
      <c r="B1091" s="5" t="s">
        <v>4196</v>
      </c>
      <c r="C1091" s="5" t="s">
        <v>4196</v>
      </c>
      <c r="D1091" s="5" t="s">
        <v>38</v>
      </c>
      <c r="E1091" s="5" t="s">
        <v>233</v>
      </c>
      <c r="F1091" s="5" t="s">
        <v>19</v>
      </c>
      <c r="G1091" s="14" t="str">
        <f t="array" ref="G1091">IF(B1091="", "",
  LET(_xlpm.spell, IFERROR(IF(F1091="", "", INDEX(_xlws.FILTER(Hairstyles!$F:$F, ISNUMBER(SEARCH(F1091, Hairstyles!$B:$B))), 1)), "No Spell for Hairstyle"),
  _xlpm.vanillaPrefix, IF(LEFT(_xlpm.spell, 7)="Uvi_Wig", "", ";"),
  ";" &amp; IF(C1091="", B1091, C1091) &amp; IF(M1091="", "", " ("&amp;M1091&amp;")") &amp; CHAR(10) &amp;
  _xlpm.vanillaPrefix &amp; "Keyword = Uvi_Wig_Distr_KYWD|" &amp; B1091 &amp; CHAR(10) &amp;
  _xlpm.vanillaPrefix &amp; "Spell = " &amp; _xlpm.spell &amp; "|" &amp; B1091
  )
)</f>
        <v>;Narfi
;Keyword = Uvi_Wig_Distr_KYWD|Narfi
;Spell = No Spell for Hairstyle|Narfi</v>
      </c>
    </row>
    <row r="1092" ht="12.75" customHeight="1">
      <c r="A1092" s="5" t="s">
        <v>4197</v>
      </c>
      <c r="B1092" s="5" t="s">
        <v>4198</v>
      </c>
      <c r="C1092" s="5" t="s">
        <v>4199</v>
      </c>
      <c r="D1092" s="5" t="s">
        <v>45</v>
      </c>
      <c r="E1092" s="5" t="s">
        <v>233</v>
      </c>
      <c r="F1092" s="5" t="s">
        <v>4186</v>
      </c>
      <c r="G1092" s="14" t="str">
        <f t="array" ref="G1092">IF(B1092="", "",
  LET(_xlpm.spell, IFERROR(IF(F1092="", "", INDEX(_xlws.FILTER(Hairstyles!$F:$F, ISNUMBER(SEARCH(F1092, Hairstyles!$B:$B))), 1)), "No Spell for Hairstyle"),
  _xlpm.vanillaPrefix, IF(LEFT(_xlpm.spell, 7)="Uvi_Wig", "", ";"),
  ";" &amp; IF(C1092="", B1092, C1092) &amp; IF(M1092="", "", " ("&amp;M1092&amp;")") &amp; CHAR(10) &amp;
  _xlpm.vanillaPrefix &amp; "Keyword = Uvi_Wig_Distr_KYWD|" &amp; B1092 &amp; CHAR(10) &amp;
  _xlpm.vanillaPrefix &amp; "Spell = " &amp; _xlpm.spell &amp; "|" &amp; B1092
  )
)</f>
        <v>;Naris Mavani
;Keyword = Uvi_Wig_Distr_KYWD|DLC2RRMinerNaris
;Spell = No Spell for Hairstyle|DLC2RRMinerNaris</v>
      </c>
    </row>
    <row r="1093" ht="12.75" customHeight="1">
      <c r="A1093" s="15" t="s">
        <v>4200</v>
      </c>
      <c r="B1093" s="5" t="s">
        <v>4201</v>
      </c>
      <c r="C1093" s="5" t="s">
        <v>4201</v>
      </c>
      <c r="D1093" s="5" t="s">
        <v>38</v>
      </c>
      <c r="E1093" s="5" t="s">
        <v>41</v>
      </c>
      <c r="F1093" s="5" t="s">
        <v>862</v>
      </c>
      <c r="G1093" s="14" t="str">
        <f t="array" ref="G1093">IF(B1093="", "",
  LET(_xlpm.spell, IFERROR(IF(F1093="", "", INDEX(_xlws.FILTER(Hairstyles!$F:$F, ISNUMBER(SEARCH(F1093, Hairstyles!$B:$B))), 1)), "No Spell for Hairstyle"),
  _xlpm.vanillaPrefix, IF(LEFT(_xlpm.spell, 7)="Uvi_Wig", "", ";"),
  ";" &amp; IF(C1093="", B1093, C1093) &amp; IF(M1093="", "", " ("&amp;M1093&amp;")") &amp; CHAR(10) &amp;
  _xlpm.vanillaPrefix &amp; "Keyword = Uvi_Wig_Distr_KYWD|" &amp; B1093 &amp; CHAR(10) &amp;
  _xlpm.vanillaPrefix &amp; "Spell = " &amp; _xlpm.spell &amp; "|" &amp; B1093
  )
)</f>
        <v>;Narri
;Keyword = Uvi_Wig_Distr_KYWD|Narri
;Spell = No Spell for Hairstyle|Narri</v>
      </c>
    </row>
    <row r="1094" ht="12.75" customHeight="1">
      <c r="A1094" s="5" t="s">
        <v>4202</v>
      </c>
      <c r="B1094" s="5" t="s">
        <v>4203</v>
      </c>
      <c r="C1094" s="5" t="s">
        <v>4203</v>
      </c>
      <c r="D1094" s="5" t="s">
        <v>83</v>
      </c>
      <c r="E1094" s="5" t="s">
        <v>233</v>
      </c>
      <c r="F1094" s="5" t="s">
        <v>84</v>
      </c>
      <c r="G1094" s="14" t="str">
        <f t="array" ref="G1094">IF(B1094="", "",
  LET(_xlpm.spell, IFERROR(IF(F1094="", "", INDEX(_xlws.FILTER(Hairstyles!$F:$F, ISNUMBER(SEARCH(F1094, Hairstyles!$B:$B))), 1)), "No Spell for Hairstyle"),
  _xlpm.vanillaPrefix, IF(LEFT(_xlpm.spell, 7)="Uvi_Wig", "", ";"),
  ";" &amp; IF(C1094="", B1094, C1094) &amp; IF(M1094="", "", " ("&amp;M1094&amp;")") &amp; CHAR(10) &amp;
  _xlpm.vanillaPrefix &amp; "Keyword = Uvi_Wig_Distr_KYWD|" &amp; B1094 &amp; CHAR(10) &amp;
  _xlpm.vanillaPrefix &amp; "Spell = " &amp; _xlpm.spell &amp; "|" &amp; B1094
  )
)</f>
        <v>;Nazeem
;Keyword = Uvi_Wig_Distr_KYWD|Nazeem
;Spell = No Spell for Hairstyle|Nazeem</v>
      </c>
    </row>
    <row r="1095" ht="12.75" customHeight="1">
      <c r="A1095" s="5" t="s">
        <v>4204</v>
      </c>
      <c r="B1095" s="5" t="s">
        <v>4205</v>
      </c>
      <c r="C1095" s="5" t="s">
        <v>4205</v>
      </c>
      <c r="D1095" s="5" t="s">
        <v>83</v>
      </c>
      <c r="E1095" s="5" t="s">
        <v>233</v>
      </c>
      <c r="F1095" s="5" t="s">
        <v>174</v>
      </c>
      <c r="G1095" s="14" t="str">
        <f t="array" ref="G1095">IF(B1095="", "",
  LET(_xlpm.spell, IFERROR(IF(F1095="", "", INDEX(_xlws.FILTER(Hairstyles!$F:$F, ISNUMBER(SEARCH(F1095, Hairstyles!$B:$B))), 1)), "No Spell for Hairstyle"),
  _xlpm.vanillaPrefix, IF(LEFT(_xlpm.spell, 7)="Uvi_Wig", "", ";"),
  ";" &amp; IF(C1095="", B1095, C1095) &amp; IF(M1095="", "", " ("&amp;M1095&amp;")") &amp; CHAR(10) &amp;
  _xlpm.vanillaPrefix &amp; "Keyword = Uvi_Wig_Distr_KYWD|" &amp; B1095 &amp; CHAR(10) &amp;
  _xlpm.vanillaPrefix &amp; "Spell = " &amp; _xlpm.spell &amp; "|" &amp; B1095
  )
)</f>
        <v>;Nazir
;Keyword = Uvi_Wig_Distr_KYWD|Nazir
;Spell = No Spell for Hairstyle|Nazir</v>
      </c>
    </row>
    <row r="1096" ht="12.75" customHeight="1">
      <c r="A1096" s="5" t="s">
        <v>4206</v>
      </c>
      <c r="B1096" s="5" t="s">
        <v>4207</v>
      </c>
      <c r="C1096" s="5" t="s">
        <v>4205</v>
      </c>
      <c r="D1096" s="5" t="s">
        <v>83</v>
      </c>
      <c r="E1096" s="5" t="s">
        <v>233</v>
      </c>
      <c r="F1096" s="5" t="s">
        <v>174</v>
      </c>
      <c r="G1096" s="14" t="str">
        <f t="array" ref="G1096">IF(B1096="", "",
  LET(_xlpm.spell, IFERROR(IF(F1096="", "", INDEX(_xlws.FILTER(Hairstyles!$F:$F, ISNUMBER(SEARCH(F1096, Hairstyles!$B:$B))), 1)), "No Spell for Hairstyle"),
  _xlpm.vanillaPrefix, IF(LEFT(_xlpm.spell, 7)="Uvi_Wig", "", ";"),
  ";" &amp; IF(C1096="", B1096, C1096) &amp; IF(M1096="", "", " ("&amp;M1096&amp;")") &amp; CHAR(10) &amp;
  _xlpm.vanillaPrefix &amp; "Keyword = Uvi_Wig_Distr_KYWD|" &amp; B1096 &amp; CHAR(10) &amp;
  _xlpm.vanillaPrefix &amp; "Spell = " &amp; _xlpm.spell &amp; "|" &amp; B1096
  )
)</f>
        <v>;Nazir
;Keyword = Uvi_Wig_Distr_KYWD|NazirSancAttack
;Spell = No Spell for Hairstyle|NazirSancAttack</v>
      </c>
    </row>
    <row r="1097" ht="12.75" customHeight="1">
      <c r="A1097" s="5" t="s">
        <v>4208</v>
      </c>
      <c r="B1097" s="5" t="s">
        <v>4209</v>
      </c>
      <c r="C1097" s="5" t="s">
        <v>4210</v>
      </c>
      <c r="D1097" s="5" t="s">
        <v>16</v>
      </c>
      <c r="E1097" s="5" t="s">
        <v>233</v>
      </c>
      <c r="F1097" s="5" t="s">
        <v>1566</v>
      </c>
      <c r="G1097" s="14" t="str">
        <f t="array" ref="G1097">IF(B1097="", "",
  LET(_xlpm.spell, IFERROR(IF(F1097="", "", INDEX(_xlws.FILTER(Hairstyles!$F:$F, ISNUMBER(SEARCH(F1097, Hairstyles!$B:$B))), 1)), "No Spell for Hairstyle"),
  _xlpm.vanillaPrefix, IF(LEFT(_xlpm.spell, 7)="Uvi_Wig", "", ";"),
  ";" &amp; IF(C1097="", B1097, C1097) &amp; IF(M1097="", "", " ("&amp;M1097&amp;")") &amp; CHAR(10) &amp;
  _xlpm.vanillaPrefix &amp; "Keyword = Uvi_Wig_Distr_KYWD|" &amp; B1097 &amp; CHAR(10) &amp;
  _xlpm.vanillaPrefix &amp; "Spell = " &amp; _xlpm.spell &amp; "|" &amp; B1097
  )
)</f>
        <v>;Necromage
;Keyword = Uvi_Wig_Distr_KYWD|EncWarlock04TemplateBossNecro
;Spell = No Spell for Hairstyle|EncWarlock04TemplateBossNecro</v>
      </c>
    </row>
    <row r="1098" ht="12.75" customHeight="1">
      <c r="A1098" s="5" t="s">
        <v>4211</v>
      </c>
      <c r="B1098" s="5" t="s">
        <v>4212</v>
      </c>
      <c r="C1098" s="5" t="s">
        <v>4210</v>
      </c>
      <c r="D1098" s="5" t="s">
        <v>16</v>
      </c>
      <c r="E1098" s="5" t="s">
        <v>233</v>
      </c>
      <c r="F1098" s="5" t="s">
        <v>1088</v>
      </c>
      <c r="G1098" s="14" t="str">
        <f t="array" ref="G1098">IF(B1098="", "",
  LET(_xlpm.spell, IFERROR(IF(F1098="", "", INDEX(_xlws.FILTER(Hairstyles!$F:$F, ISNUMBER(SEARCH(F1098, Hairstyles!$B:$B))), 1)), "No Spell for Hairstyle"),
  _xlpm.vanillaPrefix, IF(LEFT(_xlpm.spell, 7)="Uvi_Wig", "", ";"),
  ";" &amp; IF(C1098="", B1098, C1098) &amp; IF(M1098="", "", " ("&amp;M1098&amp;")") &amp; CHAR(10) &amp;
  _xlpm.vanillaPrefix &amp; "Keyword = Uvi_Wig_Distr_KYWD|" &amp; B1098 &amp; CHAR(10) &amp;
  _xlpm.vanillaPrefix &amp; "Spell = " &amp; _xlpm.spell &amp; "|" &amp; B1098
  )
)</f>
        <v>;Necromage
;Keyword = Uvi_Wig_Distr_KYWD|EncWarlock04TemplateNecro
;Spell = No Spell for Hairstyle|EncWarlock04TemplateNecro</v>
      </c>
    </row>
    <row r="1099" ht="12.75" customHeight="1">
      <c r="A1099" s="15" t="s">
        <v>4213</v>
      </c>
      <c r="B1099" s="5" t="s">
        <v>4214</v>
      </c>
      <c r="C1099" s="5" t="s">
        <v>4215</v>
      </c>
      <c r="D1099" s="5" t="s">
        <v>38</v>
      </c>
      <c r="E1099" s="5" t="s">
        <v>233</v>
      </c>
      <c r="F1099" s="5" t="s">
        <v>218</v>
      </c>
      <c r="G1099" s="14" t="str">
        <f t="array" ref="G1099">IF(B1099="", "",
  LET(_xlpm.spell, IFERROR(IF(F1099="", "", INDEX(_xlws.FILTER(Hairstyles!$F:$F, ISNUMBER(SEARCH(F1099, Hairstyles!$B:$B))), 1)), "No Spell for Hairstyle"),
  _xlpm.vanillaPrefix, IF(LEFT(_xlpm.spell, 7)="Uvi_Wig", "", ";"),
  ";" &amp; IF(C1099="", B1099, C1099) &amp; IF(M1099="", "", " ("&amp;M1099&amp;")") &amp; CHAR(10) &amp;
  _xlpm.vanillaPrefix &amp; "Keyword = Uvi_Wig_Distr_KYWD|" &amp; B1099 &amp; CHAR(10) &amp;
  _xlpm.vanillaPrefix &amp; "Spell = " &amp; _xlpm.spell &amp; "|" &amp; B1099
  )
)</f>
        <v>;Necromancer
;Keyword = Uvi_Wig_Distr_KYWD|MS06NecromancerCultist1
;Spell = No Spell for Hairstyle|MS06NecromancerCultist1</v>
      </c>
    </row>
    <row r="1100" ht="12.75" customHeight="1">
      <c r="A1100" s="5" t="s">
        <v>4216</v>
      </c>
      <c r="B1100" s="5" t="s">
        <v>4217</v>
      </c>
      <c r="C1100" s="5" t="s">
        <v>4218</v>
      </c>
      <c r="D1100" s="5" t="s">
        <v>16</v>
      </c>
      <c r="E1100" s="5" t="s">
        <v>233</v>
      </c>
      <c r="F1100" s="5" t="s">
        <v>19</v>
      </c>
      <c r="G1100" s="14" t="str">
        <f t="array" ref="G1100">IF(B1100="", "",
  LET(_xlpm.spell, IFERROR(IF(F1100="", "", INDEX(_xlws.FILTER(Hairstyles!$F:$F, ISNUMBER(SEARCH(F1100, Hairstyles!$B:$B))), 1)), "No Spell for Hairstyle"),
  _xlpm.vanillaPrefix, IF(LEFT(_xlpm.spell, 7)="Uvi_Wig", "", ";"),
  ";" &amp; IF(C1100="", B1100, C1100) &amp; IF(M1100="", "", " ("&amp;M1100&amp;")") &amp; CHAR(10) &amp;
  _xlpm.vanillaPrefix &amp; "Keyword = Uvi_Wig_Distr_KYWD|" &amp; B1100 &amp; CHAR(10) &amp;
  _xlpm.vanillaPrefix &amp; "Spell = " &amp; _xlpm.spell &amp; "|" &amp; B1100
  )
)</f>
        <v>;Necromancer Adept
;Keyword = Uvi_Wig_Distr_KYWD|EncWarlock03TemplateBossNecro
;Spell = No Spell for Hairstyle|EncWarlock03TemplateBossNecro</v>
      </c>
    </row>
    <row r="1101" ht="12.75" customHeight="1">
      <c r="A1101" s="5" t="s">
        <v>4219</v>
      </c>
      <c r="B1101" s="5" t="s">
        <v>4220</v>
      </c>
      <c r="C1101" s="5" t="s">
        <v>4218</v>
      </c>
      <c r="D1101" s="5" t="s">
        <v>16</v>
      </c>
      <c r="E1101" s="5" t="s">
        <v>233</v>
      </c>
      <c r="F1101" s="5" t="s">
        <v>424</v>
      </c>
      <c r="G1101" s="14" t="str">
        <f t="array" ref="G1101">IF(B1101="", "",
  LET(_xlpm.spell, IFERROR(IF(F1101="", "", INDEX(_xlws.FILTER(Hairstyles!$F:$F, ISNUMBER(SEARCH(F1101, Hairstyles!$B:$B))), 1)), "No Spell for Hairstyle"),
  _xlpm.vanillaPrefix, IF(LEFT(_xlpm.spell, 7)="Uvi_Wig", "", ";"),
  ";" &amp; IF(C1101="", B1101, C1101) &amp; IF(M1101="", "", " ("&amp;M1101&amp;")") &amp; CHAR(10) &amp;
  _xlpm.vanillaPrefix &amp; "Keyword = Uvi_Wig_Distr_KYWD|" &amp; B1101 &amp; CHAR(10) &amp;
  _xlpm.vanillaPrefix &amp; "Spell = " &amp; _xlpm.spell &amp; "|" &amp; B1101
  )
)</f>
        <v>;Necromancer Adept
;Keyword = Uvi_Wig_Distr_KYWD|EncWarlock03TemplateNecro
;Spell = No Spell for Hairstyle|EncWarlock03TemplateNecro</v>
      </c>
    </row>
    <row r="1102" ht="12.75" customHeight="1">
      <c r="A1102" s="5" t="s">
        <v>4221</v>
      </c>
      <c r="B1102" s="5" t="s">
        <v>4222</v>
      </c>
      <c r="C1102" s="5" t="s">
        <v>4222</v>
      </c>
      <c r="D1102" s="5" t="s">
        <v>10</v>
      </c>
      <c r="E1102" s="5" t="s">
        <v>233</v>
      </c>
      <c r="F1102" s="5" t="s">
        <v>1746</v>
      </c>
      <c r="G1102" s="14" t="str">
        <f t="array" ref="G1102">IF(B1102="", "",
  LET(_xlpm.spell, IFERROR(IF(F1102="", "", INDEX(_xlws.FILTER(Hairstyles!$F:$F, ISNUMBER(SEARCH(F1102, Hairstyles!$B:$B))), 1)), "No Spell for Hairstyle"),
  _xlpm.vanillaPrefix, IF(LEFT(_xlpm.spell, 7)="Uvi_Wig", "", ";"),
  ";" &amp; IF(C1102="", B1102, C1102) &amp; IF(M1102="", "", " ("&amp;M1102&amp;")") &amp; CHAR(10) &amp;
  _xlpm.vanillaPrefix &amp; "Keyword = Uvi_Wig_Distr_KYWD|" &amp; B1102 &amp; CHAR(10) &amp;
  _xlpm.vanillaPrefix &amp; "Spell = " &amp; _xlpm.spell &amp; "|" &amp; B1102
  )
)</f>
        <v>;Neetrenaza
;Keyword = Uvi_Wig_Distr_KYWD|Neetrenaza
;Spell = No Spell for Hairstyle|Neetrenaza</v>
      </c>
    </row>
    <row r="1103" ht="12.75" customHeight="1">
      <c r="A1103" s="5" t="s">
        <v>4223</v>
      </c>
      <c r="B1103" s="5" t="s">
        <v>4224</v>
      </c>
      <c r="C1103" s="5" t="s">
        <v>4224</v>
      </c>
      <c r="D1103" s="5" t="s">
        <v>57</v>
      </c>
      <c r="E1103" s="5" t="s">
        <v>233</v>
      </c>
      <c r="F1103" s="5" t="s">
        <v>1723</v>
      </c>
      <c r="G1103" s="14" t="str">
        <f t="array" ref="G1103">IF(B1103="", "",
  LET(_xlpm.spell, IFERROR(IF(F1103="", "", INDEX(_xlws.FILTER(Hairstyles!$F:$F, ISNUMBER(SEARCH(F1103, Hairstyles!$B:$B))), 1)), "No Spell for Hairstyle"),
  _xlpm.vanillaPrefix, IF(LEFT(_xlpm.spell, 7)="Uvi_Wig", "", ";"),
  ";" &amp; IF(C1103="", B1103, C1103) &amp; IF(M1103="", "", " ("&amp;M1103&amp;")") &amp; CHAR(10) &amp;
  _xlpm.vanillaPrefix &amp; "Keyword = Uvi_Wig_Distr_KYWD|" &amp; B1103 &amp; CHAR(10) &amp;
  _xlpm.vanillaPrefix &amp; "Spell = " &amp; _xlpm.spell &amp; "|" &amp; B1103
  )
)</f>
        <v>;Nelacar
;Keyword = Uvi_Wig_Distr_KYWD|Nelacar
;Spell = No Spell for Hairstyle|Nelacar</v>
      </c>
    </row>
    <row r="1104" ht="12.75" customHeight="1">
      <c r="A1104" s="5" t="s">
        <v>4225</v>
      </c>
      <c r="B1104" s="5" t="s">
        <v>4226</v>
      </c>
      <c r="C1104" s="5" t="s">
        <v>4226</v>
      </c>
      <c r="D1104" s="5" t="s">
        <v>74</v>
      </c>
      <c r="E1104" s="5" t="s">
        <v>233</v>
      </c>
      <c r="F1104" s="5" t="s">
        <v>76</v>
      </c>
      <c r="G1104" s="14" t="str">
        <f t="array" ref="G1104">IF(B1104="", "",
  LET(_xlpm.spell, IFERROR(IF(F1104="", "", INDEX(_xlws.FILTER(Hairstyles!$F:$F, ISNUMBER(SEARCH(F1104, Hairstyles!$B:$B))), 1)), "No Spell for Hairstyle"),
  _xlpm.vanillaPrefix, IF(LEFT(_xlpm.spell, 7)="Uvi_Wig", "", ";"),
  ";" &amp; IF(C1104="", B1104, C1104) &amp; IF(M1104="", "", " ("&amp;M1104&amp;")") &amp; CHAR(10) &amp;
  _xlpm.vanillaPrefix &amp; "Keyword = Uvi_Wig_Distr_KYWD|" &amp; B1104 &amp; CHAR(10) &amp;
  _xlpm.vanillaPrefix &amp; "Spell = " &amp; _xlpm.spell &amp; "|" &amp; B1104
  )
)</f>
        <v>;Nelkir
;Keyword = Uvi_Wig_Distr_KYWD|Nelkir
;Spell = No Spell for Hairstyle|Nelkir</v>
      </c>
    </row>
    <row r="1105" ht="12.75" customHeight="1">
      <c r="A1105" s="5" t="s">
        <v>4227</v>
      </c>
      <c r="B1105" s="5" t="s">
        <v>4228</v>
      </c>
      <c r="C1105" s="5" t="s">
        <v>4229</v>
      </c>
      <c r="D1105" s="5" t="s">
        <v>45</v>
      </c>
      <c r="E1105" s="5" t="s">
        <v>233</v>
      </c>
      <c r="F1105" s="5" t="s">
        <v>1541</v>
      </c>
      <c r="G1105" s="14" t="str">
        <f t="array" ref="G1105">IF(B1105="", "",
  LET(_xlpm.spell, IFERROR(IF(F1105="", "", INDEX(_xlws.FILTER(Hairstyles!$F:$F, ISNUMBER(SEARCH(F1105, Hairstyles!$B:$B))), 1)), "No Spell for Hairstyle"),
  _xlpm.vanillaPrefix, IF(LEFT(_xlpm.spell, 7)="Uvi_Wig", "", ";"),
  ";" &amp; IF(C1105="", B1105, C1105) &amp; IF(M1105="", "", " ("&amp;M1105&amp;")") &amp; CHAR(10) &amp;
  _xlpm.vanillaPrefix &amp; "Keyword = Uvi_Wig_Distr_KYWD|" &amp; B1105 &amp; CHAR(10) &amp;
  _xlpm.vanillaPrefix &amp; "Spell = " &amp; _xlpm.spell &amp; "|" &amp; B1105
  )
)</f>
        <v>;Neloth
;Keyword = Uvi_Wig_Distr_KYWD|DLC2Neloth
;Spell = No Spell for Hairstyle|DLC2Neloth</v>
      </c>
    </row>
    <row r="1106" ht="12.75" customHeight="1">
      <c r="A1106" s="15" t="s">
        <v>4230</v>
      </c>
      <c r="B1106" s="5" t="s">
        <v>4231</v>
      </c>
      <c r="C1106" s="5" t="s">
        <v>4231</v>
      </c>
      <c r="D1106" s="5" t="s">
        <v>57</v>
      </c>
      <c r="E1106" s="5" t="s">
        <v>41</v>
      </c>
      <c r="F1106" s="5" t="s">
        <v>1854</v>
      </c>
      <c r="G1106" s="14" t="str">
        <f t="array" ref="G1106">IF(B1106="", "",
  LET(_xlpm.spell, IFERROR(IF(F1106="", "", INDEX(_xlws.FILTER(Hairstyles!$F:$F, ISNUMBER(SEARCH(F1106, Hairstyles!$B:$B))), 1)), "No Spell for Hairstyle"),
  _xlpm.vanillaPrefix, IF(LEFT(_xlpm.spell, 7)="Uvi_Wig", "", ";"),
  ";" &amp; IF(C1106="", B1106, C1106) &amp; IF(M1106="", "", " ("&amp;M1106&amp;")") &amp; CHAR(10) &amp;
  _xlpm.vanillaPrefix &amp; "Keyword = Uvi_Wig_Distr_KYWD|" &amp; B1106 &amp; CHAR(10) &amp;
  _xlpm.vanillaPrefix &amp; "Spell = " &amp; _xlpm.spell &amp; "|" &amp; B1106
  )
)</f>
        <v>;Nenya
;Keyword = Uvi_Wig_Distr_KYWD|Nenya
;Spell = No Spell for Hairstyle|Nenya</v>
      </c>
    </row>
    <row r="1107" ht="12.75" customHeight="1">
      <c r="A1107" s="5" t="s">
        <v>4232</v>
      </c>
      <c r="B1107" s="5" t="s">
        <v>4233</v>
      </c>
      <c r="C1107" s="5" t="s">
        <v>4234</v>
      </c>
      <c r="D1107" s="5" t="s">
        <v>51</v>
      </c>
      <c r="E1107" s="5" t="s">
        <v>233</v>
      </c>
      <c r="F1107" s="5" t="s">
        <v>84</v>
      </c>
      <c r="G1107" s="14" t="str">
        <f t="array" ref="G1107">IF(B1107="", "",
  LET(_xlpm.spell, IFERROR(IF(F1107="", "", INDEX(_xlws.FILTER(Hairstyles!$F:$F, ISNUMBER(SEARCH(F1107, Hairstyles!$B:$B))), 1)), "No Spell for Hairstyle"),
  _xlpm.vanillaPrefix, IF(LEFT(_xlpm.spell, 7)="Uvi_Wig", "", ";"),
  ";" &amp; IF(C1107="", B1107, C1107) &amp; IF(M1107="", "", " ("&amp;M1107&amp;")") &amp; CHAR(10) &amp;
  _xlpm.vanillaPrefix &amp; "Keyword = Uvi_Wig_Distr_KYWD|" &amp; B1107 &amp; CHAR(10) &amp;
  _xlpm.vanillaPrefix &amp; "Spell = " &amp; _xlpm.spell &amp; "|" &amp; B1107
  )
)</f>
        <v>;Nepos the Nose
;Keyword = Uvi_Wig_Distr_KYWD|Nepos
;Spell = No Spell for Hairstyle|Nepos</v>
      </c>
    </row>
    <row r="1108" ht="12.75" customHeight="1">
      <c r="A1108" s="5" t="s">
        <v>4235</v>
      </c>
      <c r="B1108" s="5" t="s">
        <v>4236</v>
      </c>
      <c r="C1108" s="5" t="s">
        <v>4237</v>
      </c>
      <c r="D1108" s="5" t="s">
        <v>57</v>
      </c>
      <c r="E1108" s="5" t="s">
        <v>233</v>
      </c>
      <c r="F1108" s="5" t="s">
        <v>534</v>
      </c>
      <c r="G1108" s="14" t="str">
        <f t="array" ref="G1108">IF(B1108="", "",
  LET(_xlpm.spell, IFERROR(IF(F1108="", "", INDEX(_xlws.FILTER(Hairstyles!$F:$F, ISNUMBER(SEARCH(F1108, Hairstyles!$B:$B))), 1)), "No Spell for Hairstyle"),
  _xlpm.vanillaPrefix, IF(LEFT(_xlpm.spell, 7)="Uvi_Wig", "", ";"),
  ";" &amp; IF(C1108="", B1108, C1108) &amp; IF(M1108="", "", " ("&amp;M1108&amp;")") &amp; CHAR(10) &amp;
  _xlpm.vanillaPrefix &amp; "Keyword = Uvi_Wig_Distr_KYWD|" &amp; B1108 &amp; CHAR(10) &amp;
  _xlpm.vanillaPrefix &amp; "Spell = " &amp; _xlpm.spell &amp; "|" &amp; B1108
  )
)</f>
        <v>;Nerien
;Keyword = Uvi_Wig_Distr_KYWD|MG02Nerien
;Spell = No Spell for Hairstyle|MG02Nerien</v>
      </c>
    </row>
    <row r="1109" ht="12.75" customHeight="1">
      <c r="A1109" s="5" t="s">
        <v>4238</v>
      </c>
      <c r="B1109" s="5" t="s">
        <v>4237</v>
      </c>
      <c r="C1109" s="5" t="s">
        <v>4237</v>
      </c>
      <c r="D1109" s="5" t="s">
        <v>57</v>
      </c>
      <c r="E1109" s="5" t="s">
        <v>233</v>
      </c>
      <c r="F1109" s="5" t="s">
        <v>534</v>
      </c>
      <c r="G1109" s="14" t="str">
        <f t="array" ref="G1109">IF(B1109="", "",
  LET(_xlpm.spell, IFERROR(IF(F1109="", "", INDEX(_xlws.FILTER(Hairstyles!$F:$F, ISNUMBER(SEARCH(F1109, Hairstyles!$B:$B))), 1)), "No Spell for Hairstyle"),
  _xlpm.vanillaPrefix, IF(LEFT(_xlpm.spell, 7)="Uvi_Wig", "", ";"),
  ";" &amp; IF(C1109="", B1109, C1109) &amp; IF(M1109="", "", " ("&amp;M1109&amp;")") &amp; CHAR(10) &amp;
  _xlpm.vanillaPrefix &amp; "Keyword = Uvi_Wig_Distr_KYWD|" &amp; B1109 &amp; CHAR(10) &amp;
  _xlpm.vanillaPrefix &amp; "Spell = " &amp; _xlpm.spell &amp; "|" &amp; B1109
  )
)</f>
        <v>;Nerien
;Keyword = Uvi_Wig_Distr_KYWD|Nerien
;Spell = No Spell for Hairstyle|Nerien</v>
      </c>
    </row>
    <row r="1110" ht="12.75" customHeight="1">
      <c r="A1110" s="5" t="s">
        <v>4239</v>
      </c>
      <c r="B1110" s="5" t="s">
        <v>4240</v>
      </c>
      <c r="C1110" s="5" t="s">
        <v>4241</v>
      </c>
      <c r="D1110" s="5" t="s">
        <v>38</v>
      </c>
      <c r="E1110" s="5" t="s">
        <v>233</v>
      </c>
      <c r="F1110" s="5" t="s">
        <v>215</v>
      </c>
      <c r="G1110" s="14" t="str">
        <f t="array" ref="G1110">IF(B1110="", "",
  LET(_xlpm.spell, IFERROR(IF(F1110="", "", INDEX(_xlws.FILTER(Hairstyles!$F:$F, ISNUMBER(SEARCH(F1110, Hairstyles!$B:$B))), 1)), "No Spell for Hairstyle"),
  _xlpm.vanillaPrefix, IF(LEFT(_xlpm.spell, 7)="Uvi_Wig", "", ";"),
  ";" &amp; IF(C1110="", B1110, C1110) &amp; IF(M1110="", "", " ("&amp;M1110&amp;")") &amp; CHAR(10) &amp;
  _xlpm.vanillaPrefix &amp; "Keyword = Uvi_Wig_Distr_KYWD|" &amp; B1110 &amp; CHAR(10) &amp;
  _xlpm.vanillaPrefix &amp; "Spell = " &amp; _xlpm.spell &amp; "|" &amp; B1110
  )
)</f>
        <v>;Nervous Patron
;Keyword = Uvi_Wig_Distr_KYWD|DBRecurringContact1Dawnstar
;Spell = No Spell for Hairstyle|DBRecurringContact1Dawnstar</v>
      </c>
    </row>
    <row r="1111" ht="12.75" customHeight="1">
      <c r="A1111" s="5" t="s">
        <v>4242</v>
      </c>
      <c r="B1111" s="5" t="s">
        <v>4243</v>
      </c>
      <c r="C1111" s="5" t="s">
        <v>4244</v>
      </c>
      <c r="D1111" s="5" t="s">
        <v>38</v>
      </c>
      <c r="E1111" s="5" t="s">
        <v>233</v>
      </c>
      <c r="F1111" s="5" t="s">
        <v>762</v>
      </c>
      <c r="G1111" s="14" t="str">
        <f t="array" ref="G1111">IF(B1111="", "",
  LET(_xlpm.spell, IFERROR(IF(F1111="", "", INDEX(_xlws.FILTER(Hairstyles!$F:$F, ISNUMBER(SEARCH(F1111, Hairstyles!$B:$B))), 1)), "No Spell for Hairstyle"),
  _xlpm.vanillaPrefix, IF(LEFT(_xlpm.spell, 7)="Uvi_Wig", "", ";"),
  ";" &amp; IF(C1111="", B1111, C1111) &amp; IF(M1111="", "", " ("&amp;M1111&amp;")") &amp; CHAR(10) &amp;
  _xlpm.vanillaPrefix &amp; "Keyword = Uvi_Wig_Distr_KYWD|" &amp; B1111 &amp; CHAR(10) &amp;
  _xlpm.vanillaPrefix &amp; "Spell = " &amp; _xlpm.spell &amp; "|" &amp; B1111
  )
)</f>
        <v>;Niels
;Keyword = Uvi_Wig_Distr_KYWD|dunMossMotherHunter02
;Spell = No Spell for Hairstyle|dunMossMotherHunter02</v>
      </c>
    </row>
    <row r="1112" ht="12.75" customHeight="1">
      <c r="A1112" s="5" t="s">
        <v>4245</v>
      </c>
      <c r="B1112" s="5" t="s">
        <v>4246</v>
      </c>
      <c r="C1112" s="5" t="s">
        <v>4247</v>
      </c>
      <c r="D1112" s="5" t="s">
        <v>59</v>
      </c>
      <c r="E1112" s="5" t="s">
        <v>41</v>
      </c>
      <c r="F1112" s="5" t="s">
        <v>1996</v>
      </c>
      <c r="G1112" s="14" t="str">
        <f t="array" ref="G1112">IF(B1112="", "",
  LET(_xlpm.spell, IFERROR(IF(F1112="", "", INDEX(_xlws.FILTER(Hairstyles!$F:$F, ISNUMBER(SEARCH(F1112, Hairstyles!$B:$B))), 1)), "No Spell for Hairstyle"),
  _xlpm.vanillaPrefix, IF(LEFT(_xlpm.spell, 7)="Uvi_Wig", "", ";"),
  ";" &amp; IF(C1112="", B1112, C1112) &amp; IF(M1112="", "", " ("&amp;M1112&amp;")") &amp; CHAR(10) &amp;
  _xlpm.vanillaPrefix &amp; "Keyword = Uvi_Wig_Distr_KYWD|" &amp; B1112 &amp; CHAR(10) &amp;
  _xlpm.vanillaPrefix &amp; "Spell = " &amp; _xlpm.spell &amp; "|" &amp; B1112
  )
)</f>
        <v>;Nightingale Sentinel
;Keyword = Uvi_Wig_Distr_KYWD|EncNightingaleTemplateFemale
;Spell = No Spell for Hairstyle|EncNightingaleTemplateFemale</v>
      </c>
    </row>
    <row r="1113" ht="12.75" customHeight="1">
      <c r="A1113" s="5" t="s">
        <v>4248</v>
      </c>
      <c r="B1113" s="5" t="s">
        <v>4249</v>
      </c>
      <c r="C1113" s="5" t="s">
        <v>4247</v>
      </c>
      <c r="D1113" s="5" t="s">
        <v>59</v>
      </c>
      <c r="E1113" s="5" t="s">
        <v>233</v>
      </c>
      <c r="F1113" s="5" t="s">
        <v>234</v>
      </c>
      <c r="G1113" s="14" t="str">
        <f t="array" ref="G1113">IF(B1113="", "",
  LET(_xlpm.spell, IFERROR(IF(F1113="", "", INDEX(_xlws.FILTER(Hairstyles!$F:$F, ISNUMBER(SEARCH(F1113, Hairstyles!$B:$B))), 1)), "No Spell for Hairstyle"),
  _xlpm.vanillaPrefix, IF(LEFT(_xlpm.spell, 7)="Uvi_Wig", "", ";"),
  ";" &amp; IF(C1113="", B1113, C1113) &amp; IF(M1113="", "", " ("&amp;M1113&amp;")") &amp; CHAR(10) &amp;
  _xlpm.vanillaPrefix &amp; "Keyword = Uvi_Wig_Distr_KYWD|" &amp; B1113 &amp; CHAR(10) &amp;
  _xlpm.vanillaPrefix &amp; "Spell = " &amp; _xlpm.spell &amp; "|" &amp; B1113
  )
)</f>
        <v>;Nightingale Sentinel
;Keyword = Uvi_Wig_Distr_KYWD|EncNightingaleTemplateMale
;Spell = No Spell for Hairstyle|EncNightingaleTemplateMale</v>
      </c>
    </row>
    <row r="1114" ht="12.75" customHeight="1">
      <c r="A1114" s="5" t="s">
        <v>4250</v>
      </c>
      <c r="B1114" s="5" t="s">
        <v>4251</v>
      </c>
      <c r="C1114" s="5" t="s">
        <v>4247</v>
      </c>
      <c r="D1114" s="5" t="s">
        <v>59</v>
      </c>
      <c r="E1114" s="5" t="s">
        <v>233</v>
      </c>
      <c r="F1114" s="5" t="s">
        <v>762</v>
      </c>
      <c r="G1114" s="14" t="str">
        <f t="array" ref="G1114">IF(B1114="", "",
  LET(_xlpm.spell, IFERROR(IF(F1114="", "", INDEX(_xlws.FILTER(Hairstyles!$F:$F, ISNUMBER(SEARCH(F1114, Hairstyles!$B:$B))), 1)), "No Spell for Hairstyle"),
  _xlpm.vanillaPrefix, IF(LEFT(_xlpm.spell, 7)="Uvi_Wig", "", ";"),
  ";" &amp; IF(C1114="", B1114, C1114) &amp; IF(M1114="", "", " ("&amp;M1114&amp;")") &amp; CHAR(10) &amp;
  _xlpm.vanillaPrefix &amp; "Keyword = Uvi_Wig_Distr_KYWD|" &amp; B1114 &amp; CHAR(10) &amp;
  _xlpm.vanillaPrefix &amp; "Spell = " &amp; _xlpm.spell &amp; "|" &amp; B1114
  )
)</f>
        <v>;Nightingale Sentinel
;Keyword = Uvi_Wig_Distr_KYWD|Gallus
;Spell = No Spell for Hairstyle|Gallus</v>
      </c>
    </row>
    <row r="1115" ht="12.75" customHeight="1">
      <c r="A1115" s="5" t="s">
        <v>4252</v>
      </c>
      <c r="B1115" s="5" t="s">
        <v>4253</v>
      </c>
      <c r="C1115" s="5" t="s">
        <v>4254</v>
      </c>
      <c r="D1115" s="5" t="s">
        <v>79</v>
      </c>
      <c r="E1115" s="5" t="s">
        <v>41</v>
      </c>
      <c r="F1115" s="5" t="s">
        <v>1557</v>
      </c>
      <c r="G1115" s="14" t="str">
        <f t="array" ref="G1115">IF(B1115="", "",
  LET(_xlpm.spell, IFERROR(IF(F1115="", "", INDEX(_xlws.FILTER(Hairstyles!$F:$F, ISNUMBER(SEARCH(F1115, Hairstyles!$B:$B))), 1)), "No Spell for Hairstyle"),
  _xlpm.vanillaPrefix, IF(LEFT(_xlpm.spell, 7)="Uvi_Wig", "", ";"),
  ";" &amp; IF(C1115="", B1115, C1115) &amp; IF(M1115="", "", " ("&amp;M1115&amp;")") &amp; CHAR(10) &amp;
  _xlpm.vanillaPrefix &amp; "Keyword = Uvi_Wig_Distr_KYWD|" &amp; B1115 &amp; CHAR(10) &amp;
  _xlpm.vanillaPrefix &amp; "Spell = " &amp; _xlpm.spell &amp; "|" &amp; B1115
  )
)</f>
        <v>;Nightlord Vampire
;Keyword = Uvi_Wig_Distr_KYWD|DLC1EncVampire07Template
;Spell = No Spell for Hairstyle|DLC1EncVampire07Template</v>
      </c>
    </row>
    <row r="1116" ht="12.75" customHeight="1">
      <c r="A1116" s="5" t="s">
        <v>4255</v>
      </c>
      <c r="B1116" s="5" t="s">
        <v>4256</v>
      </c>
      <c r="C1116" s="5" t="s">
        <v>4257</v>
      </c>
      <c r="D1116" s="5" t="s">
        <v>79</v>
      </c>
      <c r="E1116" s="5" t="s">
        <v>41</v>
      </c>
      <c r="F1116" s="5" t="s">
        <v>1557</v>
      </c>
      <c r="G1116" s="14" t="str">
        <f t="array" ref="G1116">IF(B1116="", "",
  LET(_xlpm.spell, IFERROR(IF(F1116="", "", INDEX(_xlws.FILTER(Hairstyles!$F:$F, ISNUMBER(SEARCH(F1116, Hairstyles!$B:$B))), 1)), "No Spell for Hairstyle"),
  _xlpm.vanillaPrefix, IF(LEFT(_xlpm.spell, 7)="Uvi_Wig", "", ";"),
  ";" &amp; IF(C1116="", B1116, C1116) &amp; IF(M1116="", "", " ("&amp;M1116&amp;")") &amp; CHAR(10) &amp;
  _xlpm.vanillaPrefix &amp; "Keyword = Uvi_Wig_Distr_KYWD|" &amp; B1116 &amp; CHAR(10) &amp;
  _xlpm.vanillaPrefix &amp; "Spell = " &amp; _xlpm.spell &amp; "|" &amp; B1116
  )
)</f>
        <v>;Nightmaster Vampire
;Keyword = Uvi_Wig_Distr_KYWD|DLC1EncVampire07TemplateBoss
;Spell = No Spell for Hairstyle|DLC1EncVampire07TemplateBoss</v>
      </c>
    </row>
    <row r="1117" ht="12.75" customHeight="1">
      <c r="A1117" s="5" t="s">
        <v>4258</v>
      </c>
      <c r="B1117" s="5" t="s">
        <v>4259</v>
      </c>
      <c r="C1117" s="5" t="s">
        <v>4260</v>
      </c>
      <c r="D1117" s="5" t="s">
        <v>38</v>
      </c>
      <c r="E1117" s="5" t="s">
        <v>233</v>
      </c>
      <c r="F1117" s="5" t="s">
        <v>1088</v>
      </c>
      <c r="G1117" s="14" t="str">
        <f t="array" ref="G1117">IF(B1117="", "",
  LET(_xlpm.spell, IFERROR(IF(F1117="", "", INDEX(_xlws.FILTER(Hairstyles!$F:$F, ISNUMBER(SEARCH(F1117, Hairstyles!$B:$B))), 1)), "No Spell for Hairstyle"),
  _xlpm.vanillaPrefix, IF(LEFT(_xlpm.spell, 7)="Uvi_Wig", "", ";"),
  ";" &amp; IF(C1117="", B1117, C1117) &amp; IF(M1117="", "", " ("&amp;M1117&amp;")") &amp; CHAR(10) &amp;
  _xlpm.vanillaPrefix &amp; "Keyword = Uvi_Wig_Distr_KYWD|" &amp; B1117 &amp; CHAR(10) &amp;
  _xlpm.vanillaPrefix &amp; "Spell = " &amp; _xlpm.spell &amp; "|" &amp; B1117
  )
)</f>
        <v>;Nikulas
;Keyword = Uvi_Wig_Distr_KYWD|DLC2SVNikulas
;Spell = No Spell for Hairstyle|DLC2SVNikulas</v>
      </c>
    </row>
    <row r="1118" ht="12.75" customHeight="1">
      <c r="A1118" s="5" t="s">
        <v>4261</v>
      </c>
      <c r="B1118" s="5" t="s">
        <v>4262</v>
      </c>
      <c r="C1118" s="5" t="s">
        <v>4260</v>
      </c>
      <c r="D1118" s="5" t="s">
        <v>38</v>
      </c>
      <c r="E1118" s="5" t="s">
        <v>233</v>
      </c>
      <c r="F1118" s="5" t="s">
        <v>990</v>
      </c>
      <c r="G1118" s="14" t="str">
        <f t="array" ref="G1118">IF(B1118="", "",
  LET(_xlpm.spell, IFERROR(IF(F1118="", "", INDEX(_xlws.FILTER(Hairstyles!$F:$F, ISNUMBER(SEARCH(F1118, Hairstyles!$B:$B))), 1)), "No Spell for Hairstyle"),
  _xlpm.vanillaPrefix, IF(LEFT(_xlpm.spell, 7)="Uvi_Wig", "", ";"),
  ";" &amp; IF(C1118="", B1118, C1118) &amp; IF(M1118="", "", " ("&amp;M1118&amp;")") &amp; CHAR(10) &amp;
  _xlpm.vanillaPrefix &amp; "Keyword = Uvi_Wig_Distr_KYWD|" &amp; B1118 &amp; CHAR(10) &amp;
  _xlpm.vanillaPrefix &amp; "Spell = " &amp; _xlpm.spell &amp; "|" &amp; B1118
  )
)</f>
        <v>;Nikulas
;Keyword = Uvi_Wig_Distr_KYWD|MQ305Nikulas
;Spell = No Spell for Hairstyle|MQ305Nikulas</v>
      </c>
    </row>
    <row r="1119" ht="12.75" customHeight="1">
      <c r="A1119" s="5" t="s">
        <v>4263</v>
      </c>
      <c r="B1119" s="5" t="s">
        <v>4264</v>
      </c>
      <c r="C1119" s="5" t="s">
        <v>4264</v>
      </c>
      <c r="D1119" s="5" t="s">
        <v>51</v>
      </c>
      <c r="E1119" s="5" t="s">
        <v>233</v>
      </c>
      <c r="F1119" s="4" t="s">
        <v>1741</v>
      </c>
      <c r="G1119" s="14" t="str">
        <f t="array" ref="G1119">IF(B1119="", "",
  LET(_xlpm.spell, IFERROR(IF(F1119="", "", INDEX(_xlws.FILTER(Hairstyles!$F:$F, ISNUMBER(SEARCH(F1119, Hairstyles!$B:$B))), 1)), "No Spell for Hairstyle"),
  _xlpm.vanillaPrefix, IF(LEFT(_xlpm.spell, 7)="Uvi_Wig", "", ";"),
  ";" &amp; IF(C1119="", B1119, C1119) &amp; IF(M1119="", "", " ("&amp;M1119&amp;")") &amp; CHAR(10) &amp;
  _xlpm.vanillaPrefix &amp; "Keyword = Uvi_Wig_Distr_KYWD|" &amp; B1119 &amp; CHAR(10) &amp;
  _xlpm.vanillaPrefix &amp; "Spell = " &amp; _xlpm.spell &amp; "|" &amp; B1119
  )
)</f>
        <v>;Nils
;Keyword = Uvi_Wig_Distr_KYWD|Nils
;Spell = No Spell for Hairstyle|Nils</v>
      </c>
    </row>
    <row r="1120" ht="12.75" customHeight="1">
      <c r="A1120" s="5" t="s">
        <v>4265</v>
      </c>
      <c r="B1120" s="5" t="s">
        <v>4266</v>
      </c>
      <c r="C1120" s="5" t="s">
        <v>4267</v>
      </c>
      <c r="D1120" s="5" t="s">
        <v>38</v>
      </c>
      <c r="E1120" s="5" t="s">
        <v>41</v>
      </c>
      <c r="F1120" s="5" t="s">
        <v>371</v>
      </c>
      <c r="G1120" s="14" t="str">
        <f t="array" ref="G1120">IF(B1120="", "",
  LET(_xlpm.spell, IFERROR(IF(F1120="", "", INDEX(_xlws.FILTER(Hairstyles!$F:$F, ISNUMBER(SEARCH(F1120, Hairstyles!$B:$B))), 1)), "No Spell for Hairstyle"),
  _xlpm.vanillaPrefix, IF(LEFT(_xlpm.spell, 7)="Uvi_Wig", "", ";"),
  ";" &amp; IF(C1120="", B1120, C1120) &amp; IF(M1120="", "", " ("&amp;M1120&amp;")") &amp; CHAR(10) &amp;
  _xlpm.vanillaPrefix &amp; "Keyword = Uvi_Wig_Distr_KYWD|" &amp; B1120 &amp; CHAR(10) &amp;
  _xlpm.vanillaPrefix &amp; "Spell = " &amp; _xlpm.spell &amp; "|" &amp; B1120
  )
)</f>
        <v>;Nilsine Shatter-Shield
;Keyword = Uvi_Wig_Distr_KYWD|Nilsine
;Spell = No Spell for Hairstyle|Nilsine</v>
      </c>
    </row>
    <row r="1121" ht="12.75" customHeight="1">
      <c r="A1121" s="5" t="s">
        <v>4268</v>
      </c>
      <c r="B1121" s="5" t="s">
        <v>4269</v>
      </c>
      <c r="C1121" s="5" t="s">
        <v>4270</v>
      </c>
      <c r="D1121" s="5" t="s">
        <v>45</v>
      </c>
      <c r="E1121" s="5" t="s">
        <v>41</v>
      </c>
      <c r="F1121" s="5" t="s">
        <v>2034</v>
      </c>
      <c r="G1121" s="14" t="str">
        <f t="array" ref="G1121">IF(B1121="", "",
  LET(_xlpm.spell, IFERROR(IF(F1121="", "", INDEX(_xlws.FILTER(Hairstyles!$F:$F, ISNUMBER(SEARCH(F1121, Hairstyles!$B:$B))), 1)), "No Spell for Hairstyle"),
  _xlpm.vanillaPrefix, IF(LEFT(_xlpm.spell, 7)="Uvi_Wig", "", ";"),
  ";" &amp; IF(C1121="", B1121, C1121) &amp; IF(M1121="", "", " ("&amp;M1121&amp;")") &amp; CHAR(10) &amp;
  _xlpm.vanillaPrefix &amp; "Keyword = Uvi_Wig_Distr_KYWD|" &amp; B1121 &amp; CHAR(10) &amp;
  _xlpm.vanillaPrefix &amp; "Spell = " &amp; _xlpm.spell &amp; "|" &amp; B1121
  )
)</f>
        <v>;Niluva Hlaalu
;Keyword = Uvi_Wig_Distr_KYWD|Niluva
;Spell = No Spell for Hairstyle|Niluva</v>
      </c>
    </row>
    <row r="1122" ht="12.75" customHeight="1">
      <c r="A1122" s="5" t="s">
        <v>4271</v>
      </c>
      <c r="B1122" s="5" t="s">
        <v>4272</v>
      </c>
      <c r="C1122" s="5" t="s">
        <v>4273</v>
      </c>
      <c r="D1122" s="5" t="s">
        <v>90</v>
      </c>
      <c r="E1122" s="5" t="s">
        <v>41</v>
      </c>
      <c r="F1122" s="5" t="s">
        <v>4274</v>
      </c>
      <c r="G1122" s="14" t="str">
        <f t="array" ref="G1122">IF(B1122="", "",
  LET(_xlpm.spell, IFERROR(IF(F1122="", "", INDEX(_xlws.FILTER(Hairstyles!$F:$F, ISNUMBER(SEARCH(F1122, Hairstyles!$B:$B))), 1)), "No Spell for Hairstyle"),
  _xlpm.vanillaPrefix, IF(LEFT(_xlpm.spell, 7)="Uvi_Wig", "", ";"),
  ";" &amp; IF(C1122="", B1122, C1122) &amp; IF(M1122="", "", " ("&amp;M1122&amp;")") &amp; CHAR(10) &amp;
  _xlpm.vanillaPrefix &amp; "Keyword = Uvi_Wig_Distr_KYWD|" &amp; B1122 &amp; CHAR(10) &amp;
  _xlpm.vanillaPrefix &amp; "Spell = " &amp; _xlpm.spell &amp; "|" &amp; B1122
  )
)</f>
        <v>;Nimphaneth
;Keyword = Uvi_Wig_Distr_KYWD|DA11Nimphaneth
;Spell = No Spell for Hairstyle|DA11Nimphaneth</v>
      </c>
    </row>
    <row r="1123" ht="12.75" customHeight="1">
      <c r="A1123" s="5" t="s">
        <v>4275</v>
      </c>
      <c r="B1123" s="5" t="s">
        <v>4276</v>
      </c>
      <c r="C1123" s="5" t="s">
        <v>4276</v>
      </c>
      <c r="D1123" s="5" t="s">
        <v>90</v>
      </c>
      <c r="E1123" s="5" t="s">
        <v>41</v>
      </c>
      <c r="F1123" s="5" t="s">
        <v>512</v>
      </c>
      <c r="G1123" s="14" t="str">
        <f t="array" ref="G1123">IF(B1123="", "",
  LET(_xlpm.spell, IFERROR(IF(F1123="", "", INDEX(_xlws.FILTER(Hairstyles!$F:$F, ISNUMBER(SEARCH(F1123, Hairstyles!$B:$B))), 1)), "No Spell for Hairstyle"),
  _xlpm.vanillaPrefix, IF(LEFT(_xlpm.spell, 7)="Uvi_Wig", "", ";"),
  ";" &amp; IF(C1123="", B1123, C1123) &amp; IF(M1123="", "", " ("&amp;M1123&amp;")") &amp; CHAR(10) &amp;
  _xlpm.vanillaPrefix &amp; "Keyword = Uvi_Wig_Distr_KYWD|" &amp; B1123 &amp; CHAR(10) &amp;
  _xlpm.vanillaPrefix &amp; "Spell = " &amp; _xlpm.spell &amp; "|" &amp; B1123
  )
)</f>
        <v>;Nimriel
;Keyword = Uvi_Wig_Distr_KYWD|Nimriel
;Spell = No Spell for Hairstyle|Nimriel</v>
      </c>
    </row>
    <row r="1124" ht="12.75" customHeight="1">
      <c r="A1124" s="15" t="s">
        <v>4277</v>
      </c>
      <c r="B1124" s="5" t="s">
        <v>4278</v>
      </c>
      <c r="C1124" s="5" t="s">
        <v>4278</v>
      </c>
      <c r="D1124" s="5" t="s">
        <v>57</v>
      </c>
      <c r="E1124" s="5" t="s">
        <v>41</v>
      </c>
      <c r="F1124" s="5" t="s">
        <v>4279</v>
      </c>
      <c r="G1124" s="14" t="str">
        <f t="array" ref="G1124">IF(B1124="", "",
  LET(_xlpm.spell, IFERROR(IF(F1124="", "", INDEX(_xlws.FILTER(Hairstyles!$F:$F, ISNUMBER(SEARCH(F1124, Hairstyles!$B:$B))), 1)), "No Spell for Hairstyle"),
  _xlpm.vanillaPrefix, IF(LEFT(_xlpm.spell, 7)="Uvi_Wig", "", ";"),
  ";" &amp; IF(C1124="", B1124, C1124) &amp; IF(M1124="", "", " ("&amp;M1124&amp;")") &amp; CHAR(10) &amp;
  _xlpm.vanillaPrefix &amp; "Keyword = Uvi_Wig_Distr_KYWD|" &amp; B1124 &amp; CHAR(10) &amp;
  _xlpm.vanillaPrefix &amp; "Spell = " &amp; _xlpm.spell &amp; "|" &amp; B1124
  )
)</f>
        <v>;Niranye
;Keyword = Uvi_Wig_Distr_KYWD|Niranye
;Spell = No Spell for Hairstyle|Niranye</v>
      </c>
    </row>
    <row r="1125" ht="12.75" customHeight="1">
      <c r="A1125" s="5" t="s">
        <v>4280</v>
      </c>
      <c r="B1125" s="5" t="s">
        <v>4281</v>
      </c>
      <c r="C1125" s="5" t="s">
        <v>4281</v>
      </c>
      <c r="D1125" s="5" t="s">
        <v>90</v>
      </c>
      <c r="E1125" s="5" t="s">
        <v>233</v>
      </c>
      <c r="F1125" s="5" t="s">
        <v>2088</v>
      </c>
      <c r="G1125" s="14" t="str">
        <f t="array" ref="G1125">IF(B1125="", "",
  LET(_xlpm.spell, IFERROR(IF(F1125="", "", INDEX(_xlws.FILTER(Hairstyles!$F:$F, ISNUMBER(SEARCH(F1125, Hairstyles!$B:$B))), 1)), "No Spell for Hairstyle"),
  _xlpm.vanillaPrefix, IF(LEFT(_xlpm.spell, 7)="Uvi_Wig", "", ";"),
  ";" &amp; IF(C1125="", B1125, C1125) &amp; IF(M1125="", "", " ("&amp;M1125&amp;")") &amp; CHAR(10) &amp;
  _xlpm.vanillaPrefix &amp; "Keyword = Uvi_Wig_Distr_KYWD|" &amp; B1125 &amp; CHAR(10) &amp;
  _xlpm.vanillaPrefix &amp; "Spell = " &amp; _xlpm.spell &amp; "|" &amp; B1125
  )
)</f>
        <v>;Niruin
;Keyword = Uvi_Wig_Distr_KYWD|Niruin
;Spell = No Spell for Hairstyle|Niruin</v>
      </c>
    </row>
    <row r="1126" ht="12.75" customHeight="1">
      <c r="A1126" s="5" t="s">
        <v>4282</v>
      </c>
      <c r="B1126" s="5" t="s">
        <v>4283</v>
      </c>
      <c r="C1126" s="5" t="s">
        <v>4283</v>
      </c>
      <c r="D1126" s="5" t="s">
        <v>57</v>
      </c>
      <c r="E1126" s="5" t="s">
        <v>41</v>
      </c>
      <c r="F1126" s="5" t="s">
        <v>48</v>
      </c>
      <c r="G1126" s="14" t="str">
        <f t="array" ref="G1126">IF(B1126="", "",
  LET(_xlpm.spell, IFERROR(IF(F1126="", "", INDEX(_xlws.FILTER(Hairstyles!$F:$F, ISNUMBER(SEARCH(F1126, Hairstyles!$B:$B))), 1)), "No Spell for Hairstyle"),
  _xlpm.vanillaPrefix, IF(LEFT(_xlpm.spell, 7)="Uvi_Wig", "", ";"),
  ";" &amp; IF(C1126="", B1126, C1126) &amp; IF(M1126="", "", " ("&amp;M1126&amp;")") &amp; CHAR(10) &amp;
  _xlpm.vanillaPrefix &amp; "Keyword = Uvi_Wig_Distr_KYWD|" &amp; B1126 &amp; CHAR(10) &amp;
  _xlpm.vanillaPrefix &amp; "Spell = " &amp; _xlpm.spell &amp; "|" &amp; B1126
  )
)</f>
        <v>;Nirya
;Keyword = Uvi_Wig_Distr_KYWD|Nirya
;Spell = No Spell for Hairstyle|Nirya</v>
      </c>
    </row>
    <row r="1127" ht="12.75" customHeight="1">
      <c r="A1127" s="5" t="s">
        <v>4284</v>
      </c>
      <c r="B1127" s="5" t="s">
        <v>4285</v>
      </c>
      <c r="C1127" s="5" t="s">
        <v>4285</v>
      </c>
      <c r="D1127" s="5" t="s">
        <v>90</v>
      </c>
      <c r="E1127" s="5" t="s">
        <v>41</v>
      </c>
      <c r="F1127" s="5" t="s">
        <v>1656</v>
      </c>
      <c r="G1127" s="14" t="str">
        <f t="array" ref="G1127">IF(B1127="", "",
  LET(_xlpm.spell, IFERROR(IF(F1127="", "", INDEX(_xlws.FILTER(Hairstyles!$F:$F, ISNUMBER(SEARCH(F1127, Hairstyles!$B:$B))), 1)), "No Spell for Hairstyle"),
  _xlpm.vanillaPrefix, IF(LEFT(_xlpm.spell, 7)="Uvi_Wig", "", ";"),
  ";" &amp; IF(C1127="", B1127, C1127) &amp; IF(M1127="", "", " ("&amp;M1127&amp;")") &amp; CHAR(10) &amp;
  _xlpm.vanillaPrefix &amp; "Keyword = Uvi_Wig_Distr_KYWD|" &amp; B1127 &amp; CHAR(10) &amp;
  _xlpm.vanillaPrefix &amp; "Spell = " &amp; _xlpm.spell &amp; "|" &amp; B1127
  )
)</f>
        <v>;Nivenor
;Keyword = Uvi_Wig_Distr_KYWD|Nivenor
;Spell = No Spell for Hairstyle|Nivenor</v>
      </c>
    </row>
    <row r="1128" ht="12.75" customHeight="1">
      <c r="A1128" s="15" t="s">
        <v>4286</v>
      </c>
      <c r="B1128" s="5" t="s">
        <v>4287</v>
      </c>
      <c r="C1128" s="5" t="s">
        <v>4288</v>
      </c>
      <c r="D1128" s="5" t="s">
        <v>83</v>
      </c>
      <c r="E1128" s="5" t="s">
        <v>41</v>
      </c>
      <c r="F1128" s="5" t="s">
        <v>1996</v>
      </c>
      <c r="G1128" s="14" t="str">
        <f t="array" ref="G1128">IF(B1128="", "",
  LET(_xlpm.spell, IFERROR(IF(F1128="", "", INDEX(_xlws.FILTER(Hairstyles!$F:$F, ISNUMBER(SEARCH(F1128, Hairstyles!$B:$B))), 1)), "No Spell for Hairstyle"),
  _xlpm.vanillaPrefix, IF(LEFT(_xlpm.spell, 7)="Uvi_Wig", "", ";"),
  ";" &amp; IF(C1128="", B1128, C1128) &amp; IF(M1128="", "", " ("&amp;M1128&amp;")") &amp; CHAR(10) &amp;
  _xlpm.vanillaPrefix &amp; "Keyword = Uvi_Wig_Distr_KYWD|" &amp; B1128 &amp; CHAR(10) &amp;
  _xlpm.vanillaPrefix &amp; "Spell = " &amp; _xlpm.spell &amp; "|" &amp; B1128
  )
)</f>
        <v>;Niyya
;Keyword = Uvi_Wig_Distr_KYWD|DLC2Niyya
;Spell = No Spell for Hairstyle|DLC2Niyya</v>
      </c>
    </row>
    <row r="1129" ht="12.75" customHeight="1">
      <c r="A1129" s="5" t="s">
        <v>4289</v>
      </c>
      <c r="B1129" s="5" t="s">
        <v>4290</v>
      </c>
      <c r="C1129" s="5" t="s">
        <v>4291</v>
      </c>
      <c r="D1129" s="5" t="s">
        <v>38</v>
      </c>
      <c r="E1129" s="5" t="s">
        <v>41</v>
      </c>
      <c r="F1129" s="5" t="s">
        <v>1694</v>
      </c>
      <c r="G1129" s="14" t="str">
        <f t="array" ref="G1129">IF(B1129="", "",
  LET(_xlpm.spell, IFERROR(IF(F1129="", "", INDEX(_xlws.FILTER(Hairstyles!$F:$F, ISNUMBER(SEARCH(F1129, Hairstyles!$B:$B))), 1)), "No Spell for Hairstyle"),
  _xlpm.vanillaPrefix, IF(LEFT(_xlpm.spell, 7)="Uvi_Wig", "", ";"),
  ";" &amp; IF(C1129="", B1129, C1129) &amp; IF(M1129="", "", " ("&amp;M1129&amp;")") &amp; CHAR(10) &amp;
  _xlpm.vanillaPrefix &amp; "Keyword = Uvi_Wig_Distr_KYWD|" &amp; B1129 &amp; CHAR(10) &amp;
  _xlpm.vanillaPrefix &amp; "Spell = " &amp; _xlpm.spell &amp; "|" &amp; B1129
  )
)</f>
        <v>;Njada Stonearm
;Keyword = Uvi_Wig_Distr_KYWD|NjadaStonearm
;Spell = No Spell for Hairstyle|NjadaStonearm</v>
      </c>
    </row>
    <row r="1130" ht="12.75" customHeight="1">
      <c r="A1130" s="5" t="s">
        <v>4292</v>
      </c>
      <c r="B1130" s="5" t="s">
        <v>4293</v>
      </c>
      <c r="C1130" s="5" t="s">
        <v>4294</v>
      </c>
      <c r="D1130" s="5" t="s">
        <v>59</v>
      </c>
      <c r="E1130" s="5" t="s">
        <v>41</v>
      </c>
      <c r="F1130" s="5" t="s">
        <v>1596</v>
      </c>
      <c r="G1130" s="14" t="str">
        <f t="array" ref="G1130">IF(B1130="", "",
  LET(_xlpm.spell, IFERROR(IF(F1130="", "", INDEX(_xlws.FILTER(Hairstyles!$F:$F, ISNUMBER(SEARCH(F1130, Hairstyles!$B:$B))), 1)), "No Spell for Hairstyle"),
  _xlpm.vanillaPrefix, IF(LEFT(_xlpm.spell, 7)="Uvi_Wig", "", ";"),
  ";" &amp; IF(C1130="", B1130, C1130) &amp; IF(M1130="", "", " ("&amp;M1130&amp;")") &amp; CHAR(10) &amp;
  _xlpm.vanillaPrefix &amp; "Keyword = Uvi_Wig_Distr_KYWD|" &amp; B1130 &amp; CHAR(10) &amp;
  _xlpm.vanillaPrefix &amp; "Spell = " &amp; _xlpm.spell &amp; "|" &amp; B1130
  )
)</f>
        <v>;Noble
;Keyword = Uvi_Wig_Distr_KYWD|WERoad02NobleF
;Spell = No Spell for Hairstyle|WERoad02NobleF</v>
      </c>
    </row>
    <row r="1131" ht="12.75" customHeight="1">
      <c r="A1131" s="5" t="s">
        <v>4295</v>
      </c>
      <c r="B1131" s="5" t="s">
        <v>4296</v>
      </c>
      <c r="C1131" s="5" t="s">
        <v>4294</v>
      </c>
      <c r="D1131" s="5" t="s">
        <v>59</v>
      </c>
      <c r="E1131" s="5" t="s">
        <v>233</v>
      </c>
      <c r="F1131" s="5" t="s">
        <v>1709</v>
      </c>
      <c r="G1131" s="14" t="str">
        <f t="array" ref="G1131">IF(B1131="", "",
  LET(_xlpm.spell, IFERROR(IF(F1131="", "", INDEX(_xlws.FILTER(Hairstyles!$F:$F, ISNUMBER(SEARCH(F1131, Hairstyles!$B:$B))), 1)), "No Spell for Hairstyle"),
  _xlpm.vanillaPrefix, IF(LEFT(_xlpm.spell, 7)="Uvi_Wig", "", ";"),
  ";" &amp; IF(C1131="", B1131, C1131) &amp; IF(M1131="", "", " ("&amp;M1131&amp;")") &amp; CHAR(10) &amp;
  _xlpm.vanillaPrefix &amp; "Keyword = Uvi_Wig_Distr_KYWD|" &amp; B1131 &amp; CHAR(10) &amp;
  _xlpm.vanillaPrefix &amp; "Spell = " &amp; _xlpm.spell &amp; "|" &amp; B1131
  )
)</f>
        <v>;Noble
;Keyword = Uvi_Wig_Distr_KYWD|WERoad02NobleM
;Spell = No Spell for Hairstyle|WERoad02NobleM</v>
      </c>
    </row>
    <row r="1132" ht="12.75" customHeight="1">
      <c r="A1132" s="5" t="s">
        <v>4297</v>
      </c>
      <c r="B1132" s="5" t="s">
        <v>4298</v>
      </c>
      <c r="C1132" s="5" t="s">
        <v>4299</v>
      </c>
      <c r="D1132" s="5" t="s">
        <v>59</v>
      </c>
      <c r="E1132" s="5" t="s">
        <v>233</v>
      </c>
      <c r="F1132" s="5" t="s">
        <v>19</v>
      </c>
      <c r="G1132" s="14" t="str">
        <f t="array" ref="G1132">IF(B1132="", "",
  LET(_xlpm.spell, IFERROR(IF(F1132="", "", INDEX(_xlws.FILTER(Hairstyles!$F:$F, ISNUMBER(SEARCH(F1132, Hairstyles!$B:$B))), 1)), "No Spell for Hairstyle"),
  _xlpm.vanillaPrefix, IF(LEFT(_xlpm.spell, 7)="Uvi_Wig", "", ";"),
  ";" &amp; IF(C1132="", B1132, C1132) &amp; IF(M1132="", "", " ("&amp;M1132&amp;")") &amp; CHAR(10) &amp;
  _xlpm.vanillaPrefix &amp; "Keyword = Uvi_Wig_Distr_KYWD|" &amp; B1132 &amp; CHAR(10) &amp;
  _xlpm.vanillaPrefix &amp; "Spell = " &amp; _xlpm.spell &amp; "|" &amp; B1132
  )
)</f>
        <v>;Nobleman
;Keyword = Uvi_Wig_Distr_KYWD|DB09Noble1
;Spell = No Spell for Hairstyle|DB09Noble1</v>
      </c>
    </row>
    <row r="1133" ht="12.75" customHeight="1">
      <c r="A1133" s="5" t="s">
        <v>4300</v>
      </c>
      <c r="B1133" s="5" t="s">
        <v>4301</v>
      </c>
      <c r="C1133" s="5" t="s">
        <v>4299</v>
      </c>
      <c r="D1133" s="5" t="s">
        <v>83</v>
      </c>
      <c r="E1133" s="5" t="s">
        <v>233</v>
      </c>
      <c r="F1133" s="5" t="s">
        <v>1622</v>
      </c>
      <c r="G1133" s="14" t="str">
        <f t="array" ref="G1133">IF(B1133="", "",
  LET(_xlpm.spell, IFERROR(IF(F1133="", "", INDEX(_xlws.FILTER(Hairstyles!$F:$F, ISNUMBER(SEARCH(F1133, Hairstyles!$B:$B))), 1)), "No Spell for Hairstyle"),
  _xlpm.vanillaPrefix, IF(LEFT(_xlpm.spell, 7)="Uvi_Wig", "", ";"),
  ";" &amp; IF(C1133="", B1133, C1133) &amp; IF(M1133="", "", " ("&amp;M1133&amp;")") &amp; CHAR(10) &amp;
  _xlpm.vanillaPrefix &amp; "Keyword = Uvi_Wig_Distr_KYWD|" &amp; B1133 &amp; CHAR(10) &amp;
  _xlpm.vanillaPrefix &amp; "Spell = " &amp; _xlpm.spell &amp; "|" &amp; B1133
  )
)</f>
        <v>;Nobleman
;Keyword = Uvi_Wig_Distr_KYWD|DB09Noble2
;Spell = No Spell for Hairstyle|DB09Noble2</v>
      </c>
    </row>
    <row r="1134" ht="12.75" customHeight="1">
      <c r="A1134" s="5" t="s">
        <v>4302</v>
      </c>
      <c r="B1134" s="5" t="s">
        <v>4303</v>
      </c>
      <c r="C1134" s="5" t="s">
        <v>4299</v>
      </c>
      <c r="D1134" s="5" t="s">
        <v>59</v>
      </c>
      <c r="E1134" s="5" t="s">
        <v>233</v>
      </c>
      <c r="F1134" s="5" t="s">
        <v>19</v>
      </c>
      <c r="G1134" s="14" t="str">
        <f t="array" ref="G1134">IF(B1134="", "",
  LET(_xlpm.spell, IFERROR(IF(F1134="", "", INDEX(_xlws.FILTER(Hairstyles!$F:$F, ISNUMBER(SEARCH(F1134, Hairstyles!$B:$B))), 1)), "No Spell for Hairstyle"),
  _xlpm.vanillaPrefix, IF(LEFT(_xlpm.spell, 7)="Uvi_Wig", "", ";"),
  ";" &amp; IF(C1134="", B1134, C1134) &amp; IF(M1134="", "", " ("&amp;M1134&amp;")") &amp; CHAR(10) &amp;
  _xlpm.vanillaPrefix &amp; "Keyword = Uvi_Wig_Distr_KYWD|" &amp; B1134 &amp; CHAR(10) &amp;
  _xlpm.vanillaPrefix &amp; "Spell = " &amp; _xlpm.spell &amp; "|" &amp; B1134
  )
)</f>
        <v>;Nobleman
;Keyword = Uvi_Wig_Distr_KYWD|DLC1dunRedwaterDenAddict3
;Spell = No Spell for Hairstyle|DLC1dunRedwaterDenAddict3</v>
      </c>
    </row>
    <row r="1135" ht="12.75" customHeight="1">
      <c r="A1135" s="5" t="s">
        <v>4304</v>
      </c>
      <c r="B1135" s="5" t="s">
        <v>4305</v>
      </c>
      <c r="C1135" s="5" t="s">
        <v>4306</v>
      </c>
      <c r="D1135" s="5" t="s">
        <v>38</v>
      </c>
      <c r="E1135" s="5" t="s">
        <v>41</v>
      </c>
      <c r="F1135" s="5" t="s">
        <v>1822</v>
      </c>
      <c r="G1135" s="14" t="str">
        <f t="array" ref="G1135">IF(B1135="", "",
  LET(_xlpm.spell, IFERROR(IF(F1135="", "", INDEX(_xlws.FILTER(Hairstyles!$F:$F, ISNUMBER(SEARCH(F1135, Hairstyles!$B:$B))), 1)), "No Spell for Hairstyle"),
  _xlpm.vanillaPrefix, IF(LEFT(_xlpm.spell, 7)="Uvi_Wig", "", ";"),
  ";" &amp; IF(C1135="", B1135, C1135) &amp; IF(M1135="", "", " ("&amp;M1135&amp;")") &amp; CHAR(10) &amp;
  _xlpm.vanillaPrefix &amp; "Keyword = Uvi_Wig_Distr_KYWD|" &amp; B1135 &amp; CHAR(10) &amp;
  _xlpm.vanillaPrefix &amp; "Spell = " &amp; _xlpm.spell &amp; "|" &amp; B1135
  )
)</f>
        <v>;Noblewoman
;Keyword = Uvi_Wig_Distr_KYWD|DB09Noble3
;Spell = No Spell for Hairstyle|DB09Noble3</v>
      </c>
    </row>
    <row r="1136" ht="12.75" customHeight="1">
      <c r="A1136" s="5" t="s">
        <v>4307</v>
      </c>
      <c r="B1136" s="5" t="s">
        <v>4308</v>
      </c>
      <c r="C1136" s="5" t="s">
        <v>4308</v>
      </c>
      <c r="D1136" s="5" t="s">
        <v>83</v>
      </c>
      <c r="E1136" s="5" t="s">
        <v>41</v>
      </c>
      <c r="F1136" s="5" t="s">
        <v>42</v>
      </c>
      <c r="G1136" s="14" t="str">
        <f t="array" ref="G1136">IF(B1136="", "",
  LET(_xlpm.spell, IFERROR(IF(F1136="", "", INDEX(_xlws.FILTER(Hairstyles!$F:$F, ISNUMBER(SEARCH(F1136, Hairstyles!$B:$B))), 1)), "No Spell for Hairstyle"),
  _xlpm.vanillaPrefix, IF(LEFT(_xlpm.spell, 7)="Uvi_Wig", "", ";"),
  ";" &amp; IF(C1136="", B1136, C1136) &amp; IF(M1136="", "", " ("&amp;M1136&amp;")") &amp; CHAR(10) &amp;
  _xlpm.vanillaPrefix &amp; "Keyword = Uvi_Wig_Distr_KYWD|" &amp; B1136 &amp; CHAR(10) &amp;
  _xlpm.vanillaPrefix &amp; "Spell = " &amp; _xlpm.spell &amp; "|" &amp; B1136
  )
)</f>
        <v>;Nocturnal
;Keyword = Uvi_Wig_Distr_KYWD|Nocturnal
;Spell = No Spell for Hairstyle|Nocturnal</v>
      </c>
    </row>
    <row r="1137" ht="12.75" customHeight="1">
      <c r="A1137" s="5" t="s">
        <v>4309</v>
      </c>
      <c r="B1137" s="5" t="s">
        <v>4310</v>
      </c>
      <c r="C1137" s="5" t="s">
        <v>38</v>
      </c>
      <c r="D1137" s="5" t="s">
        <v>38</v>
      </c>
      <c r="E1137" s="5" t="s">
        <v>233</v>
      </c>
      <c r="F1137" s="5" t="s">
        <v>1088</v>
      </c>
      <c r="G1137" s="14" t="str">
        <f t="array" ref="G1137">IF(B1137="", "",
  LET(_xlpm.spell, IFERROR(IF(F1137="", "", INDEX(_xlws.FILTER(Hairstyles!$F:$F, ISNUMBER(SEARCH(F1137, Hairstyles!$B:$B))), 1)), "No Spell for Hairstyle"),
  _xlpm.vanillaPrefix, IF(LEFT(_xlpm.spell, 7)="Uvi_Wig", "", ";"),
  ";" &amp; IF(C1137="", B1137, C1137) &amp; IF(M1137="", "", " ("&amp;M1137&amp;")") &amp; CHAR(10) &amp;
  _xlpm.vanillaPrefix &amp; "Keyword = Uvi_Wig_Distr_KYWD|" &amp; B1137 &amp; CHAR(10) &amp;
  _xlpm.vanillaPrefix &amp; "Spell = " &amp; _xlpm.spell &amp; "|" &amp; B1137
  )
)</f>
        <v>;Nord
;Keyword = Uvi_Wig_Distr_KYWD|FFHM01LeifnarrTreasCorpse
;Spell = No Spell for Hairstyle|FFHM01LeifnarrTreasCorpse</v>
      </c>
    </row>
    <row r="1138" ht="12.75" customHeight="1">
      <c r="A1138" s="5" t="s">
        <v>4311</v>
      </c>
      <c r="B1138" s="5" t="s">
        <v>4312</v>
      </c>
      <c r="C1138" s="5" t="s">
        <v>38</v>
      </c>
      <c r="D1138" s="5" t="s">
        <v>38</v>
      </c>
      <c r="E1138" s="5" t="s">
        <v>41</v>
      </c>
      <c r="F1138" s="5" t="s">
        <v>1694</v>
      </c>
      <c r="G1138" s="14" t="str">
        <f t="array" ref="G1138">IF(B1138="", "",
  LET(_xlpm.spell, IFERROR(IF(F1138="", "", INDEX(_xlws.FILTER(Hairstyles!$F:$F, ISNUMBER(SEARCH(F1138, Hairstyles!$B:$B))), 1)), "No Spell for Hairstyle"),
  _xlpm.vanillaPrefix, IF(LEFT(_xlpm.spell, 7)="Uvi_Wig", "", ";"),
  ";" &amp; IF(C1138="", B1138, C1138) &amp; IF(M1138="", "", " ("&amp;M1138&amp;")") &amp; CHAR(10) &amp;
  _xlpm.vanillaPrefix &amp; "Keyword = Uvi_Wig_Distr_KYWD|" &amp; B1138 &amp; CHAR(10) &amp;
  _xlpm.vanillaPrefix &amp; "Spell = " &amp; _xlpm.spell &amp; "|" &amp; B1138
  )
)</f>
        <v>;Nord
;Keyword = Uvi_Wig_Distr_KYWD|TreasCorpseCommonerNordFemale
;Spell = No Spell for Hairstyle|TreasCorpseCommonerNordFemale</v>
      </c>
    </row>
    <row r="1139" ht="12.75" customHeight="1">
      <c r="A1139" s="15" t="s">
        <v>4313</v>
      </c>
      <c r="B1139" s="5" t="s">
        <v>4314</v>
      </c>
      <c r="C1139" s="5" t="s">
        <v>38</v>
      </c>
      <c r="D1139" s="5" t="s">
        <v>38</v>
      </c>
      <c r="E1139" s="5" t="s">
        <v>233</v>
      </c>
      <c r="F1139" s="5" t="s">
        <v>1709</v>
      </c>
      <c r="G1139" s="14" t="str">
        <f t="array" ref="G1139">IF(B1139="", "",
  LET(_xlpm.spell, IFERROR(IF(F1139="", "", INDEX(_xlws.FILTER(Hairstyles!$F:$F, ISNUMBER(SEARCH(F1139, Hairstyles!$B:$B))), 1)), "No Spell for Hairstyle"),
  _xlpm.vanillaPrefix, IF(LEFT(_xlpm.spell, 7)="Uvi_Wig", "", ";"),
  ";" &amp; IF(C1139="", B1139, C1139) &amp; IF(M1139="", "", " ("&amp;M1139&amp;")") &amp; CHAR(10) &amp;
  _xlpm.vanillaPrefix &amp; "Keyword = Uvi_Wig_Distr_KYWD|" &amp; B1139 &amp; CHAR(10) &amp;
  _xlpm.vanillaPrefix &amp; "Spell = " &amp; _xlpm.spell &amp; "|" &amp; B1139
  )
)</f>
        <v>;Nord
;Keyword = Uvi_Wig_Distr_KYWD|TreasCorpseCommonerNordMale
;Spell = No Spell for Hairstyle|TreasCorpseCommonerNordMale</v>
      </c>
    </row>
    <row r="1140" ht="12.75" customHeight="1">
      <c r="A1140" s="15" t="s">
        <v>4315</v>
      </c>
      <c r="B1140" s="5" t="s">
        <v>4316</v>
      </c>
      <c r="C1140" s="5" t="s">
        <v>38</v>
      </c>
      <c r="D1140" s="5" t="s">
        <v>38</v>
      </c>
      <c r="E1140" s="5" t="s">
        <v>233</v>
      </c>
      <c r="F1140" s="5" t="s">
        <v>1919</v>
      </c>
      <c r="G1140" s="14" t="str">
        <f t="array" ref="G1140">IF(B1140="", "",
  LET(_xlpm.spell, IFERROR(IF(F1140="", "", INDEX(_xlws.FILTER(Hairstyles!$F:$F, ISNUMBER(SEARCH(F1140, Hairstyles!$B:$B))), 1)), "No Spell for Hairstyle"),
  _xlpm.vanillaPrefix, IF(LEFT(_xlpm.spell, 7)="Uvi_Wig", "", ";"),
  ";" &amp; IF(C1140="", B1140, C1140) &amp; IF(M1140="", "", " ("&amp;M1140&amp;")") &amp; CHAR(10) &amp;
  _xlpm.vanillaPrefix &amp; "Keyword = Uvi_Wig_Distr_KYWD|" &amp; B1140 &amp; CHAR(10) &amp;
  _xlpm.vanillaPrefix &amp; "Spell = " &amp; _xlpm.spell &amp; "|" &amp; B1140
  )
)</f>
        <v>;Nord
;Keyword = Uvi_Wig_Distr_KYWD|WEAdventurerBerserkerNordM
;Spell = No Spell for Hairstyle|WEAdventurerBerserkerNordM</v>
      </c>
    </row>
    <row r="1141" ht="12.75" customHeight="1">
      <c r="A1141" s="15" t="s">
        <v>4317</v>
      </c>
      <c r="B1141" s="5" t="s">
        <v>4318</v>
      </c>
      <c r="C1141" s="5" t="s">
        <v>38</v>
      </c>
      <c r="D1141" s="5" t="s">
        <v>38</v>
      </c>
      <c r="E1141" s="5" t="s">
        <v>41</v>
      </c>
      <c r="F1141" s="5" t="s">
        <v>2618</v>
      </c>
      <c r="G1141" s="14" t="str">
        <f t="array" ref="G1141">IF(B1141="", "",
  LET(_xlpm.spell, IFERROR(IF(F1141="", "", INDEX(_xlws.FILTER(Hairstyles!$F:$F, ISNUMBER(SEARCH(F1141, Hairstyles!$B:$B))), 1)), "No Spell for Hairstyle"),
  _xlpm.vanillaPrefix, IF(LEFT(_xlpm.spell, 7)="Uvi_Wig", "", ";"),
  ";" &amp; IF(C1141="", B1141, C1141) &amp; IF(M1141="", "", " ("&amp;M1141&amp;")") &amp; CHAR(10) &amp;
  _xlpm.vanillaPrefix &amp; "Keyword = Uvi_Wig_Distr_KYWD|" &amp; B1141 &amp; CHAR(10) &amp;
  _xlpm.vanillaPrefix &amp; "Spell = " &amp; _xlpm.spell &amp; "|" &amp; B1141
  )
)</f>
        <v>;Nord
;Keyword = Uvi_Wig_Distr_KYWD|WEAdventurerWarriorNordF
;Spell = No Spell for Hairstyle|WEAdventurerWarriorNordF</v>
      </c>
    </row>
    <row r="1142" ht="12.75" customHeight="1">
      <c r="A1142" s="5" t="s">
        <v>4319</v>
      </c>
      <c r="B1142" s="5" t="s">
        <v>4320</v>
      </c>
      <c r="C1142" s="5" t="s">
        <v>4321</v>
      </c>
      <c r="D1142" s="5" t="s">
        <v>57</v>
      </c>
      <c r="E1142" s="5" t="s">
        <v>233</v>
      </c>
      <c r="F1142" s="5" t="s">
        <v>2469</v>
      </c>
      <c r="G1142" s="14" t="str">
        <f t="array" ref="G1142">IF(B1142="", "",
  LET(_xlpm.spell, IFERROR(IF(F1142="", "", INDEX(_xlws.FILTER(Hairstyles!$F:$F, ISNUMBER(SEARCH(F1142, Hairstyles!$B:$B))), 1)), "No Spell for Hairstyle"),
  _xlpm.vanillaPrefix, IF(LEFT(_xlpm.spell, 7)="Uvi_Wig", "", ";"),
  ";" &amp; IF(C1142="", B1142, C1142) &amp; IF(M1142="", "", " ("&amp;M1142&amp;")") &amp; CHAR(10) &amp;
  _xlpm.vanillaPrefix &amp; "Keyword = Uvi_Wig_Distr_KYWD|" &amp; B1142 &amp; CHAR(10) &amp;
  _xlpm.vanillaPrefix &amp; "Spell = " &amp; _xlpm.spell &amp; "|" &amp; B1142
  )
)</f>
        <v>;Northwatch Guard
;Keyword = Uvi_Wig_Distr_KYWD|MS09LvlGuard
;Spell = No Spell for Hairstyle|MS09LvlGuard</v>
      </c>
    </row>
    <row r="1143" ht="12.75" customHeight="1">
      <c r="A1143" s="5" t="s">
        <v>4322</v>
      </c>
      <c r="B1143" s="5" t="s">
        <v>4323</v>
      </c>
      <c r="C1143" s="5" t="s">
        <v>4324</v>
      </c>
      <c r="D1143" s="5" t="s">
        <v>38</v>
      </c>
      <c r="E1143" s="5" t="s">
        <v>233</v>
      </c>
      <c r="F1143" s="5" t="s">
        <v>346</v>
      </c>
      <c r="G1143" s="14" t="str">
        <f t="array" ref="G1143">IF(B1143="", "",
  LET(_xlpm.spell, IFERROR(IF(F1143="", "", INDEX(_xlws.FILTER(Hairstyles!$F:$F, ISNUMBER(SEARCH(F1143, Hairstyles!$B:$B))), 1)), "No Spell for Hairstyle"),
  _xlpm.vanillaPrefix, IF(LEFT(_xlpm.spell, 7)="Uvi_Wig", "", ";"),
  ";" &amp; IF(C1143="", B1143, C1143) &amp; IF(M1143="", "", " ("&amp;M1143&amp;")") &amp; CHAR(10) &amp;
  _xlpm.vanillaPrefix &amp; "Keyword = Uvi_Wig_Distr_KYWD|" &amp; B1143 &amp; CHAR(10) &amp;
  _xlpm.vanillaPrefix &amp; "Spell = " &amp; _xlpm.spell &amp; "|" &amp; B1143
  )
)</f>
        <v>;Northwatch Prisoner
;Keyword = Uvi_Wig_Distr_KYWD|dunNorthwatchPrisoner01
;Spell = No Spell for Hairstyle|dunNorthwatchPrisoner01</v>
      </c>
    </row>
    <row r="1144" ht="12.75" customHeight="1">
      <c r="A1144" s="5" t="s">
        <v>4325</v>
      </c>
      <c r="B1144" s="5" t="s">
        <v>4326</v>
      </c>
      <c r="C1144" s="5" t="s">
        <v>4324</v>
      </c>
      <c r="D1144" s="5" t="s">
        <v>10</v>
      </c>
      <c r="E1144" s="5" t="s">
        <v>233</v>
      </c>
      <c r="F1144" s="5" t="s">
        <v>1955</v>
      </c>
      <c r="G1144" s="14" t="str">
        <f t="array" ref="G1144">IF(B1144="", "",
  LET(_xlpm.spell, IFERROR(IF(F1144="", "", INDEX(_xlws.FILTER(Hairstyles!$F:$F, ISNUMBER(SEARCH(F1144, Hairstyles!$B:$B))), 1)), "No Spell for Hairstyle"),
  _xlpm.vanillaPrefix, IF(LEFT(_xlpm.spell, 7)="Uvi_Wig", "", ";"),
  ";" &amp; IF(C1144="", B1144, C1144) &amp; IF(M1144="", "", " ("&amp;M1144&amp;")") &amp; CHAR(10) &amp;
  _xlpm.vanillaPrefix &amp; "Keyword = Uvi_Wig_Distr_KYWD|" &amp; B1144 &amp; CHAR(10) &amp;
  _xlpm.vanillaPrefix &amp; "Spell = " &amp; _xlpm.spell &amp; "|" &amp; B1144
  )
)</f>
        <v>;Northwatch Prisoner
;Keyword = Uvi_Wig_Distr_KYWD|dunNorthwatchPrisoner02
;Spell = No Spell for Hairstyle|dunNorthwatchPrisoner02</v>
      </c>
    </row>
    <row r="1145" ht="12.75" customHeight="1">
      <c r="A1145" s="5" t="s">
        <v>4327</v>
      </c>
      <c r="B1145" s="5" t="s">
        <v>4328</v>
      </c>
      <c r="C1145" s="5" t="s">
        <v>4324</v>
      </c>
      <c r="D1145" s="5" t="s">
        <v>16</v>
      </c>
      <c r="E1145" s="5" t="s">
        <v>41</v>
      </c>
      <c r="F1145" s="5" t="s">
        <v>69</v>
      </c>
      <c r="G1145" s="14" t="str">
        <f t="array" ref="G1145">IF(B1145="", "",
  LET(_xlpm.spell, IFERROR(IF(F1145="", "", INDEX(_xlws.FILTER(Hairstyles!$F:$F, ISNUMBER(SEARCH(F1145, Hairstyles!$B:$B))), 1)), "No Spell for Hairstyle"),
  _xlpm.vanillaPrefix, IF(LEFT(_xlpm.spell, 7)="Uvi_Wig", "", ";"),
  ";" &amp; IF(C1145="", B1145, C1145) &amp; IF(M1145="", "", " ("&amp;M1145&amp;")") &amp; CHAR(10) &amp;
  _xlpm.vanillaPrefix &amp; "Keyword = Uvi_Wig_Distr_KYWD|" &amp; B1145 &amp; CHAR(10) &amp;
  _xlpm.vanillaPrefix &amp; "Spell = " &amp; _xlpm.spell &amp; "|" &amp; B1145
  )
)</f>
        <v>;Northwatch Prisoner
;Keyword = Uvi_Wig_Distr_KYWD|dunNorthwatchPrisoner03
;Spell = No Spell for Hairstyle|dunNorthwatchPrisoner03</v>
      </c>
    </row>
    <row r="1146" ht="12.75" customHeight="1">
      <c r="A1146" s="5" t="s">
        <v>4329</v>
      </c>
      <c r="B1146" s="5" t="s">
        <v>4330</v>
      </c>
      <c r="C1146" s="5" t="s">
        <v>4331</v>
      </c>
      <c r="D1146" s="5" t="s">
        <v>59</v>
      </c>
      <c r="E1146" s="5" t="s">
        <v>233</v>
      </c>
      <c r="F1146" s="5" t="s">
        <v>235</v>
      </c>
      <c r="G1146" s="14" t="str">
        <f t="array" ref="G1146">IF(B1146="", "",
  LET(_xlpm.spell, IFERROR(IF(F1146="", "", INDEX(_xlws.FILTER(Hairstyles!$F:$F, ISNUMBER(SEARCH(F1146, Hairstyles!$B:$B))), 1)), "No Spell for Hairstyle"),
  _xlpm.vanillaPrefix, IF(LEFT(_xlpm.spell, 7)="Uvi_Wig", "", ";"),
  ";" &amp; IF(C1146="", B1146, C1146) &amp; IF(M1146="", "", " ("&amp;M1146&amp;")") &amp; CHAR(10) &amp;
  _xlpm.vanillaPrefix &amp; "Keyword = Uvi_Wig_Distr_KYWD|" &amp; B1146 &amp; CHAR(10) &amp;
  _xlpm.vanillaPrefix &amp; "Spell = " &amp; _xlpm.spell &amp; "|" &amp; B1146
  )
)</f>
        <v>;Noster Eagle-Eye
;Keyword = Uvi_Wig_Distr_KYWD|NosterOneEye
;Spell = No Spell for Hairstyle|NosterOneEye</v>
      </c>
    </row>
    <row r="1147" ht="12.75" customHeight="1">
      <c r="A1147" s="5" t="s">
        <v>4332</v>
      </c>
      <c r="B1147" s="5" t="s">
        <v>4333</v>
      </c>
      <c r="C1147" s="5" t="s">
        <v>4334</v>
      </c>
      <c r="D1147" s="5" t="s">
        <v>16</v>
      </c>
      <c r="E1147" s="5" t="s">
        <v>233</v>
      </c>
      <c r="F1147" s="5" t="s">
        <v>424</v>
      </c>
      <c r="G1147" s="14" t="str">
        <f t="array" ref="G1147">IF(B1147="", "",
  LET(_xlpm.spell, IFERROR(IF(F1147="", "", INDEX(_xlws.FILTER(Hairstyles!$F:$F, ISNUMBER(SEARCH(F1147, Hairstyles!$B:$B))), 1)), "No Spell for Hairstyle"),
  _xlpm.vanillaPrefix, IF(LEFT(_xlpm.spell, 7)="Uvi_Wig", "", ";"),
  ";" &amp; IF(C1147="", B1147, C1147) &amp; IF(M1147="", "", " ("&amp;M1147&amp;")") &amp; CHAR(10) &amp;
  _xlpm.vanillaPrefix &amp; "Keyword = Uvi_Wig_Distr_KYWD|" &amp; B1147 &amp; CHAR(10) &amp;
  _xlpm.vanillaPrefix &amp; "Spell = " &amp; _xlpm.spell &amp; "|" &amp; B1147
  )
)</f>
        <v>;Novice Conjurer
;Keyword = Uvi_Wig_Distr_KYWD|EncWarlock01TemplateConjurer
;Spell = No Spell for Hairstyle|EncWarlock01TemplateConjurer</v>
      </c>
    </row>
    <row r="1148" ht="12.75" customHeight="1">
      <c r="A1148" s="5" t="s">
        <v>4335</v>
      </c>
      <c r="B1148" s="5" t="s">
        <v>4336</v>
      </c>
      <c r="C1148" s="5" t="s">
        <v>4337</v>
      </c>
      <c r="D1148" s="5" t="s">
        <v>45</v>
      </c>
      <c r="E1148" s="5" t="s">
        <v>233</v>
      </c>
      <c r="F1148" s="5" t="s">
        <v>91</v>
      </c>
      <c r="G1148" s="14" t="str">
        <f t="array" ref="G1148">IF(B1148="", "",
  LET(_xlpm.spell, IFERROR(IF(F1148="", "", INDEX(_xlws.FILTER(Hairstyles!$F:$F, ISNUMBER(SEARCH(F1148, Hairstyles!$B:$B))), 1)), "No Spell for Hairstyle"),
  _xlpm.vanillaPrefix, IF(LEFT(_xlpm.spell, 7)="Uvi_Wig", "", ";"),
  ";" &amp; IF(C1148="", B1148, C1148) &amp; IF(M1148="", "", " ("&amp;M1148&amp;")") &amp; CHAR(10) &amp;
  _xlpm.vanillaPrefix &amp; "Keyword = Uvi_Wig_Distr_KYWD|" &amp; B1148 &amp; CHAR(10) &amp;
  _xlpm.vanillaPrefix &amp; "Spell = " &amp; _xlpm.spell &amp; "|" &amp; B1148
  )
)</f>
        <v>;Novice Fire Mage
;Keyword = Uvi_Wig_Distr_KYWD|EncWarlock01TemplateFire
;Spell = No Spell for Hairstyle|EncWarlock01TemplateFire</v>
      </c>
    </row>
    <row r="1149" ht="12.75" customHeight="1">
      <c r="A1149" s="5" t="s">
        <v>4338</v>
      </c>
      <c r="B1149" s="5" t="s">
        <v>4339</v>
      </c>
      <c r="C1149" s="5" t="s">
        <v>4340</v>
      </c>
      <c r="D1149" s="5" t="s">
        <v>38</v>
      </c>
      <c r="E1149" s="5" t="s">
        <v>233</v>
      </c>
      <c r="F1149" s="5" t="s">
        <v>209</v>
      </c>
      <c r="G1149" s="14" t="str">
        <f t="array" ref="G1149">IF(B1149="", "",
  LET(_xlpm.spell, IFERROR(IF(F1149="", "", INDEX(_xlws.FILTER(Hairstyles!$F:$F, ISNUMBER(SEARCH(F1149, Hairstyles!$B:$B))), 1)), "No Spell for Hairstyle"),
  _xlpm.vanillaPrefix, IF(LEFT(_xlpm.spell, 7)="Uvi_Wig", "", ";"),
  ";" &amp; IF(C1149="", B1149, C1149) &amp; IF(M1149="", "", " ("&amp;M1149&amp;")") &amp; CHAR(10) &amp;
  _xlpm.vanillaPrefix &amp; "Keyword = Uvi_Wig_Distr_KYWD|" &amp; B1149 &amp; CHAR(10) &amp;
  _xlpm.vanillaPrefix &amp; "Spell = " &amp; _xlpm.spell &amp; "|" &amp; B1149
  )
)</f>
        <v>;Novice Ice Mage
;Keyword = Uvi_Wig_Distr_KYWD|EncWarlock01TemplateIce
;Spell = No Spell for Hairstyle|EncWarlock01TemplateIce</v>
      </c>
    </row>
    <row r="1150" ht="12.75" customHeight="1">
      <c r="A1150" s="5" t="s">
        <v>4341</v>
      </c>
      <c r="B1150" s="5" t="s">
        <v>4342</v>
      </c>
      <c r="C1150" s="5" t="s">
        <v>4343</v>
      </c>
      <c r="D1150" s="5" t="s">
        <v>16</v>
      </c>
      <c r="E1150" s="5" t="s">
        <v>233</v>
      </c>
      <c r="F1150" s="5" t="s">
        <v>215</v>
      </c>
      <c r="G1150" s="14" t="str">
        <f t="array" ref="G1150">IF(B1150="", "",
  LET(_xlpm.spell, IFERROR(IF(F1150="", "", INDEX(_xlws.FILTER(Hairstyles!$F:$F, ISNUMBER(SEARCH(F1150, Hairstyles!$B:$B))), 1)), "No Spell for Hairstyle"),
  _xlpm.vanillaPrefix, IF(LEFT(_xlpm.spell, 7)="Uvi_Wig", "", ";"),
  ";" &amp; IF(C1150="", B1150, C1150) &amp; IF(M1150="", "", " ("&amp;M1150&amp;")") &amp; CHAR(10) &amp;
  _xlpm.vanillaPrefix &amp; "Keyword = Uvi_Wig_Distr_KYWD|" &amp; B1150 &amp; CHAR(10) &amp;
  _xlpm.vanillaPrefix &amp; "Spell = " &amp; _xlpm.spell &amp; "|" &amp; B1150
  )
)</f>
        <v>;Novice Necromancer
;Keyword = Uvi_Wig_Distr_KYWD|dunPOIChickenNecromander
;Spell = No Spell for Hairstyle|dunPOIChickenNecromander</v>
      </c>
    </row>
    <row r="1151" ht="12.75" customHeight="1">
      <c r="A1151" s="5" t="s">
        <v>4344</v>
      </c>
      <c r="B1151" s="5" t="s">
        <v>4345</v>
      </c>
      <c r="C1151" s="5" t="s">
        <v>4343</v>
      </c>
      <c r="D1151" s="5" t="s">
        <v>16</v>
      </c>
      <c r="E1151" s="5" t="s">
        <v>233</v>
      </c>
      <c r="F1151" s="5" t="s">
        <v>762</v>
      </c>
      <c r="G1151" s="14" t="str">
        <f t="array" ref="G1151">IF(B1151="", "",
  LET(_xlpm.spell, IFERROR(IF(F1151="", "", INDEX(_xlws.FILTER(Hairstyles!$F:$F, ISNUMBER(SEARCH(F1151, Hairstyles!$B:$B))), 1)), "No Spell for Hairstyle"),
  _xlpm.vanillaPrefix, IF(LEFT(_xlpm.spell, 7)="Uvi_Wig", "", ";"),
  ";" &amp; IF(C1151="", B1151, C1151) &amp; IF(M1151="", "", " ("&amp;M1151&amp;")") &amp; CHAR(10) &amp;
  _xlpm.vanillaPrefix &amp; "Keyword = Uvi_Wig_Distr_KYWD|" &amp; B1151 &amp; CHAR(10) &amp;
  _xlpm.vanillaPrefix &amp; "Spell = " &amp; _xlpm.spell &amp; "|" &amp; B1151
  )
)</f>
        <v>;Novice Necromancer
;Keyword = Uvi_Wig_Distr_KYWD|EncWarlock01TemplateNecro
;Spell = No Spell for Hairstyle|EncWarlock01TemplateNecro</v>
      </c>
    </row>
    <row r="1152" ht="12.75" customHeight="1">
      <c r="A1152" s="5" t="s">
        <v>4346</v>
      </c>
      <c r="B1152" s="5" t="s">
        <v>4347</v>
      </c>
      <c r="C1152" s="5" t="s">
        <v>4348</v>
      </c>
      <c r="D1152" s="5" t="s">
        <v>57</v>
      </c>
      <c r="E1152" s="5" t="s">
        <v>233</v>
      </c>
      <c r="F1152" s="5" t="s">
        <v>47</v>
      </c>
      <c r="G1152" s="14" t="str">
        <f t="array" ref="G1152">IF(B1152="", "",
  LET(_xlpm.spell, IFERROR(IF(F1152="", "", INDEX(_xlws.FILTER(Hairstyles!$F:$F, ISNUMBER(SEARCH(F1152, Hairstyles!$B:$B))), 1)), "No Spell for Hairstyle"),
  _xlpm.vanillaPrefix, IF(LEFT(_xlpm.spell, 7)="Uvi_Wig", "", ";"),
  ";" &amp; IF(C1152="", B1152, C1152) &amp; IF(M1152="", "", " ("&amp;M1152&amp;")") &amp; CHAR(10) &amp;
  _xlpm.vanillaPrefix &amp; "Keyword = Uvi_Wig_Distr_KYWD|" &amp; B1152 &amp; CHAR(10) &amp;
  _xlpm.vanillaPrefix &amp; "Spell = " &amp; _xlpm.spell &amp; "|" &amp; B1152
  )
)</f>
        <v>;Novice Storm Mage
;Keyword = Uvi_Wig_Distr_KYWD|EncWarlock01TemplateStorm
;Spell = No Spell for Hairstyle|EncWarlock01TemplateStorm</v>
      </c>
    </row>
    <row r="1153" ht="12.75" customHeight="1">
      <c r="A1153" s="15" t="s">
        <v>4349</v>
      </c>
      <c r="B1153" s="5" t="s">
        <v>4350</v>
      </c>
      <c r="C1153" s="5" t="s">
        <v>4351</v>
      </c>
      <c r="D1153" s="5" t="s">
        <v>38</v>
      </c>
      <c r="E1153" s="5" t="s">
        <v>41</v>
      </c>
      <c r="F1153" s="5" t="s">
        <v>1822</v>
      </c>
      <c r="G1153" s="14" t="str">
        <f t="array" ref="G1153">IF(B1153="", "",
  LET(_xlpm.spell, IFERROR(IF(F1153="", "", INDEX(_xlws.FILTER(Hairstyles!$F:$F, ISNUMBER(SEARCH(F1153, Hairstyles!$B:$B))), 1)), "No Spell for Hairstyle"),
  _xlpm.vanillaPrefix, IF(LEFT(_xlpm.spell, 7)="Uvi_Wig", "", ";"),
  ";" &amp; IF(C1153="", B1153, C1153) &amp; IF(M1153="", "", " ("&amp;M1153&amp;")") &amp; CHAR(10) &amp;
  _xlpm.vanillaPrefix &amp; "Keyword = Uvi_Wig_Distr_KYWD|" &amp; B1153 &amp; CHAR(10) &amp;
  _xlpm.vanillaPrefix &amp; "Spell = " &amp; _xlpm.spell &amp; "|" &amp; B1153
  )
)</f>
        <v>;Nura Snow-Shod
;Keyword = Uvi_Wig_Distr_KYWD|Nura
;Spell = No Spell for Hairstyle|Nura</v>
      </c>
    </row>
    <row r="1154" ht="12.75" customHeight="1">
      <c r="A1154" s="15" t="s">
        <v>4352</v>
      </c>
      <c r="B1154" s="5" t="s">
        <v>4353</v>
      </c>
      <c r="C1154" s="5" t="s">
        <v>4353</v>
      </c>
      <c r="D1154" s="5" t="s">
        <v>57</v>
      </c>
      <c r="E1154" s="5" t="s">
        <v>233</v>
      </c>
      <c r="F1154" s="5" t="s">
        <v>1937</v>
      </c>
      <c r="G1154" s="14" t="str">
        <f t="array" ref="G1154">IF(B1154="", "",
  LET(_xlpm.spell, IFERROR(IF(F1154="", "", INDEX(_xlws.FILTER(Hairstyles!$F:$F, ISNUMBER(SEARCH(F1154, Hairstyles!$B:$B))), 1)), "No Spell for Hairstyle"),
  _xlpm.vanillaPrefix, IF(LEFT(_xlpm.spell, 7)="Uvi_Wig", "", ";"),
  ";" &amp; IF(C1154="", B1154, C1154) &amp; IF(M1154="", "", " ("&amp;M1154&amp;")") &amp; CHAR(10) &amp;
  _xlpm.vanillaPrefix &amp; "Keyword = Uvi_Wig_Distr_KYWD|" &amp; B1154 &amp; CHAR(10) &amp;
  _xlpm.vanillaPrefix &amp; "Spell = " &amp; _xlpm.spell &amp; "|" &amp; B1154
  )
)</f>
        <v>;Nurelion
;Keyword = Uvi_Wig_Distr_KYWD|Nurelion
;Spell = No Spell for Hairstyle|Nurelion</v>
      </c>
    </row>
    <row r="1155" ht="12.75" customHeight="1">
      <c r="A1155" s="5" t="s">
        <v>4354</v>
      </c>
      <c r="B1155" s="5" t="s">
        <v>4355</v>
      </c>
      <c r="C1155" s="5" t="s">
        <v>4356</v>
      </c>
      <c r="D1155" s="5" t="s">
        <v>16</v>
      </c>
      <c r="E1155" s="5" t="s">
        <v>233</v>
      </c>
      <c r="F1155" s="5" t="s">
        <v>224</v>
      </c>
      <c r="G1155" s="14" t="str">
        <f t="array" ref="G1155">IF(B1155="", "",
  LET(_xlpm.spell, IFERROR(IF(F1155="", "", INDEX(_xlws.FILTER(Hairstyles!$F:$F, ISNUMBER(SEARCH(F1155, Hairstyles!$B:$B))), 1)), "No Spell for Hairstyle"),
  _xlpm.vanillaPrefix, IF(LEFT(_xlpm.spell, 7)="Uvi_Wig", "", ";"),
  ";" &amp; IF(C1155="", B1155, C1155) &amp; IF(M1155="", "", " ("&amp;M1155&amp;")") &amp; CHAR(10) &amp;
  _xlpm.vanillaPrefix &amp; "Keyword = Uvi_Wig_Distr_KYWD|" &amp; B1155 &amp; CHAR(10) &amp;
  _xlpm.vanillaPrefix &amp; "Spell = " &amp; _xlpm.spell &amp; "|" &amp; B1155
  )
)</f>
        <v>;Octieve San
;Keyword = Uvi_Wig_Distr_KYWD|OctieveSan
;Spell = No Spell for Hairstyle|OctieveSan</v>
      </c>
    </row>
    <row r="1156" ht="12.75" customHeight="1">
      <c r="A1156" s="5" t="s">
        <v>4357</v>
      </c>
      <c r="B1156" s="5" t="s">
        <v>4358</v>
      </c>
      <c r="C1156" s="5" t="s">
        <v>4358</v>
      </c>
      <c r="D1156" s="5" t="s">
        <v>38</v>
      </c>
      <c r="E1156" s="5" t="s">
        <v>233</v>
      </c>
      <c r="F1156" s="5" t="s">
        <v>40</v>
      </c>
      <c r="G1156" s="14" t="str">
        <f t="array" ref="G1156">IF(B1156="", "",
  LET(_xlpm.spell, IFERROR(IF(F1156="", "", INDEX(_xlws.FILTER(Hairstyles!$F:$F, ISNUMBER(SEARCH(F1156, Hairstyles!$B:$B))), 1)), "No Spell for Hairstyle"),
  _xlpm.vanillaPrefix, IF(LEFT(_xlpm.spell, 7)="Uvi_Wig", "", ";"),
  ";" &amp; IF(C1156="", B1156, C1156) &amp; IF(M1156="", "", " ("&amp;M1156&amp;")") &amp; CHAR(10) &amp;
  _xlpm.vanillaPrefix &amp; "Keyword = Uvi_Wig_Distr_KYWD|" &amp; B1156 &amp; CHAR(10) &amp;
  _xlpm.vanillaPrefix &amp; "Spell = " &amp; _xlpm.spell &amp; "|" &amp; B1156
  )
)</f>
        <v>;Odar
;Keyword = Uvi_Wig_Distr_KYWD|Odar
;Spell = No Spell for Hairstyle|Odar</v>
      </c>
    </row>
    <row r="1157" ht="12.75" customHeight="1">
      <c r="A1157" s="5" t="s">
        <v>4359</v>
      </c>
      <c r="B1157" s="5" t="s">
        <v>4360</v>
      </c>
      <c r="C1157" s="5" t="s">
        <v>4360</v>
      </c>
      <c r="D1157" s="5" t="s">
        <v>38</v>
      </c>
      <c r="E1157" s="5" t="s">
        <v>233</v>
      </c>
      <c r="F1157" s="5" t="s">
        <v>84</v>
      </c>
      <c r="G1157" s="14" t="str">
        <f t="array" ref="G1157">IF(B1157="", "",
  LET(_xlpm.spell, IFERROR(IF(F1157="", "", INDEX(_xlws.FILTER(Hairstyles!$F:$F, ISNUMBER(SEARCH(F1157, Hairstyles!$B:$B))), 1)), "No Spell for Hairstyle"),
  _xlpm.vanillaPrefix, IF(LEFT(_xlpm.spell, 7)="Uvi_Wig", "", ";"),
  ";" &amp; IF(C1157="", B1157, C1157) &amp; IF(M1157="", "", " ("&amp;M1157&amp;")") &amp; CHAR(10) &amp;
  _xlpm.vanillaPrefix &amp; "Keyword = Uvi_Wig_Distr_KYWD|" &amp; B1157 &amp; CHAR(10) &amp;
  _xlpm.vanillaPrefix &amp; "Spell = " &amp; _xlpm.spell &amp; "|" &amp; B1157
  )
)</f>
        <v>;Odfel
;Keyword = Uvi_Wig_Distr_KYWD|Odfel
;Spell = No Spell for Hairstyle|Odfel</v>
      </c>
    </row>
    <row r="1158" ht="12.75" customHeight="1">
      <c r="A1158" s="5" t="s">
        <v>4361</v>
      </c>
      <c r="B1158" s="5" t="s">
        <v>4362</v>
      </c>
      <c r="C1158" s="5" t="s">
        <v>4362</v>
      </c>
      <c r="D1158" s="5" t="s">
        <v>16</v>
      </c>
      <c r="E1158" s="5" t="s">
        <v>233</v>
      </c>
      <c r="F1158" s="5" t="s">
        <v>475</v>
      </c>
      <c r="G1158" s="14" t="str">
        <f t="array" ref="G1158">IF(B1158="", "",
  LET(_xlpm.spell, IFERROR(IF(F1158="", "", INDEX(_xlws.FILTER(Hairstyles!$F:$F, ISNUMBER(SEARCH(F1158, Hairstyles!$B:$B))), 1)), "No Spell for Hairstyle"),
  _xlpm.vanillaPrefix, IF(LEFT(_xlpm.spell, 7)="Uvi_Wig", "", ";"),
  ";" &amp; IF(C1158="", B1158, C1158) &amp; IF(M1158="", "", " ("&amp;M1158&amp;")") &amp; CHAR(10) &amp;
  _xlpm.vanillaPrefix &amp; "Keyword = Uvi_Wig_Distr_KYWD|" &amp; B1158 &amp; CHAR(10) &amp;
  _xlpm.vanillaPrefix &amp; "Spell = " &amp; _xlpm.spell &amp; "|" &amp; B1158
  )
)</f>
        <v>;Odvan
;Keyword = Uvi_Wig_Distr_KYWD|Odvan
;Spell = No Spell for Hairstyle|Odvan</v>
      </c>
    </row>
    <row r="1159" ht="12.75" customHeight="1">
      <c r="A1159" s="15" t="s">
        <v>4363</v>
      </c>
      <c r="B1159" s="5" t="s">
        <v>4364</v>
      </c>
      <c r="C1159" s="5" t="s">
        <v>4365</v>
      </c>
      <c r="D1159" s="5" t="s">
        <v>38</v>
      </c>
      <c r="E1159" s="5" t="s">
        <v>233</v>
      </c>
      <c r="F1159" s="5" t="s">
        <v>235</v>
      </c>
      <c r="G1159" s="14" t="str">
        <f t="array" ref="G1159">IF(B1159="", "",
  LET(_xlpm.spell, IFERROR(IF(F1159="", "", INDEX(_xlws.FILTER(Hairstyles!$F:$F, ISNUMBER(SEARCH(F1159, Hairstyles!$B:$B))), 1)), "No Spell for Hairstyle"),
  _xlpm.vanillaPrefix, IF(LEFT(_xlpm.spell, 7)="Uvi_Wig", "", ";"),
  ";" &amp; IF(C1159="", B1159, C1159) &amp; IF(M1159="", "", " ("&amp;M1159&amp;")") &amp; CHAR(10) &amp;
  _xlpm.vanillaPrefix &amp; "Keyword = Uvi_Wig_Distr_KYWD|" &amp; B1159 &amp; CHAR(10) &amp;
  _xlpm.vanillaPrefix &amp; "Spell = " &amp; _xlpm.spell &amp; "|" &amp; B1159
  )
)</f>
        <v>;Oengul War-Anvil
;Keyword = Uvi_Wig_Distr_KYWD|Oengul
;Spell = No Spell for Hairstyle|Oengul</v>
      </c>
    </row>
    <row r="1160" ht="12.75" customHeight="1">
      <c r="A1160" s="5" t="s">
        <v>4366</v>
      </c>
      <c r="B1160" s="5" t="s">
        <v>4367</v>
      </c>
      <c r="C1160" s="5" t="s">
        <v>4367</v>
      </c>
      <c r="D1160" s="5" t="s">
        <v>80</v>
      </c>
      <c r="E1160" s="5" t="s">
        <v>233</v>
      </c>
      <c r="F1160" s="5" t="s">
        <v>1876</v>
      </c>
      <c r="G1160" s="14" t="str">
        <f t="array" ref="G1160">IF(B1160="", "",
  LET(_xlpm.spell, IFERROR(IF(F1160="", "", INDEX(_xlws.FILTER(Hairstyles!$F:$F, ISNUMBER(SEARCH(F1160, Hairstyles!$B:$B))), 1)), "No Spell for Hairstyle"),
  _xlpm.vanillaPrefix, IF(LEFT(_xlpm.spell, 7)="Uvi_Wig", "", ";"),
  ";" &amp; IF(C1160="", B1160, C1160) &amp; IF(M1160="", "", " ("&amp;M1160&amp;")") &amp; CHAR(10) &amp;
  _xlpm.vanillaPrefix &amp; "Keyword = Uvi_Wig_Distr_KYWD|" &amp; B1160 &amp; CHAR(10) &amp;
  _xlpm.vanillaPrefix &amp; "Spell = " &amp; _xlpm.spell &amp; "|" &amp; B1160
  )
)</f>
        <v>;Oglub
;Keyword = Uvi_Wig_Distr_KYWD|Oglub
;Spell = No Spell for Hairstyle|Oglub</v>
      </c>
    </row>
    <row r="1161" ht="12.75" customHeight="1">
      <c r="A1161" s="5" t="s">
        <v>4368</v>
      </c>
      <c r="B1161" s="5" t="s">
        <v>4369</v>
      </c>
      <c r="C1161" s="5" t="s">
        <v>4369</v>
      </c>
      <c r="D1161" s="5" t="s">
        <v>38</v>
      </c>
      <c r="E1161" s="5" t="s">
        <v>233</v>
      </c>
      <c r="F1161" s="5" t="s">
        <v>695</v>
      </c>
      <c r="G1161" s="14" t="str">
        <f t="array" ref="G1161">IF(B1161="", "",
  LET(_xlpm.spell, IFERROR(IF(F1161="", "", INDEX(_xlws.FILTER(Hairstyles!$F:$F, ISNUMBER(SEARCH(F1161, Hairstyles!$B:$B))), 1)), "No Spell for Hairstyle"),
  _xlpm.vanillaPrefix, IF(LEFT(_xlpm.spell, 7)="Uvi_Wig", "", ";"),
  ";" &amp; IF(C1161="", B1161, C1161) &amp; IF(M1161="", "", " ("&amp;M1161&amp;")") &amp; CHAR(10) &amp;
  _xlpm.vanillaPrefix &amp; "Keyword = Uvi_Wig_Distr_KYWD|" &amp; B1161 &amp; CHAR(10) &amp;
  _xlpm.vanillaPrefix &amp; "Spell = " &amp; _xlpm.spell &amp; "|" &amp; B1161
  )
)</f>
        <v>;Ogmund
;Keyword = Uvi_Wig_Distr_KYWD|Ogmund
;Spell = No Spell for Hairstyle|Ogmund</v>
      </c>
    </row>
    <row r="1162" ht="12.75" customHeight="1">
      <c r="A1162" s="15" t="s">
        <v>4370</v>
      </c>
      <c r="B1162" s="5" t="s">
        <v>4371</v>
      </c>
      <c r="C1162" s="5" t="s">
        <v>4371</v>
      </c>
      <c r="D1162" s="5" t="s">
        <v>80</v>
      </c>
      <c r="E1162" s="5" t="s">
        <v>233</v>
      </c>
      <c r="F1162" s="5" t="s">
        <v>177</v>
      </c>
      <c r="G1162" s="14" t="str">
        <f t="array" ref="G1162">IF(B1162="", "",
  LET(_xlpm.spell, IFERROR(IF(F1162="", "", INDEX(_xlws.FILTER(Hairstyles!$F:$F, ISNUMBER(SEARCH(F1162, Hairstyles!$B:$B))), 1)), "No Spell for Hairstyle"),
  _xlpm.vanillaPrefix, IF(LEFT(_xlpm.spell, 7)="Uvi_Wig", "", ";"),
  ";" &amp; IF(C1162="", B1162, C1162) &amp; IF(M1162="", "", " ("&amp;M1162&amp;")") &amp; CHAR(10) &amp;
  _xlpm.vanillaPrefix &amp; "Keyword = Uvi_Wig_Distr_KYWD|" &amp; B1162 &amp; CHAR(10) &amp;
  _xlpm.vanillaPrefix &amp; "Spell = " &amp; _xlpm.spell &amp; "|" &amp; B1162
  )
)</f>
        <v>;Ogol
;Keyword = Uvi_Wig_Distr_KYWD|Ogol
;Spell = No Spell for Hairstyle|Ogol</v>
      </c>
    </row>
    <row r="1163" ht="12.75" customHeight="1">
      <c r="A1163" s="5" t="s">
        <v>4372</v>
      </c>
      <c r="B1163" s="5" t="s">
        <v>4373</v>
      </c>
      <c r="C1163" s="5" t="s">
        <v>4374</v>
      </c>
      <c r="D1163" s="5" t="s">
        <v>38</v>
      </c>
      <c r="E1163" s="5" t="s">
        <v>233</v>
      </c>
      <c r="F1163" s="5" t="s">
        <v>521</v>
      </c>
      <c r="G1163" s="14" t="str">
        <f t="array" ref="G1163">IF(B1163="", "",
  LET(_xlpm.spell, IFERROR(IF(F1163="", "", INDEX(_xlws.FILTER(Hairstyles!$F:$F, ISNUMBER(SEARCH(F1163, Hairstyles!$B:$B))), 1)), "No Spell for Hairstyle"),
  _xlpm.vanillaPrefix, IF(LEFT(_xlpm.spell, 7)="Uvi_Wig", "", ";"),
  ";" &amp; IF(C1163="", B1163, C1163) &amp; IF(M1163="", "", " ("&amp;M1163&amp;")") &amp; CHAR(10) &amp;
  _xlpm.vanillaPrefix &amp; "Keyword = Uvi_Wig_Distr_KYWD|" &amp; B1163 &amp; CHAR(10) &amp;
  _xlpm.vanillaPrefix &amp; "Spell = " &amp; _xlpm.spell &amp; "|" &amp; B1163
  )
)</f>
        <v>;Olaf One-Eye
;Keyword = Uvi_Wig_Distr_KYWD|MQ305Olaf
;Spell = No Spell for Hairstyle|MQ305Olaf</v>
      </c>
    </row>
    <row r="1164" ht="12.75" customHeight="1">
      <c r="A1164" s="5" t="s">
        <v>4375</v>
      </c>
      <c r="B1164" s="5" t="s">
        <v>4376</v>
      </c>
      <c r="C1164" s="5" t="s">
        <v>4377</v>
      </c>
      <c r="D1164" s="5" t="s">
        <v>51</v>
      </c>
      <c r="E1164" s="5" t="s">
        <v>41</v>
      </c>
      <c r="F1164" s="5" t="s">
        <v>42</v>
      </c>
      <c r="G1164" s="14" t="str">
        <f t="array" ref="G1164">IF(B1164="", "",
  LET(_xlpm.spell, IFERROR(IF(F1164="", "", INDEX(_xlws.FILTER(Hairstyles!$F:$F, ISNUMBER(SEARCH(F1164, Hairstyles!$B:$B))), 1)), "No Spell for Hairstyle"),
  _xlpm.vanillaPrefix, IF(LEFT(_xlpm.spell, 7)="Uvi_Wig", "", ";"),
  ";" &amp; IF(C1164="", B1164, C1164) &amp; IF(M1164="", "", " ("&amp;M1164&amp;")") &amp; CHAR(10) &amp;
  _xlpm.vanillaPrefix &amp; "Keyword = Uvi_Wig_Distr_KYWD|" &amp; B1164 &amp; CHAR(10) &amp;
  _xlpm.vanillaPrefix &amp; "Spell = " &amp; _xlpm.spell &amp; "|" &amp; B1164
  )
)</f>
        <v>;Olava the Feeble
;Keyword = Uvi_Wig_Distr_KYWD|OlavatheFeeble
;Spell = No Spell for Hairstyle|OlavatheFeeble</v>
      </c>
    </row>
    <row r="1165" ht="12.75" customHeight="1">
      <c r="A1165" s="15" t="s">
        <v>4378</v>
      </c>
      <c r="B1165" s="5" t="s">
        <v>4379</v>
      </c>
      <c r="C1165" s="5" t="s">
        <v>4380</v>
      </c>
      <c r="D1165" s="5" t="s">
        <v>80</v>
      </c>
      <c r="E1165" s="5" t="s">
        <v>233</v>
      </c>
      <c r="F1165" s="5" t="s">
        <v>81</v>
      </c>
      <c r="G1165" s="14" t="str">
        <f t="array" ref="G1165">IF(B1165="", "",
  LET(_xlpm.spell, IFERROR(IF(F1165="", "", INDEX(_xlws.FILTER(Hairstyles!$F:$F, ISNUMBER(SEARCH(F1165, Hairstyles!$B:$B))), 1)), "No Spell for Hairstyle"),
  _xlpm.vanillaPrefix, IF(LEFT(_xlpm.spell, 7)="Uvi_Wig", "", ";"),
  ";" &amp; IF(C1165="", B1165, C1165) &amp; IF(M1165="", "", " ("&amp;M1165&amp;")") &amp; CHAR(10) &amp;
  _xlpm.vanillaPrefix &amp; "Keyword = Uvi_Wig_Distr_KYWD|" &amp; B1165 &amp; CHAR(10) &amp;
  _xlpm.vanillaPrefix &amp; "Spell = " &amp; _xlpm.spell &amp; "|" &amp; B1165
  )
)</f>
        <v>;Old Orc
;Keyword = Uvi_Wig_Distr_KYWD|WE24Orc
;Spell = No Spell for Hairstyle|WE24Orc</v>
      </c>
    </row>
    <row r="1166" ht="12.75" customHeight="1">
      <c r="A1166" s="5" t="s">
        <v>4381</v>
      </c>
      <c r="B1166" s="5" t="s">
        <v>4382</v>
      </c>
      <c r="C1166" s="5" t="s">
        <v>4382</v>
      </c>
      <c r="D1166" s="5" t="s">
        <v>38</v>
      </c>
      <c r="E1166" s="5" t="s">
        <v>41</v>
      </c>
      <c r="F1166" s="5" t="s">
        <v>2912</v>
      </c>
      <c r="G1166" s="14" t="str">
        <f t="array" ref="G1166">IF(B1166="", "",
  LET(_xlpm.spell, IFERROR(IF(F1166="", "", INDEX(_xlws.FILTER(Hairstyles!$F:$F, ISNUMBER(SEARCH(F1166, Hairstyles!$B:$B))), 1)), "No Spell for Hairstyle"),
  _xlpm.vanillaPrefix, IF(LEFT(_xlpm.spell, 7)="Uvi_Wig", "", ";"),
  ";" &amp; IF(C1166="", B1166, C1166) &amp; IF(M1166="", "", " ("&amp;M1166&amp;")") &amp; CHAR(10) &amp;
  _xlpm.vanillaPrefix &amp; "Keyword = Uvi_Wig_Distr_KYWD|" &amp; B1166 &amp; CHAR(10) &amp;
  _xlpm.vanillaPrefix &amp; "Spell = " &amp; _xlpm.spell &amp; "|" &amp; B1166
  )
)</f>
        <v>;Olda
;Keyword = Uvi_Wig_Distr_KYWD|Olda
;Spell = No Spell for Hairstyle|Olda</v>
      </c>
    </row>
    <row r="1167" ht="12.75" customHeight="1">
      <c r="A1167" s="5" t="s">
        <v>4383</v>
      </c>
      <c r="B1167" s="5" t="s">
        <v>4384</v>
      </c>
      <c r="C1167" s="5" t="s">
        <v>4385</v>
      </c>
      <c r="D1167" s="5" t="s">
        <v>38</v>
      </c>
      <c r="E1167" s="5" t="s">
        <v>41</v>
      </c>
      <c r="F1167" s="5" t="s">
        <v>270</v>
      </c>
      <c r="G1167" s="14" t="str">
        <f t="array" ref="G1167">IF(B1167="", "",
  LET(_xlpm.spell, IFERROR(IF(F1167="", "", INDEX(_xlws.FILTER(Hairstyles!$F:$F, ISNUMBER(SEARCH(F1167, Hairstyles!$B:$B))), 1)), "No Spell for Hairstyle"),
  _xlpm.vanillaPrefix, IF(LEFT(_xlpm.spell, 7)="Uvi_Wig", "", ";"),
  ";" &amp; IF(C1167="", B1167, C1167) &amp; IF(M1167="", "", " ("&amp;M1167&amp;")") &amp; CHAR(10) &amp;
  _xlpm.vanillaPrefix &amp; "Keyword = Uvi_Wig_Distr_KYWD|" &amp; B1167 &amp; CHAR(10) &amp;
  _xlpm.vanillaPrefix &amp; "Spell = " &amp; _xlpm.spell &amp; "|" &amp; B1167
  )
)</f>
        <v>;Olfina Gray-Mane
;Keyword = Uvi_Wig_Distr_KYWD|OlfinaGrayMane
;Spell = No Spell for Hairstyle|OlfinaGrayMane</v>
      </c>
    </row>
    <row r="1168" ht="12.75" customHeight="1">
      <c r="A1168" s="5" t="s">
        <v>4386</v>
      </c>
      <c r="B1168" s="5" t="s">
        <v>4387</v>
      </c>
      <c r="C1168" s="5" t="s">
        <v>4388</v>
      </c>
      <c r="D1168" s="5" t="s">
        <v>38</v>
      </c>
      <c r="E1168" s="5" t="s">
        <v>233</v>
      </c>
      <c r="F1168" s="5" t="s">
        <v>68</v>
      </c>
      <c r="G1168" s="14" t="str">
        <f t="array" ref="G1168">IF(B1168="", "",
  LET(_xlpm.spell, IFERROR(IF(F1168="", "", INDEX(_xlws.FILTER(Hairstyles!$F:$F, ISNUMBER(SEARCH(F1168, Hairstyles!$B:$B))), 1)), "No Spell for Hairstyle"),
  _xlpm.vanillaPrefix, IF(LEFT(_xlpm.spell, 7)="Uvi_Wig", "", ";"),
  ";" &amp; IF(C1168="", B1168, C1168) &amp; IF(M1168="", "", " ("&amp;M1168&amp;")") &amp; CHAR(10) &amp;
  _xlpm.vanillaPrefix &amp; "Keyword = Uvi_Wig_Distr_KYWD|" &amp; B1168 &amp; CHAR(10) &amp;
  _xlpm.vanillaPrefix &amp; "Spell = " &amp; _xlpm.spell &amp; "|" &amp; B1168
  )
)</f>
        <v>;Olfrid Battle-Born
;Keyword = Uvi_Wig_Distr_KYWD|OlfridBattleBorn
;Spell = No Spell for Hairstyle|OlfridBattleBorn</v>
      </c>
    </row>
    <row r="1169" ht="12.75" customHeight="1">
      <c r="A1169" s="5" t="s">
        <v>4389</v>
      </c>
      <c r="B1169" s="5" t="s">
        <v>4390</v>
      </c>
      <c r="C1169" s="5" t="s">
        <v>4391</v>
      </c>
      <c r="D1169" s="5" t="s">
        <v>38</v>
      </c>
      <c r="E1169" s="5" t="s">
        <v>233</v>
      </c>
      <c r="F1169" s="5" t="s">
        <v>19</v>
      </c>
      <c r="G1169" s="14" t="str">
        <f t="array" ref="G1169">IF(B1169="", "",
  LET(_xlpm.spell, IFERROR(IF(F1169="", "", INDEX(_xlws.FILTER(Hairstyles!$F:$F, ISNUMBER(SEARCH(F1169, Hairstyles!$B:$B))), 1)), "No Spell for Hairstyle"),
  _xlpm.vanillaPrefix, IF(LEFT(_xlpm.spell, 7)="Uvi_Wig", "", ";"),
  ";" &amp; IF(C1169="", B1169, C1169) &amp; IF(M1169="", "", " ("&amp;M1169&amp;")") &amp; CHAR(10) &amp;
  _xlpm.vanillaPrefix &amp; "Keyword = Uvi_Wig_Distr_KYWD|" &amp; B1169 &amp; CHAR(10) &amp;
  _xlpm.vanillaPrefix &amp; "Spell = " &amp; _xlpm.spell &amp; "|" &amp; B1169
  )
)</f>
        <v>;Ollrod
;Keyword = Uvi_Wig_Distr_KYWD|DLC1DawnguardExterior03
;Spell = No Spell for Hairstyle|DLC1DawnguardExterior03</v>
      </c>
    </row>
    <row r="1170" ht="12.75" customHeight="1">
      <c r="A1170" s="5" t="s">
        <v>4392</v>
      </c>
      <c r="B1170" s="5" t="s">
        <v>4393</v>
      </c>
      <c r="C1170" s="5" t="s">
        <v>4393</v>
      </c>
      <c r="D1170" s="5" t="s">
        <v>80</v>
      </c>
      <c r="E1170" s="5" t="s">
        <v>233</v>
      </c>
      <c r="F1170" s="5" t="s">
        <v>378</v>
      </c>
      <c r="G1170" s="14" t="str">
        <f t="array" ref="G1170">IF(B1170="", "",
  LET(_xlpm.spell, IFERROR(IF(F1170="", "", INDEX(_xlws.FILTER(Hairstyles!$F:$F, ISNUMBER(SEARCH(F1170, Hairstyles!$B:$B))), 1)), "No Spell for Hairstyle"),
  _xlpm.vanillaPrefix, IF(LEFT(_xlpm.spell, 7)="Uvi_Wig", "", ";"),
  ";" &amp; IF(C1170="", B1170, C1170) &amp; IF(M1170="", "", " ("&amp;M1170&amp;")") &amp; CHAR(10) &amp;
  _xlpm.vanillaPrefix &amp; "Keyword = Uvi_Wig_Distr_KYWD|" &amp; B1170 &amp; CHAR(10) &amp;
  _xlpm.vanillaPrefix &amp; "Spell = " &amp; _xlpm.spell &amp; "|" &amp; B1170
  )
)</f>
        <v>;Olur
;Keyword = Uvi_Wig_Distr_KYWD|Olur
;Spell = No Spell for Hairstyle|Olur</v>
      </c>
    </row>
    <row r="1171" ht="12.75" customHeight="1">
      <c r="A1171" s="5" t="s">
        <v>4394</v>
      </c>
      <c r="B1171" s="5" t="s">
        <v>4395</v>
      </c>
      <c r="C1171" s="5" t="s">
        <v>4395</v>
      </c>
      <c r="D1171" s="5" t="s">
        <v>16</v>
      </c>
      <c r="E1171" s="5" t="s">
        <v>233</v>
      </c>
      <c r="F1171" s="5" t="s">
        <v>68</v>
      </c>
      <c r="G1171" s="14" t="str">
        <f t="array" ref="G1171">IF(B1171="", "",
  LET(_xlpm.spell, IFERROR(IF(F1171="", "", INDEX(_xlws.FILTER(Hairstyles!$F:$F, ISNUMBER(SEARCH(F1171, Hairstyles!$B:$B))), 1)), "No Spell for Hairstyle"),
  _xlpm.vanillaPrefix, IF(LEFT(_xlpm.spell, 7)="Uvi_Wig", "", ";"),
  ";" &amp; IF(C1171="", B1171, C1171) &amp; IF(M1171="", "", " ("&amp;M1171&amp;")") &amp; CHAR(10) &amp;
  _xlpm.vanillaPrefix &amp; "Keyword = Uvi_Wig_Distr_KYWD|" &amp; B1171 &amp; CHAR(10) &amp;
  _xlpm.vanillaPrefix &amp; "Spell = " &amp; _xlpm.spell &amp; "|" &amp; B1171
  )
)</f>
        <v>;Omluag
;Keyword = Uvi_Wig_Distr_KYWD|Omluag
;Spell = No Spell for Hairstyle|Omluag</v>
      </c>
    </row>
    <row r="1172" ht="12.75" customHeight="1">
      <c r="A1172" s="5" t="s">
        <v>4396</v>
      </c>
      <c r="B1172" s="5" t="s">
        <v>4397</v>
      </c>
      <c r="C1172" s="5" t="s">
        <v>4397</v>
      </c>
      <c r="D1172" s="5" t="s">
        <v>57</v>
      </c>
      <c r="E1172" s="5" t="s">
        <v>233</v>
      </c>
      <c r="F1172" s="5" t="s">
        <v>1541</v>
      </c>
      <c r="G1172" s="14" t="str">
        <f t="array" ref="G1172">IF(B1172="", "",
  LET(_xlpm.spell, IFERROR(IF(F1172="", "", INDEX(_xlws.FILTER(Hairstyles!$F:$F, ISNUMBER(SEARCH(F1172, Hairstyles!$B:$B))), 1)), "No Spell for Hairstyle"),
  _xlpm.vanillaPrefix, IF(LEFT(_xlpm.spell, 7)="Uvi_Wig", "", ";"),
  ";" &amp; IF(C1172="", B1172, C1172) &amp; IF(M1172="", "", " ("&amp;M1172&amp;")") &amp; CHAR(10) &amp;
  _xlpm.vanillaPrefix &amp; "Keyword = Uvi_Wig_Distr_KYWD|" &amp; B1172 &amp; CHAR(10) &amp;
  _xlpm.vanillaPrefix &amp; "Spell = " &amp; _xlpm.spell &amp; "|" &amp; B1172
  )
)</f>
        <v>;Ondolemar
;Keyword = Uvi_Wig_Distr_KYWD|Ondolemar
;Spell = No Spell for Hairstyle|Ondolemar</v>
      </c>
    </row>
    <row r="1173" ht="12.75" customHeight="1">
      <c r="A1173" s="5" t="s">
        <v>4398</v>
      </c>
      <c r="B1173" s="5" t="s">
        <v>4399</v>
      </c>
      <c r="C1173" s="5" t="s">
        <v>4399</v>
      </c>
      <c r="D1173" s="5" t="s">
        <v>38</v>
      </c>
      <c r="E1173" s="5" t="s">
        <v>233</v>
      </c>
      <c r="F1173" s="5" t="s">
        <v>68</v>
      </c>
      <c r="G1173" s="14" t="str">
        <f t="array" ref="G1173">IF(B1173="", "",
  LET(_xlpm.spell, IFERROR(IF(F1173="", "", INDEX(_xlws.FILTER(Hairstyles!$F:$F, ISNUMBER(SEARCH(F1173, Hairstyles!$B:$B))), 1)), "No Spell for Hairstyle"),
  _xlpm.vanillaPrefix, IF(LEFT(_xlpm.spell, 7)="Uvi_Wig", "", ";"),
  ";" &amp; IF(C1173="", B1173, C1173) &amp; IF(M1173="", "", " ("&amp;M1173&amp;")") &amp; CHAR(10) &amp;
  _xlpm.vanillaPrefix &amp; "Keyword = Uvi_Wig_Distr_KYWD|" &amp; B1173 &amp; CHAR(10) &amp;
  _xlpm.vanillaPrefix &amp; "Spell = " &amp; _xlpm.spell &amp; "|" &amp; B1173
  )
)</f>
        <v>;Onmund
;Keyword = Uvi_Wig_Distr_KYWD|Onmund
;Spell = No Spell for Hairstyle|Onmund</v>
      </c>
    </row>
    <row r="1174" ht="12.75" customHeight="1">
      <c r="A1174" s="5" t="s">
        <v>4400</v>
      </c>
      <c r="B1174" s="5" t="s">
        <v>4401</v>
      </c>
      <c r="C1174" s="5" t="s">
        <v>80</v>
      </c>
      <c r="D1174" s="5" t="s">
        <v>80</v>
      </c>
      <c r="E1174" s="5" t="s">
        <v>233</v>
      </c>
      <c r="F1174" s="5" t="s">
        <v>537</v>
      </c>
      <c r="G1174" s="14" t="str">
        <f t="array" ref="G1174">IF(B1174="", "",
  LET(_xlpm.spell, IFERROR(IF(F1174="", "", INDEX(_xlws.FILTER(Hairstyles!$F:$F, ISNUMBER(SEARCH(F1174, Hairstyles!$B:$B))), 1)), "No Spell for Hairstyle"),
  _xlpm.vanillaPrefix, IF(LEFT(_xlpm.spell, 7)="Uvi_Wig", "", ";"),
  ";" &amp; IF(C1174="", B1174, C1174) &amp; IF(M1174="", "", " ("&amp;M1174&amp;")") &amp; CHAR(10) &amp;
  _xlpm.vanillaPrefix &amp; "Keyword = Uvi_Wig_Distr_KYWD|" &amp; B1174 &amp; CHAR(10) &amp;
  _xlpm.vanillaPrefix &amp; "Spell = " &amp; _xlpm.spell &amp; "|" &amp; B1174
  )
)</f>
        <v>;Orc
;Keyword = Uvi_Wig_Distr_KYWD|DA06LvlOrcMelee
;Spell = No Spell for Hairstyle|DA06LvlOrcMelee</v>
      </c>
    </row>
    <row r="1175" ht="12.75" customHeight="1">
      <c r="A1175" s="15" t="s">
        <v>4402</v>
      </c>
      <c r="B1175" s="5" t="s">
        <v>4403</v>
      </c>
      <c r="C1175" s="5" t="s">
        <v>80</v>
      </c>
      <c r="D1175" s="5" t="s">
        <v>80</v>
      </c>
      <c r="E1175" s="5" t="s">
        <v>41</v>
      </c>
      <c r="F1175" s="5" t="s">
        <v>449</v>
      </c>
      <c r="G1175" s="14" t="str">
        <f t="array" ref="G1175">IF(B1175="", "",
  LET(_xlpm.spell, IFERROR(IF(F1175="", "", INDEX(_xlws.FILTER(Hairstyles!$F:$F, ISNUMBER(SEARCH(F1175, Hairstyles!$B:$B))), 1)), "No Spell for Hairstyle"),
  _xlpm.vanillaPrefix, IF(LEFT(_xlpm.spell, 7)="Uvi_Wig", "", ";"),
  ";" &amp; IF(C1175="", B1175, C1175) &amp; IF(M1175="", "", " ("&amp;M1175&amp;")") &amp; CHAR(10) &amp;
  _xlpm.vanillaPrefix &amp; "Keyword = Uvi_Wig_Distr_KYWD|" &amp; B1175 &amp; CHAR(10) &amp;
  _xlpm.vanillaPrefix &amp; "Spell = " &amp; _xlpm.spell &amp; "|" &amp; B1175
  )
)</f>
        <v>;Orc
;Keyword = Uvi_Wig_Distr_KYWD|TreasCorpseCommonerOrcFemale
;Spell = No Spell for Hairstyle|TreasCorpseCommonerOrcFemale</v>
      </c>
    </row>
    <row r="1176" ht="12.75" customHeight="1">
      <c r="A1176" s="5" t="s">
        <v>4404</v>
      </c>
      <c r="B1176" s="5" t="s">
        <v>4405</v>
      </c>
      <c r="C1176" s="5" t="s">
        <v>80</v>
      </c>
      <c r="D1176" s="5" t="s">
        <v>80</v>
      </c>
      <c r="E1176" s="5" t="s">
        <v>233</v>
      </c>
      <c r="F1176" s="5" t="s">
        <v>458</v>
      </c>
      <c r="G1176" s="14" t="str">
        <f t="array" ref="G1176">IF(B1176="", "",
  LET(_xlpm.spell, IFERROR(IF(F1176="", "", INDEX(_xlws.FILTER(Hairstyles!$F:$F, ISNUMBER(SEARCH(F1176, Hairstyles!$B:$B))), 1)), "No Spell for Hairstyle"),
  _xlpm.vanillaPrefix, IF(LEFT(_xlpm.spell, 7)="Uvi_Wig", "", ";"),
  ";" &amp; IF(C1176="", B1176, C1176) &amp; IF(M1176="", "", " ("&amp;M1176&amp;")") &amp; CHAR(10) &amp;
  _xlpm.vanillaPrefix &amp; "Keyword = Uvi_Wig_Distr_KYWD|" &amp; B1176 &amp; CHAR(10) &amp;
  _xlpm.vanillaPrefix &amp; "Spell = " &amp; _xlpm.spell &amp; "|" &amp; B1176
  )
)</f>
        <v>;Orc
;Keyword = Uvi_Wig_Distr_KYWD|TreasCorpseCommonerOrcMale
;Spell = No Spell for Hairstyle|TreasCorpseCommonerOrcMale</v>
      </c>
    </row>
    <row r="1177" ht="12.75" customHeight="1">
      <c r="A1177" s="15" t="s">
        <v>4406</v>
      </c>
      <c r="B1177" s="5" t="s">
        <v>4407</v>
      </c>
      <c r="C1177" s="5" t="s">
        <v>80</v>
      </c>
      <c r="D1177" s="5" t="s">
        <v>80</v>
      </c>
      <c r="E1177" s="5" t="s">
        <v>41</v>
      </c>
      <c r="F1177" s="5" t="s">
        <v>522</v>
      </c>
      <c r="G1177" s="14" t="str">
        <f t="array" ref="G1177">IF(B1177="", "",
  LET(_xlpm.spell, IFERROR(IF(F1177="", "", INDEX(_xlws.FILTER(Hairstyles!$F:$F, ISNUMBER(SEARCH(F1177, Hairstyles!$B:$B))), 1)), "No Spell for Hairstyle"),
  _xlpm.vanillaPrefix, IF(LEFT(_xlpm.spell, 7)="Uvi_Wig", "", ";"),
  ";" &amp; IF(C1177="", B1177, C1177) &amp; IF(M1177="", "", " ("&amp;M1177&amp;")") &amp; CHAR(10) &amp;
  _xlpm.vanillaPrefix &amp; "Keyword = Uvi_Wig_Distr_KYWD|" &amp; B1177 &amp; CHAR(10) &amp;
  _xlpm.vanillaPrefix &amp; "Spell = " &amp; _xlpm.spell &amp; "|" &amp; B1177
  )
)</f>
        <v>;Orc
;Keyword = Uvi_Wig_Distr_KYWD|WEAdventurerBerserkerOrcF
;Spell = No Spell for Hairstyle|WEAdventurerBerserkerOrcF</v>
      </c>
    </row>
    <row r="1178" ht="12.75" customHeight="1">
      <c r="A1178" s="15" t="s">
        <v>4408</v>
      </c>
      <c r="B1178" s="5" t="s">
        <v>4409</v>
      </c>
      <c r="C1178" s="5" t="s">
        <v>80</v>
      </c>
      <c r="D1178" s="5" t="s">
        <v>80</v>
      </c>
      <c r="E1178" s="5" t="s">
        <v>41</v>
      </c>
      <c r="F1178" s="5" t="s">
        <v>449</v>
      </c>
      <c r="G1178" s="14" t="str">
        <f t="array" ref="G1178">IF(B1178="", "",
  LET(_xlpm.spell, IFERROR(IF(F1178="", "", INDEX(_xlws.FILTER(Hairstyles!$F:$F, ISNUMBER(SEARCH(F1178, Hairstyles!$B:$B))), 1)), "No Spell for Hairstyle"),
  _xlpm.vanillaPrefix, IF(LEFT(_xlpm.spell, 7)="Uvi_Wig", "", ";"),
  ";" &amp; IF(C1178="", B1178, C1178) &amp; IF(M1178="", "", " ("&amp;M1178&amp;")") &amp; CHAR(10) &amp;
  _xlpm.vanillaPrefix &amp; "Keyword = Uvi_Wig_Distr_KYWD|" &amp; B1178 &amp; CHAR(10) &amp;
  _xlpm.vanillaPrefix &amp; "Spell = " &amp; _xlpm.spell &amp; "|" &amp; B1178
  )
)</f>
        <v>;Orc
;Keyword = Uvi_Wig_Distr_KYWD|WEAdventurerBrawlerOrcF
;Spell = No Spell for Hairstyle|WEAdventurerBrawlerOrcF</v>
      </c>
    </row>
    <row r="1179" ht="12.75" customHeight="1">
      <c r="A1179" s="5" t="s">
        <v>4410</v>
      </c>
      <c r="B1179" s="5" t="s">
        <v>4411</v>
      </c>
      <c r="C1179" s="5" t="s">
        <v>80</v>
      </c>
      <c r="D1179" s="5" t="s">
        <v>80</v>
      </c>
      <c r="E1179" s="5" t="s">
        <v>233</v>
      </c>
      <c r="F1179" s="5" t="s">
        <v>528</v>
      </c>
      <c r="G1179" s="14" t="str">
        <f t="array" ref="G1179">IF(B1179="", "",
  LET(_xlpm.spell, IFERROR(IF(F1179="", "", INDEX(_xlws.FILTER(Hairstyles!$F:$F, ISNUMBER(SEARCH(F1179, Hairstyles!$B:$B))), 1)), "No Spell for Hairstyle"),
  _xlpm.vanillaPrefix, IF(LEFT(_xlpm.spell, 7)="Uvi_Wig", "", ";"),
  ";" &amp; IF(C1179="", B1179, C1179) &amp; IF(M1179="", "", " ("&amp;M1179&amp;")") &amp; CHAR(10) &amp;
  _xlpm.vanillaPrefix &amp; "Keyword = Uvi_Wig_Distr_KYWD|" &amp; B1179 &amp; CHAR(10) &amp;
  _xlpm.vanillaPrefix &amp; "Spell = " &amp; _xlpm.spell &amp; "|" &amp; B1179
  )
)</f>
        <v>;Orc
;Keyword = Uvi_Wig_Distr_KYWD|WEAdventurerBrawlerOrcM
;Spell = No Spell for Hairstyle|WEAdventurerBrawlerOrcM</v>
      </c>
    </row>
    <row r="1180" ht="12.75" customHeight="1">
      <c r="A1180" s="15" t="s">
        <v>4412</v>
      </c>
      <c r="B1180" s="5" t="s">
        <v>4413</v>
      </c>
      <c r="C1180" s="5" t="s">
        <v>80</v>
      </c>
      <c r="D1180" s="5" t="s">
        <v>80</v>
      </c>
      <c r="E1180" s="5" t="s">
        <v>41</v>
      </c>
      <c r="F1180" s="5" t="s">
        <v>395</v>
      </c>
      <c r="G1180" s="14" t="str">
        <f t="array" ref="G1180">IF(B1180="", "",
  LET(_xlpm.spell, IFERROR(IF(F1180="", "", INDEX(_xlws.FILTER(Hairstyles!$F:$F, ISNUMBER(SEARCH(F1180, Hairstyles!$B:$B))), 1)), "No Spell for Hairstyle"),
  _xlpm.vanillaPrefix, IF(LEFT(_xlpm.spell, 7)="Uvi_Wig", "", ";"),
  ";" &amp; IF(C1180="", B1180, C1180) &amp; IF(M1180="", "", " ("&amp;M1180&amp;")") &amp; CHAR(10) &amp;
  _xlpm.vanillaPrefix &amp; "Keyword = Uvi_Wig_Distr_KYWD|" &amp; B1180 &amp; CHAR(10) &amp;
  _xlpm.vanillaPrefix &amp; "Spell = " &amp; _xlpm.spell &amp; "|" &amp; B1180
  )
)</f>
        <v>;Orc
;Keyword = Uvi_Wig_Distr_KYWD|WEAdventurerWarriorOrcF
;Spell = No Spell for Hairstyle|WEAdventurerWarriorOrcF</v>
      </c>
    </row>
    <row r="1181" ht="12.75" customHeight="1">
      <c r="A1181" s="5" t="s">
        <v>4414</v>
      </c>
      <c r="B1181" s="5" t="s">
        <v>4415</v>
      </c>
      <c r="C1181" s="5" t="s">
        <v>80</v>
      </c>
      <c r="D1181" s="5" t="s">
        <v>80</v>
      </c>
      <c r="E1181" s="5" t="s">
        <v>233</v>
      </c>
      <c r="F1181" s="5" t="s">
        <v>452</v>
      </c>
      <c r="G1181" s="14" t="str">
        <f t="array" ref="G1181">IF(B1181="", "",
  LET(_xlpm.spell, IFERROR(IF(F1181="", "", INDEX(_xlws.FILTER(Hairstyles!$F:$F, ISNUMBER(SEARCH(F1181, Hairstyles!$B:$B))), 1)), "No Spell for Hairstyle"),
  _xlpm.vanillaPrefix, IF(LEFT(_xlpm.spell, 7)="Uvi_Wig", "", ";"),
  ";" &amp; IF(C1181="", B1181, C1181) &amp; IF(M1181="", "", " ("&amp;M1181&amp;")") &amp; CHAR(10) &amp;
  _xlpm.vanillaPrefix &amp; "Keyword = Uvi_Wig_Distr_KYWD|" &amp; B1181 &amp; CHAR(10) &amp;
  _xlpm.vanillaPrefix &amp; "Spell = " &amp; _xlpm.spell &amp; "|" &amp; B1181
  )
)</f>
        <v>;Orc
;Keyword = Uvi_Wig_Distr_KYWD|WEAdventurerWarriorOrcM
;Spell = No Spell for Hairstyle|WEAdventurerWarriorOrcM</v>
      </c>
    </row>
    <row r="1182" ht="12.75" customHeight="1">
      <c r="A1182" s="5" t="s">
        <v>4416</v>
      </c>
      <c r="B1182" s="5" t="s">
        <v>4417</v>
      </c>
      <c r="C1182" s="5" t="s">
        <v>4418</v>
      </c>
      <c r="D1182" s="5" t="s">
        <v>80</v>
      </c>
      <c r="E1182" s="5" t="s">
        <v>233</v>
      </c>
      <c r="F1182" s="5" t="s">
        <v>1876</v>
      </c>
      <c r="G1182" s="14" t="str">
        <f t="array" ref="G1182">IF(B1182="", "",
  LET(_xlpm.spell, IFERROR(IF(F1182="", "", INDEX(_xlws.FILTER(Hairstyles!$F:$F, ISNUMBER(SEARCH(F1182, Hairstyles!$B:$B))), 1)), "No Spell for Hairstyle"),
  _xlpm.vanillaPrefix, IF(LEFT(_xlpm.spell, 7)="Uvi_Wig", "", ";"),
  ";" &amp; IF(C1182="", B1182, C1182) &amp; IF(M1182="", "", " ("&amp;M1182&amp;")") &amp; CHAR(10) &amp;
  _xlpm.vanillaPrefix &amp; "Keyword = Uvi_Wig_Distr_KYWD|" &amp; B1182 &amp; CHAR(10) &amp;
  _xlpm.vanillaPrefix &amp; "Spell = " &amp; _xlpm.spell &amp; "|" &amp; B1182
  )
)</f>
        <v>;Orc Hunter
;Keyword = Uvi_Wig_Distr_KYWD|EncOrcHunterTemplate
;Spell = No Spell for Hairstyle|EncOrcHunterTemplate</v>
      </c>
    </row>
    <row r="1183" ht="12.75" customHeight="1">
      <c r="A1183" s="5" t="s">
        <v>4419</v>
      </c>
      <c r="B1183" s="5" t="s">
        <v>4420</v>
      </c>
      <c r="C1183" s="5" t="s">
        <v>4421</v>
      </c>
      <c r="D1183" s="5" t="s">
        <v>90</v>
      </c>
      <c r="E1183" s="5" t="s">
        <v>233</v>
      </c>
      <c r="F1183" s="5" t="s">
        <v>2612</v>
      </c>
      <c r="G1183" s="14" t="str">
        <f t="array" ref="G1183">IF(B1183="", "",
  LET(_xlpm.spell, IFERROR(IF(F1183="", "", INDEX(_xlws.FILTER(Hairstyles!$F:$F, ISNUMBER(SEARCH(F1183, Hairstyles!$B:$B))), 1)), "No Spell for Hairstyle"),
  _xlpm.vanillaPrefix, IF(LEFT(_xlpm.spell, 7)="Uvi_Wig", "", ";"),
  ";" &amp; IF(C1183="", B1183, C1183) &amp; IF(M1183="", "", " ("&amp;M1183&amp;")") &amp; CHAR(10) &amp;
  _xlpm.vanillaPrefix &amp; "Keyword = Uvi_Wig_Distr_KYWD|" &amp; B1183 &amp; CHAR(10) &amp;
  _xlpm.vanillaPrefix &amp; "Spell = " &amp; _xlpm.spell &amp; "|" &amp; B1183
  )
)</f>
        <v>;Orchendor
;Keyword = Uvi_Wig_Distr_KYWD|DA13Orchendor
;Spell = No Spell for Hairstyle|DA13Orchendor</v>
      </c>
    </row>
    <row r="1184" ht="12.75" customHeight="1">
      <c r="A1184" s="15" t="s">
        <v>4422</v>
      </c>
      <c r="B1184" s="5" t="s">
        <v>4423</v>
      </c>
      <c r="C1184" s="5" t="s">
        <v>4423</v>
      </c>
      <c r="D1184" s="5" t="s">
        <v>38</v>
      </c>
      <c r="E1184" s="5" t="s">
        <v>233</v>
      </c>
      <c r="F1184" s="5" t="s">
        <v>695</v>
      </c>
      <c r="G1184" s="14" t="str">
        <f t="array" ref="G1184">IF(B1184="", "",
  LET(_xlpm.spell, IFERROR(IF(F1184="", "", INDEX(_xlws.FILTER(Hairstyles!$F:$F, ISNUMBER(SEARCH(F1184, Hairstyles!$B:$B))), 1)), "No Spell for Hairstyle"),
  _xlpm.vanillaPrefix, IF(LEFT(_xlpm.spell, 7)="Uvi_Wig", "", ";"),
  ";" &amp; IF(C1184="", B1184, C1184) &amp; IF(M1184="", "", " ("&amp;M1184&amp;")") &amp; CHAR(10) &amp;
  _xlpm.vanillaPrefix &amp; "Keyword = Uvi_Wig_Distr_KYWD|" &amp; B1184 &amp; CHAR(10) &amp;
  _xlpm.vanillaPrefix &amp; "Spell = " &amp; _xlpm.spell &amp; "|" &amp; B1184
  )
)</f>
        <v>;Orgnar
;Keyword = Uvi_Wig_Distr_KYWD|Orgnar
;Spell = No Spell for Hairstyle|Orgnar</v>
      </c>
    </row>
    <row r="1185" ht="12.75" customHeight="1">
      <c r="A1185" s="15" t="s">
        <v>4424</v>
      </c>
      <c r="B1185" s="5" t="s">
        <v>4425</v>
      </c>
      <c r="C1185" s="5" t="s">
        <v>4426</v>
      </c>
      <c r="D1185" s="5" t="s">
        <v>38</v>
      </c>
      <c r="E1185" s="5" t="s">
        <v>41</v>
      </c>
      <c r="F1185" s="5" t="s">
        <v>281</v>
      </c>
      <c r="G1185" s="14" t="str">
        <f t="array" ref="G1185">IF(B1185="", "",
  LET(_xlpm.spell, IFERROR(IF(F1185="", "", INDEX(_xlws.FILTER(Hairstyles!$F:$F, ISNUMBER(SEARCH(F1185, Hairstyles!$B:$B))), 1)), "No Spell for Hairstyle"),
  _xlpm.vanillaPrefix, IF(LEFT(_xlpm.spell, 7)="Uvi_Wig", "", ";"),
  ";" &amp; IF(C1185="", B1185, C1185) &amp; IF(M1185="", "", " ("&amp;M1185&amp;")") &amp; CHAR(10) &amp;
  _xlpm.vanillaPrefix &amp; "Keyword = Uvi_Wig_Distr_KYWD|" &amp; B1185 &amp; CHAR(10) &amp;
  _xlpm.vanillaPrefix &amp; "Spell = " &amp; _xlpm.spell &amp; "|" &amp; B1185
  )
)</f>
        <v>;Oriella
;Keyword = Uvi_Wig_Distr_KYWD|BYOHHouse3Bard
;Spell = No Spell for Hairstyle|BYOHHouse3Bard</v>
      </c>
    </row>
    <row r="1186" ht="12.75" customHeight="1">
      <c r="A1186" s="5" t="s">
        <v>4427</v>
      </c>
      <c r="B1186" s="5" t="s">
        <v>4428</v>
      </c>
      <c r="C1186" s="5" t="s">
        <v>4429</v>
      </c>
      <c r="D1186" s="5" t="s">
        <v>45</v>
      </c>
      <c r="E1186" s="5" t="s">
        <v>233</v>
      </c>
      <c r="F1186" s="5" t="s">
        <v>1541</v>
      </c>
      <c r="G1186" s="14" t="str">
        <f t="array" ref="G1186">IF(B1186="", "",
  LET(_xlpm.spell, IFERROR(IF(F1186="", "", INDEX(_xlws.FILTER(Hairstyles!$F:$F, ISNUMBER(SEARCH(F1186, Hairstyles!$B:$B))), 1)), "No Spell for Hairstyle"),
  _xlpm.vanillaPrefix, IF(LEFT(_xlpm.spell, 7)="Uvi_Wig", "", ";"),
  ";" &amp; IF(C1186="", B1186, C1186) &amp; IF(M1186="", "", " ("&amp;M1186&amp;")") &amp; CHAR(10) &amp;
  _xlpm.vanillaPrefix &amp; "Keyword = Uvi_Wig_Distr_KYWD|" &amp; B1186 &amp; CHAR(10) &amp;
  _xlpm.vanillaPrefix &amp; "Spell = " &amp; _xlpm.spell &amp; "|" &amp; B1186
  )
)</f>
        <v>;Orini Dral
;Keyword = Uvi_Wig_Distr_KYWD|OriniDral
;Spell = No Spell for Hairstyle|OriniDral</v>
      </c>
    </row>
    <row r="1187" ht="12.75" customHeight="1">
      <c r="A1187" s="5" t="s">
        <v>4430</v>
      </c>
      <c r="B1187" s="5" t="s">
        <v>4431</v>
      </c>
      <c r="C1187" s="5" t="s">
        <v>4431</v>
      </c>
      <c r="D1187" s="5" t="s">
        <v>38</v>
      </c>
      <c r="E1187" s="5" t="s">
        <v>41</v>
      </c>
      <c r="F1187" s="5" t="s">
        <v>1596</v>
      </c>
      <c r="G1187" s="14" t="str">
        <f t="array" ref="G1187">IF(B1187="", "",
  LET(_xlpm.spell, IFERROR(IF(F1187="", "", INDEX(_xlws.FILTER(Hairstyles!$F:$F, ISNUMBER(SEARCH(F1187, Hairstyles!$B:$B))), 1)), "No Spell for Hairstyle"),
  _xlpm.vanillaPrefix, IF(LEFT(_xlpm.spell, 7)="Uvi_Wig", "", ";"),
  ";" &amp; IF(C1187="", B1187, C1187) &amp; IF(M1187="", "", " ("&amp;M1187&amp;")") &amp; CHAR(10) &amp;
  _xlpm.vanillaPrefix &amp; "Keyword = Uvi_Wig_Distr_KYWD|" &amp; B1187 &amp; CHAR(10) &amp;
  _xlpm.vanillaPrefix &amp; "Spell = " &amp; _xlpm.spell &amp; "|" &amp; B1187
  )
)</f>
        <v>;Orla
;Keyword = Uvi_Wig_Distr_KYWD|Orla
;Spell = No Spell for Hairstyle|Orla</v>
      </c>
    </row>
    <row r="1188" ht="12.75" customHeight="1">
      <c r="A1188" s="15" t="s">
        <v>4432</v>
      </c>
      <c r="B1188" s="5" t="s">
        <v>4433</v>
      </c>
      <c r="C1188" s="5" t="s">
        <v>4434</v>
      </c>
      <c r="D1188" s="5" t="s">
        <v>79</v>
      </c>
      <c r="E1188" s="5" t="s">
        <v>233</v>
      </c>
      <c r="F1188" s="5" t="s">
        <v>521</v>
      </c>
      <c r="G1188" s="14" t="str">
        <f t="array" ref="G1188">IF(B1188="", "",
  LET(_xlpm.spell, IFERROR(IF(F1188="", "", INDEX(_xlws.FILTER(Hairstyles!$F:$F, ISNUMBER(SEARCH(F1188, Hairstyles!$B:$B))), 1)), "No Spell for Hairstyle"),
  _xlpm.vanillaPrefix, IF(LEFT(_xlpm.spell, 7)="Uvi_Wig", "", ";"),
  ";" &amp; IF(C1188="", B1188, C1188) &amp; IF(M1188="", "", " ("&amp;M1188&amp;")") &amp; CHAR(10) &amp;
  _xlpm.vanillaPrefix &amp; "Keyword = Uvi_Wig_Distr_KYWD|" &amp; B1188 &amp; CHAR(10) &amp;
  _xlpm.vanillaPrefix &amp; "Spell = " &amp; _xlpm.spell &amp; "|" &amp; B1188
  )
)</f>
        <v>;Orthjolf
;Keyword = Uvi_Wig_Distr_KYWD|DLC1Orthjolf
;Spell = No Spell for Hairstyle|DLC1Orthjolf</v>
      </c>
    </row>
    <row r="1189" ht="12.75" customHeight="1">
      <c r="A1189" s="5" t="s">
        <v>4435</v>
      </c>
      <c r="B1189" s="5" t="s">
        <v>4436</v>
      </c>
      <c r="C1189" s="5" t="s">
        <v>4436</v>
      </c>
      <c r="D1189" s="5" t="s">
        <v>57</v>
      </c>
      <c r="E1189" s="5" t="s">
        <v>233</v>
      </c>
      <c r="F1189" s="5" t="s">
        <v>1787</v>
      </c>
      <c r="G1189" s="14" t="str">
        <f t="array" ref="G1189">IF(B1189="", "",
  LET(_xlpm.spell, IFERROR(IF(F1189="", "", INDEX(_xlws.FILTER(Hairstyles!$F:$F, ISNUMBER(SEARCH(F1189, Hairstyles!$B:$B))), 1)), "No Spell for Hairstyle"),
  _xlpm.vanillaPrefix, IF(LEFT(_xlpm.spell, 7)="Uvi_Wig", "", ";"),
  ";" &amp; IF(C1189="", B1189, C1189) &amp; IF(M1189="", "", " ("&amp;M1189&amp;")") &amp; CHAR(10) &amp;
  _xlpm.vanillaPrefix &amp; "Keyword = Uvi_Wig_Distr_KYWD|" &amp; B1189 &amp; CHAR(10) &amp;
  _xlpm.vanillaPrefix &amp; "Spell = " &amp; _xlpm.spell &amp; "|" &amp; B1189
  )
)</f>
        <v>;Orthorn
;Keyword = Uvi_Wig_Distr_KYWD|Orthorn
;Spell = No Spell for Hairstyle|Orthorn</v>
      </c>
    </row>
    <row r="1190" ht="12.75" customHeight="1">
      <c r="A1190" s="5" t="s">
        <v>4437</v>
      </c>
      <c r="B1190" s="5" t="s">
        <v>4438</v>
      </c>
      <c r="C1190" s="5" t="s">
        <v>4439</v>
      </c>
      <c r="D1190" s="5" t="s">
        <v>59</v>
      </c>
      <c r="E1190" s="5" t="s">
        <v>233</v>
      </c>
      <c r="F1190" s="5" t="s">
        <v>19</v>
      </c>
      <c r="G1190" s="14" t="str">
        <f t="array" ref="G1190">IF(B1190="", "",
  LET(_xlpm.spell, IFERROR(IF(F1190="", "", INDEX(_xlws.FILTER(Hairstyles!$F:$F, ISNUMBER(SEARCH(F1190, Hairstyles!$B:$B))), 1)), "No Spell for Hairstyle"),
  _xlpm.vanillaPrefix, IF(LEFT(_xlpm.spell, 7)="Uvi_Wig", "", ";"),
  ";" &amp; IF(C1190="", B1190, C1190) &amp; IF(M1190="", "", " ("&amp;M1190&amp;")") &amp; CHAR(10) &amp;
  _xlpm.vanillaPrefix &amp; "Keyword = Uvi_Wig_Distr_KYWD|" &amp; B1190 &amp; CHAR(10) &amp;
  _xlpm.vanillaPrefix &amp; "Spell = " &amp; _xlpm.spell &amp; "|" &amp; B1190
  )
)</f>
        <v>;Orthus Endario
;Keyword = Uvi_Wig_Distr_KYWD|OrthusEndario
;Spell = No Spell for Hairstyle|OrthusEndario</v>
      </c>
    </row>
    <row r="1191" ht="12.75" customHeight="1">
      <c r="A1191" s="5" t="s">
        <v>4440</v>
      </c>
      <c r="B1191" s="5" t="s">
        <v>4441</v>
      </c>
      <c r="C1191" s="5" t="s">
        <v>4442</v>
      </c>
      <c r="D1191" s="5" t="s">
        <v>38</v>
      </c>
      <c r="E1191" s="5" t="s">
        <v>233</v>
      </c>
      <c r="F1191" s="5" t="s">
        <v>1700</v>
      </c>
      <c r="G1191" s="14" t="str">
        <f t="array" ref="G1191">IF(B1191="", "",
  LET(_xlpm.spell, IFERROR(IF(F1191="", "", INDEX(_xlws.FILTER(Hairstyles!$F:$F, ISNUMBER(SEARCH(F1191, Hairstyles!$B:$B))), 1)), "No Spell for Hairstyle"),
  _xlpm.vanillaPrefix, IF(LEFT(_xlpm.spell, 7)="Uvi_Wig", "", ";"),
  ";" &amp; IF(C1191="", B1191, C1191) &amp; IF(M1191="", "", " ("&amp;M1191&amp;")") &amp; CHAR(10) &amp;
  _xlpm.vanillaPrefix &amp; "Keyword = Uvi_Wig_Distr_KYWD|" &amp; B1191 &amp; CHAR(10) &amp;
  _xlpm.vanillaPrefix &amp; "Spell = " &amp; _xlpm.spell &amp; "|" &amp; B1191
  )
)</f>
        <v>;Oslaf
;Keyword = Uvi_Wig_Distr_KYWD|DLC2SVOslaf
;Spell = No Spell for Hairstyle|DLC2SVOslaf</v>
      </c>
    </row>
    <row r="1192" ht="12.75" customHeight="1">
      <c r="A1192" s="15" t="s">
        <v>4443</v>
      </c>
      <c r="B1192" s="5" t="s">
        <v>4444</v>
      </c>
      <c r="C1192" s="5" t="s">
        <v>4444</v>
      </c>
      <c r="D1192" s="5" t="s">
        <v>38</v>
      </c>
      <c r="E1192" s="5" t="s">
        <v>233</v>
      </c>
      <c r="F1192" s="5" t="s">
        <v>424</v>
      </c>
      <c r="G1192" s="14" t="str">
        <f t="array" ref="G1192">IF(B1192="", "",
  LET(_xlpm.spell, IFERROR(IF(F1192="", "", INDEX(_xlws.FILTER(Hairstyles!$F:$F, ISNUMBER(SEARCH(F1192, Hairstyles!$B:$B))), 1)), "No Spell for Hairstyle"),
  _xlpm.vanillaPrefix, IF(LEFT(_xlpm.spell, 7)="Uvi_Wig", "", ";"),
  ";" &amp; IF(C1192="", B1192, C1192) &amp; IF(M1192="", "", " ("&amp;M1192&amp;")") &amp; CHAR(10) &amp;
  _xlpm.vanillaPrefix &amp; "Keyword = Uvi_Wig_Distr_KYWD|" &amp; B1192 &amp; CHAR(10) &amp;
  _xlpm.vanillaPrefix &amp; "Spell = " &amp; _xlpm.spell &amp; "|" &amp; B1192
  )
)</f>
        <v>;Pactur
;Keyword = Uvi_Wig_Distr_KYWD|Pactur
;Spell = No Spell for Hairstyle|Pactur</v>
      </c>
    </row>
    <row r="1193" ht="12.75" customHeight="1">
      <c r="A1193" s="5" t="s">
        <v>4445</v>
      </c>
      <c r="B1193" s="5" t="s">
        <v>4446</v>
      </c>
      <c r="C1193" s="5" t="s">
        <v>4447</v>
      </c>
      <c r="D1193" s="5" t="s">
        <v>51</v>
      </c>
      <c r="E1193" s="5" t="s">
        <v>233</v>
      </c>
      <c r="F1193" s="5" t="s">
        <v>1709</v>
      </c>
      <c r="G1193" s="14" t="str">
        <f t="array" ref="G1193">IF(B1193="", "",
  LET(_xlpm.spell, IFERROR(IF(F1193="", "", INDEX(_xlws.FILTER(Hairstyles!$F:$F, ISNUMBER(SEARCH(F1193, Hairstyles!$B:$B))), 1)), "No Spell for Hairstyle"),
  _xlpm.vanillaPrefix, IF(LEFT(_xlpm.spell, 7)="Uvi_Wig", "", ";"),
  ";" &amp; IF(C1193="", B1193, C1193) &amp; IF(M1193="", "", " ("&amp;M1193&amp;")") &amp; CHAR(10) &amp;
  _xlpm.vanillaPrefix &amp; "Keyword = Uvi_Wig_Distr_KYWD|" &amp; B1193 &amp; CHAR(10) &amp;
  _xlpm.vanillaPrefix &amp; "Spell = " &amp; _xlpm.spell &amp; "|" &amp; B1193
  )
)</f>
        <v>;Palevius Lex
;Keyword = Uvi_Wig_Distr_KYWD|DLC2WaterStoneSailor4
;Spell = No Spell for Hairstyle|DLC2WaterStoneSailor4</v>
      </c>
    </row>
    <row r="1194" ht="12.75" customHeight="1">
      <c r="A1194" s="5" t="s">
        <v>4448</v>
      </c>
      <c r="B1194" s="5" t="s">
        <v>4449</v>
      </c>
      <c r="C1194" s="5" t="s">
        <v>4450</v>
      </c>
      <c r="D1194" s="5" t="s">
        <v>59</v>
      </c>
      <c r="E1194" s="5" t="s">
        <v>41</v>
      </c>
      <c r="F1194" s="5" t="s">
        <v>1996</v>
      </c>
      <c r="G1194" s="14" t="str">
        <f t="array" ref="G1194">IF(B1194="", "",
  LET(_xlpm.spell, IFERROR(IF(F1194="", "", INDEX(_xlws.FILTER(Hairstyles!$F:$F, ISNUMBER(SEARCH(F1194, Hairstyles!$B:$B))), 1)), "No Spell for Hairstyle"),
  _xlpm.vanillaPrefix, IF(LEFT(_xlpm.spell, 7)="Uvi_Wig", "", ";"),
  ";" &amp; IF(C1194="", B1194, C1194) &amp; IF(M1194="", "", " ("&amp;M1194&amp;")") &amp; CHAR(10) &amp;
  _xlpm.vanillaPrefix &amp; "Keyword = Uvi_Wig_Distr_KYWD|" &amp; B1194 &amp; CHAR(10) &amp;
  _xlpm.vanillaPrefix &amp; "Spell = " &amp; _xlpm.spell &amp; "|" &amp; B1194
  )
)</f>
        <v>;Pantea Ateia
;Keyword = Uvi_Wig_Distr_KYWD|PanteaAteia
;Spell = No Spell for Hairstyle|PanteaAteia</v>
      </c>
    </row>
    <row r="1195" ht="12.75" customHeight="1">
      <c r="A1195" s="5" t="s">
        <v>4451</v>
      </c>
      <c r="B1195" s="5" t="s">
        <v>4452</v>
      </c>
      <c r="C1195" s="5" t="s">
        <v>4453</v>
      </c>
      <c r="D1195" s="5" t="s">
        <v>59</v>
      </c>
      <c r="E1195" s="5" t="s">
        <v>233</v>
      </c>
      <c r="F1195" s="5" t="s">
        <v>1088</v>
      </c>
      <c r="G1195" s="14" t="str">
        <f t="array" ref="G1195">IF(B1195="", "",
  LET(_xlpm.spell, IFERROR(IF(F1195="", "", INDEX(_xlws.FILTER(Hairstyles!$F:$F, ISNUMBER(SEARCH(F1195, Hairstyles!$B:$B))), 1)), "No Spell for Hairstyle"),
  _xlpm.vanillaPrefix, IF(LEFT(_xlpm.spell, 7)="Uvi_Wig", "", ";"),
  ";" &amp; IF(C1195="", B1195, C1195) &amp; IF(M1195="", "", " ("&amp;M1195&amp;")") &amp; CHAR(10) &amp;
  _xlpm.vanillaPrefix &amp; "Keyword = Uvi_Wig_Distr_KYWD|" &amp; B1195 &amp; CHAR(10) &amp;
  _xlpm.vanillaPrefix &amp; "Spell = " &amp; _xlpm.spell &amp; "|" &amp; B1195
  )
)</f>
        <v>;Paratus Decimius
;Keyword = Uvi_Wig_Distr_KYWD|ParatusDecimius
;Spell = No Spell for Hairstyle|ParatusDecimius</v>
      </c>
    </row>
    <row r="1196" ht="12.75" customHeight="1">
      <c r="A1196" s="5" t="s">
        <v>4454</v>
      </c>
      <c r="B1196" s="5" t="s">
        <v>4455</v>
      </c>
      <c r="C1196" s="5" t="s">
        <v>4456</v>
      </c>
      <c r="D1196" s="5" t="s">
        <v>59</v>
      </c>
      <c r="E1196" s="5" t="s">
        <v>233</v>
      </c>
      <c r="F1196" s="5" t="s">
        <v>1709</v>
      </c>
      <c r="G1196" s="14" t="str">
        <f t="array" ref="G1196">IF(B1196="", "",
  LET(_xlpm.spell, IFERROR(IF(F1196="", "", INDEX(_xlws.FILTER(Hairstyles!$F:$F, ISNUMBER(SEARCH(F1196, Hairstyles!$B:$B))), 1)), "No Spell for Hairstyle"),
  _xlpm.vanillaPrefix, IF(LEFT(_xlpm.spell, 7)="Uvi_Wig", "", ";"),
  ";" &amp; IF(C1196="", B1196, C1196) &amp; IF(M1196="", "", " ("&amp;M1196&amp;")") &amp; CHAR(10) &amp;
  _xlpm.vanillaPrefix &amp; "Keyword = Uvi_Wig_Distr_KYWD|" &amp; B1196 &amp; CHAR(10) &amp;
  _xlpm.vanillaPrefix &amp; "Spell = " &amp; _xlpm.spell &amp; "|" &amp; B1196
  )
)</f>
        <v>;Pavo Attius
;Keyword = Uvi_Wig_Distr_KYWD|PavoAttius
;Spell = No Spell for Hairstyle|PavoAttius</v>
      </c>
    </row>
    <row r="1197" ht="12.75" customHeight="1">
      <c r="A1197" s="5" t="s">
        <v>4457</v>
      </c>
      <c r="B1197" s="5" t="s">
        <v>4458</v>
      </c>
      <c r="C1197" s="5" t="s">
        <v>4459</v>
      </c>
      <c r="D1197" s="5" t="s">
        <v>59</v>
      </c>
      <c r="E1197" s="5" t="s">
        <v>41</v>
      </c>
      <c r="F1197" s="5" t="s">
        <v>1822</v>
      </c>
      <c r="G1197" s="14" t="str">
        <f t="array" ref="G1197">IF(B1197="", "",
  LET(_xlpm.spell, IFERROR(IF(F1197="", "", INDEX(_xlws.FILTER(Hairstyles!$F:$F, ISNUMBER(SEARCH(F1197, Hairstyles!$B:$B))), 1)), "No Spell for Hairstyle"),
  _xlpm.vanillaPrefix, IF(LEFT(_xlpm.spell, 7)="Uvi_Wig", "", ";"),
  ";" &amp; IF(C1197="", B1197, C1197) &amp; IF(M1197="", "", " ("&amp;M1197&amp;")") &amp; CHAR(10) &amp;
  _xlpm.vanillaPrefix &amp; "Keyword = Uvi_Wig_Distr_KYWD|" &amp; B1197 &amp; CHAR(10) &amp;
  _xlpm.vanillaPrefix &amp; "Spell = " &amp; _xlpm.spell &amp; "|" &amp; B1197
  )
)</f>
        <v>;Peddler
;Keyword = Uvi_Wig_Distr_KYWD|WEMerchantMiscFemaleCommoner
;Spell = No Spell for Hairstyle|WEMerchantMiscFemaleCommoner</v>
      </c>
    </row>
    <row r="1198" ht="12.75" customHeight="1">
      <c r="A1198" s="5" t="s">
        <v>4460</v>
      </c>
      <c r="B1198" s="5" t="s">
        <v>4461</v>
      </c>
      <c r="C1198" s="5" t="s">
        <v>4459</v>
      </c>
      <c r="D1198" s="5" t="s">
        <v>59</v>
      </c>
      <c r="E1198" s="5" t="s">
        <v>233</v>
      </c>
      <c r="F1198" s="5" t="s">
        <v>521</v>
      </c>
      <c r="G1198" s="14" t="str">
        <f t="array" ref="G1198">IF(B1198="", "",
  LET(_xlpm.spell, IFERROR(IF(F1198="", "", INDEX(_xlws.FILTER(Hairstyles!$F:$F, ISNUMBER(SEARCH(F1198, Hairstyles!$B:$B))), 1)), "No Spell for Hairstyle"),
  _xlpm.vanillaPrefix, IF(LEFT(_xlpm.spell, 7)="Uvi_Wig", "", ";"),
  ";" &amp; IF(C1198="", B1198, C1198) &amp; IF(M1198="", "", " ("&amp;M1198&amp;")") &amp; CHAR(10) &amp;
  _xlpm.vanillaPrefix &amp; "Keyword = Uvi_Wig_Distr_KYWD|" &amp; B1198 &amp; CHAR(10) &amp;
  _xlpm.vanillaPrefix &amp; "Spell = " &amp; _xlpm.spell &amp; "|" &amp; B1198
  )
)</f>
        <v>;Peddler
;Keyword = Uvi_Wig_Distr_KYWD|WEMerchantMiscMaleCommoner
;Spell = No Spell for Hairstyle|WEMerchantMiscMaleCommoner</v>
      </c>
    </row>
    <row r="1199" ht="12.75" customHeight="1">
      <c r="A1199" s="5" t="s">
        <v>4462</v>
      </c>
      <c r="B1199" s="5" t="s">
        <v>4463</v>
      </c>
      <c r="C1199" s="5" t="s">
        <v>4464</v>
      </c>
      <c r="D1199" s="5" t="s">
        <v>16</v>
      </c>
      <c r="E1199" s="5" t="s">
        <v>233</v>
      </c>
      <c r="F1199" s="5" t="s">
        <v>990</v>
      </c>
      <c r="G1199" s="14" t="str">
        <f t="array" ref="G1199">IF(B1199="", "",
  LET(_xlpm.spell, IFERROR(IF(F1199="", "", INDEX(_xlws.FILTER(Hairstyles!$F:$F, ISNUMBER(SEARCH(F1199, Hairstyles!$B:$B))), 1)), "No Spell for Hairstyle"),
  _xlpm.vanillaPrefix, IF(LEFT(_xlpm.spell, 7)="Uvi_Wig", "", ";"),
  ";" &amp; IF(C1199="", B1199, C1199) &amp; IF(M1199="", "", " ("&amp;M1199&amp;")") &amp; CHAR(10) &amp;
  _xlpm.vanillaPrefix &amp; "Keyword = Uvi_Wig_Distr_KYWD|" &amp; B1199 &amp; CHAR(10) &amp;
  _xlpm.vanillaPrefix &amp; "Spell = " &amp; _xlpm.spell &amp; "|" &amp; B1199
  )
)</f>
        <v>;Pelagius the Mad
;Keyword = Uvi_Wig_Distr_KYWD|DA15Pelagius
;Spell = No Spell for Hairstyle|DA15Pelagius</v>
      </c>
    </row>
    <row r="1200" ht="12.75" customHeight="1">
      <c r="A1200" s="5" t="s">
        <v>4465</v>
      </c>
      <c r="B1200" s="5" t="s">
        <v>4466</v>
      </c>
      <c r="C1200" s="5" t="s">
        <v>4467</v>
      </c>
      <c r="D1200" s="5" t="s">
        <v>16</v>
      </c>
      <c r="E1200" s="5" t="s">
        <v>233</v>
      </c>
      <c r="F1200" s="5" t="s">
        <v>990</v>
      </c>
      <c r="G1200" s="14" t="str">
        <f t="array" ref="G1200">IF(B1200="", "",
  LET(_xlpm.spell, IFERROR(IF(F1200="", "", INDEX(_xlws.FILTER(Hairstyles!$F:$F, ISNUMBER(SEARCH(F1200, Hairstyles!$B:$B))), 1)), "No Spell for Hairstyle"),
  _xlpm.vanillaPrefix, IF(LEFT(_xlpm.spell, 7)="Uvi_Wig", "", ";"),
  ";" &amp; IF(C1200="", B1200, C1200) &amp; IF(M1200="", "", " ("&amp;M1200&amp;")") &amp; CHAR(10) &amp;
  _xlpm.vanillaPrefix &amp; "Keyword = Uvi_Wig_Distr_KYWD|" &amp; B1200 &amp; CHAR(10) &amp;
  _xlpm.vanillaPrefix &amp; "Spell = " &amp; _xlpm.spell &amp; "|" &amp; B1200
  )
)</f>
        <v>;Pelagius the Suspicious
;Keyword = Uvi_Wig_Distr_KYWD|dunBluePalacePelagiusSuspicious
;Spell = No Spell for Hairstyle|dunBluePalacePelagiusSuspicious</v>
      </c>
    </row>
    <row r="1201" ht="12.75" customHeight="1">
      <c r="A1201" s="5" t="s">
        <v>4468</v>
      </c>
      <c r="B1201" s="5" t="s">
        <v>4469</v>
      </c>
      <c r="C1201" s="5" t="s">
        <v>4470</v>
      </c>
      <c r="D1201" s="5" t="s">
        <v>16</v>
      </c>
      <c r="E1201" s="5" t="s">
        <v>233</v>
      </c>
      <c r="F1201" s="5" t="s">
        <v>990</v>
      </c>
      <c r="G1201" s="14" t="str">
        <f t="array" ref="G1201">IF(B1201="", "",
  LET(_xlpm.spell, IFERROR(IF(F1201="", "", INDEX(_xlws.FILTER(Hairstyles!$F:$F, ISNUMBER(SEARCH(F1201, Hairstyles!$B:$B))), 1)), "No Spell for Hairstyle"),
  _xlpm.vanillaPrefix, IF(LEFT(_xlpm.spell, 7)="Uvi_Wig", "", ";"),
  ";" &amp; IF(C1201="", B1201, C1201) &amp; IF(M1201="", "", " ("&amp;M1201&amp;")") &amp; CHAR(10) &amp;
  _xlpm.vanillaPrefix &amp; "Keyword = Uvi_Wig_Distr_KYWD|" &amp; B1201 &amp; CHAR(10) &amp;
  _xlpm.vanillaPrefix &amp; "Spell = " &amp; _xlpm.spell &amp; "|" &amp; B1201
  )
)</f>
        <v>;Pelagius the Tormented
;Keyword = Uvi_Wig_Distr_KYWD|dunBluePalacePelagiusNightmare
;Spell = No Spell for Hairstyle|dunBluePalacePelagiusNightmare</v>
      </c>
    </row>
    <row r="1202" ht="12.75" customHeight="1">
      <c r="A1202" s="5" t="s">
        <v>4471</v>
      </c>
      <c r="B1202" s="5" t="s">
        <v>4472</v>
      </c>
      <c r="C1202" s="5" t="s">
        <v>4473</v>
      </c>
      <c r="D1202" s="5" t="s">
        <v>59</v>
      </c>
      <c r="E1202" s="5" t="s">
        <v>233</v>
      </c>
      <c r="F1202" s="5" t="s">
        <v>1622</v>
      </c>
      <c r="G1202" s="14" t="str">
        <f t="array" ref="G1202">IF(B1202="", "",
  LET(_xlpm.spell, IFERROR(IF(F1202="", "", INDEX(_xlws.FILTER(Hairstyles!$F:$F, ISNUMBER(SEARCH(F1202, Hairstyles!$B:$B))), 1)), "No Spell for Hairstyle"),
  _xlpm.vanillaPrefix, IF(LEFT(_xlpm.spell, 7)="Uvi_Wig", "", ";"),
  ";" &amp; IF(C1202="", B1202, C1202) &amp; IF(M1202="", "", " ("&amp;M1202&amp;")") &amp; CHAR(10) &amp;
  _xlpm.vanillaPrefix &amp; "Keyword = Uvi_Wig_Distr_KYWD|" &amp; B1202 &amp; CHAR(10) &amp;
  _xlpm.vanillaPrefix &amp; "Spell = " &amp; _xlpm.spell &amp; "|" &amp; B1202
  )
)</f>
        <v>;Penitus Oculatus Agent
;Keyword = Uvi_Wig_Distr_KYWD|EncPenitus00Template
;Spell = No Spell for Hairstyle|EncPenitus00Template</v>
      </c>
    </row>
    <row r="1203" ht="12.75" customHeight="1">
      <c r="A1203" s="5" t="s">
        <v>4474</v>
      </c>
      <c r="B1203" s="5" t="s">
        <v>4475</v>
      </c>
      <c r="C1203" s="5" t="s">
        <v>4475</v>
      </c>
      <c r="D1203" s="5" t="s">
        <v>16</v>
      </c>
      <c r="E1203" s="5" t="s">
        <v>233</v>
      </c>
      <c r="F1203" s="5" t="s">
        <v>521</v>
      </c>
      <c r="G1203" s="14" t="str">
        <f t="array" ref="G1203">IF(B1203="", "",
  LET(_xlpm.spell, IFERROR(IF(F1203="", "", INDEX(_xlws.FILTER(Hairstyles!$F:$F, ISNUMBER(SEARCH(F1203, Hairstyles!$B:$B))), 1)), "No Spell for Hairstyle"),
  _xlpm.vanillaPrefix, IF(LEFT(_xlpm.spell, 7)="Uvi_Wig", "", ";"),
  ";" &amp; IF(C1203="", B1203, C1203) &amp; IF(M1203="", "", " ("&amp;M1203&amp;")") &amp; CHAR(10) &amp;
  _xlpm.vanillaPrefix &amp; "Keyword = Uvi_Wig_Distr_KYWD|" &amp; B1203 &amp; CHAR(10) &amp;
  _xlpm.vanillaPrefix &amp; "Spell = " &amp; _xlpm.spell &amp; "|" &amp; B1203
  )
)</f>
        <v>;Perth
;Keyword = Uvi_Wig_Distr_KYWD|Perth
;Spell = No Spell for Hairstyle|Perth</v>
      </c>
    </row>
    <row r="1204" ht="12.75" customHeight="1">
      <c r="A1204" s="15" t="s">
        <v>4476</v>
      </c>
      <c r="B1204" s="5" t="s">
        <v>4477</v>
      </c>
      <c r="C1204" s="5" t="s">
        <v>4478</v>
      </c>
      <c r="D1204" s="5" t="s">
        <v>38</v>
      </c>
      <c r="E1204" s="5" t="s">
        <v>233</v>
      </c>
      <c r="F1204" s="5" t="s">
        <v>1622</v>
      </c>
      <c r="G1204" s="14" t="str">
        <f t="array" ref="G1204">IF(B1204="", "",
  LET(_xlpm.spell, IFERROR(IF(F1204="", "", INDEX(_xlws.FILTER(Hairstyles!$F:$F, ISNUMBER(SEARCH(F1204, Hairstyles!$B:$B))), 1)), "No Spell for Hairstyle"),
  _xlpm.vanillaPrefix, IF(LEFT(_xlpm.spell, 7)="Uvi_Wig", "", ";"),
  ";" &amp; IF(C1204="", B1204, C1204) &amp; IF(M1204="", "", " ("&amp;M1204&amp;")") &amp; CHAR(10) &amp;
  _xlpm.vanillaPrefix &amp; "Keyword = Uvi_Wig_Distr_KYWD|" &amp; B1204 &amp; CHAR(10) &amp;
  _xlpm.vanillaPrefix &amp; "Spell = " &amp; _xlpm.spell &amp; "|" &amp; B1204
  )
)</f>
        <v>;Phantom
;Keyword = Uvi_Wig_Distr_KYWD|SummonPhantom
;Spell = No Spell for Hairstyle|SummonPhantom</v>
      </c>
    </row>
    <row r="1205" ht="12.75" customHeight="1">
      <c r="A1205" s="5" t="s">
        <v>4479</v>
      </c>
      <c r="B1205" s="5" t="s">
        <v>4480</v>
      </c>
      <c r="C1205" s="5" t="s">
        <v>4481</v>
      </c>
      <c r="D1205" s="5" t="s">
        <v>16</v>
      </c>
      <c r="E1205" s="5" t="s">
        <v>233</v>
      </c>
      <c r="F1205" s="5" t="s">
        <v>224</v>
      </c>
      <c r="G1205" s="14" t="str">
        <f t="array" ref="G1205">IF(B1205="", "",
  LET(_xlpm.spell, IFERROR(IF(F1205="", "", INDEX(_xlws.FILTER(Hairstyles!$F:$F, ISNUMBER(SEARCH(F1205, Hairstyles!$B:$B))), 1)), "No Spell for Hairstyle"),
  _xlpm.vanillaPrefix, IF(LEFT(_xlpm.spell, 7)="Uvi_Wig", "", ";"),
  ";" &amp; IF(C1205="", B1205, C1205) &amp; IF(M1205="", "", " ("&amp;M1205&amp;")") &amp; CHAR(10) &amp;
  _xlpm.vanillaPrefix &amp; "Keyword = Uvi_Wig_Distr_KYWD|" &amp; B1205 &amp; CHAR(10) &amp;
  _xlpm.vanillaPrefix &amp; "Spell = " &amp; _xlpm.spell &amp; "|" &amp; B1205
  )
)</f>
        <v>;Phinis Gestor
;Keyword = Uvi_Wig_Distr_KYWD|PhinisGestor
;Spell = No Spell for Hairstyle|PhinisGestor</v>
      </c>
    </row>
    <row r="1206" ht="12.75" customHeight="1">
      <c r="A1206" s="5" t="s">
        <v>4482</v>
      </c>
      <c r="B1206" s="5" t="s">
        <v>4483</v>
      </c>
      <c r="C1206" s="5" t="s">
        <v>4484</v>
      </c>
      <c r="D1206" s="5" t="s">
        <v>45</v>
      </c>
      <c r="E1206" s="5" t="s">
        <v>41</v>
      </c>
      <c r="F1206" s="5" t="s">
        <v>491</v>
      </c>
      <c r="G1206" s="14" t="str">
        <f t="array" ref="G1206">IF(B1206="", "",
  LET(_xlpm.spell, IFERROR(IF(F1206="", "", INDEX(_xlws.FILTER(Hairstyles!$F:$F, ISNUMBER(SEARCH(F1206, Hairstyles!$B:$B))), 1)), "No Spell for Hairstyle"),
  _xlpm.vanillaPrefix, IF(LEFT(_xlpm.spell, 7)="Uvi_Wig", "", ";"),
  ";" &amp; IF(C1206="", B1206, C1206) &amp; IF(M1206="", "", " ("&amp;M1206&amp;")") &amp; CHAR(10) &amp;
  _xlpm.vanillaPrefix &amp; "Keyword = Uvi_Wig_Distr_KYWD|" &amp; B1206 &amp; CHAR(10) &amp;
  _xlpm.vanillaPrefix &amp; "Spell = " &amp; _xlpm.spell &amp; "|" &amp; B1206
  )
)</f>
        <v>;Pirate
;Keyword = Uvi_Wig_Distr_KYWD|DLC2dunHaknirShoal_LvlBanditMissileFemaleDarkElfCommoner
;Spell = No Spell for Hairstyle|DLC2dunHaknirShoal_LvlBanditMissileFemaleDarkElfCommoner</v>
      </c>
    </row>
    <row r="1207" ht="12.75" customHeight="1">
      <c r="A1207" s="15" t="s">
        <v>4485</v>
      </c>
      <c r="B1207" s="5" t="s">
        <v>4486</v>
      </c>
      <c r="C1207" s="5" t="s">
        <v>4484</v>
      </c>
      <c r="D1207" s="5" t="s">
        <v>45</v>
      </c>
      <c r="E1207" s="5" t="s">
        <v>41</v>
      </c>
      <c r="F1207" s="5" t="s">
        <v>2577</v>
      </c>
      <c r="G1207" s="14" t="str">
        <f t="array" ref="G1207">IF(B1207="", "",
  LET(_xlpm.spell, IFERROR(IF(F1207="", "", INDEX(_xlws.FILTER(Hairstyles!$F:$F, ISNUMBER(SEARCH(F1207, Hairstyles!$B:$B))), 1)), "No Spell for Hairstyle"),
  _xlpm.vanillaPrefix, IF(LEFT(_xlpm.spell, 7)="Uvi_Wig", "", ";"),
  ";" &amp; IF(C1207="", B1207, C1207) &amp; IF(M1207="", "", " ("&amp;M1207&amp;")") &amp; CHAR(10) &amp;
  _xlpm.vanillaPrefix &amp; "Keyword = Uvi_Wig_Distr_KYWD|" &amp; B1207 &amp; CHAR(10) &amp;
  _xlpm.vanillaPrefix &amp; "Spell = " &amp; _xlpm.spell &amp; "|" &amp; B1207
  )
)</f>
        <v>;Pirate
;Keyword = Uvi_Wig_Distr_KYWD|DLC2WE13dunHaknirShoal_LvlBanditMissileFemaleDarkElfCommoner
;Spell = No Spell for Hairstyle|DLC2WE13dunHaknirShoal_LvlBanditMissileFemaleDarkElfCommoner</v>
      </c>
    </row>
    <row r="1208" ht="12.75" customHeight="1">
      <c r="A1208" s="5" t="s">
        <v>4487</v>
      </c>
      <c r="B1208" s="5" t="s">
        <v>4488</v>
      </c>
      <c r="C1208" s="5" t="s">
        <v>4489</v>
      </c>
      <c r="D1208" s="5" t="s">
        <v>38</v>
      </c>
      <c r="E1208" s="5" t="s">
        <v>233</v>
      </c>
      <c r="F1208" s="5" t="s">
        <v>1906</v>
      </c>
      <c r="G1208" s="14" t="str">
        <f t="array" ref="G1208">IF(B1208="", "",
  LET(_xlpm.spell, IFERROR(IF(F1208="", "", INDEX(_xlws.FILTER(Hairstyles!$F:$F, ISNUMBER(SEARCH(F1208, Hairstyles!$B:$B))), 1)), "No Spell for Hairstyle"),
  _xlpm.vanillaPrefix, IF(LEFT(_xlpm.spell, 7)="Uvi_Wig", "", ";"),
  ";" &amp; IF(C1208="", B1208, C1208) &amp; IF(M1208="", "", " ("&amp;M1208&amp;")") &amp; CHAR(10) &amp;
  _xlpm.vanillaPrefix &amp; "Keyword = Uvi_Wig_Distr_KYWD|" &amp; B1208 &amp; CHAR(10) &amp;
  _xlpm.vanillaPrefix &amp; "Spell = " &amp; _xlpm.spell &amp; "|" &amp; B1208
  )
)</f>
        <v>;Pirate Captain
;Keyword = Uvi_Wig_Distr_KYWD|DLC2dunHaknirShoal_LvlBanditBossMaleNord
;Spell = No Spell for Hairstyle|DLC2dunHaknirShoal_LvlBanditBossMaleNord</v>
      </c>
    </row>
    <row r="1209" ht="12.75" customHeight="1">
      <c r="A1209" s="5" t="s">
        <v>4490</v>
      </c>
      <c r="B1209" s="5" t="s">
        <v>4491</v>
      </c>
      <c r="C1209" s="5" t="s">
        <v>4492</v>
      </c>
      <c r="D1209" s="5" t="s">
        <v>38</v>
      </c>
      <c r="E1209" s="5" t="s">
        <v>233</v>
      </c>
      <c r="F1209" s="5" t="s">
        <v>68</v>
      </c>
      <c r="G1209" s="14" t="str">
        <f t="array" ref="G1209">IF(B1209="", "",
  LET(_xlpm.spell, IFERROR(IF(F1209="", "", INDEX(_xlws.FILTER(Hairstyles!$F:$F, ISNUMBER(SEARCH(F1209, Hairstyles!$B:$B))), 1)), "No Spell for Hairstyle"),
  _xlpm.vanillaPrefix, IF(LEFT(_xlpm.spell, 7)="Uvi_Wig", "", ";"),
  ";" &amp; IF(C1209="", B1209, C1209) &amp; IF(M1209="", "", " ("&amp;M1209&amp;")") &amp; CHAR(10) &amp;
  _xlpm.vanillaPrefix &amp; "Keyword = Uvi_Wig_Distr_KYWD|" &amp; B1209 &amp; CHAR(10) &amp;
  _xlpm.vanillaPrefix &amp; "Spell = " &amp; _xlpm.spell &amp; "|" &amp; B1209
  )
)</f>
        <v>;Pit Fan
;Keyword = Uvi_Wig_Distr_KYWD|WindhelmPitFan1
;Spell = No Spell for Hairstyle|WindhelmPitFan1</v>
      </c>
    </row>
    <row r="1210" ht="12.75" customHeight="1">
      <c r="A1210" s="5" t="s">
        <v>4493</v>
      </c>
      <c r="B1210" s="5" t="s">
        <v>4494</v>
      </c>
      <c r="C1210" s="5" t="s">
        <v>4492</v>
      </c>
      <c r="D1210" s="5" t="s">
        <v>45</v>
      </c>
      <c r="E1210" s="5" t="s">
        <v>233</v>
      </c>
      <c r="F1210" s="5" t="s">
        <v>2469</v>
      </c>
      <c r="G1210" s="14" t="str">
        <f t="array" ref="G1210">IF(B1210="", "",
  LET(_xlpm.spell, IFERROR(IF(F1210="", "", INDEX(_xlws.FILTER(Hairstyles!$F:$F, ISNUMBER(SEARCH(F1210, Hairstyles!$B:$B))), 1)), "No Spell for Hairstyle"),
  _xlpm.vanillaPrefix, IF(LEFT(_xlpm.spell, 7)="Uvi_Wig", "", ";"),
  ";" &amp; IF(C1210="", B1210, C1210) &amp; IF(M1210="", "", " ("&amp;M1210&amp;")") &amp; CHAR(10) &amp;
  _xlpm.vanillaPrefix &amp; "Keyword = Uvi_Wig_Distr_KYWD|" &amp; B1210 &amp; CHAR(10) &amp;
  _xlpm.vanillaPrefix &amp; "Spell = " &amp; _xlpm.spell &amp; "|" &amp; B1210
  )
)</f>
        <v>;Pit Fan
;Keyword = Uvi_Wig_Distr_KYWD|WindhelmPitFan10
;Spell = No Spell for Hairstyle|WindhelmPitFan10</v>
      </c>
    </row>
    <row r="1211" ht="12.75" customHeight="1">
      <c r="A1211" s="5" t="s">
        <v>4495</v>
      </c>
      <c r="B1211" s="5" t="s">
        <v>4496</v>
      </c>
      <c r="C1211" s="5" t="s">
        <v>4492</v>
      </c>
      <c r="D1211" s="5" t="s">
        <v>45</v>
      </c>
      <c r="E1211" s="5" t="s">
        <v>41</v>
      </c>
      <c r="F1211" s="5" t="s">
        <v>2469</v>
      </c>
      <c r="G1211" s="14" t="str">
        <f t="array" ref="G1211">IF(B1211="", "",
  LET(_xlpm.spell, IFERROR(IF(F1211="", "", INDEX(_xlws.FILTER(Hairstyles!$F:$F, ISNUMBER(SEARCH(F1211, Hairstyles!$B:$B))), 1)), "No Spell for Hairstyle"),
  _xlpm.vanillaPrefix, IF(LEFT(_xlpm.spell, 7)="Uvi_Wig", "", ";"),
  ";" &amp; IF(C1211="", B1211, C1211) &amp; IF(M1211="", "", " ("&amp;M1211&amp;")") &amp; CHAR(10) &amp;
  _xlpm.vanillaPrefix &amp; "Keyword = Uvi_Wig_Distr_KYWD|" &amp; B1211 &amp; CHAR(10) &amp;
  _xlpm.vanillaPrefix &amp; "Spell = " &amp; _xlpm.spell &amp; "|" &amp; B1211
  )
)</f>
        <v>;Pit Fan
;Keyword = Uvi_Wig_Distr_KYWD|WindhelmPitFan11
;Spell = No Spell for Hairstyle|WindhelmPitFan11</v>
      </c>
    </row>
    <row r="1212" ht="12.75" customHeight="1">
      <c r="A1212" s="5" t="s">
        <v>4497</v>
      </c>
      <c r="B1212" s="5" t="s">
        <v>4498</v>
      </c>
      <c r="C1212" s="5" t="s">
        <v>4492</v>
      </c>
      <c r="D1212" s="5" t="s">
        <v>45</v>
      </c>
      <c r="E1212" s="5" t="s">
        <v>41</v>
      </c>
      <c r="F1212" s="5" t="s">
        <v>2469</v>
      </c>
      <c r="G1212" s="14" t="str">
        <f t="array" ref="G1212">IF(B1212="", "",
  LET(_xlpm.spell, IFERROR(IF(F1212="", "", INDEX(_xlws.FILTER(Hairstyles!$F:$F, ISNUMBER(SEARCH(F1212, Hairstyles!$B:$B))), 1)), "No Spell for Hairstyle"),
  _xlpm.vanillaPrefix, IF(LEFT(_xlpm.spell, 7)="Uvi_Wig", "", ";"),
  ";" &amp; IF(C1212="", B1212, C1212) &amp; IF(M1212="", "", " ("&amp;M1212&amp;")") &amp; CHAR(10) &amp;
  _xlpm.vanillaPrefix &amp; "Keyword = Uvi_Wig_Distr_KYWD|" &amp; B1212 &amp; CHAR(10) &amp;
  _xlpm.vanillaPrefix &amp; "Spell = " &amp; _xlpm.spell &amp; "|" &amp; B1212
  )
)</f>
        <v>;Pit Fan
;Keyword = Uvi_Wig_Distr_KYWD|WindhelmPitFan12
;Spell = No Spell for Hairstyle|WindhelmPitFan12</v>
      </c>
    </row>
    <row r="1213" ht="12.75" customHeight="1">
      <c r="A1213" s="5" t="s">
        <v>4499</v>
      </c>
      <c r="B1213" s="5" t="s">
        <v>4500</v>
      </c>
      <c r="C1213" s="5" t="s">
        <v>4492</v>
      </c>
      <c r="D1213" s="5" t="s">
        <v>38</v>
      </c>
      <c r="E1213" s="5" t="s">
        <v>233</v>
      </c>
      <c r="F1213" s="5" t="s">
        <v>68</v>
      </c>
      <c r="G1213" s="14" t="str">
        <f t="array" ref="G1213">IF(B1213="", "",
  LET(_xlpm.spell, IFERROR(IF(F1213="", "", INDEX(_xlws.FILTER(Hairstyles!$F:$F, ISNUMBER(SEARCH(F1213, Hairstyles!$B:$B))), 1)), "No Spell for Hairstyle"),
  _xlpm.vanillaPrefix, IF(LEFT(_xlpm.spell, 7)="Uvi_Wig", "", ";"),
  ";" &amp; IF(C1213="", B1213, C1213) &amp; IF(M1213="", "", " ("&amp;M1213&amp;")") &amp; CHAR(10) &amp;
  _xlpm.vanillaPrefix &amp; "Keyword = Uvi_Wig_Distr_KYWD|" &amp; B1213 &amp; CHAR(10) &amp;
  _xlpm.vanillaPrefix &amp; "Spell = " &amp; _xlpm.spell &amp; "|" &amp; B1213
  )
)</f>
        <v>;Pit Fan
;Keyword = Uvi_Wig_Distr_KYWD|WindhelmPitFan2
;Spell = No Spell for Hairstyle|WindhelmPitFan2</v>
      </c>
    </row>
    <row r="1214" ht="12.75" customHeight="1">
      <c r="A1214" s="5" t="s">
        <v>4501</v>
      </c>
      <c r="B1214" s="5" t="s">
        <v>4502</v>
      </c>
      <c r="C1214" s="5" t="s">
        <v>4492</v>
      </c>
      <c r="D1214" s="5" t="s">
        <v>38</v>
      </c>
      <c r="E1214" s="5" t="s">
        <v>233</v>
      </c>
      <c r="F1214" s="5" t="s">
        <v>68</v>
      </c>
      <c r="G1214" s="14" t="str">
        <f t="array" ref="G1214">IF(B1214="", "",
  LET(_xlpm.spell, IFERROR(IF(F1214="", "", INDEX(_xlws.FILTER(Hairstyles!$F:$F, ISNUMBER(SEARCH(F1214, Hairstyles!$B:$B))), 1)), "No Spell for Hairstyle"),
  _xlpm.vanillaPrefix, IF(LEFT(_xlpm.spell, 7)="Uvi_Wig", "", ";"),
  ";" &amp; IF(C1214="", B1214, C1214) &amp; IF(M1214="", "", " ("&amp;M1214&amp;")") &amp; CHAR(10) &amp;
  _xlpm.vanillaPrefix &amp; "Keyword = Uvi_Wig_Distr_KYWD|" &amp; B1214 &amp; CHAR(10) &amp;
  _xlpm.vanillaPrefix &amp; "Spell = " &amp; _xlpm.spell &amp; "|" &amp; B1214
  )
)</f>
        <v>;Pit Fan
;Keyword = Uvi_Wig_Distr_KYWD|WindhelmPitFan3
;Spell = No Spell for Hairstyle|WindhelmPitFan3</v>
      </c>
    </row>
    <row r="1215" ht="12.75" customHeight="1">
      <c r="A1215" s="5" t="s">
        <v>4503</v>
      </c>
      <c r="B1215" s="5" t="s">
        <v>4504</v>
      </c>
      <c r="C1215" s="5" t="s">
        <v>4492</v>
      </c>
      <c r="D1215" s="5" t="s">
        <v>38</v>
      </c>
      <c r="E1215" s="5" t="s">
        <v>41</v>
      </c>
      <c r="F1215" s="5" t="s">
        <v>68</v>
      </c>
      <c r="G1215" s="14" t="str">
        <f t="array" ref="G1215">IF(B1215="", "",
  LET(_xlpm.spell, IFERROR(IF(F1215="", "", INDEX(_xlws.FILTER(Hairstyles!$F:$F, ISNUMBER(SEARCH(F1215, Hairstyles!$B:$B))), 1)), "No Spell for Hairstyle"),
  _xlpm.vanillaPrefix, IF(LEFT(_xlpm.spell, 7)="Uvi_Wig", "", ";"),
  ";" &amp; IF(C1215="", B1215, C1215) &amp; IF(M1215="", "", " ("&amp;M1215&amp;")") &amp; CHAR(10) &amp;
  _xlpm.vanillaPrefix &amp; "Keyword = Uvi_Wig_Distr_KYWD|" &amp; B1215 &amp; CHAR(10) &amp;
  _xlpm.vanillaPrefix &amp; "Spell = " &amp; _xlpm.spell &amp; "|" &amp; B1215
  )
)</f>
        <v>;Pit Fan
;Keyword = Uvi_Wig_Distr_KYWD|WindhelmPitFan4
;Spell = No Spell for Hairstyle|WindhelmPitFan4</v>
      </c>
    </row>
    <row r="1216" ht="12.75" customHeight="1">
      <c r="A1216" s="5" t="s">
        <v>4505</v>
      </c>
      <c r="B1216" s="5" t="s">
        <v>4506</v>
      </c>
      <c r="C1216" s="5" t="s">
        <v>4492</v>
      </c>
      <c r="D1216" s="5" t="s">
        <v>38</v>
      </c>
      <c r="E1216" s="5" t="s">
        <v>41</v>
      </c>
      <c r="F1216" s="5" t="s">
        <v>68</v>
      </c>
      <c r="G1216" s="14" t="str">
        <f t="array" ref="G1216">IF(B1216="", "",
  LET(_xlpm.spell, IFERROR(IF(F1216="", "", INDEX(_xlws.FILTER(Hairstyles!$F:$F, ISNUMBER(SEARCH(F1216, Hairstyles!$B:$B))), 1)), "No Spell for Hairstyle"),
  _xlpm.vanillaPrefix, IF(LEFT(_xlpm.spell, 7)="Uvi_Wig", "", ";"),
  ";" &amp; IF(C1216="", B1216, C1216) &amp; IF(M1216="", "", " ("&amp;M1216&amp;")") &amp; CHAR(10) &amp;
  _xlpm.vanillaPrefix &amp; "Keyword = Uvi_Wig_Distr_KYWD|" &amp; B1216 &amp; CHAR(10) &amp;
  _xlpm.vanillaPrefix &amp; "Spell = " &amp; _xlpm.spell &amp; "|" &amp; B1216
  )
)</f>
        <v>;Pit Fan
;Keyword = Uvi_Wig_Distr_KYWD|WindhelmPitFan5
;Spell = No Spell for Hairstyle|WindhelmPitFan5</v>
      </c>
    </row>
    <row r="1217" ht="12.75" customHeight="1">
      <c r="A1217" s="5" t="s">
        <v>4507</v>
      </c>
      <c r="B1217" s="5" t="s">
        <v>4508</v>
      </c>
      <c r="C1217" s="5" t="s">
        <v>4492</v>
      </c>
      <c r="D1217" s="5" t="s">
        <v>38</v>
      </c>
      <c r="E1217" s="5" t="s">
        <v>41</v>
      </c>
      <c r="F1217" s="5" t="s">
        <v>68</v>
      </c>
      <c r="G1217" s="14" t="str">
        <f t="array" ref="G1217">IF(B1217="", "",
  LET(_xlpm.spell, IFERROR(IF(F1217="", "", INDEX(_xlws.FILTER(Hairstyles!$F:$F, ISNUMBER(SEARCH(F1217, Hairstyles!$B:$B))), 1)), "No Spell for Hairstyle"),
  _xlpm.vanillaPrefix, IF(LEFT(_xlpm.spell, 7)="Uvi_Wig", "", ";"),
  ";" &amp; IF(C1217="", B1217, C1217) &amp; IF(M1217="", "", " ("&amp;M1217&amp;")") &amp; CHAR(10) &amp;
  _xlpm.vanillaPrefix &amp; "Keyword = Uvi_Wig_Distr_KYWD|" &amp; B1217 &amp; CHAR(10) &amp;
  _xlpm.vanillaPrefix &amp; "Spell = " &amp; _xlpm.spell &amp; "|" &amp; B1217
  )
)</f>
        <v>;Pit Fan
;Keyword = Uvi_Wig_Distr_KYWD|WindhelmPitFan6
;Spell = No Spell for Hairstyle|WindhelmPitFan6</v>
      </c>
    </row>
    <row r="1218" ht="12.75" customHeight="1">
      <c r="A1218" s="15" t="s">
        <v>4509</v>
      </c>
      <c r="B1218" s="5" t="s">
        <v>4510</v>
      </c>
      <c r="C1218" s="5" t="s">
        <v>4492</v>
      </c>
      <c r="D1218" s="5" t="s">
        <v>59</v>
      </c>
      <c r="E1218" s="5" t="s">
        <v>233</v>
      </c>
      <c r="F1218" s="5" t="s">
        <v>19</v>
      </c>
      <c r="G1218" s="14" t="str">
        <f t="array" ref="G1218">IF(B1218="", "",
  LET(_xlpm.spell, IFERROR(IF(F1218="", "", INDEX(_xlws.FILTER(Hairstyles!$F:$F, ISNUMBER(SEARCH(F1218, Hairstyles!$B:$B))), 1)), "No Spell for Hairstyle"),
  _xlpm.vanillaPrefix, IF(LEFT(_xlpm.spell, 7)="Uvi_Wig", "", ";"),
  ";" &amp; IF(C1218="", B1218, C1218) &amp; IF(M1218="", "", " ("&amp;M1218&amp;")") &amp; CHAR(10) &amp;
  _xlpm.vanillaPrefix &amp; "Keyword = Uvi_Wig_Distr_KYWD|" &amp; B1218 &amp; CHAR(10) &amp;
  _xlpm.vanillaPrefix &amp; "Spell = " &amp; _xlpm.spell &amp; "|" &amp; B1218
  )
)</f>
        <v>;Pit Fan
;Keyword = Uvi_Wig_Distr_KYWD|WindhelmPitFan7
;Spell = No Spell for Hairstyle|WindhelmPitFan7</v>
      </c>
    </row>
    <row r="1219" ht="12.75" customHeight="1">
      <c r="A1219" s="5" t="s">
        <v>4511</v>
      </c>
      <c r="B1219" s="5" t="s">
        <v>4512</v>
      </c>
      <c r="C1219" s="5" t="s">
        <v>4492</v>
      </c>
      <c r="D1219" s="5" t="s">
        <v>10</v>
      </c>
      <c r="E1219" s="5" t="s">
        <v>233</v>
      </c>
      <c r="F1219" s="4" t="s">
        <v>1741</v>
      </c>
      <c r="G1219" s="14" t="str">
        <f t="array" ref="G1219">IF(B1219="", "",
  LET(_xlpm.spell, IFERROR(IF(F1219="", "", INDEX(_xlws.FILTER(Hairstyles!$F:$F, ISNUMBER(SEARCH(F1219, Hairstyles!$B:$B))), 1)), "No Spell for Hairstyle"),
  _xlpm.vanillaPrefix, IF(LEFT(_xlpm.spell, 7)="Uvi_Wig", "", ";"),
  ";" &amp; IF(C1219="", B1219, C1219) &amp; IF(M1219="", "", " ("&amp;M1219&amp;")") &amp; CHAR(10) &amp;
  _xlpm.vanillaPrefix &amp; "Keyword = Uvi_Wig_Distr_KYWD|" &amp; B1219 &amp; CHAR(10) &amp;
  _xlpm.vanillaPrefix &amp; "Spell = " &amp; _xlpm.spell &amp; "|" &amp; B1219
  )
)</f>
        <v>;Pit Fan
;Keyword = Uvi_Wig_Distr_KYWD|WindhelmPitFan8
;Spell = No Spell for Hairstyle|WindhelmPitFan8</v>
      </c>
    </row>
    <row r="1220" ht="12.75" customHeight="1">
      <c r="A1220" s="5" t="s">
        <v>4513</v>
      </c>
      <c r="B1220" s="5" t="s">
        <v>4514</v>
      </c>
      <c r="C1220" s="5" t="s">
        <v>4492</v>
      </c>
      <c r="D1220" s="5" t="s">
        <v>10</v>
      </c>
      <c r="E1220" s="5" t="s">
        <v>233</v>
      </c>
      <c r="F1220" s="4" t="s">
        <v>1741</v>
      </c>
      <c r="G1220" s="14" t="str">
        <f t="array" ref="G1220">IF(B1220="", "",
  LET(_xlpm.spell, IFERROR(IF(F1220="", "", INDEX(_xlws.FILTER(Hairstyles!$F:$F, ISNUMBER(SEARCH(F1220, Hairstyles!$B:$B))), 1)), "No Spell for Hairstyle"),
  _xlpm.vanillaPrefix, IF(LEFT(_xlpm.spell, 7)="Uvi_Wig", "", ";"),
  ";" &amp; IF(C1220="", B1220, C1220) &amp; IF(M1220="", "", " ("&amp;M1220&amp;")") &amp; CHAR(10) &amp;
  _xlpm.vanillaPrefix &amp; "Keyword = Uvi_Wig_Distr_KYWD|" &amp; B1220 &amp; CHAR(10) &amp;
  _xlpm.vanillaPrefix &amp; "Spell = " &amp; _xlpm.spell &amp; "|" &amp; B1220
  )
)</f>
        <v>;Pit Fan
;Keyword = Uvi_Wig_Distr_KYWD|WindhelmPitFan9
;Spell = No Spell for Hairstyle|WindhelmPitFan9</v>
      </c>
    </row>
    <row r="1221" ht="12.75" customHeight="1">
      <c r="A1221" s="15" t="s">
        <v>4515</v>
      </c>
      <c r="B1221" s="5" t="s">
        <v>4516</v>
      </c>
      <c r="C1221" s="5" t="s">
        <v>4517</v>
      </c>
      <c r="D1221" s="5" t="s">
        <v>38</v>
      </c>
      <c r="E1221" s="5" t="s">
        <v>233</v>
      </c>
      <c r="F1221" s="5" t="s">
        <v>990</v>
      </c>
      <c r="G1221" s="14" t="str">
        <f t="array" ref="G1221">IF(B1221="", "",
  LET(_xlpm.spell, IFERROR(IF(F1221="", "", INDEX(_xlws.FILTER(Hairstyles!$F:$F, ISNUMBER(SEARCH(F1221, Hairstyles!$B:$B))), 1)), "No Spell for Hairstyle"),
  _xlpm.vanillaPrefix, IF(LEFT(_xlpm.spell, 7)="Uvi_Wig", "", ";"),
  ";" &amp; IF(C1221="", B1221, C1221) &amp; IF(M1221="", "", " ("&amp;M1221&amp;")") &amp; CHAR(10) &amp;
  _xlpm.vanillaPrefix &amp; "Keyword = Uvi_Wig_Distr_KYWD|" &amp; B1221 &amp; CHAR(10) &amp;
  _xlpm.vanillaPrefix &amp; "Spell = " &amp; _xlpm.spell &amp; "|" &amp; B1221
  )
)</f>
        <v>;Planter
;Keyword = Uvi_Wig_Distr_KYWD|BYOHPlanterNPC
;Spell = No Spell for Hairstyle|BYOHPlanterNPC</v>
      </c>
    </row>
    <row r="1222" ht="12.75" customHeight="1">
      <c r="A1222" s="5" t="s">
        <v>4518</v>
      </c>
      <c r="B1222" s="5" t="s">
        <v>4519</v>
      </c>
      <c r="C1222" s="5" t="s">
        <v>4520</v>
      </c>
      <c r="D1222" s="5" t="s">
        <v>59</v>
      </c>
      <c r="E1222" s="5" t="s">
        <v>233</v>
      </c>
      <c r="F1222" s="5" t="s">
        <v>695</v>
      </c>
      <c r="G1222" s="14" t="str">
        <f t="array" ref="G1222">IF(B1222="", "",
  LET(_xlpm.spell, IFERROR(IF(F1222="", "", INDEX(_xlws.FILTER(Hairstyles!$F:$F, ISNUMBER(SEARCH(F1222, Hairstyles!$B:$B))), 1)), "No Spell for Hairstyle"),
  _xlpm.vanillaPrefix, IF(LEFT(_xlpm.spell, 7)="Uvi_Wig", "", ";"),
  ";" &amp; IF(C1222="", B1222, C1222) &amp; IF(M1222="", "", " ("&amp;M1222&amp;")") &amp; CHAR(10) &amp;
  _xlpm.vanillaPrefix &amp; "Keyword = Uvi_Wig_Distr_KYWD|" &amp; B1222 &amp; CHAR(10) &amp;
  _xlpm.vanillaPrefix &amp; "Spell = " &amp; _xlpm.spell &amp; "|" &amp; B1222
  )
)</f>
        <v>;Plautis Carvain
;Keyword = Uvi_Wig_Distr_KYWD|WEDL03PlautisCarvain
;Spell = No Spell for Hairstyle|WEDL03PlautisCarvain</v>
      </c>
    </row>
    <row r="1223" ht="12.75" customHeight="1">
      <c r="A1223" s="5" t="s">
        <v>4521</v>
      </c>
      <c r="B1223" s="5" t="s">
        <v>4522</v>
      </c>
      <c r="C1223" s="5" t="s">
        <v>4520</v>
      </c>
      <c r="D1223" s="5" t="s">
        <v>59</v>
      </c>
      <c r="E1223" s="5" t="s">
        <v>233</v>
      </c>
      <c r="F1223" s="5" t="s">
        <v>695</v>
      </c>
      <c r="G1223" s="14" t="str">
        <f t="array" ref="G1223">IF(B1223="", "",
  LET(_xlpm.spell, IFERROR(IF(F1223="", "", INDEX(_xlws.FILTER(Hairstyles!$F:$F, ISNUMBER(SEARCH(F1223, Hairstyles!$B:$B))), 1)), "No Spell for Hairstyle"),
  _xlpm.vanillaPrefix, IF(LEFT(_xlpm.spell, 7)="Uvi_Wig", "", ";"),
  ";" &amp; IF(C1223="", B1223, C1223) &amp; IF(M1223="", "", " ("&amp;M1223&amp;")") &amp; CHAR(10) &amp;
  _xlpm.vanillaPrefix &amp; "Keyword = Uvi_Wig_Distr_KYWD|" &amp; B1223 &amp; CHAR(10) &amp;
  _xlpm.vanillaPrefix &amp; "Spell = " &amp; _xlpm.spell &amp; "|" &amp; B1223
  )
)</f>
        <v>;Plautis Carvain
;Keyword = Uvi_Wig_Distr_KYWD|WEDL04PlautisCarvain
;Spell = No Spell for Hairstyle|WEDL04PlautisCarvain</v>
      </c>
    </row>
    <row r="1224" ht="12.75" customHeight="1">
      <c r="A1224" s="5" t="s">
        <v>4523</v>
      </c>
      <c r="B1224" s="5" t="s">
        <v>4524</v>
      </c>
      <c r="C1224" s="5" t="s">
        <v>4525</v>
      </c>
      <c r="D1224" s="5" t="s">
        <v>38</v>
      </c>
      <c r="E1224" s="5" t="s">
        <v>233</v>
      </c>
      <c r="F1224" s="5" t="s">
        <v>68</v>
      </c>
      <c r="G1224" s="14" t="str">
        <f t="array" ref="G1224">IF(B1224="", "",
  LET(_xlpm.spell, IFERROR(IF(F1224="", "", INDEX(_xlws.FILTER(Hairstyles!$F:$F, ISNUMBER(SEARCH(F1224, Hairstyles!$B:$B))), 1)), "No Spell for Hairstyle"),
  _xlpm.vanillaPrefix, IF(LEFT(_xlpm.spell, 7)="Uvi_Wig", "", ";"),
  ";" &amp; IF(C1224="", B1224, C1224) &amp; IF(M1224="", "", " ("&amp;M1224&amp;")") &amp; CHAR(10) &amp;
  _xlpm.vanillaPrefix &amp; "Keyword = Uvi_Wig_Distr_KYWD|" &amp; B1224 &amp; CHAR(10) &amp;
  _xlpm.vanillaPrefix &amp; "Spell = " &amp; _xlpm.spell &amp; "|" &amp; B1224
  )
)</f>
        <v>;Player Friend
;Keyword = Uvi_Wig_Distr_KYWD|DB02PlayerFriend
;Spell = No Spell for Hairstyle|DB02PlayerFriend</v>
      </c>
    </row>
    <row r="1225" ht="12.75" customHeight="1">
      <c r="A1225" s="5" t="s">
        <v>4526</v>
      </c>
      <c r="B1225" s="5" t="s">
        <v>4527</v>
      </c>
      <c r="C1225" s="5" t="s">
        <v>4528</v>
      </c>
      <c r="D1225" s="5" t="s">
        <v>38</v>
      </c>
      <c r="E1225" s="5" t="s">
        <v>41</v>
      </c>
      <c r="F1225" s="5" t="s">
        <v>1063</v>
      </c>
      <c r="G1225" s="14" t="str">
        <f t="array" ref="G1225">IF(B1225="", "",
  LET(_xlpm.spell, IFERROR(IF(F1225="", "", INDEX(_xlws.FILTER(Hairstyles!$F:$F, ISNUMBER(SEARCH(F1225, Hairstyles!$B:$B))), 1)), "No Spell for Hairstyle"),
  _xlpm.vanillaPrefix, IF(LEFT(_xlpm.spell, 7)="Uvi_Wig", "", ";"),
  ";" &amp; IF(C1225="", B1225, C1225) &amp; IF(M1225="", "", " ("&amp;M1225&amp;")") &amp; CHAR(10) &amp;
  _xlpm.vanillaPrefix &amp; "Keyword = Uvi_Wig_Distr_KYWD|" &amp; B1225 &amp; CHAR(10) &amp;
  _xlpm.vanillaPrefix &amp; "Spell = " &amp; _xlpm.spell &amp; "|" &amp; B1225
  )
)</f>
        <v>;Poor Fishwife
;Keyword = Uvi_Wig_Distr_KYWD|DBRecurringTarget6Riften
;Spell = No Spell for Hairstyle|DBRecurringTarget6Riften</v>
      </c>
    </row>
    <row r="1226" ht="12.75" customHeight="1">
      <c r="A1226" s="5" t="s">
        <v>4529</v>
      </c>
      <c r="B1226" s="5" t="s">
        <v>4530</v>
      </c>
      <c r="C1226" s="5" t="s">
        <v>4531</v>
      </c>
      <c r="D1226" s="5" t="s">
        <v>94</v>
      </c>
      <c r="E1226" s="5" t="s">
        <v>233</v>
      </c>
      <c r="F1226" s="5" t="s">
        <v>543</v>
      </c>
      <c r="G1226" s="14" t="str">
        <f t="array" ref="G1226">IF(B1226="", "",
  LET(_xlpm.spell, IFERROR(IF(F1226="", "", INDEX(_xlws.FILTER(Hairstyles!$F:$F, ISNUMBER(SEARCH(F1226, Hairstyles!$B:$B))), 1)), "No Spell for Hairstyle"),
  _xlpm.vanillaPrefix, IF(LEFT(_xlpm.spell, 7)="Uvi_Wig", "", ";"),
  ";" &amp; IF(C1226="", B1226, C1226) &amp; IF(M1226="", "", " ("&amp;M1226&amp;")") &amp; CHAR(10) &amp;
  _xlpm.vanillaPrefix &amp; "Keyword = Uvi_Wig_Distr_KYWD|" &amp; B1226 &amp; CHAR(10) &amp;
  _xlpm.vanillaPrefix &amp; "Spell = " &amp; _xlpm.spell &amp; "|" &amp; B1226
  )
)</f>
        <v>;Prelate Athring
;Keyword = Uvi_Wig_Distr_KYWD|DLC1Prelate01
;Spell = No Spell for Hairstyle|DLC1Prelate01</v>
      </c>
    </row>
    <row r="1227" ht="12.75" customHeight="1">
      <c r="A1227" s="5" t="s">
        <v>4532</v>
      </c>
      <c r="B1227" s="5" t="s">
        <v>4533</v>
      </c>
      <c r="C1227" s="5" t="s">
        <v>4534</v>
      </c>
      <c r="D1227" s="5" t="s">
        <v>94</v>
      </c>
      <c r="E1227" s="5" t="s">
        <v>233</v>
      </c>
      <c r="F1227" s="5" t="s">
        <v>525</v>
      </c>
      <c r="G1227" s="14" t="str">
        <f t="array" ref="G1227">IF(B1227="", "",
  LET(_xlpm.spell, IFERROR(IF(F1227="", "", INDEX(_xlws.FILTER(Hairstyles!$F:$F, ISNUMBER(SEARCH(F1227, Hairstyles!$B:$B))), 1)), "No Spell for Hairstyle"),
  _xlpm.vanillaPrefix, IF(LEFT(_xlpm.spell, 7)="Uvi_Wig", "", ";"),
  ";" &amp; IF(C1227="", B1227, C1227) &amp; IF(M1227="", "", " ("&amp;M1227&amp;")") &amp; CHAR(10) &amp;
  _xlpm.vanillaPrefix &amp; "Keyword = Uvi_Wig_Distr_KYWD|" &amp; B1227 &amp; CHAR(10) &amp;
  _xlpm.vanillaPrefix &amp; "Spell = " &amp; _xlpm.spell &amp; "|" &amp; B1227
  )
)</f>
        <v>;Prelate Celegriath
;Keyword = Uvi_Wig_Distr_KYWD|DLC1Prelate02
;Spell = No Spell for Hairstyle|DLC1Prelate02</v>
      </c>
    </row>
    <row r="1228" ht="12.75" customHeight="1">
      <c r="A1228" s="5" t="s">
        <v>4535</v>
      </c>
      <c r="B1228" s="5" t="s">
        <v>4536</v>
      </c>
      <c r="C1228" s="5" t="s">
        <v>4537</v>
      </c>
      <c r="D1228" s="5" t="s">
        <v>94</v>
      </c>
      <c r="E1228" s="5" t="s">
        <v>233</v>
      </c>
      <c r="F1228" s="5" t="s">
        <v>47</v>
      </c>
      <c r="G1228" s="14" t="str">
        <f t="array" ref="G1228">IF(B1228="", "",
  LET(_xlpm.spell, IFERROR(IF(F1228="", "", INDEX(_xlws.FILTER(Hairstyles!$F:$F, ISNUMBER(SEARCH(F1228, Hairstyles!$B:$B))), 1)), "No Spell for Hairstyle"),
  _xlpm.vanillaPrefix, IF(LEFT(_xlpm.spell, 7)="Uvi_Wig", "", ";"),
  ";" &amp; IF(C1228="", B1228, C1228) &amp; IF(M1228="", "", " ("&amp;M1228&amp;")") &amp; CHAR(10) &amp;
  _xlpm.vanillaPrefix &amp; "Keyword = Uvi_Wig_Distr_KYWD|" &amp; B1228 &amp; CHAR(10) &amp;
  _xlpm.vanillaPrefix &amp; "Spell = " &amp; _xlpm.spell &amp; "|" &amp; B1228
  )
)</f>
        <v>;Prelate Edhelbor
;Keyword = Uvi_Wig_Distr_KYWD|DLC1Prelate04
;Spell = No Spell for Hairstyle|DLC1Prelate04</v>
      </c>
    </row>
    <row r="1229" ht="12.75" customHeight="1">
      <c r="A1229" s="5" t="s">
        <v>4538</v>
      </c>
      <c r="B1229" s="5" t="s">
        <v>4539</v>
      </c>
      <c r="C1229" s="5" t="s">
        <v>4540</v>
      </c>
      <c r="D1229" s="5" t="s">
        <v>94</v>
      </c>
      <c r="E1229" s="5" t="s">
        <v>233</v>
      </c>
      <c r="F1229" s="5" t="s">
        <v>91</v>
      </c>
      <c r="G1229" s="14" t="str">
        <f t="array" ref="G1229">IF(B1229="", "",
  LET(_xlpm.spell, IFERROR(IF(F1229="", "", INDEX(_xlws.FILTER(Hairstyles!$F:$F, ISNUMBER(SEARCH(F1229, Hairstyles!$B:$B))), 1)), "No Spell for Hairstyle"),
  _xlpm.vanillaPrefix, IF(LEFT(_xlpm.spell, 7)="Uvi_Wig", "", ";"),
  ";" &amp; IF(C1229="", B1229, C1229) &amp; IF(M1229="", "", " ("&amp;M1229&amp;")") &amp; CHAR(10) &amp;
  _xlpm.vanillaPrefix &amp; "Keyword = Uvi_Wig_Distr_KYWD|" &amp; B1229 &amp; CHAR(10) &amp;
  _xlpm.vanillaPrefix &amp; "Spell = " &amp; _xlpm.spell &amp; "|" &amp; B1229
  )
)</f>
        <v>;Prelate Nirilor
;Keyword = Uvi_Wig_Distr_KYWD|DLC1Prelate03
;Spell = No Spell for Hairstyle|DLC1Prelate03</v>
      </c>
    </row>
    <row r="1230" ht="12.75" customHeight="1">
      <c r="A1230" s="5" t="s">
        <v>4541</v>
      </c>
      <c r="B1230" s="5" t="s">
        <v>4542</v>
      </c>
      <c r="C1230" s="5" t="s">
        <v>4543</v>
      </c>
      <c r="D1230" s="5" t="s">
        <v>94</v>
      </c>
      <c r="E1230" s="5" t="s">
        <v>233</v>
      </c>
      <c r="F1230" s="5" t="s">
        <v>47</v>
      </c>
      <c r="G1230" s="14" t="str">
        <f t="array" ref="G1230">IF(B1230="", "",
  LET(_xlpm.spell, IFERROR(IF(F1230="", "", INDEX(_xlws.FILTER(Hairstyles!$F:$F, ISNUMBER(SEARCH(F1230, Hairstyles!$B:$B))), 1)), "No Spell for Hairstyle"),
  _xlpm.vanillaPrefix, IF(LEFT(_xlpm.spell, 7)="Uvi_Wig", "", ";"),
  ";" &amp; IF(C1230="", B1230, C1230) &amp; IF(M1230="", "", " ("&amp;M1230&amp;")") &amp; CHAR(10) &amp;
  _xlpm.vanillaPrefix &amp; "Keyword = Uvi_Wig_Distr_KYWD|" &amp; B1230 &amp; CHAR(10) &amp;
  _xlpm.vanillaPrefix &amp; "Spell = " &amp; _xlpm.spell &amp; "|" &amp; B1230
  )
)</f>
        <v>;Prelate Sidanyis
;Keyword = Uvi_Wig_Distr_KYWD|DLC1Prelate00
;Spell = No Spell for Hairstyle|DLC1Prelate00</v>
      </c>
    </row>
    <row r="1231" ht="12.75" customHeight="1">
      <c r="A1231" s="15" t="s">
        <v>4544</v>
      </c>
      <c r="B1231" s="5" t="s">
        <v>4545</v>
      </c>
      <c r="C1231" s="5" t="s">
        <v>4546</v>
      </c>
      <c r="D1231" s="5" t="s">
        <v>59</v>
      </c>
      <c r="E1231" s="5" t="s">
        <v>41</v>
      </c>
      <c r="F1231" s="5" t="s">
        <v>42</v>
      </c>
      <c r="G1231" s="14" t="str">
        <f t="array" ref="G1231">IF(B1231="", "",
  LET(_xlpm.spell, IFERROR(IF(F1231="", "", INDEX(_xlws.FILTER(Hairstyles!$F:$F, ISNUMBER(SEARCH(F1231, Hairstyles!$B:$B))), 1)), "No Spell for Hairstyle"),
  _xlpm.vanillaPrefix, IF(LEFT(_xlpm.spell, 7)="Uvi_Wig", "", ";"),
  ";" &amp; IF(C1231="", B1231, C1231) &amp; IF(M1231="", "", " ("&amp;M1231&amp;")") &amp; CHAR(10) &amp;
  _xlpm.vanillaPrefix &amp; "Keyword = Uvi_Wig_Distr_KYWD|" &amp; B1231 &amp; CHAR(10) &amp;
  _xlpm.vanillaPrefix &amp; "Spell = " &amp; _xlpm.spell &amp; "|" &amp; B1231
  )
)</f>
        <v>;Priestess of Arkay
;Keyword = Uvi_Wig_Distr_KYWD|MQ101ImperialPriest
;Spell = No Spell for Hairstyle|MQ101ImperialPriest</v>
      </c>
    </row>
    <row r="1232" ht="12.75" customHeight="1">
      <c r="A1232" s="5" t="s">
        <v>4547</v>
      </c>
      <c r="B1232" s="5" t="s">
        <v>4548</v>
      </c>
      <c r="C1232" s="5" t="s">
        <v>4549</v>
      </c>
      <c r="D1232" s="5" t="s">
        <v>83</v>
      </c>
      <c r="E1232" s="5" t="s">
        <v>233</v>
      </c>
      <c r="F1232" s="5" t="s">
        <v>762</v>
      </c>
      <c r="G1232" s="14" t="str">
        <f t="array" ref="G1232">IF(B1232="", "",
  LET(_xlpm.spell, IFERROR(IF(F1232="", "", INDEX(_xlws.FILTER(Hairstyles!$F:$F, ISNUMBER(SEARCH(F1232, Hairstyles!$B:$B))), 1)), "No Spell for Hairstyle"),
  _xlpm.vanillaPrefix, IF(LEFT(_xlpm.spell, 7)="Uvi_Wig", "", ";"),
  ";" &amp; IF(C1232="", B1232, C1232) &amp; IF(M1232="", "", " ("&amp;M1232&amp;")") &amp; CHAR(10) &amp;
  _xlpm.vanillaPrefix &amp; "Keyword = Uvi_Wig_Distr_KYWD|" &amp; B1232 &amp; CHAR(10) &amp;
  _xlpm.vanillaPrefix &amp; "Spell = " &amp; _xlpm.spell &amp; "|" &amp; B1232
  )
)</f>
        <v>;Prisoner
;Keyword = Uvi_Wig_Distr_KYWD|dunChillwindFalmerPrisoner01
;Spell = No Spell for Hairstyle|dunChillwindFalmerPrisoner01</v>
      </c>
    </row>
    <row r="1233" ht="12.75" customHeight="1">
      <c r="A1233" s="5" t="s">
        <v>4550</v>
      </c>
      <c r="B1233" s="5" t="s">
        <v>4551</v>
      </c>
      <c r="C1233" s="5" t="s">
        <v>4549</v>
      </c>
      <c r="D1233" s="5" t="s">
        <v>45</v>
      </c>
      <c r="E1233" s="5" t="s">
        <v>41</v>
      </c>
      <c r="F1233" s="5" t="s">
        <v>512</v>
      </c>
      <c r="G1233" s="14" t="str">
        <f t="array" ref="G1233">IF(B1233="", "",
  LET(_xlpm.spell, IFERROR(IF(F1233="", "", INDEX(_xlws.FILTER(Hairstyles!$F:$F, ISNUMBER(SEARCH(F1233, Hairstyles!$B:$B))), 1)), "No Spell for Hairstyle"),
  _xlpm.vanillaPrefix, IF(LEFT(_xlpm.spell, 7)="Uvi_Wig", "", ";"),
  ";" &amp; IF(C1233="", B1233, C1233) &amp; IF(M1233="", "", " ("&amp;M1233&amp;")") &amp; CHAR(10) &amp;
  _xlpm.vanillaPrefix &amp; "Keyword = Uvi_Wig_Distr_KYWD|" &amp; B1233 &amp; CHAR(10) &amp;
  _xlpm.vanillaPrefix &amp; "Spell = " &amp; _xlpm.spell &amp; "|" &amp; B1233
  )
)</f>
        <v>;Prisoner
;Keyword = Uvi_Wig_Distr_KYWD|dunChillwindFalmerPrisoner02
;Spell = No Spell for Hairstyle|dunChillwindFalmerPrisoner02</v>
      </c>
    </row>
    <row r="1234" ht="12.75" customHeight="1">
      <c r="A1234" s="5" t="s">
        <v>4552</v>
      </c>
      <c r="B1234" s="5" t="s">
        <v>4553</v>
      </c>
      <c r="C1234" s="5" t="s">
        <v>4549</v>
      </c>
      <c r="D1234" s="5" t="s">
        <v>16</v>
      </c>
      <c r="E1234" s="5" t="s">
        <v>233</v>
      </c>
      <c r="F1234" s="5" t="s">
        <v>1678</v>
      </c>
      <c r="G1234" s="14" t="str">
        <f t="array" ref="G1234">IF(B1234="", "",
  LET(_xlpm.spell, IFERROR(IF(F1234="", "", INDEX(_xlws.FILTER(Hairstyles!$F:$F, ISNUMBER(SEARCH(F1234, Hairstyles!$B:$B))), 1)), "No Spell for Hairstyle"),
  _xlpm.vanillaPrefix, IF(LEFT(_xlpm.spell, 7)="Uvi_Wig", "", ";"),
  ";" &amp; IF(C1234="", B1234, C1234) &amp; IF(M1234="", "", " ("&amp;M1234&amp;")") &amp; CHAR(10) &amp;
  _xlpm.vanillaPrefix &amp; "Keyword = Uvi_Wig_Distr_KYWD|" &amp; B1234 &amp; CHAR(10) &amp;
  _xlpm.vanillaPrefix &amp; "Spell = " &amp; _xlpm.spell &amp; "|" &amp; B1234
  )
)</f>
        <v>;Prisoner
;Keyword = Uvi_Wig_Distr_KYWD|dunChillwindFalmerPrisoner03
;Spell = No Spell for Hairstyle|dunChillwindFalmerPrisoner03</v>
      </c>
    </row>
    <row r="1235" ht="12.75" customHeight="1">
      <c r="A1235" s="5" t="s">
        <v>4554</v>
      </c>
      <c r="B1235" s="5" t="s">
        <v>4555</v>
      </c>
      <c r="C1235" s="5" t="s">
        <v>4549</v>
      </c>
      <c r="D1235" s="5" t="s">
        <v>38</v>
      </c>
      <c r="E1235" s="5" t="s">
        <v>233</v>
      </c>
      <c r="F1235" s="5" t="s">
        <v>762</v>
      </c>
      <c r="G1235" s="14" t="str">
        <f t="array" ref="G1235">IF(B1235="", "",
  LET(_xlpm.spell, IFERROR(IF(F1235="", "", INDEX(_xlws.FILTER(Hairstyles!$F:$F, ISNUMBER(SEARCH(F1235, Hairstyles!$B:$B))), 1)), "No Spell for Hairstyle"),
  _xlpm.vanillaPrefix, IF(LEFT(_xlpm.spell, 7)="Uvi_Wig", "", ";"),
  ";" &amp; IF(C1235="", B1235, C1235) &amp; IF(M1235="", "", " ("&amp;M1235&amp;")") &amp; CHAR(10) &amp;
  _xlpm.vanillaPrefix &amp; "Keyword = Uvi_Wig_Distr_KYWD|" &amp; B1235 &amp; CHAR(10) &amp;
  _xlpm.vanillaPrefix &amp; "Spell = " &amp; _xlpm.spell &amp; "|" &amp; B1235
  )
)</f>
        <v>;Prisoner
;Keyword = Uvi_Wig_Distr_KYWD|dunChillwindFalmerPrisoner04
;Spell = No Spell for Hairstyle|dunChillwindFalmerPrisoner04</v>
      </c>
    </row>
    <row r="1236" ht="12.75" customHeight="1">
      <c r="A1236" s="5" t="s">
        <v>4556</v>
      </c>
      <c r="B1236" s="5" t="s">
        <v>4557</v>
      </c>
      <c r="C1236" s="5" t="s">
        <v>4549</v>
      </c>
      <c r="D1236" s="5" t="s">
        <v>45</v>
      </c>
      <c r="E1236" s="5" t="s">
        <v>233</v>
      </c>
      <c r="F1236" s="5" t="s">
        <v>1541</v>
      </c>
      <c r="G1236" s="14" t="str">
        <f t="array" ref="G1236">IF(B1236="", "",
  LET(_xlpm.spell, IFERROR(IF(F1236="", "", INDEX(_xlws.FILTER(Hairstyles!$F:$F, ISNUMBER(SEARCH(F1236, Hairstyles!$B:$B))), 1)), "No Spell for Hairstyle"),
  _xlpm.vanillaPrefix, IF(LEFT(_xlpm.spell, 7)="Uvi_Wig", "", ";"),
  ";" &amp; IF(C1236="", B1236, C1236) &amp; IF(M1236="", "", " ("&amp;M1236&amp;")") &amp; CHAR(10) &amp;
  _xlpm.vanillaPrefix &amp; "Keyword = Uvi_Wig_Distr_KYWD|" &amp; B1236 &amp; CHAR(10) &amp;
  _xlpm.vanillaPrefix &amp; "Spell = " &amp; _xlpm.spell &amp; "|" &amp; B1236
  )
)</f>
        <v>;Prisoner
;Keyword = Uvi_Wig_Distr_KYWD|dunChillwindFalmerPrisoner05
;Spell = No Spell for Hairstyle|dunChillwindFalmerPrisoner05</v>
      </c>
    </row>
    <row r="1237" ht="12.75" customHeight="1">
      <c r="A1237" s="5" t="s">
        <v>4558</v>
      </c>
      <c r="B1237" s="5" t="s">
        <v>4559</v>
      </c>
      <c r="C1237" s="5" t="s">
        <v>4549</v>
      </c>
      <c r="D1237" s="5" t="s">
        <v>83</v>
      </c>
      <c r="E1237" s="5" t="s">
        <v>41</v>
      </c>
      <c r="F1237" s="5" t="s">
        <v>905</v>
      </c>
      <c r="G1237" s="14" t="str">
        <f t="array" ref="G1237">IF(B1237="", "",
  LET(_xlpm.spell, IFERROR(IF(F1237="", "", INDEX(_xlws.FILTER(Hairstyles!$F:$F, ISNUMBER(SEARCH(F1237, Hairstyles!$B:$B))), 1)), "No Spell for Hairstyle"),
  _xlpm.vanillaPrefix, IF(LEFT(_xlpm.spell, 7)="Uvi_Wig", "", ";"),
  ";" &amp; IF(C1237="", B1237, C1237) &amp; IF(M1237="", "", " ("&amp;M1237&amp;")") &amp; CHAR(10) &amp;
  _xlpm.vanillaPrefix &amp; "Keyword = Uvi_Wig_Distr_KYWD|" &amp; B1237 &amp; CHAR(10) &amp;
  _xlpm.vanillaPrefix &amp; "Spell = " &amp; _xlpm.spell &amp; "|" &amp; B1237
  )
)</f>
        <v>;Prisoner
;Keyword = Uvi_Wig_Distr_KYWD|dunChillwindFalmerPrisoner06
;Spell = No Spell for Hairstyle|dunChillwindFalmerPrisoner06</v>
      </c>
    </row>
    <row r="1238" ht="12.75" customHeight="1">
      <c r="A1238" s="15" t="s">
        <v>4560</v>
      </c>
      <c r="B1238" s="5" t="s">
        <v>4561</v>
      </c>
      <c r="C1238" s="5" t="s">
        <v>4549</v>
      </c>
      <c r="D1238" s="5" t="s">
        <v>59</v>
      </c>
      <c r="E1238" s="5" t="s">
        <v>233</v>
      </c>
      <c r="F1238" s="5" t="s">
        <v>695</v>
      </c>
      <c r="G1238" s="14" t="str">
        <f t="array" ref="G1238">IF(B1238="", "",
  LET(_xlpm.spell, IFERROR(IF(F1238="", "", INDEX(_xlws.FILTER(Hairstyles!$F:$F, ISNUMBER(SEARCH(F1238, Hairstyles!$B:$B))), 1)), "No Spell for Hairstyle"),
  _xlpm.vanillaPrefix, IF(LEFT(_xlpm.spell, 7)="Uvi_Wig", "", ";"),
  ";" &amp; IF(C1238="", B1238, C1238) &amp; IF(M1238="", "", " ("&amp;M1238&amp;")") &amp; CHAR(10) &amp;
  _xlpm.vanillaPrefix &amp; "Keyword = Uvi_Wig_Distr_KYWD|" &amp; B1238 &amp; CHAR(10) &amp;
  _xlpm.vanillaPrefix &amp; "Spell = " &amp; _xlpm.spell &amp; "|" &amp; B1238
  )
)</f>
        <v>;Prisoner
;Keyword = Uvi_Wig_Distr_KYWD|dunChillwindFalmerPrisoner07
;Spell = No Spell for Hairstyle|dunChillwindFalmerPrisoner07</v>
      </c>
    </row>
    <row r="1239" ht="12.75" customHeight="1">
      <c r="A1239" s="5" t="s">
        <v>4562</v>
      </c>
      <c r="B1239" s="5" t="s">
        <v>4563</v>
      </c>
      <c r="C1239" s="5" t="s">
        <v>4549</v>
      </c>
      <c r="D1239" s="5" t="s">
        <v>59</v>
      </c>
      <c r="E1239" s="5" t="s">
        <v>41</v>
      </c>
      <c r="F1239" s="5" t="s">
        <v>862</v>
      </c>
      <c r="G1239" s="14" t="str">
        <f t="array" ref="G1239">IF(B1239="", "",
  LET(_xlpm.spell, IFERROR(IF(F1239="", "", INDEX(_xlws.FILTER(Hairstyles!$F:$F, ISNUMBER(SEARCH(F1239, Hairstyles!$B:$B))), 1)), "No Spell for Hairstyle"),
  _xlpm.vanillaPrefix, IF(LEFT(_xlpm.spell, 7)="Uvi_Wig", "", ";"),
  ";" &amp; IF(C1239="", B1239, C1239) &amp; IF(M1239="", "", " ("&amp;M1239&amp;")") &amp; CHAR(10) &amp;
  _xlpm.vanillaPrefix &amp; "Keyword = Uvi_Wig_Distr_KYWD|" &amp; B1239 &amp; CHAR(10) &amp;
  _xlpm.vanillaPrefix &amp; "Spell = " &amp; _xlpm.spell &amp; "|" &amp; B1239
  )
)</f>
        <v>;Prisoner
;Keyword = Uvi_Wig_Distr_KYWD|dunChillwindFalmerPrisoner08
;Spell = No Spell for Hairstyle|dunChillwindFalmerPrisoner08</v>
      </c>
    </row>
    <row r="1240" ht="12.75" customHeight="1">
      <c r="A1240" s="5" t="s">
        <v>4564</v>
      </c>
      <c r="B1240" s="5" t="s">
        <v>4565</v>
      </c>
      <c r="C1240" s="5" t="s">
        <v>4549</v>
      </c>
      <c r="D1240" s="5" t="s">
        <v>38</v>
      </c>
      <c r="E1240" s="5" t="s">
        <v>233</v>
      </c>
      <c r="F1240" s="5" t="s">
        <v>1700</v>
      </c>
      <c r="G1240" s="14" t="str">
        <f t="array" ref="G1240">IF(B1240="", "",
  LET(_xlpm.spell, IFERROR(IF(F1240="", "", INDEX(_xlws.FILTER(Hairstyles!$F:$F, ISNUMBER(SEARCH(F1240, Hairstyles!$B:$B))), 1)), "No Spell for Hairstyle"),
  _xlpm.vanillaPrefix, IF(LEFT(_xlpm.spell, 7)="Uvi_Wig", "", ";"),
  ";" &amp; IF(C1240="", B1240, C1240) &amp; IF(M1240="", "", " ("&amp;M1240&amp;")") &amp; CHAR(10) &amp;
  _xlpm.vanillaPrefix &amp; "Keyword = Uvi_Wig_Distr_KYWD|" &amp; B1240 &amp; CHAR(10) &amp;
  _xlpm.vanillaPrefix &amp; "Spell = " &amp; _xlpm.spell &amp; "|" &amp; B1240
  )
)</f>
        <v>;Prisoner
;Keyword = Uvi_Wig_Distr_KYWD|dunSolitudeJailDeadPrisoner
;Spell = No Spell for Hairstyle|dunSolitudeJailDeadPrisoner</v>
      </c>
    </row>
    <row r="1241" ht="12.75" customHeight="1">
      <c r="A1241" s="5" t="s">
        <v>4566</v>
      </c>
      <c r="B1241" s="5" t="s">
        <v>4567</v>
      </c>
      <c r="C1241" s="5" t="s">
        <v>4549</v>
      </c>
      <c r="D1241" s="5" t="s">
        <v>65</v>
      </c>
      <c r="E1241" s="5" t="s">
        <v>233</v>
      </c>
      <c r="F1241" s="4" t="s">
        <v>1741</v>
      </c>
      <c r="G1241" s="14" t="str">
        <f t="array" ref="G1241">IF(B1241="", "",
  LET(_xlpm.spell, IFERROR(IF(F1241="", "", INDEX(_xlws.FILTER(Hairstyles!$F:$F, ISNUMBER(SEARCH(F1241, Hairstyles!$B:$B))), 1)), "No Spell for Hairstyle"),
  _xlpm.vanillaPrefix, IF(LEFT(_xlpm.spell, 7)="Uvi_Wig", "", ";"),
  ";" &amp; IF(C1241="", B1241, C1241) &amp; IF(M1241="", "", " ("&amp;M1241&amp;")") &amp; CHAR(10) &amp;
  _xlpm.vanillaPrefix &amp; "Keyword = Uvi_Wig_Distr_KYWD|" &amp; B1241 &amp; CHAR(10) &amp;
  _xlpm.vanillaPrefix &amp; "Spell = " &amp; _xlpm.spell &amp; "|" &amp; B1241
  )
)</f>
        <v>;Prisoner
;Keyword = Uvi_Wig_Distr_KYWD|PlayerInventory
;Spell = No Spell for Hairstyle|PlayerInventory</v>
      </c>
    </row>
    <row r="1242" ht="12.75" customHeight="1">
      <c r="A1242" s="5" t="s">
        <v>4568</v>
      </c>
      <c r="B1242" s="5" t="s">
        <v>4569</v>
      </c>
      <c r="C1242" s="5" t="s">
        <v>4570</v>
      </c>
      <c r="D1242" s="5" t="s">
        <v>59</v>
      </c>
      <c r="E1242" s="5" t="s">
        <v>233</v>
      </c>
      <c r="F1242" s="5" t="s">
        <v>218</v>
      </c>
      <c r="G1242" s="14" t="str">
        <f t="array" ref="G1242">IF(B1242="", "",
  LET(_xlpm.spell, IFERROR(IF(F1242="", "", INDEX(_xlws.FILTER(Hairstyles!$F:$F, ISNUMBER(SEARCH(F1242, Hairstyles!$B:$B))), 1)), "No Spell for Hairstyle"),
  _xlpm.vanillaPrefix, IF(LEFT(_xlpm.spell, 7)="Uvi_Wig", "", ";"),
  ";" &amp; IF(C1242="", B1242, C1242) &amp; IF(M1242="", "", " ("&amp;M1242&amp;")") &amp; CHAR(10) &amp;
  _xlpm.vanillaPrefix &amp; "Keyword = Uvi_Wig_Distr_KYWD|" &amp; B1242 &amp; CHAR(10) &amp;
  _xlpm.vanillaPrefix &amp; "Spell = " &amp; _xlpm.spell &amp; "|" &amp; B1242
  )
)</f>
        <v>;Proventus Avenicci
;Keyword = Uvi_Wig_Distr_KYWD|ProventusAvenicci
;Spell = No Spell for Hairstyle|ProventusAvenicci</v>
      </c>
    </row>
    <row r="1243" ht="12.75" customHeight="1">
      <c r="A1243" s="5" t="s">
        <v>4571</v>
      </c>
      <c r="B1243" s="5" t="s">
        <v>4572</v>
      </c>
      <c r="C1243" s="5" t="s">
        <v>4573</v>
      </c>
      <c r="D1243" s="5" t="s">
        <v>45</v>
      </c>
      <c r="E1243" s="5" t="s">
        <v>233</v>
      </c>
      <c r="F1243" s="5" t="s">
        <v>1723</v>
      </c>
      <c r="G1243" s="14" t="str">
        <f t="array" ref="G1243">IF(B1243="", "",
  LET(_xlpm.spell, IFERROR(IF(F1243="", "", INDEX(_xlws.FILTER(Hairstyles!$F:$F, ISNUMBER(SEARCH(F1243, Hairstyles!$B:$B))), 1)), "No Spell for Hairstyle"),
  _xlpm.vanillaPrefix, IF(LEFT(_xlpm.spell, 7)="Uvi_Wig", "", ";"),
  ";" &amp; IF(C1243="", B1243, C1243) &amp; IF(M1243="", "", " ("&amp;M1243&amp;")") &amp; CHAR(10) &amp;
  _xlpm.vanillaPrefix &amp; "Keyword = Uvi_Wig_Distr_KYWD|" &amp; B1243 &amp; CHAR(10) &amp;
  _xlpm.vanillaPrefix &amp; "Spell = " &amp; _xlpm.spell &amp; "|" &amp; B1243
  )
)</f>
        <v>;Pyromancer
;Keyword = Uvi_Wig_Distr_KYWD|EncWarlock06TemplateBossFire
;Spell = No Spell for Hairstyle|EncWarlock06TemplateBossFire</v>
      </c>
    </row>
    <row r="1244" ht="12.75" customHeight="1">
      <c r="A1244" s="5" t="s">
        <v>4574</v>
      </c>
      <c r="B1244" s="5" t="s">
        <v>4575</v>
      </c>
      <c r="C1244" s="5" t="s">
        <v>4573</v>
      </c>
      <c r="D1244" s="5" t="s">
        <v>45</v>
      </c>
      <c r="E1244" s="5" t="s">
        <v>233</v>
      </c>
      <c r="F1244" s="5" t="s">
        <v>47</v>
      </c>
      <c r="G1244" s="14" t="str">
        <f t="array" ref="G1244">IF(B1244="", "",
  LET(_xlpm.spell, IFERROR(IF(F1244="", "", INDEX(_xlws.FILTER(Hairstyles!$F:$F, ISNUMBER(SEARCH(F1244, Hairstyles!$B:$B))), 1)), "No Spell for Hairstyle"),
  _xlpm.vanillaPrefix, IF(LEFT(_xlpm.spell, 7)="Uvi_Wig", "", ";"),
  ";" &amp; IF(C1244="", B1244, C1244) &amp; IF(M1244="", "", " ("&amp;M1244&amp;")") &amp; CHAR(10) &amp;
  _xlpm.vanillaPrefix &amp; "Keyword = Uvi_Wig_Distr_KYWD|" &amp; B1244 &amp; CHAR(10) &amp;
  _xlpm.vanillaPrefix &amp; "Spell = " &amp; _xlpm.spell &amp; "|" &amp; B1244
  )
)</f>
        <v>;Pyromancer
;Keyword = Uvi_Wig_Distr_KYWD|EncWarlock06TemplateFire
;Spell = No Spell for Hairstyle|EncWarlock06TemplateFire</v>
      </c>
    </row>
    <row r="1245" ht="12.75" customHeight="1">
      <c r="A1245" s="5" t="s">
        <v>4576</v>
      </c>
      <c r="B1245" s="5" t="s">
        <v>4577</v>
      </c>
      <c r="C1245" s="5" t="s">
        <v>4577</v>
      </c>
      <c r="D1245" s="5" t="s">
        <v>57</v>
      </c>
      <c r="E1245" s="5" t="s">
        <v>233</v>
      </c>
      <c r="F1245" s="5" t="s">
        <v>47</v>
      </c>
      <c r="G1245" s="14" t="str">
        <f t="array" ref="G1245">IF(B1245="", "",
  LET(_xlpm.spell, IFERROR(IF(F1245="", "", INDEX(_xlws.FILTER(Hairstyles!$F:$F, ISNUMBER(SEARCH(F1245, Hairstyles!$B:$B))), 1)), "No Spell for Hairstyle"),
  _xlpm.vanillaPrefix, IF(LEFT(_xlpm.spell, 7)="Uvi_Wig", "", ";"),
  ";" &amp; IF(C1245="", B1245, C1245) &amp; IF(M1245="", "", " ("&amp;M1245&amp;")") &amp; CHAR(10) &amp;
  _xlpm.vanillaPrefix &amp; "Keyword = Uvi_Wig_Distr_KYWD|" &amp; B1245 &amp; CHAR(10) &amp;
  _xlpm.vanillaPrefix &amp; "Spell = " &amp; _xlpm.spell &amp; "|" &amp; B1245
  )
)</f>
        <v>;Quaranir
;Keyword = Uvi_Wig_Distr_KYWD|Quaranir
;Spell = No Spell for Hairstyle|Quaranir</v>
      </c>
    </row>
    <row r="1246" ht="12.75" customHeight="1">
      <c r="A1246" s="5" t="s">
        <v>4578</v>
      </c>
      <c r="B1246" s="5" t="s">
        <v>4579</v>
      </c>
      <c r="C1246" s="5" t="s">
        <v>4580</v>
      </c>
      <c r="D1246" s="5" t="s">
        <v>59</v>
      </c>
      <c r="E1246" s="5" t="s">
        <v>233</v>
      </c>
      <c r="F1246" s="5" t="s">
        <v>424</v>
      </c>
      <c r="G1246" s="14" t="str">
        <f t="array" ref="G1246">IF(B1246="", "",
  LET(_xlpm.spell, IFERROR(IF(F1246="", "", INDEX(_xlws.FILTER(Hairstyles!$F:$F, ISNUMBER(SEARCH(F1246, Hairstyles!$B:$B))), 1)), "No Spell for Hairstyle"),
  _xlpm.vanillaPrefix, IF(LEFT(_xlpm.spell, 7)="Uvi_Wig", "", ";"),
  ";" &amp; IF(C1246="", B1246, C1246) &amp; IF(M1246="", "", " ("&amp;M1246&amp;")") &amp; CHAR(10) &amp;
  _xlpm.vanillaPrefix &amp; "Keyword = Uvi_Wig_Distr_KYWD|" &amp; B1246 &amp; CHAR(10) &amp;
  _xlpm.vanillaPrefix &amp; "Spell = " &amp; _xlpm.spell &amp; "|" &amp; B1246
  )
)</f>
        <v>;Quintus Navale
;Keyword = Uvi_Wig_Distr_KYWD|QuintusNavale
;Spell = No Spell for Hairstyle|QuintusNavale</v>
      </c>
    </row>
    <row r="1247" ht="12.75" customHeight="1">
      <c r="A1247" s="5" t="s">
        <v>4581</v>
      </c>
      <c r="B1247" s="5" t="s">
        <v>4582</v>
      </c>
      <c r="C1247" s="5" t="s">
        <v>4583</v>
      </c>
      <c r="D1247" s="5" t="s">
        <v>65</v>
      </c>
      <c r="E1247" s="5" t="s">
        <v>233</v>
      </c>
      <c r="F1247" s="5" t="s">
        <v>2485</v>
      </c>
      <c r="G1247" s="14" t="str">
        <f t="array" ref="G1247">IF(B1247="", "",
  LET(_xlpm.spell, IFERROR(IF(F1247="", "", INDEX(_xlws.FILTER(Hairstyles!$F:$F, ISNUMBER(SEARCH(F1247, Hairstyles!$B:$B))), 1)), "No Spell for Hairstyle"),
  _xlpm.vanillaPrefix, IF(LEFT(_xlpm.spell, 7)="Uvi_Wig", "", ";"),
  ";" &amp; IF(C1247="", B1247, C1247) &amp; IF(M1247="", "", " ("&amp;M1247&amp;")") &amp; CHAR(10) &amp;
  _xlpm.vanillaPrefix &amp; "Keyword = Uvi_Wig_Distr_KYWD|" &amp; B1247 &amp; CHAR(10) &amp;
  _xlpm.vanillaPrefix &amp; "Spell = " &amp; _xlpm.spell &amp; "|" &amp; B1247
  )
)</f>
        <v>;Ra'jirr
;Keyword = Uvi_Wig_Distr_KYWD|dunFrostmereCrypt_Rajirr
;Spell = No Spell for Hairstyle|dunFrostmereCrypt_Rajirr</v>
      </c>
    </row>
    <row r="1248" ht="12.75" customHeight="1">
      <c r="A1248" s="5" t="s">
        <v>4584</v>
      </c>
      <c r="B1248" s="5" t="s">
        <v>4585</v>
      </c>
      <c r="C1248" s="5" t="s">
        <v>4586</v>
      </c>
      <c r="D1248" s="5" t="s">
        <v>65</v>
      </c>
      <c r="E1248" s="5" t="s">
        <v>233</v>
      </c>
      <c r="F1248" s="5" t="s">
        <v>4587</v>
      </c>
      <c r="G1248" s="14" t="str">
        <f t="array" ref="G1248">IF(B1248="", "",
  LET(_xlpm.spell, IFERROR(IF(F1248="", "", INDEX(_xlws.FILTER(Hairstyles!$F:$F, ISNUMBER(SEARCH(F1248, Hairstyles!$B:$B))), 1)), "No Spell for Hairstyle"),
  _xlpm.vanillaPrefix, IF(LEFT(_xlpm.spell, 7)="Uvi_Wig", "", ";"),
  ";" &amp; IF(C1248="", B1248, C1248) &amp; IF(M1248="", "", " ("&amp;M1248&amp;")") &amp; CHAR(10) &amp;
  _xlpm.vanillaPrefix &amp; "Keyword = Uvi_Wig_Distr_KYWD|" &amp; B1248 &amp; CHAR(10) &amp;
  _xlpm.vanillaPrefix &amp; "Spell = " &amp; _xlpm.spell &amp; "|" &amp; B1248
  )
)</f>
        <v>;Ra'kheran
;Keyword = Uvi_Wig_Distr_KYWD|DA05Hunter04_Rakheran
;Spell = No Spell for Hairstyle|DA05Hunter04_Rakheran</v>
      </c>
    </row>
    <row r="1249" ht="12.75" customHeight="1">
      <c r="A1249" s="5" t="s">
        <v>4588</v>
      </c>
      <c r="B1249" s="5" t="s">
        <v>4589</v>
      </c>
      <c r="C1249" s="5" t="s">
        <v>4590</v>
      </c>
      <c r="D1249" s="5" t="s">
        <v>65</v>
      </c>
      <c r="E1249" s="5" t="s">
        <v>41</v>
      </c>
      <c r="F1249" s="5" t="s">
        <v>331</v>
      </c>
      <c r="G1249" s="14" t="str">
        <f t="array" ref="G1249">IF(B1249="", "",
  LET(_xlpm.spell, IFERROR(IF(F1249="", "", INDEX(_xlws.FILTER(Hairstyles!$F:$F, ISNUMBER(SEARCH(F1249, Hairstyles!$B:$B))), 1)), "No Spell for Hairstyle"),
  _xlpm.vanillaPrefix, IF(LEFT(_xlpm.spell, 7)="Uvi_Wig", "", ";"),
  ";" &amp; IF(C1249="", B1249, C1249) &amp; IF(M1249="", "", " ("&amp;M1249&amp;")") &amp; CHAR(10) &amp;
  _xlpm.vanillaPrefix &amp; "Keyword = Uvi_Wig_Distr_KYWD|" &amp; B1249 &amp; CHAR(10) &amp;
  _xlpm.vanillaPrefix &amp; "Spell = " &amp; _xlpm.spell &amp; "|" &amp; B1249
  )
)</f>
        <v>;Ra'zhinda
;Keyword = Uvi_Wig_Distr_KYWD|Razhinda
;Spell = No Spell for Hairstyle|Razhinda</v>
      </c>
    </row>
    <row r="1250" ht="12.75" customHeight="1">
      <c r="A1250" s="5" t="s">
        <v>4591</v>
      </c>
      <c r="B1250" s="5" t="s">
        <v>4592</v>
      </c>
      <c r="C1250" s="5" t="s">
        <v>4593</v>
      </c>
      <c r="D1250" s="5" t="s">
        <v>59</v>
      </c>
      <c r="E1250" s="5" t="s">
        <v>41</v>
      </c>
      <c r="F1250" s="5" t="s">
        <v>862</v>
      </c>
      <c r="G1250" s="14" t="str">
        <f t="array" ref="G1250">IF(B1250="", "",
  LET(_xlpm.spell, IFERROR(IF(F1250="", "", INDEX(_xlws.FILTER(Hairstyles!$F:$F, ISNUMBER(SEARCH(F1250, Hairstyles!$B:$B))), 1)), "No Spell for Hairstyle"),
  _xlpm.vanillaPrefix, IF(LEFT(_xlpm.spell, 7)="Uvi_Wig", "", ";"),
  ";" &amp; IF(C1250="", B1250, C1250) &amp; IF(M1250="", "", " ("&amp;M1250&amp;")") &amp; CHAR(10) &amp;
  _xlpm.vanillaPrefix &amp; "Keyword = Uvi_Wig_Distr_KYWD|" &amp; B1250 &amp; CHAR(10) &amp;
  _xlpm.vanillaPrefix &amp; "Spell = " &amp; _xlpm.spell &amp; "|" &amp; B1250
  )
)</f>
        <v>;Raen
;Keyword = Uvi_Wig_Distr_KYWD|dunHalldirsDeadBandit02
;Spell = No Spell for Hairstyle|dunHalldirsDeadBandit02</v>
      </c>
    </row>
    <row r="1251" ht="12.75" customHeight="1">
      <c r="A1251" s="5" t="s">
        <v>4594</v>
      </c>
      <c r="B1251" s="5" t="s">
        <v>4595</v>
      </c>
      <c r="C1251" s="5" t="s">
        <v>4595</v>
      </c>
      <c r="D1251" s="5" t="s">
        <v>51</v>
      </c>
      <c r="E1251" s="5" t="s">
        <v>233</v>
      </c>
      <c r="F1251" s="5" t="s">
        <v>762</v>
      </c>
      <c r="G1251" s="14" t="str">
        <f t="array" ref="G1251">IF(B1251="", "",
  LET(_xlpm.spell, IFERROR(IF(F1251="", "", INDEX(_xlws.FILTER(Hairstyles!$F:$F, ISNUMBER(SEARCH(F1251, Hairstyles!$B:$B))), 1)), "No Spell for Hairstyle"),
  _xlpm.vanillaPrefix, IF(LEFT(_xlpm.spell, 7)="Uvi_Wig", "", ";"),
  ";" &amp; IF(C1251="", B1251, C1251) &amp; IF(M1251="", "", " ("&amp;M1251&amp;")") &amp; CHAR(10) &amp;
  _xlpm.vanillaPrefix &amp; "Keyword = Uvi_Wig_Distr_KYWD|" &amp; B1251 &amp; CHAR(10) &amp;
  _xlpm.vanillaPrefix &amp; "Spell = " &amp; _xlpm.spell &amp; "|" &amp; B1251
  )
)</f>
        <v>;Raerek
;Keyword = Uvi_Wig_Distr_KYWD|Raerek
;Spell = No Spell for Hairstyle|Raerek</v>
      </c>
    </row>
    <row r="1252" ht="12.75" customHeight="1">
      <c r="A1252" s="5" t="s">
        <v>4596</v>
      </c>
      <c r="B1252" s="5" t="s">
        <v>4597</v>
      </c>
      <c r="C1252" s="5" t="s">
        <v>4597</v>
      </c>
      <c r="D1252" s="5" t="s">
        <v>38</v>
      </c>
      <c r="E1252" s="5" t="s">
        <v>233</v>
      </c>
      <c r="F1252" s="5" t="s">
        <v>218</v>
      </c>
      <c r="G1252" s="14" t="str">
        <f t="array" ref="G1252">IF(B1252="", "",
  LET(_xlpm.spell, IFERROR(IF(F1252="", "", INDEX(_xlws.FILTER(Hairstyles!$F:$F, ISNUMBER(SEARCH(F1252, Hairstyles!$B:$B))), 1)), "No Spell for Hairstyle"),
  _xlpm.vanillaPrefix, IF(LEFT(_xlpm.spell, 7)="Uvi_Wig", "", ";"),
  ";" &amp; IF(C1252="", B1252, C1252) &amp; IF(M1252="", "", " ("&amp;M1252&amp;")") &amp; CHAR(10) &amp;
  _xlpm.vanillaPrefix &amp; "Keyword = Uvi_Wig_Distr_KYWD|" &amp; B1252 &amp; CHAR(10) &amp;
  _xlpm.vanillaPrefix &amp; "Spell = " &amp; _xlpm.spell &amp; "|" &amp; B1252
  )
)</f>
        <v>;Ragnar
;Keyword = Uvi_Wig_Distr_KYWD|Ragnar
;Spell = No Spell for Hairstyle|Ragnar</v>
      </c>
    </row>
    <row r="1253" ht="12.75" customHeight="1">
      <c r="A1253" s="5" t="s">
        <v>4598</v>
      </c>
      <c r="B1253" s="5" t="s">
        <v>4599</v>
      </c>
      <c r="C1253" s="5" t="s">
        <v>4599</v>
      </c>
      <c r="D1253" s="5" t="s">
        <v>16</v>
      </c>
      <c r="E1253" s="5" t="s">
        <v>233</v>
      </c>
      <c r="F1253" s="5" t="s">
        <v>235</v>
      </c>
      <c r="G1253" s="14" t="str">
        <f t="array" ref="G1253">IF(B1253="", "",
  LET(_xlpm.spell, IFERROR(IF(F1253="", "", INDEX(_xlws.FILTER(Hairstyles!$F:$F, ISNUMBER(SEARCH(F1253, Hairstyles!$B:$B))), 1)), "No Spell for Hairstyle"),
  _xlpm.vanillaPrefix, IF(LEFT(_xlpm.spell, 7)="Uvi_Wig", "", ";"),
  ";" &amp; IF(C1253="", B1253, C1253) &amp; IF(M1253="", "", " ("&amp;M1253&amp;")") &amp; CHAR(10) &amp;
  _xlpm.vanillaPrefix &amp; "Keyword = Uvi_Wig_Distr_KYWD|" &amp; B1253 &amp; CHAR(10) &amp;
  _xlpm.vanillaPrefix &amp; "Spell = " &amp; _xlpm.spell &amp; "|" &amp; B1253
  )
)</f>
        <v>;Rahd
;Keyword = Uvi_Wig_Distr_KYWD|Rahd
;Spell = No Spell for Hairstyle|Rahd</v>
      </c>
    </row>
    <row r="1254" ht="12.75" customHeight="1">
      <c r="A1254" s="5" t="s">
        <v>4600</v>
      </c>
      <c r="B1254" s="5" t="s">
        <v>4601</v>
      </c>
      <c r="C1254" s="5" t="s">
        <v>4602</v>
      </c>
      <c r="D1254" s="5" t="s">
        <v>38</v>
      </c>
      <c r="E1254" s="5" t="s">
        <v>41</v>
      </c>
      <c r="F1254" s="5" t="s">
        <v>371</v>
      </c>
      <c r="G1254" s="14" t="str">
        <f t="array" ref="G1254">IF(B1254="", "",
  LET(_xlpm.spell, IFERROR(IF(F1254="", "", INDEX(_xlws.FILTER(Hairstyles!$F:$F, ISNUMBER(SEARCH(F1254, Hairstyles!$B:$B))), 1)), "No Spell for Hairstyle"),
  _xlpm.vanillaPrefix, IF(LEFT(_xlpm.spell, 7)="Uvi_Wig", "", ";"),
  ";" &amp; IF(C1254="", B1254, C1254) &amp; IF(M1254="", "", " ("&amp;M1254&amp;")") &amp; CHAR(10) &amp;
  _xlpm.vanillaPrefix &amp; "Keyword = Uvi_Wig_Distr_KYWD|" &amp; B1254 &amp; CHAR(10) &amp;
  _xlpm.vanillaPrefix &amp; "Spell = " &amp; _xlpm.spell &amp; "|" &amp; B1254
  )
)</f>
        <v>;Rakel
;Keyword = Uvi_Wig_Distr_KYWD|DLC2dunFrostmoonRakel
;Spell = No Spell for Hairstyle|DLC2dunFrostmoonRakel</v>
      </c>
    </row>
    <row r="1255" ht="12.75" customHeight="1">
      <c r="A1255" s="5" t="s">
        <v>4603</v>
      </c>
      <c r="B1255" s="5" t="s">
        <v>4604</v>
      </c>
      <c r="C1255" s="5" t="s">
        <v>4605</v>
      </c>
      <c r="D1255" s="5" t="s">
        <v>45</v>
      </c>
      <c r="E1255" s="5" t="s">
        <v>233</v>
      </c>
      <c r="F1255" s="5" t="s">
        <v>1541</v>
      </c>
      <c r="G1255" s="14" t="str">
        <f t="array" ref="G1255">IF(B1255="", "",
  LET(_xlpm.spell, IFERROR(IF(F1255="", "", INDEX(_xlws.FILTER(Hairstyles!$F:$F, ISNUMBER(SEARCH(F1255, Hairstyles!$B:$B))), 1)), "No Spell for Hairstyle"),
  _xlpm.vanillaPrefix, IF(LEFT(_xlpm.spell, 7)="Uvi_Wig", "", ";"),
  ";" &amp; IF(C1255="", B1255, C1255) &amp; IF(M1255="", "", " ("&amp;M1255&amp;")") &amp; CHAR(10) &amp;
  _xlpm.vanillaPrefix &amp; "Keyword = Uvi_Wig_Distr_KYWD|" &amp; B1255 &amp; CHAR(10) &amp;
  _xlpm.vanillaPrefix &amp; "Spell = " &amp; _xlpm.spell &amp; "|" &amp; B1255
  )
)</f>
        <v>;Raleth Eldri
;Keyword = Uvi_Wig_Distr_KYWD|DLC2KagrumezCorpse
;Spell = No Spell for Hairstyle|DLC2KagrumezCorpse</v>
      </c>
    </row>
    <row r="1256" ht="12.75" customHeight="1">
      <c r="A1256" s="5" t="s">
        <v>4606</v>
      </c>
      <c r="B1256" s="5" t="s">
        <v>4607</v>
      </c>
      <c r="C1256" s="5" t="s">
        <v>4608</v>
      </c>
      <c r="D1256" s="5" t="s">
        <v>45</v>
      </c>
      <c r="E1256" s="5" t="s">
        <v>233</v>
      </c>
      <c r="F1256" s="5" t="s">
        <v>91</v>
      </c>
      <c r="G1256" s="14" t="str">
        <f t="array" ref="G1256">IF(B1256="", "",
  LET(_xlpm.spell, IFERROR(IF(F1256="", "", INDEX(_xlws.FILTER(Hairstyles!$F:$F, ISNUMBER(SEARCH(F1256, Hairstyles!$B:$B))), 1)), "No Spell for Hairstyle"),
  _xlpm.vanillaPrefix, IF(LEFT(_xlpm.spell, 7)="Uvi_Wig", "", ";"),
  ";" &amp; IF(C1256="", B1256, C1256) &amp; IF(M1256="", "", " ("&amp;M1256&amp;")") &amp; CHAR(10) &amp;
  _xlpm.vanillaPrefix &amp; "Keyword = Uvi_Wig_Distr_KYWD|" &amp; B1256 &amp; CHAR(10) &amp;
  _xlpm.vanillaPrefix &amp; "Spell = " &amp; _xlpm.spell &amp; "|" &amp; B1256
  )
)</f>
        <v>;Ralis Sedarys
;Keyword = Uvi_Wig_Distr_KYWD|DLC2dunKolbjornRalis
;Spell = No Spell for Hairstyle|DLC2dunKolbjornRalis</v>
      </c>
    </row>
    <row r="1257" ht="12.75" customHeight="1">
      <c r="A1257" s="5" t="s">
        <v>4609</v>
      </c>
      <c r="B1257" s="5" t="s">
        <v>4610</v>
      </c>
      <c r="C1257" s="5" t="s">
        <v>4610</v>
      </c>
      <c r="D1257" s="5" t="s">
        <v>38</v>
      </c>
      <c r="E1257" s="5" t="s">
        <v>233</v>
      </c>
      <c r="F1257" s="5" t="s">
        <v>2030</v>
      </c>
      <c r="G1257" s="14" t="str">
        <f t="array" ref="G1257">IF(B1257="", "",
  LET(_xlpm.spell, IFERROR(IF(F1257="", "", INDEX(_xlws.FILTER(Hairstyles!$F:$F, ISNUMBER(SEARCH(F1257, Hairstyles!$B:$B))), 1)), "No Spell for Hairstyle"),
  _xlpm.vanillaPrefix, IF(LEFT(_xlpm.spell, 7)="Uvi_Wig", "", ";"),
  ";" &amp; IF(C1257="", B1257, C1257) &amp; IF(M1257="", "", " ("&amp;M1257&amp;")") &amp; CHAR(10) &amp;
  _xlpm.vanillaPrefix &amp; "Keyword = Uvi_Wig_Distr_KYWD|" &amp; B1257 &amp; CHAR(10) &amp;
  _xlpm.vanillaPrefix &amp; "Spell = " &amp; _xlpm.spell &amp; "|" &amp; B1257
  )
)</f>
        <v>;Ralof
;Keyword = Uvi_Wig_Distr_KYWD|Ralof
;Spell = No Spell for Hairstyle|Ralof</v>
      </c>
    </row>
    <row r="1258" ht="12.75" customHeight="1">
      <c r="A1258" s="5" t="s">
        <v>4611</v>
      </c>
      <c r="B1258" s="5" t="s">
        <v>4612</v>
      </c>
      <c r="C1258" s="5" t="s">
        <v>4613</v>
      </c>
      <c r="D1258" s="5" t="s">
        <v>83</v>
      </c>
      <c r="E1258" s="5" t="s">
        <v>41</v>
      </c>
      <c r="F1258" s="5" t="s">
        <v>85</v>
      </c>
      <c r="G1258" s="14" t="str">
        <f t="array" ref="G1258">IF(B1258="", "",
  LET(_xlpm.spell, IFERROR(IF(F1258="", "", INDEX(_xlws.FILTER(Hairstyles!$F:$F, ISNUMBER(SEARCH(F1258, Hairstyles!$B:$B))), 1)), "No Spell for Hairstyle"),
  _xlpm.vanillaPrefix, IF(LEFT(_xlpm.spell, 7)="Uvi_Wig", "", ";"),
  ";" &amp; IF(C1258="", B1258, C1258) &amp; IF(M1258="", "", " ("&amp;M1258&amp;")") &amp; CHAR(10) &amp;
  _xlpm.vanillaPrefix &amp; "Keyword = Uvi_Wig_Distr_KYWD|" &amp; B1258 &amp; CHAR(10) &amp;
  _xlpm.vanillaPrefix &amp; "Spell = " &amp; _xlpm.spell &amp; "|" &amp; B1258
  )
)</f>
        <v>;Ramati
;Keyword = Uvi_Wig_Distr_KYWD|dunFrostflowAbyssRamati
;Spell = No Spell for Hairstyle|dunFrostflowAbyssRamati</v>
      </c>
    </row>
    <row r="1259" ht="12.75" customHeight="1">
      <c r="A1259" s="5" t="s">
        <v>4614</v>
      </c>
      <c r="B1259" s="5" t="s">
        <v>4615</v>
      </c>
      <c r="C1259" s="5" t="s">
        <v>4615</v>
      </c>
      <c r="D1259" s="5" t="s">
        <v>38</v>
      </c>
      <c r="E1259" s="5" t="s">
        <v>233</v>
      </c>
      <c r="F1259" s="5" t="s">
        <v>424</v>
      </c>
      <c r="G1259" s="14" t="str">
        <f t="array" ref="G1259">IF(B1259="", "",
  LET(_xlpm.spell, IFERROR(IF(F1259="", "", INDEX(_xlws.FILTER(Hairstyles!$F:$F, ISNUMBER(SEARCH(F1259, Hairstyles!$B:$B))), 1)), "No Spell for Hairstyle"),
  _xlpm.vanillaPrefix, IF(LEFT(_xlpm.spell, 7)="Uvi_Wig", "", ";"),
  ";" &amp; IF(C1259="", B1259, C1259) &amp; IF(M1259="", "", " ("&amp;M1259&amp;")") &amp; CHAR(10) &amp;
  _xlpm.vanillaPrefix &amp; "Keyword = Uvi_Wig_Distr_KYWD|" &amp; B1259 &amp; CHAR(10) &amp;
  _xlpm.vanillaPrefix &amp; "Spell = " &amp; _xlpm.spell &amp; "|" &amp; B1259
  )
)</f>
        <v>;Ranmir
;Keyword = Uvi_Wig_Distr_KYWD|Ranmir
;Spell = No Spell for Hairstyle|Ranmir</v>
      </c>
    </row>
    <row r="1260" ht="12.75" customHeight="1">
      <c r="A1260" s="15" t="s">
        <v>4616</v>
      </c>
      <c r="B1260" s="5" t="s">
        <v>4617</v>
      </c>
      <c r="C1260" s="5" t="s">
        <v>4618</v>
      </c>
      <c r="D1260" s="5" t="s">
        <v>79</v>
      </c>
      <c r="E1260" s="5" t="s">
        <v>233</v>
      </c>
      <c r="F1260" s="5" t="s">
        <v>1906</v>
      </c>
      <c r="G1260" s="14" t="str">
        <f t="array" ref="G1260">IF(B1260="", "",
  LET(_xlpm.spell, IFERROR(IF(F1260="", "", INDEX(_xlws.FILTER(Hairstyles!$F:$F, ISNUMBER(SEARCH(F1260, Hairstyles!$B:$B))), 1)), "No Spell for Hairstyle"),
  _xlpm.vanillaPrefix, IF(LEFT(_xlpm.spell, 7)="Uvi_Wig", "", ";"),
  ";" &amp; IF(C1260="", B1260, C1260) &amp; IF(M1260="", "", " ("&amp;M1260&amp;")") &amp; CHAR(10) &amp;
  _xlpm.vanillaPrefix &amp; "Keyword = Uvi_Wig_Distr_KYWD|" &amp; B1260 &amp; CHAR(10) &amp;
  _xlpm.vanillaPrefix &amp; "Spell = " &amp; _xlpm.spell &amp; "|" &amp; B1260
  )
)</f>
        <v>;Rargal Thrallmaster
;Keyword = Uvi_Wig_Distr_KYWD|DLC1RargalThrallmaster
;Spell = No Spell for Hairstyle|DLC1RargalThrallmaster</v>
      </c>
    </row>
    <row r="1261" ht="12.75" customHeight="1">
      <c r="A1261" s="5" t="s">
        <v>4619</v>
      </c>
      <c r="B1261" s="5" t="s">
        <v>4620</v>
      </c>
      <c r="C1261" s="5" t="s">
        <v>4621</v>
      </c>
      <c r="D1261" s="5" t="s">
        <v>45</v>
      </c>
      <c r="E1261" s="5" t="s">
        <v>233</v>
      </c>
      <c r="F1261" s="5" t="s">
        <v>47</v>
      </c>
      <c r="G1261" s="14" t="str">
        <f t="array" ref="G1261">IF(B1261="", "",
  LET(_xlpm.spell, IFERROR(IF(F1261="", "", INDEX(_xlws.FILTER(Hairstyles!$F:$F, ISNUMBER(SEARCH(F1261, Hairstyles!$B:$B))), 1)), "No Spell for Hairstyle"),
  _xlpm.vanillaPrefix, IF(LEFT(_xlpm.spell, 7)="Uvi_Wig", "", ";"),
  ";" &amp; IF(C1261="", B1261, C1261) &amp; IF(M1261="", "", " ("&amp;M1261&amp;")") &amp; CHAR(10) &amp;
  _xlpm.vanillaPrefix &amp; "Keyword = Uvi_Wig_Distr_KYWD|" &amp; B1261 &amp; CHAR(10) &amp;
  _xlpm.vanillaPrefix &amp; "Spell = " &amp; _xlpm.spell &amp; "|" &amp; B1261
  )
)</f>
        <v>;Ravam Verethi
;Keyword = Uvi_Wig_Distr_KYWD|RavamVerethi
;Spell = No Spell for Hairstyle|RavamVerethi</v>
      </c>
    </row>
    <row r="1262" ht="12.75" customHeight="1">
      <c r="A1262" s="5" t="s">
        <v>4622</v>
      </c>
      <c r="B1262" s="5" t="s">
        <v>4623</v>
      </c>
      <c r="C1262" s="5" t="s">
        <v>4624</v>
      </c>
      <c r="D1262" s="5" t="s">
        <v>45</v>
      </c>
      <c r="E1262" s="5" t="s">
        <v>233</v>
      </c>
      <c r="F1262" s="5" t="s">
        <v>1787</v>
      </c>
      <c r="G1262" s="14" t="str">
        <f t="array" ref="G1262">IF(B1262="", "",
  LET(_xlpm.spell, IFERROR(IF(F1262="", "", INDEX(_xlws.FILTER(Hairstyles!$F:$F, ISNUMBER(SEARCH(F1262, Hairstyles!$B:$B))), 1)), "No Spell for Hairstyle"),
  _xlpm.vanillaPrefix, IF(LEFT(_xlpm.spell, 7)="Uvi_Wig", "", ";"),
  ";" &amp; IF(C1262="", B1262, C1262) &amp; IF(M1262="", "", " ("&amp;M1262&amp;")") &amp; CHAR(10) &amp;
  _xlpm.vanillaPrefix &amp; "Keyword = Uvi_Wig_Distr_KYWD|" &amp; B1262 &amp; CHAR(10) &amp;
  _xlpm.vanillaPrefix &amp; "Spell = " &amp; _xlpm.spell &amp; "|" &amp; B1262
  )
)</f>
        <v>;Ravyn Imyan
;Keyword = Uvi_Wig_Distr_KYWD|RavynImyan
;Spell = No Spell for Hairstyle|RavynImyan</v>
      </c>
    </row>
    <row r="1263" ht="12.75" customHeight="1">
      <c r="A1263" s="15" t="s">
        <v>4625</v>
      </c>
      <c r="B1263" s="5" t="s">
        <v>4626</v>
      </c>
      <c r="C1263" s="5" t="s">
        <v>4627</v>
      </c>
      <c r="D1263" s="5" t="s">
        <v>83</v>
      </c>
      <c r="E1263" s="5" t="s">
        <v>41</v>
      </c>
      <c r="F1263" s="5" t="s">
        <v>4628</v>
      </c>
      <c r="G1263" s="14" t="str">
        <f t="array" ref="G1263">IF(B1263="", "",
  LET(_xlpm.spell, IFERROR(IF(F1263="", "", INDEX(_xlws.FILTER(Hairstyles!$F:$F, ISNUMBER(SEARCH(F1263, Hairstyles!$B:$B))), 1)), "No Spell for Hairstyle"),
  _xlpm.vanillaPrefix, IF(LEFT(_xlpm.spell, 7)="Uvi_Wig", "", ";"),
  ";" &amp; IF(C1263="", B1263, C1263) &amp; IF(M1263="", "", " ("&amp;M1263&amp;")") &amp; CHAR(10) &amp;
  _xlpm.vanillaPrefix &amp; "Keyword = Uvi_Wig_Distr_KYWD|" &amp; B1263 &amp; CHAR(10) &amp;
  _xlpm.vanillaPrefix &amp; "Spell = " &amp; _xlpm.spell &amp; "|" &amp; B1263
  )
)</f>
        <v>;Rayya
;Keyword = Uvi_Wig_Distr_KYWD|BYOHHousecarlFalkreath
;Spell = No Spell for Hairstyle|BYOHHousecarlFalkreath</v>
      </c>
    </row>
    <row r="1264" ht="12.75" customHeight="1">
      <c r="A1264" s="5" t="s">
        <v>4629</v>
      </c>
      <c r="B1264" s="5" t="s">
        <v>4630</v>
      </c>
      <c r="C1264" s="5" t="s">
        <v>4630</v>
      </c>
      <c r="D1264" s="5" t="s">
        <v>83</v>
      </c>
      <c r="E1264" s="5" t="s">
        <v>233</v>
      </c>
      <c r="F1264" s="5" t="s">
        <v>167</v>
      </c>
      <c r="G1264" s="14" t="str">
        <f t="array" ref="G1264">IF(B1264="", "",
  LET(_xlpm.spell, IFERROR(IF(F1264="", "", INDEX(_xlws.FILTER(Hairstyles!$F:$F, ISNUMBER(SEARCH(F1264, Hairstyles!$B:$B))), 1)), "No Spell for Hairstyle"),
  _xlpm.vanillaPrefix, IF(LEFT(_xlpm.spell, 7)="Uvi_Wig", "", ";"),
  ";" &amp; IF(C1264="", B1264, C1264) &amp; IF(M1264="", "", " ("&amp;M1264&amp;")") &amp; CHAR(10) &amp;
  _xlpm.vanillaPrefix &amp; "Keyword = Uvi_Wig_Distr_KYWD|" &amp; B1264 &amp; CHAR(10) &amp;
  _xlpm.vanillaPrefix &amp; "Spell = " &amp; _xlpm.spell &amp; "|" &amp; B1264
  )
)</f>
        <v>;Razelan
;Keyword = Uvi_Wig_Distr_KYWD|Razelan
;Spell = No Spell for Hairstyle|Razelan</v>
      </c>
    </row>
    <row r="1265" ht="12.75" customHeight="1">
      <c r="A1265" s="15" t="s">
        <v>4631</v>
      </c>
      <c r="B1265" s="5" t="s">
        <v>4632</v>
      </c>
      <c r="C1265" s="5" t="s">
        <v>4633</v>
      </c>
      <c r="D1265" s="5" t="s">
        <v>90</v>
      </c>
      <c r="E1265" s="5" t="s">
        <v>41</v>
      </c>
      <c r="F1265" s="5" t="s">
        <v>2380</v>
      </c>
      <c r="G1265" s="14" t="str">
        <f t="array" ref="G1265">IF(B1265="", "",
  LET(_xlpm.spell, IFERROR(IF(F1265="", "", INDEX(_xlws.FILTER(Hairstyles!$F:$F, ISNUMBER(SEARCH(F1265, Hairstyles!$B:$B))), 1)), "No Spell for Hairstyle"),
  _xlpm.vanillaPrefix, IF(LEFT(_xlpm.spell, 7)="Uvi_Wig", "", ";"),
  ";" &amp; IF(C1265="", B1265, C1265) &amp; IF(M1265="", "", " ("&amp;M1265&amp;")") &amp; CHAR(10) &amp;
  _xlpm.vanillaPrefix &amp; "Keyword = Uvi_Wig_Distr_KYWD|" &amp; B1265 &amp; CHAR(10) &amp;
  _xlpm.vanillaPrefix &amp; "Spell = " &amp; _xlpm.spell &amp; "|" &amp; B1265
  )
)</f>
        <v>;Reaver
;Keyword = Uvi_Wig_Distr_KYWD|DLC2dunHaknirShoal_LvlBanditMissileWoodElfF
;Spell = No Spell for Hairstyle|DLC2dunHaknirShoal_LvlBanditMissileWoodElfF</v>
      </c>
    </row>
    <row r="1266" ht="12.75" customHeight="1">
      <c r="A1266" s="5" t="s">
        <v>4634</v>
      </c>
      <c r="B1266" s="5" t="s">
        <v>4635</v>
      </c>
      <c r="C1266" s="5" t="s">
        <v>4633</v>
      </c>
      <c r="D1266" s="5" t="s">
        <v>45</v>
      </c>
      <c r="E1266" s="5" t="s">
        <v>233</v>
      </c>
      <c r="F1266" s="5" t="s">
        <v>1541</v>
      </c>
      <c r="G1266" s="14" t="str">
        <f t="array" ref="G1266">IF(B1266="", "",
  LET(_xlpm.spell, IFERROR(IF(F1266="", "", INDEX(_xlws.FILTER(Hairstyles!$F:$F, ISNUMBER(SEARCH(F1266, Hairstyles!$B:$B))), 1)), "No Spell for Hairstyle"),
  _xlpm.vanillaPrefix, IF(LEFT(_xlpm.spell, 7)="Uvi_Wig", "", ";"),
  ";" &amp; IF(C1266="", B1266, C1266) &amp; IF(M1266="", "", " ("&amp;M1266&amp;")") &amp; CHAR(10) &amp;
  _xlpm.vanillaPrefix &amp; "Keyword = Uvi_Wig_Distr_KYWD|" &amp; B1266 &amp; CHAR(10) &amp;
  _xlpm.vanillaPrefix &amp; "Spell = " &amp; _xlpm.spell &amp; "|" &amp; B1266
  )
)</f>
        <v>;Reaver
;Keyword = Uvi_Wig_Distr_KYWD|DLC2EncBandit00Template
;Spell = No Spell for Hairstyle|DLC2EncBandit00Template</v>
      </c>
    </row>
    <row r="1267" ht="12.75" customHeight="1">
      <c r="A1267" s="5" t="s">
        <v>4636</v>
      </c>
      <c r="B1267" s="5" t="s">
        <v>4637</v>
      </c>
      <c r="C1267" s="5" t="s">
        <v>4638</v>
      </c>
      <c r="D1267" s="5" t="s">
        <v>45</v>
      </c>
      <c r="E1267" s="5" t="s">
        <v>233</v>
      </c>
      <c r="F1267" s="5" t="s">
        <v>47</v>
      </c>
      <c r="G1267" s="14" t="str">
        <f t="array" ref="G1267">IF(B1267="", "",
  LET(_xlpm.spell, IFERROR(IF(F1267="", "", INDEX(_xlws.FILTER(Hairstyles!$F:$F, ISNUMBER(SEARCH(F1267, Hairstyles!$B:$B))), 1)), "No Spell for Hairstyle"),
  _xlpm.vanillaPrefix, IF(LEFT(_xlpm.spell, 7)="Uvi_Wig", "", ";"),
  ";" &amp; IF(C1267="", B1267, C1267) &amp; IF(M1267="", "", " ("&amp;M1267&amp;")") &amp; CHAR(10) &amp;
  _xlpm.vanillaPrefix &amp; "Keyword = Uvi_Wig_Distr_KYWD|" &amp; B1267 &amp; CHAR(10) &amp;
  _xlpm.vanillaPrefix &amp; "Spell = " &amp; _xlpm.spell &amp; "|" &amp; B1267
  )
)</f>
        <v>;Reaver Highwayman
;Keyword = Uvi_Wig_Distr_KYWD|DLC2EncBandit04TemplateMagic
;Spell = No Spell for Hairstyle|DLC2EncBandit04TemplateMagic</v>
      </c>
    </row>
    <row r="1268" ht="12.75" customHeight="1">
      <c r="A1268" s="5" t="s">
        <v>4639</v>
      </c>
      <c r="B1268" s="5" t="s">
        <v>4640</v>
      </c>
      <c r="C1268" s="5" t="s">
        <v>4638</v>
      </c>
      <c r="D1268" s="5" t="s">
        <v>45</v>
      </c>
      <c r="E1268" s="5" t="s">
        <v>233</v>
      </c>
      <c r="F1268" s="5" t="s">
        <v>525</v>
      </c>
      <c r="G1268" s="14" t="str">
        <f t="array" ref="G1268">IF(B1268="", "",
  LET(_xlpm.spell, IFERROR(IF(F1268="", "", INDEX(_xlws.FILTER(Hairstyles!$F:$F, ISNUMBER(SEARCH(F1268, Hairstyles!$B:$B))), 1)), "No Spell for Hairstyle"),
  _xlpm.vanillaPrefix, IF(LEFT(_xlpm.spell, 7)="Uvi_Wig", "", ";"),
  ";" &amp; IF(C1268="", B1268, C1268) &amp; IF(M1268="", "", " ("&amp;M1268&amp;")") &amp; CHAR(10) &amp;
  _xlpm.vanillaPrefix &amp; "Keyword = Uvi_Wig_Distr_KYWD|" &amp; B1268 &amp; CHAR(10) &amp;
  _xlpm.vanillaPrefix &amp; "Spell = " &amp; _xlpm.spell &amp; "|" &amp; B1268
  )
)</f>
        <v>;Reaver Highwayman
;Keyword = Uvi_Wig_Distr_KYWD|DLC2EncBandit04TemplateMelee
;Spell = No Spell for Hairstyle|DLC2EncBandit04TemplateMelee</v>
      </c>
    </row>
    <row r="1269" ht="12.75" customHeight="1">
      <c r="A1269" s="5" t="s">
        <v>4641</v>
      </c>
      <c r="B1269" s="5" t="s">
        <v>4642</v>
      </c>
      <c r="C1269" s="5" t="s">
        <v>4638</v>
      </c>
      <c r="D1269" s="5" t="s">
        <v>45</v>
      </c>
      <c r="E1269" s="5" t="s">
        <v>233</v>
      </c>
      <c r="F1269" s="5" t="s">
        <v>2469</v>
      </c>
      <c r="G1269" s="14" t="str">
        <f t="array" ref="G1269">IF(B1269="", "",
  LET(_xlpm.spell, IFERROR(IF(F1269="", "", INDEX(_xlws.FILTER(Hairstyles!$F:$F, ISNUMBER(SEARCH(F1269, Hairstyles!$B:$B))), 1)), "No Spell for Hairstyle"),
  _xlpm.vanillaPrefix, IF(LEFT(_xlpm.spell, 7)="Uvi_Wig", "", ";"),
  ";" &amp; IF(C1269="", B1269, C1269) &amp; IF(M1269="", "", " ("&amp;M1269&amp;")") &amp; CHAR(10) &amp;
  _xlpm.vanillaPrefix &amp; "Keyword = Uvi_Wig_Distr_KYWD|" &amp; B1269 &amp; CHAR(10) &amp;
  _xlpm.vanillaPrefix &amp; "Spell = " &amp; _xlpm.spell &amp; "|" &amp; B1269
  )
)</f>
        <v>;Reaver Highwayman
;Keyword = Uvi_Wig_Distr_KYWD|DLC2EncBandit04TemplateMissile
;Spell = No Spell for Hairstyle|DLC2EncBandit04TemplateMissile</v>
      </c>
    </row>
    <row r="1270" ht="12.75" customHeight="1">
      <c r="A1270" s="5" t="s">
        <v>4643</v>
      </c>
      <c r="B1270" s="5" t="s">
        <v>4644</v>
      </c>
      <c r="C1270" s="5" t="s">
        <v>4645</v>
      </c>
      <c r="D1270" s="5" t="s">
        <v>45</v>
      </c>
      <c r="E1270" s="5" t="s">
        <v>233</v>
      </c>
      <c r="F1270" s="5" t="s">
        <v>543</v>
      </c>
      <c r="G1270" s="14" t="str">
        <f t="array" ref="G1270">IF(B1270="", "",
  LET(_xlpm.spell, IFERROR(IF(F1270="", "", INDEX(_xlws.FILTER(Hairstyles!$F:$F, ISNUMBER(SEARCH(F1270, Hairstyles!$B:$B))), 1)), "No Spell for Hairstyle"),
  _xlpm.vanillaPrefix, IF(LEFT(_xlpm.spell, 7)="Uvi_Wig", "", ";"),
  ";" &amp; IF(C1270="", B1270, C1270) &amp; IF(M1270="", "", " ("&amp;M1270&amp;")") &amp; CHAR(10) &amp;
  _xlpm.vanillaPrefix &amp; "Keyword = Uvi_Wig_Distr_KYWD|" &amp; B1270 &amp; CHAR(10) &amp;
  _xlpm.vanillaPrefix &amp; "Spell = " &amp; _xlpm.spell &amp; "|" &amp; B1270
  )
)</f>
        <v>;Reaver Lord
;Keyword = Uvi_Wig_Distr_KYWD|DLC2DamphallMine01Boss
;Spell = No Spell for Hairstyle|DLC2DamphallMine01Boss</v>
      </c>
    </row>
    <row r="1271" ht="12.75" customHeight="1">
      <c r="A1271" s="5" t="s">
        <v>4646</v>
      </c>
      <c r="B1271" s="5" t="s">
        <v>4647</v>
      </c>
      <c r="C1271" s="5" t="s">
        <v>4645</v>
      </c>
      <c r="D1271" s="5" t="s">
        <v>45</v>
      </c>
      <c r="E1271" s="5" t="s">
        <v>233</v>
      </c>
      <c r="F1271" s="5" t="s">
        <v>47</v>
      </c>
      <c r="G1271" s="14" t="str">
        <f t="array" ref="G1271">IF(B1271="", "",
  LET(_xlpm.spell, IFERROR(IF(F1271="", "", INDEX(_xlws.FILTER(Hairstyles!$F:$F, ISNUMBER(SEARCH(F1271, Hairstyles!$B:$B))), 1)), "No Spell for Hairstyle"),
  _xlpm.vanillaPrefix, IF(LEFT(_xlpm.spell, 7)="Uvi_Wig", "", ";"),
  ";" &amp; IF(C1271="", B1271, C1271) &amp; IF(M1271="", "", " ("&amp;M1271&amp;")") &amp; CHAR(10) &amp;
  _xlpm.vanillaPrefix &amp; "Keyword = Uvi_Wig_Distr_KYWD|" &amp; B1271 &amp; CHAR(10) &amp;
  _xlpm.vanillaPrefix &amp; "Spell = " &amp; _xlpm.spell &amp; "|" &amp; B1271
  )
)</f>
        <v>;Reaver Lord
;Keyword = Uvi_Wig_Distr_KYWD|DLC2dunHaknirShoal_LvlBanditBossMaleDarkElf
;Spell = No Spell for Hairstyle|DLC2dunHaknirShoal_LvlBanditBossMaleDarkElf</v>
      </c>
    </row>
    <row r="1272" ht="12.75" customHeight="1">
      <c r="A1272" s="5" t="s">
        <v>4648</v>
      </c>
      <c r="B1272" s="5" t="s">
        <v>4649</v>
      </c>
      <c r="C1272" s="5" t="s">
        <v>4650</v>
      </c>
      <c r="D1272" s="5" t="s">
        <v>45</v>
      </c>
      <c r="E1272" s="5" t="s">
        <v>233</v>
      </c>
      <c r="F1272" s="5" t="s">
        <v>534</v>
      </c>
      <c r="G1272" s="14" t="str">
        <f t="array" ref="G1272">IF(B1272="", "",
  LET(_xlpm.spell, IFERROR(IF(F1272="", "", INDEX(_xlws.FILTER(Hairstyles!$F:$F, ISNUMBER(SEARCH(F1272, Hairstyles!$B:$B))), 1)), "No Spell for Hairstyle"),
  _xlpm.vanillaPrefix, IF(LEFT(_xlpm.spell, 7)="Uvi_Wig", "", ";"),
  ";" &amp; IF(C1272="", B1272, C1272) &amp; IF(M1272="", "", " ("&amp;M1272&amp;")") &amp; CHAR(10) &amp;
  _xlpm.vanillaPrefix &amp; "Keyword = Uvi_Wig_Distr_KYWD|" &amp; B1272 &amp; CHAR(10) &amp;
  _xlpm.vanillaPrefix &amp; "Spell = " &amp; _xlpm.spell &amp; "|" &amp; B1272
  )
)</f>
        <v>;Reaver Marauder
;Keyword = Uvi_Wig_Distr_KYWD|DLC2EncBandit06TemplateMagic
;Spell = No Spell for Hairstyle|DLC2EncBandit06TemplateMagic</v>
      </c>
    </row>
    <row r="1273" ht="12.75" customHeight="1">
      <c r="A1273" s="5" t="s">
        <v>4651</v>
      </c>
      <c r="B1273" s="5" t="s">
        <v>4652</v>
      </c>
      <c r="C1273" s="5" t="s">
        <v>4650</v>
      </c>
      <c r="D1273" s="5" t="s">
        <v>45</v>
      </c>
      <c r="E1273" s="5" t="s">
        <v>233</v>
      </c>
      <c r="F1273" s="5" t="s">
        <v>1787</v>
      </c>
      <c r="G1273" s="14" t="str">
        <f t="array" ref="G1273">IF(B1273="", "",
  LET(_xlpm.spell, IFERROR(IF(F1273="", "", INDEX(_xlws.FILTER(Hairstyles!$F:$F, ISNUMBER(SEARCH(F1273, Hairstyles!$B:$B))), 1)), "No Spell for Hairstyle"),
  _xlpm.vanillaPrefix, IF(LEFT(_xlpm.spell, 7)="Uvi_Wig", "", ";"),
  ";" &amp; IF(C1273="", B1273, C1273) &amp; IF(M1273="", "", " ("&amp;M1273&amp;")") &amp; CHAR(10) &amp;
  _xlpm.vanillaPrefix &amp; "Keyword = Uvi_Wig_Distr_KYWD|" &amp; B1273 &amp; CHAR(10) &amp;
  _xlpm.vanillaPrefix &amp; "Spell = " &amp; _xlpm.spell &amp; "|" &amp; B1273
  )
)</f>
        <v>;Reaver Marauder
;Keyword = Uvi_Wig_Distr_KYWD|DLC2EncBandit06TemplateMelee
;Spell = No Spell for Hairstyle|DLC2EncBandit06TemplateMelee</v>
      </c>
    </row>
    <row r="1274" ht="12.75" customHeight="1">
      <c r="A1274" s="5" t="s">
        <v>4653</v>
      </c>
      <c r="B1274" s="5" t="s">
        <v>4654</v>
      </c>
      <c r="C1274" s="5" t="s">
        <v>4650</v>
      </c>
      <c r="D1274" s="5" t="s">
        <v>45</v>
      </c>
      <c r="E1274" s="5" t="s">
        <v>233</v>
      </c>
      <c r="F1274" s="5" t="s">
        <v>2469</v>
      </c>
      <c r="G1274" s="14" t="str">
        <f t="array" ref="G1274">IF(B1274="", "",
  LET(_xlpm.spell, IFERROR(IF(F1274="", "", INDEX(_xlws.FILTER(Hairstyles!$F:$F, ISNUMBER(SEARCH(F1274, Hairstyles!$B:$B))), 1)), "No Spell for Hairstyle"),
  _xlpm.vanillaPrefix, IF(LEFT(_xlpm.spell, 7)="Uvi_Wig", "", ";"),
  ";" &amp; IF(C1274="", B1274, C1274) &amp; IF(M1274="", "", " ("&amp;M1274&amp;")") &amp; CHAR(10) &amp;
  _xlpm.vanillaPrefix &amp; "Keyword = Uvi_Wig_Distr_KYWD|" &amp; B1274 &amp; CHAR(10) &amp;
  _xlpm.vanillaPrefix &amp; "Spell = " &amp; _xlpm.spell &amp; "|" &amp; B1274
  )
)</f>
        <v>;Reaver Marauder
;Keyword = Uvi_Wig_Distr_KYWD|DLC2EncBandit06TemplateMissile
;Spell = No Spell for Hairstyle|DLC2EncBandit06TemplateMissile</v>
      </c>
    </row>
    <row r="1275" ht="12.75" customHeight="1">
      <c r="A1275" s="5" t="s">
        <v>4655</v>
      </c>
      <c r="B1275" s="5" t="s">
        <v>4656</v>
      </c>
      <c r="C1275" s="5" t="s">
        <v>4657</v>
      </c>
      <c r="D1275" s="5" t="s">
        <v>45</v>
      </c>
      <c r="E1275" s="5" t="s">
        <v>233</v>
      </c>
      <c r="F1275" s="5" t="s">
        <v>1787</v>
      </c>
      <c r="G1275" s="14" t="str">
        <f t="array" ref="G1275">IF(B1275="", "",
  LET(_xlpm.spell, IFERROR(IF(F1275="", "", INDEX(_xlws.FILTER(Hairstyles!$F:$F, ISNUMBER(SEARCH(F1275, Hairstyles!$B:$B))), 1)), "No Spell for Hairstyle"),
  _xlpm.vanillaPrefix, IF(LEFT(_xlpm.spell, 7)="Uvi_Wig", "", ";"),
  ";" &amp; IF(C1275="", B1275, C1275) &amp; IF(M1275="", "", " ("&amp;M1275&amp;")") &amp; CHAR(10) &amp;
  _xlpm.vanillaPrefix &amp; "Keyword = Uvi_Wig_Distr_KYWD|" &amp; B1275 &amp; CHAR(10) &amp;
  _xlpm.vanillaPrefix &amp; "Spell = " &amp; _xlpm.spell &amp; "|" &amp; B1275
  )
)</f>
        <v>;Reaver Outlaw
;Keyword = Uvi_Wig_Distr_KYWD|DLC2EncBandit02TemplateMagic
;Spell = No Spell for Hairstyle|DLC2EncBandit02TemplateMagic</v>
      </c>
    </row>
    <row r="1276" ht="12.75" customHeight="1">
      <c r="A1276" s="5" t="s">
        <v>4658</v>
      </c>
      <c r="B1276" s="5" t="s">
        <v>4659</v>
      </c>
      <c r="C1276" s="5" t="s">
        <v>4657</v>
      </c>
      <c r="D1276" s="5" t="s">
        <v>45</v>
      </c>
      <c r="E1276" s="5" t="s">
        <v>233</v>
      </c>
      <c r="F1276" s="5" t="s">
        <v>534</v>
      </c>
      <c r="G1276" s="14" t="str">
        <f t="array" ref="G1276">IF(B1276="", "",
  LET(_xlpm.spell, IFERROR(IF(F1276="", "", INDEX(_xlws.FILTER(Hairstyles!$F:$F, ISNUMBER(SEARCH(F1276, Hairstyles!$B:$B))), 1)), "No Spell for Hairstyle"),
  _xlpm.vanillaPrefix, IF(LEFT(_xlpm.spell, 7)="Uvi_Wig", "", ";"),
  ";" &amp; IF(C1276="", B1276, C1276) &amp; IF(M1276="", "", " ("&amp;M1276&amp;")") &amp; CHAR(10) &amp;
  _xlpm.vanillaPrefix &amp; "Keyword = Uvi_Wig_Distr_KYWD|" &amp; B1276 &amp; CHAR(10) &amp;
  _xlpm.vanillaPrefix &amp; "Spell = " &amp; _xlpm.spell &amp; "|" &amp; B1276
  )
)</f>
        <v>;Reaver Outlaw
;Keyword = Uvi_Wig_Distr_KYWD|DLC2EncBandit02TemplateMelee
;Spell = No Spell for Hairstyle|DLC2EncBandit02TemplateMelee</v>
      </c>
    </row>
    <row r="1277" ht="12.75" customHeight="1">
      <c r="A1277" s="5" t="s">
        <v>4660</v>
      </c>
      <c r="B1277" s="5" t="s">
        <v>4661</v>
      </c>
      <c r="C1277" s="5" t="s">
        <v>4657</v>
      </c>
      <c r="D1277" s="5" t="s">
        <v>45</v>
      </c>
      <c r="E1277" s="5" t="s">
        <v>233</v>
      </c>
      <c r="F1277" s="5" t="s">
        <v>2583</v>
      </c>
      <c r="G1277" s="14" t="str">
        <f t="array" ref="G1277">IF(B1277="", "",
  LET(_xlpm.spell, IFERROR(IF(F1277="", "", INDEX(_xlws.FILTER(Hairstyles!$F:$F, ISNUMBER(SEARCH(F1277, Hairstyles!$B:$B))), 1)), "No Spell for Hairstyle"),
  _xlpm.vanillaPrefix, IF(LEFT(_xlpm.spell, 7)="Uvi_Wig", "", ";"),
  ";" &amp; IF(C1277="", B1277, C1277) &amp; IF(M1277="", "", " ("&amp;M1277&amp;")") &amp; CHAR(10) &amp;
  _xlpm.vanillaPrefix &amp; "Keyword = Uvi_Wig_Distr_KYWD|" &amp; B1277 &amp; CHAR(10) &amp;
  _xlpm.vanillaPrefix &amp; "Spell = " &amp; _xlpm.spell &amp; "|" &amp; B1277
  )
)</f>
        <v>;Reaver Outlaw
;Keyword = Uvi_Wig_Distr_KYWD|DLC2EncBandit02TemplateMissile
;Spell = No Spell for Hairstyle|DLC2EncBandit02TemplateMissile</v>
      </c>
    </row>
    <row r="1278" ht="12.75" customHeight="1">
      <c r="A1278" s="5" t="s">
        <v>4662</v>
      </c>
      <c r="B1278" s="5" t="s">
        <v>4663</v>
      </c>
      <c r="C1278" s="5" t="s">
        <v>4664</v>
      </c>
      <c r="D1278" s="5" t="s">
        <v>45</v>
      </c>
      <c r="E1278" s="5" t="s">
        <v>233</v>
      </c>
      <c r="F1278" s="5" t="s">
        <v>534</v>
      </c>
      <c r="G1278" s="14" t="str">
        <f t="array" ref="G1278">IF(B1278="", "",
  LET(_xlpm.spell, IFERROR(IF(F1278="", "", INDEX(_xlws.FILTER(Hairstyles!$F:$F, ISNUMBER(SEARCH(F1278, Hairstyles!$B:$B))), 1)), "No Spell for Hairstyle"),
  _xlpm.vanillaPrefix, IF(LEFT(_xlpm.spell, 7)="Uvi_Wig", "", ";"),
  ";" &amp; IF(C1278="", B1278, C1278) &amp; IF(M1278="", "", " ("&amp;M1278&amp;")") &amp; CHAR(10) &amp;
  _xlpm.vanillaPrefix &amp; "Keyword = Uvi_Wig_Distr_KYWD|" &amp; B1278 &amp; CHAR(10) &amp;
  _xlpm.vanillaPrefix &amp; "Spell = " &amp; _xlpm.spell &amp; "|" &amp; B1278
  )
)</f>
        <v>;Reaver Plunderer
;Keyword = Uvi_Wig_Distr_KYWD|DLC2EncBandit05TemplateMagic
;Spell = No Spell for Hairstyle|DLC2EncBandit05TemplateMagic</v>
      </c>
    </row>
    <row r="1279" ht="12.75" customHeight="1">
      <c r="A1279" s="5" t="s">
        <v>4665</v>
      </c>
      <c r="B1279" s="5" t="s">
        <v>4666</v>
      </c>
      <c r="C1279" s="5" t="s">
        <v>4664</v>
      </c>
      <c r="D1279" s="5" t="s">
        <v>45</v>
      </c>
      <c r="E1279" s="5" t="s">
        <v>233</v>
      </c>
      <c r="F1279" s="5" t="s">
        <v>2583</v>
      </c>
      <c r="G1279" s="14" t="str">
        <f t="array" ref="G1279">IF(B1279="", "",
  LET(_xlpm.spell, IFERROR(IF(F1279="", "", INDEX(_xlws.FILTER(Hairstyles!$F:$F, ISNUMBER(SEARCH(F1279, Hairstyles!$B:$B))), 1)), "No Spell for Hairstyle"),
  _xlpm.vanillaPrefix, IF(LEFT(_xlpm.spell, 7)="Uvi_Wig", "", ";"),
  ";" &amp; IF(C1279="", B1279, C1279) &amp; IF(M1279="", "", " ("&amp;M1279&amp;")") &amp; CHAR(10) &amp;
  _xlpm.vanillaPrefix &amp; "Keyword = Uvi_Wig_Distr_KYWD|" &amp; B1279 &amp; CHAR(10) &amp;
  _xlpm.vanillaPrefix &amp; "Spell = " &amp; _xlpm.spell &amp; "|" &amp; B1279
  )
)</f>
        <v>;Reaver Plunderer
;Keyword = Uvi_Wig_Distr_KYWD|DLC2EncBandit05TemplateMelee
;Spell = No Spell for Hairstyle|DLC2EncBandit05TemplateMelee</v>
      </c>
    </row>
    <row r="1280" ht="12.75" customHeight="1">
      <c r="A1280" s="5" t="s">
        <v>4667</v>
      </c>
      <c r="B1280" s="5" t="s">
        <v>4668</v>
      </c>
      <c r="C1280" s="5" t="s">
        <v>4664</v>
      </c>
      <c r="D1280" s="5" t="s">
        <v>45</v>
      </c>
      <c r="E1280" s="5" t="s">
        <v>233</v>
      </c>
      <c r="F1280" s="5" t="s">
        <v>1684</v>
      </c>
      <c r="G1280" s="14" t="str">
        <f t="array" ref="G1280">IF(B1280="", "",
  LET(_xlpm.spell, IFERROR(IF(F1280="", "", INDEX(_xlws.FILTER(Hairstyles!$F:$F, ISNUMBER(SEARCH(F1280, Hairstyles!$B:$B))), 1)), "No Spell for Hairstyle"),
  _xlpm.vanillaPrefix, IF(LEFT(_xlpm.spell, 7)="Uvi_Wig", "", ";"),
  ";" &amp; IF(C1280="", B1280, C1280) &amp; IF(M1280="", "", " ("&amp;M1280&amp;")") &amp; CHAR(10) &amp;
  _xlpm.vanillaPrefix &amp; "Keyword = Uvi_Wig_Distr_KYWD|" &amp; B1280 &amp; CHAR(10) &amp;
  _xlpm.vanillaPrefix &amp; "Spell = " &amp; _xlpm.spell &amp; "|" &amp; B1280
  )
)</f>
        <v>;Reaver Plunderer
;Keyword = Uvi_Wig_Distr_KYWD|DLC2EncBandit05TemplateMissile
;Spell = No Spell for Hairstyle|DLC2EncBandit05TemplateMissile</v>
      </c>
    </row>
    <row r="1281" ht="12.75" customHeight="1">
      <c r="A1281" s="5" t="s">
        <v>4669</v>
      </c>
      <c r="B1281" s="5" t="s">
        <v>4670</v>
      </c>
      <c r="C1281" s="5" t="s">
        <v>4671</v>
      </c>
      <c r="D1281" s="5" t="s">
        <v>45</v>
      </c>
      <c r="E1281" s="5" t="s">
        <v>233</v>
      </c>
      <c r="F1281" s="5" t="s">
        <v>2088</v>
      </c>
      <c r="G1281" s="14" t="str">
        <f t="array" ref="G1281">IF(B1281="", "",
  LET(_xlpm.spell, IFERROR(IF(F1281="", "", INDEX(_xlws.FILTER(Hairstyles!$F:$F, ISNUMBER(SEARCH(F1281, Hairstyles!$B:$B))), 1)), "No Spell for Hairstyle"),
  _xlpm.vanillaPrefix, IF(LEFT(_xlpm.spell, 7)="Uvi_Wig", "", ";"),
  ";" &amp; IF(C1281="", B1281, C1281) &amp; IF(M1281="", "", " ("&amp;M1281&amp;")") &amp; CHAR(10) &amp;
  _xlpm.vanillaPrefix &amp; "Keyword = Uvi_Wig_Distr_KYWD|" &amp; B1281 &amp; CHAR(10) &amp;
  _xlpm.vanillaPrefix &amp; "Spell = " &amp; _xlpm.spell &amp; "|" &amp; B1281
  )
)</f>
        <v>;Reaver Thug
;Keyword = Uvi_Wig_Distr_KYWD|DLC2EncBandit03TemplateMagic
;Spell = No Spell for Hairstyle|DLC2EncBandit03TemplateMagic</v>
      </c>
    </row>
    <row r="1282" ht="12.75" customHeight="1">
      <c r="A1282" s="5" t="s">
        <v>4672</v>
      </c>
      <c r="B1282" s="5" t="s">
        <v>4673</v>
      </c>
      <c r="C1282" s="5" t="s">
        <v>4671</v>
      </c>
      <c r="D1282" s="5" t="s">
        <v>45</v>
      </c>
      <c r="E1282" s="5" t="s">
        <v>233</v>
      </c>
      <c r="F1282" s="5" t="s">
        <v>4186</v>
      </c>
      <c r="G1282" s="14" t="str">
        <f t="array" ref="G1282">IF(B1282="", "",
  LET(_xlpm.spell, IFERROR(IF(F1282="", "", INDEX(_xlws.FILTER(Hairstyles!$F:$F, ISNUMBER(SEARCH(F1282, Hairstyles!$B:$B))), 1)), "No Spell for Hairstyle"),
  _xlpm.vanillaPrefix, IF(LEFT(_xlpm.spell, 7)="Uvi_Wig", "", ";"),
  ";" &amp; IF(C1282="", B1282, C1282) &amp; IF(M1282="", "", " ("&amp;M1282&amp;")") &amp; CHAR(10) &amp;
  _xlpm.vanillaPrefix &amp; "Keyword = Uvi_Wig_Distr_KYWD|" &amp; B1282 &amp; CHAR(10) &amp;
  _xlpm.vanillaPrefix &amp; "Spell = " &amp; _xlpm.spell &amp; "|" &amp; B1282
  )
)</f>
        <v>;Reaver Thug
;Keyword = Uvi_Wig_Distr_KYWD|DLC2EncBandit03TemplateMelee
;Spell = No Spell for Hairstyle|DLC2EncBandit03TemplateMelee</v>
      </c>
    </row>
    <row r="1283" ht="12.75" customHeight="1">
      <c r="A1283" s="5" t="s">
        <v>4674</v>
      </c>
      <c r="B1283" s="5" t="s">
        <v>4675</v>
      </c>
      <c r="C1283" s="5" t="s">
        <v>4671</v>
      </c>
      <c r="D1283" s="5" t="s">
        <v>45</v>
      </c>
      <c r="E1283" s="5" t="s">
        <v>233</v>
      </c>
      <c r="F1283" s="5" t="s">
        <v>2612</v>
      </c>
      <c r="G1283" s="14" t="str">
        <f t="array" ref="G1283">IF(B1283="", "",
  LET(_xlpm.spell, IFERROR(IF(F1283="", "", INDEX(_xlws.FILTER(Hairstyles!$F:$F, ISNUMBER(SEARCH(F1283, Hairstyles!$B:$B))), 1)), "No Spell for Hairstyle"),
  _xlpm.vanillaPrefix, IF(LEFT(_xlpm.spell, 7)="Uvi_Wig", "", ";"),
  ";" &amp; IF(C1283="", B1283, C1283) &amp; IF(M1283="", "", " ("&amp;M1283&amp;")") &amp; CHAR(10) &amp;
  _xlpm.vanillaPrefix &amp; "Keyword = Uvi_Wig_Distr_KYWD|" &amp; B1283 &amp; CHAR(10) &amp;
  _xlpm.vanillaPrefix &amp; "Spell = " &amp; _xlpm.spell &amp; "|" &amp; B1283
  )
)</f>
        <v>;Reaver Thug
;Keyword = Uvi_Wig_Distr_KYWD|DLC2EncBandit03TemplateMissile
;Spell = No Spell for Hairstyle|DLC2EncBandit03TemplateMissile</v>
      </c>
    </row>
    <row r="1284" ht="12.75" customHeight="1">
      <c r="A1284" s="5" t="s">
        <v>4676</v>
      </c>
      <c r="B1284" s="5" t="s">
        <v>4677</v>
      </c>
      <c r="C1284" s="5" t="s">
        <v>4678</v>
      </c>
      <c r="D1284" s="5" t="s">
        <v>59</v>
      </c>
      <c r="E1284" s="5" t="s">
        <v>233</v>
      </c>
      <c r="F1284" s="5" t="s">
        <v>1906</v>
      </c>
      <c r="G1284" s="14" t="str">
        <f t="array" ref="G1284">IF(B1284="", "",
  LET(_xlpm.spell, IFERROR(IF(F1284="", "", INDEX(_xlws.FILTER(Hairstyles!$F:$F, ISNUMBER(SEARCH(F1284, Hairstyles!$B:$B))), 1)), "No Spell for Hairstyle"),
  _xlpm.vanillaPrefix, IF(LEFT(_xlpm.spell, 7)="Uvi_Wig", "", ";"),
  ";" &amp; IF(C1284="", B1284, C1284) &amp; IF(M1284="", "", " ("&amp;M1284&amp;")") &amp; CHAR(10) &amp;
  _xlpm.vanillaPrefix &amp; "Keyword = Uvi_Wig_Distr_KYWD|" &amp; B1284 &amp; CHAR(10) &amp;
  _xlpm.vanillaPrefix &amp; "Spell = " &amp; _xlpm.spell &amp; "|" &amp; B1284
  )
)</f>
        <v>;Reburrus Quintilius
;Keyword = Uvi_Wig_Distr_KYWD|Reburrus
;Spell = No Spell for Hairstyle|Reburrus</v>
      </c>
    </row>
    <row r="1285" ht="12.75" customHeight="1">
      <c r="A1285" s="5" t="s">
        <v>4679</v>
      </c>
      <c r="B1285" s="5" t="s">
        <v>4680</v>
      </c>
      <c r="C1285" s="5" t="s">
        <v>4681</v>
      </c>
      <c r="D1285" s="5" t="s">
        <v>38</v>
      </c>
      <c r="E1285" s="5" t="s">
        <v>233</v>
      </c>
      <c r="F1285" s="5" t="s">
        <v>224</v>
      </c>
      <c r="G1285" s="14" t="str">
        <f t="array" ref="G1285">IF(B1285="", "",
  LET(_xlpm.spell, IFERROR(IF(F1285="", "", INDEX(_xlws.FILTER(Hairstyles!$F:$F, ISNUMBER(SEARCH(F1285, Hairstyles!$B:$B))), 1)), "No Spell for Hairstyle"),
  _xlpm.vanillaPrefix, IF(LEFT(_xlpm.spell, 7)="Uvi_Wig", "", ";"),
  ";" &amp; IF(C1285="", B1285, C1285) &amp; IF(M1285="", "", " ("&amp;M1285&amp;")") &amp; CHAR(10) &amp;
  _xlpm.vanillaPrefix &amp; "Keyword = Uvi_Wig_Distr_KYWD|" &amp; B1285 &amp; CHAR(10) &amp;
  _xlpm.vanillaPrefix &amp; "Spell = " &amp; _xlpm.spell &amp; "|" &amp; B1285
  )
)</f>
        <v>;Reckless Mage
;Keyword = Uvi_Wig_Distr_KYWD|DBRecurringTarget4Winterhold
;Spell = No Spell for Hairstyle|DBRecurringTarget4Winterhold</v>
      </c>
    </row>
    <row r="1286" ht="12.75" customHeight="1">
      <c r="A1286" s="15" t="s">
        <v>4682</v>
      </c>
      <c r="B1286" s="5" t="s">
        <v>4683</v>
      </c>
      <c r="C1286" s="5" t="s">
        <v>83</v>
      </c>
      <c r="D1286" s="5" t="s">
        <v>83</v>
      </c>
      <c r="E1286" s="5" t="s">
        <v>41</v>
      </c>
      <c r="F1286" s="5" t="s">
        <v>2912</v>
      </c>
      <c r="G1286" s="14" t="str">
        <f t="array" ref="G1286">IF(B1286="", "",
  LET(_xlpm.spell, IFERROR(IF(F1286="", "", INDEX(_xlws.FILTER(Hairstyles!$F:$F, ISNUMBER(SEARCH(F1286, Hairstyles!$B:$B))), 1)), "No Spell for Hairstyle"),
  _xlpm.vanillaPrefix, IF(LEFT(_xlpm.spell, 7)="Uvi_Wig", "", ";"),
  ";" &amp; IF(C1286="", B1286, C1286) &amp; IF(M1286="", "", " ("&amp;M1286&amp;")") &amp; CHAR(10) &amp;
  _xlpm.vanillaPrefix &amp; "Keyword = Uvi_Wig_Distr_KYWD|" &amp; B1286 &amp; CHAR(10) &amp;
  _xlpm.vanillaPrefix &amp; "Spell = " &amp; _xlpm.spell &amp; "|" &amp; B1286
  )
)</f>
        <v>;Redguard
;Keyword = Uvi_Wig_Distr_KYWD|TreasCorpseCommonerRedguardFemale
;Spell = No Spell for Hairstyle|TreasCorpseCommonerRedguardFemale</v>
      </c>
    </row>
    <row r="1287" ht="12.75" customHeight="1">
      <c r="A1287" s="15" t="s">
        <v>4684</v>
      </c>
      <c r="B1287" s="5" t="s">
        <v>4685</v>
      </c>
      <c r="C1287" s="5" t="s">
        <v>83</v>
      </c>
      <c r="D1287" s="5" t="s">
        <v>83</v>
      </c>
      <c r="E1287" s="5" t="s">
        <v>233</v>
      </c>
      <c r="F1287" s="5" t="s">
        <v>762</v>
      </c>
      <c r="G1287" s="14" t="str">
        <f t="array" ref="G1287">IF(B1287="", "",
  LET(_xlpm.spell, IFERROR(IF(F1287="", "", INDEX(_xlws.FILTER(Hairstyles!$F:$F, ISNUMBER(SEARCH(F1287, Hairstyles!$B:$B))), 1)), "No Spell for Hairstyle"),
  _xlpm.vanillaPrefix, IF(LEFT(_xlpm.spell, 7)="Uvi_Wig", "", ";"),
  ";" &amp; IF(C1287="", B1287, C1287) &amp; IF(M1287="", "", " ("&amp;M1287&amp;")") &amp; CHAR(10) &amp;
  _xlpm.vanillaPrefix &amp; "Keyword = Uvi_Wig_Distr_KYWD|" &amp; B1287 &amp; CHAR(10) &amp;
  _xlpm.vanillaPrefix &amp; "Spell = " &amp; _xlpm.spell &amp; "|" &amp; B1287
  )
)</f>
        <v>;Redguard
;Keyword = Uvi_Wig_Distr_KYWD|TreasCorpseCommonerRedguardMale
;Spell = No Spell for Hairstyle|TreasCorpseCommonerRedguardMale</v>
      </c>
    </row>
    <row r="1288" ht="12.75" customHeight="1">
      <c r="A1288" s="15" t="s">
        <v>4686</v>
      </c>
      <c r="B1288" s="5" t="s">
        <v>4687</v>
      </c>
      <c r="C1288" s="5" t="s">
        <v>83</v>
      </c>
      <c r="D1288" s="5" t="s">
        <v>83</v>
      </c>
      <c r="E1288" s="5" t="s">
        <v>41</v>
      </c>
      <c r="F1288" s="5" t="s">
        <v>2618</v>
      </c>
      <c r="G1288" s="14" t="str">
        <f t="array" ref="G1288">IF(B1288="", "",
  LET(_xlpm.spell, IFERROR(IF(F1288="", "", INDEX(_xlws.FILTER(Hairstyles!$F:$F, ISNUMBER(SEARCH(F1288, Hairstyles!$B:$B))), 1)), "No Spell for Hairstyle"),
  _xlpm.vanillaPrefix, IF(LEFT(_xlpm.spell, 7)="Uvi_Wig", "", ";"),
  ";" &amp; IF(C1288="", B1288, C1288) &amp; IF(M1288="", "", " ("&amp;M1288&amp;")") &amp; CHAR(10) &amp;
  _xlpm.vanillaPrefix &amp; "Keyword = Uvi_Wig_Distr_KYWD|" &amp; B1288 &amp; CHAR(10) &amp;
  _xlpm.vanillaPrefix &amp; "Spell = " &amp; _xlpm.spell &amp; "|" &amp; B1288
  )
)</f>
        <v>;Redguard
;Keyword = Uvi_Wig_Distr_KYWD|WEAdventurerBerserkerRedguardF
;Spell = No Spell for Hairstyle|WEAdventurerBerserkerRedguardF</v>
      </c>
    </row>
    <row r="1289" ht="12.75" customHeight="1">
      <c r="A1289" s="5" t="s">
        <v>4688</v>
      </c>
      <c r="B1289" s="5" t="s">
        <v>4689</v>
      </c>
      <c r="C1289" s="5" t="s">
        <v>83</v>
      </c>
      <c r="D1289" s="5" t="s">
        <v>83</v>
      </c>
      <c r="E1289" s="5" t="s">
        <v>41</v>
      </c>
      <c r="F1289" s="5" t="s">
        <v>4628</v>
      </c>
      <c r="G1289" s="14" t="str">
        <f t="array" ref="G1289">IF(B1289="", "",
  LET(_xlpm.spell, IFERROR(IF(F1289="", "", INDEX(_xlws.FILTER(Hairstyles!$F:$F, ISNUMBER(SEARCH(F1289, Hairstyles!$B:$B))), 1)), "No Spell for Hairstyle"),
  _xlpm.vanillaPrefix, IF(LEFT(_xlpm.spell, 7)="Uvi_Wig", "", ";"),
  ";" &amp; IF(C1289="", B1289, C1289) &amp; IF(M1289="", "", " ("&amp;M1289&amp;")") &amp; CHAR(10) &amp;
  _xlpm.vanillaPrefix &amp; "Keyword = Uvi_Wig_Distr_KYWD|" &amp; B1289 &amp; CHAR(10) &amp;
  _xlpm.vanillaPrefix &amp; "Spell = " &amp; _xlpm.spell &amp; "|" &amp; B1289
  )
)</f>
        <v>;Redguard
;Keyword = Uvi_Wig_Distr_KYWD|WEAdventurerSpellswordRedguardF
;Spell = No Spell for Hairstyle|WEAdventurerSpellswordRedguardF</v>
      </c>
    </row>
    <row r="1290" ht="12.75" customHeight="1">
      <c r="A1290" s="15" t="s">
        <v>4690</v>
      </c>
      <c r="B1290" s="5" t="s">
        <v>4691</v>
      </c>
      <c r="C1290" s="5" t="s">
        <v>83</v>
      </c>
      <c r="D1290" s="5" t="s">
        <v>83</v>
      </c>
      <c r="E1290" s="5" t="s">
        <v>233</v>
      </c>
      <c r="F1290" s="5" t="s">
        <v>84</v>
      </c>
      <c r="G1290" s="14" t="str">
        <f t="array" ref="G1290">IF(B1290="", "",
  LET(_xlpm.spell, IFERROR(IF(F1290="", "", INDEX(_xlws.FILTER(Hairstyles!$F:$F, ISNUMBER(SEARCH(F1290, Hairstyles!$B:$B))), 1)), "No Spell for Hairstyle"),
  _xlpm.vanillaPrefix, IF(LEFT(_xlpm.spell, 7)="Uvi_Wig", "", ";"),
  ";" &amp; IF(C1290="", B1290, C1290) &amp; IF(M1290="", "", " ("&amp;M1290&amp;")") &amp; CHAR(10) &amp;
  _xlpm.vanillaPrefix &amp; "Keyword = Uvi_Wig_Distr_KYWD|" &amp; B1290 &amp; CHAR(10) &amp;
  _xlpm.vanillaPrefix &amp; "Spell = " &amp; _xlpm.spell &amp; "|" &amp; B1290
  )
)</f>
        <v>;Redguard
;Keyword = Uvi_Wig_Distr_KYWD|WEAdventurerWarriorRedguardM
;Spell = No Spell for Hairstyle|WEAdventurerWarriorRedguardM</v>
      </c>
    </row>
    <row r="1291" ht="12.75" customHeight="1">
      <c r="A1291" s="5" t="s">
        <v>4692</v>
      </c>
      <c r="B1291" s="5" t="s">
        <v>4693</v>
      </c>
      <c r="C1291" s="5" t="s">
        <v>4694</v>
      </c>
      <c r="D1291" s="5" t="s">
        <v>83</v>
      </c>
      <c r="E1291" s="5" t="s">
        <v>41</v>
      </c>
      <c r="F1291" s="5" t="s">
        <v>2912</v>
      </c>
      <c r="G1291" s="14" t="str">
        <f t="array" ref="G1291">IF(B1291="", "",
  LET(_xlpm.spell, IFERROR(IF(F1291="", "", INDEX(_xlws.FILTER(Hairstyles!$F:$F, ISNUMBER(SEARCH(F1291, Hairstyles!$B:$B))), 1)), "No Spell for Hairstyle"),
  _xlpm.vanillaPrefix, IF(LEFT(_xlpm.spell, 7)="Uvi_Wig", "", ";"),
  ";" &amp; IF(C1291="", B1291, C1291) &amp; IF(M1291="", "", " ("&amp;M1291&amp;")") &amp; CHAR(10) &amp;
  _xlpm.vanillaPrefix &amp; "Keyword = Uvi_Wig_Distr_KYWD|" &amp; B1291 &amp; CHAR(10) &amp;
  _xlpm.vanillaPrefix &amp; "Spell = " &amp; _xlpm.spell &amp; "|" &amp; B1291
  )
)</f>
        <v>;Redguard Woman
;Keyword = Uvi_Wig_Distr_KYWD|WERJ03RedguardFemale
;Spell = No Spell for Hairstyle|WERJ03RedguardFemale</v>
      </c>
    </row>
    <row r="1292" ht="12.75" customHeight="1">
      <c r="A1292" s="5" t="s">
        <v>4695</v>
      </c>
      <c r="B1292" s="5" t="s">
        <v>4696</v>
      </c>
      <c r="C1292" s="5" t="s">
        <v>4697</v>
      </c>
      <c r="D1292" s="5" t="s">
        <v>45</v>
      </c>
      <c r="E1292" s="5" t="s">
        <v>233</v>
      </c>
      <c r="F1292" s="5" t="s">
        <v>1684</v>
      </c>
      <c r="G1292" s="14" t="str">
        <f t="array" ref="G1292">IF(B1292="", "",
  LET(_xlpm.spell, IFERROR(IF(F1292="", "", INDEX(_xlws.FILTER(Hairstyles!$F:$F, ISNUMBER(SEARCH(F1292, Hairstyles!$B:$B))), 1)), "No Spell for Hairstyle"),
  _xlpm.vanillaPrefix, IF(LEFT(_xlpm.spell, 7)="Uvi_Wig", "", ";"),
  ";" &amp; IF(C1292="", B1292, C1292) &amp; IF(M1292="", "", " ("&amp;M1292&amp;")") &amp; CHAR(10) &amp;
  _xlpm.vanillaPrefix &amp; "Keyword = Uvi_Wig_Distr_KYWD|" &amp; B1292 &amp; CHAR(10) &amp;
  _xlpm.vanillaPrefix &amp; "Spell = " &amp; _xlpm.spell &amp; "|" &amp; B1292
  )
)</f>
        <v>;Redoran Guard
;Keyword = Uvi_Wig_Distr_KYWD|DLC2RRGuardTemplate
;Spell = No Spell for Hairstyle|DLC2RRGuardTemplate</v>
      </c>
    </row>
    <row r="1293" ht="12.75" customHeight="1">
      <c r="A1293" s="5" t="s">
        <v>4698</v>
      </c>
      <c r="B1293" s="5" t="s">
        <v>4699</v>
      </c>
      <c r="C1293" s="5" t="s">
        <v>4700</v>
      </c>
      <c r="D1293" s="5" t="s">
        <v>38</v>
      </c>
      <c r="E1293" s="5" t="s">
        <v>41</v>
      </c>
      <c r="F1293" s="5" t="s">
        <v>1996</v>
      </c>
      <c r="G1293" s="14" t="str">
        <f t="array" ref="G1293">IF(B1293="", "",
  LET(_xlpm.spell, IFERROR(IF(F1293="", "", INDEX(_xlws.FILTER(Hairstyles!$F:$F, ISNUMBER(SEARCH(F1293, Hairstyles!$B:$B))), 1)), "No Spell for Hairstyle"),
  _xlpm.vanillaPrefix, IF(LEFT(_xlpm.spell, 7)="Uvi_Wig", "", ";"),
  ";" &amp; IF(C1293="", B1293, C1293) &amp; IF(M1293="", "", " ("&amp;M1293&amp;")") &amp; CHAR(10) &amp;
  _xlpm.vanillaPrefix &amp; "Keyword = Uvi_Wig_Distr_KYWD|" &amp; B1293 &amp; CHAR(10) &amp;
  _xlpm.vanillaPrefix &amp; "Spell = " &amp; _xlpm.spell &amp; "|" &amp; B1293
  )
)</f>
        <v>;Refugee
;Keyword = Uvi_Wig_Distr_KYWD|dunPOIRefugeeCorpse01
;Spell = No Spell for Hairstyle|dunPOIRefugeeCorpse01</v>
      </c>
    </row>
    <row r="1294" ht="12.75" customHeight="1">
      <c r="A1294" s="5" t="s">
        <v>4701</v>
      </c>
      <c r="B1294" s="5" t="s">
        <v>4702</v>
      </c>
      <c r="C1294" s="5" t="s">
        <v>4700</v>
      </c>
      <c r="D1294" s="5" t="s">
        <v>38</v>
      </c>
      <c r="E1294" s="5" t="s">
        <v>233</v>
      </c>
      <c r="F1294" s="5" t="s">
        <v>68</v>
      </c>
      <c r="G1294" s="14" t="str">
        <f t="array" ref="G1294">IF(B1294="", "",
  LET(_xlpm.spell, IFERROR(IF(F1294="", "", INDEX(_xlws.FILTER(Hairstyles!$F:$F, ISNUMBER(SEARCH(F1294, Hairstyles!$B:$B))), 1)), "No Spell for Hairstyle"),
  _xlpm.vanillaPrefix, IF(LEFT(_xlpm.spell, 7)="Uvi_Wig", "", ";"),
  ";" &amp; IF(C1294="", B1294, C1294) &amp; IF(M1294="", "", " ("&amp;M1294&amp;")") &amp; CHAR(10) &amp;
  _xlpm.vanillaPrefix &amp; "Keyword = Uvi_Wig_Distr_KYWD|" &amp; B1294 &amp; CHAR(10) &amp;
  _xlpm.vanillaPrefix &amp; "Spell = " &amp; _xlpm.spell &amp; "|" &amp; B1294
  )
)</f>
        <v>;Refugee
;Keyword = Uvi_Wig_Distr_KYWD|dunPOIRefugeeCorpse02
;Spell = No Spell for Hairstyle|dunPOIRefugeeCorpse02</v>
      </c>
    </row>
    <row r="1295" ht="12.75" customHeight="1">
      <c r="A1295" s="5" t="s">
        <v>4703</v>
      </c>
      <c r="B1295" s="5" t="s">
        <v>4704</v>
      </c>
      <c r="C1295" s="5" t="s">
        <v>4700</v>
      </c>
      <c r="D1295" s="5" t="s">
        <v>38</v>
      </c>
      <c r="E1295" s="5" t="s">
        <v>233</v>
      </c>
      <c r="F1295" s="5" t="s">
        <v>521</v>
      </c>
      <c r="G1295" s="14" t="str">
        <f t="array" ref="G1295">IF(B1295="", "",
  LET(_xlpm.spell, IFERROR(IF(F1295="", "", INDEX(_xlws.FILTER(Hairstyles!$F:$F, ISNUMBER(SEARCH(F1295, Hairstyles!$B:$B))), 1)), "No Spell for Hairstyle"),
  _xlpm.vanillaPrefix, IF(LEFT(_xlpm.spell, 7)="Uvi_Wig", "", ";"),
  ";" &amp; IF(C1295="", B1295, C1295) &amp; IF(M1295="", "", " ("&amp;M1295&amp;")") &amp; CHAR(10) &amp;
  _xlpm.vanillaPrefix &amp; "Keyword = Uvi_Wig_Distr_KYWD|" &amp; B1295 &amp; CHAR(10) &amp;
  _xlpm.vanillaPrefix &amp; "Spell = " &amp; _xlpm.spell &amp; "|" &amp; B1295
  )
)</f>
        <v>;Refugee
;Keyword = Uvi_Wig_Distr_KYWD|dunPOIRefugeeCorpse03
;Spell = No Spell for Hairstyle|dunPOIRefugeeCorpse03</v>
      </c>
    </row>
    <row r="1296" ht="12.75" customHeight="1">
      <c r="A1296" s="5" t="s">
        <v>4705</v>
      </c>
      <c r="B1296" s="5" t="s">
        <v>4706</v>
      </c>
      <c r="C1296" s="5" t="s">
        <v>4706</v>
      </c>
      <c r="D1296" s="5" t="s">
        <v>57</v>
      </c>
      <c r="E1296" s="5" t="s">
        <v>41</v>
      </c>
      <c r="F1296" s="5" t="s">
        <v>491</v>
      </c>
      <c r="G1296" s="14" t="str">
        <f t="array" ref="G1296">IF(B1296="", "",
  LET(_xlpm.spell, IFERROR(IF(F1296="", "", INDEX(_xlws.FILTER(Hairstyles!$F:$F, ISNUMBER(SEARCH(F1296, Hairstyles!$B:$B))), 1)), "No Spell for Hairstyle"),
  _xlpm.vanillaPrefix, IF(LEFT(_xlpm.spell, 7)="Uvi_Wig", "", ";"),
  ";" &amp; IF(C1296="", B1296, C1296) &amp; IF(M1296="", "", " ("&amp;M1296&amp;")") &amp; CHAR(10) &amp;
  _xlpm.vanillaPrefix &amp; "Keyword = Uvi_Wig_Distr_KYWD|" &amp; B1296 &amp; CHAR(10) &amp;
  _xlpm.vanillaPrefix &amp; "Spell = " &amp; _xlpm.spell &amp; "|" &amp; B1296
  )
)</f>
        <v>;Reldith
;Keyword = Uvi_Wig_Distr_KYWD|Reldith
;Spell = No Spell for Hairstyle|Reldith</v>
      </c>
    </row>
    <row r="1297" ht="12.75" customHeight="1">
      <c r="A1297" s="5" t="s">
        <v>4707</v>
      </c>
      <c r="B1297" s="5" t="s">
        <v>4708</v>
      </c>
      <c r="C1297" s="5" t="s">
        <v>4709</v>
      </c>
      <c r="D1297" s="5" t="s">
        <v>38</v>
      </c>
      <c r="E1297" s="5" t="s">
        <v>233</v>
      </c>
      <c r="F1297" s="5" t="s">
        <v>1622</v>
      </c>
      <c r="G1297" s="14" t="str">
        <f t="array" ref="G1297">IF(B1297="", "",
  LET(_xlpm.spell, IFERROR(IF(F1297="", "", INDEX(_xlws.FILTER(Hairstyles!$F:$F, ISNUMBER(SEARCH(F1297, Hairstyles!$B:$B))), 1)), "No Spell for Hairstyle"),
  _xlpm.vanillaPrefix, IF(LEFT(_xlpm.spell, 7)="Uvi_Wig", "", ";"),
  ";" &amp; IF(C1297="", B1297, C1297) &amp; IF(M1297="", "", " ("&amp;M1297&amp;")") &amp; CHAR(10) &amp;
  _xlpm.vanillaPrefix &amp; "Keyword = Uvi_Wig_Distr_KYWD|" &amp; B1297 &amp; CHAR(10) &amp;
  _xlpm.vanillaPrefix &amp; "Spell = " &amp; _xlpm.spell &amp; "|" &amp; B1297
  )
)</f>
        <v>;Reveler
;Keyword = Uvi_Wig_Distr_KYWD|WERJ06Drunk01
;Spell = No Spell for Hairstyle|WERJ06Drunk01</v>
      </c>
    </row>
    <row r="1298" ht="12.75" customHeight="1">
      <c r="A1298" s="5" t="s">
        <v>4710</v>
      </c>
      <c r="B1298" s="5" t="s">
        <v>4711</v>
      </c>
      <c r="C1298" s="5" t="s">
        <v>4709</v>
      </c>
      <c r="D1298" s="5" t="s">
        <v>38</v>
      </c>
      <c r="E1298" s="5" t="s">
        <v>233</v>
      </c>
      <c r="F1298" s="5" t="s">
        <v>1700</v>
      </c>
      <c r="G1298" s="14" t="str">
        <f t="array" ref="G1298">IF(B1298="", "",
  LET(_xlpm.spell, IFERROR(IF(F1298="", "", INDEX(_xlws.FILTER(Hairstyles!$F:$F, ISNUMBER(SEARCH(F1298, Hairstyles!$B:$B))), 1)), "No Spell for Hairstyle"),
  _xlpm.vanillaPrefix, IF(LEFT(_xlpm.spell, 7)="Uvi_Wig", "", ";"),
  ";" &amp; IF(C1298="", B1298, C1298) &amp; IF(M1298="", "", " ("&amp;M1298&amp;")") &amp; CHAR(10) &amp;
  _xlpm.vanillaPrefix &amp; "Keyword = Uvi_Wig_Distr_KYWD|" &amp; B1298 &amp; CHAR(10) &amp;
  _xlpm.vanillaPrefix &amp; "Spell = " &amp; _xlpm.spell &amp; "|" &amp; B1298
  )
)</f>
        <v>;Reveler
;Keyword = Uvi_Wig_Distr_KYWD|WERJ06Drunk02
;Spell = No Spell for Hairstyle|WERJ06Drunk02</v>
      </c>
    </row>
    <row r="1299" ht="12.75" customHeight="1">
      <c r="A1299" s="5" t="s">
        <v>4712</v>
      </c>
      <c r="B1299" s="5" t="s">
        <v>4713</v>
      </c>
      <c r="C1299" s="5" t="s">
        <v>4709</v>
      </c>
      <c r="D1299" s="5" t="s">
        <v>38</v>
      </c>
      <c r="E1299" s="5" t="s">
        <v>233</v>
      </c>
      <c r="F1299" s="5" t="s">
        <v>990</v>
      </c>
      <c r="G1299" s="14" t="str">
        <f t="array" ref="G1299">IF(B1299="", "",
  LET(_xlpm.spell, IFERROR(IF(F1299="", "", INDEX(_xlws.FILTER(Hairstyles!$F:$F, ISNUMBER(SEARCH(F1299, Hairstyles!$B:$B))), 1)), "No Spell for Hairstyle"),
  _xlpm.vanillaPrefix, IF(LEFT(_xlpm.spell, 7)="Uvi_Wig", "", ";"),
  ";" &amp; IF(C1299="", B1299, C1299) &amp; IF(M1299="", "", " ("&amp;M1299&amp;")") &amp; CHAR(10) &amp;
  _xlpm.vanillaPrefix &amp; "Keyword = Uvi_Wig_Distr_KYWD|" &amp; B1299 &amp; CHAR(10) &amp;
  _xlpm.vanillaPrefix &amp; "Spell = " &amp; _xlpm.spell &amp; "|" &amp; B1299
  )
)</f>
        <v>;Reveler
;Keyword = Uvi_Wig_Distr_KYWD|WERJ06Drunk03
;Spell = No Spell for Hairstyle|WERJ06Drunk03</v>
      </c>
    </row>
    <row r="1300" ht="12.75" customHeight="1">
      <c r="A1300" s="5" t="s">
        <v>4714</v>
      </c>
      <c r="B1300" s="5" t="s">
        <v>4715</v>
      </c>
      <c r="C1300" s="5" t="s">
        <v>4716</v>
      </c>
      <c r="D1300" s="5" t="s">
        <v>38</v>
      </c>
      <c r="E1300" s="5" t="s">
        <v>233</v>
      </c>
      <c r="F1300" s="5" t="s">
        <v>68</v>
      </c>
      <c r="G1300" s="14" t="str">
        <f t="array" ref="G1300">IF(B1300="", "",
  LET(_xlpm.spell, IFERROR(IF(F1300="", "", INDEX(_xlws.FILTER(Hairstyles!$F:$F, ISNUMBER(SEARCH(F1300, Hairstyles!$B:$B))), 1)), "No Spell for Hairstyle"),
  _xlpm.vanillaPrefix, IF(LEFT(_xlpm.spell, 7)="Uvi_Wig", "", ";"),
  ";" &amp; IF(C1300="", B1300, C1300) &amp; IF(M1300="", "", " ("&amp;M1300&amp;")") &amp; CHAR(10) &amp;
  _xlpm.vanillaPrefix &amp; "Keyword = Uvi_Wig_Distr_KYWD|" &amp; B1300 &amp; CHAR(10) &amp;
  _xlpm.vanillaPrefix &amp; "Spell = " &amp; _xlpm.spell &amp; "|" &amp; B1300
  )
)</f>
        <v>;Reves
;Keyword = Uvi_Wig_Distr_KYWD|TG07Reves
;Spell = No Spell for Hairstyle|TG07Reves</v>
      </c>
    </row>
    <row r="1301" ht="12.75" customHeight="1">
      <c r="A1301" s="5" t="s">
        <v>4717</v>
      </c>
      <c r="B1301" s="5" t="s">
        <v>4718</v>
      </c>
      <c r="C1301" s="5" t="s">
        <v>4719</v>
      </c>
      <c r="D1301" s="5" t="s">
        <v>45</v>
      </c>
      <c r="E1301" s="5" t="s">
        <v>233</v>
      </c>
      <c r="F1301" s="5" t="s">
        <v>525</v>
      </c>
      <c r="G1301" s="14" t="str">
        <f t="array" ref="G1301">IF(B1301="", "",
  LET(_xlpm.spell, IFERROR(IF(F1301="", "", INDEX(_xlws.FILTER(Hairstyles!$F:$F, ISNUMBER(SEARCH(F1301, Hairstyles!$B:$B))), 1)), "No Spell for Hairstyle"),
  _xlpm.vanillaPrefix, IF(LEFT(_xlpm.spell, 7)="Uvi_Wig", "", ";"),
  ";" &amp; IF(C1301="", B1301, C1301) &amp; IF(M1301="", "", " ("&amp;M1301&amp;")") &amp; CHAR(10) &amp;
  _xlpm.vanillaPrefix &amp; "Keyword = Uvi_Wig_Distr_KYWD|" &amp; B1301 &amp; CHAR(10) &amp;
  _xlpm.vanillaPrefix &amp; "Spell = " &amp; _xlpm.spell &amp; "|" &amp; B1301
  )
)</f>
        <v>;Revus Sarvani
;Keyword = Uvi_Wig_Distr_KYWD|DLC2SiltStriderMerchant
;Spell = No Spell for Hairstyle|DLC2SiltStriderMerchant</v>
      </c>
    </row>
    <row r="1302" ht="12.75" customHeight="1">
      <c r="A1302" s="5" t="s">
        <v>4720</v>
      </c>
      <c r="B1302" s="5" t="s">
        <v>4721</v>
      </c>
      <c r="C1302" s="5" t="s">
        <v>4722</v>
      </c>
      <c r="D1302" s="5" t="s">
        <v>45</v>
      </c>
      <c r="E1302" s="5" t="s">
        <v>233</v>
      </c>
      <c r="F1302" s="5" t="s">
        <v>91</v>
      </c>
      <c r="G1302" s="14" t="str">
        <f t="array" ref="G1302">IF(B1302="", "",
  LET(_xlpm.spell, IFERROR(IF(F1302="", "", INDEX(_xlws.FILTER(Hairstyles!$F:$F, ISNUMBER(SEARCH(F1302, Hairstyles!$B:$B))), 1)), "No Spell for Hairstyle"),
  _xlpm.vanillaPrefix, IF(LEFT(_xlpm.spell, 7)="Uvi_Wig", "", ";"),
  ";" &amp; IF(C1302="", B1302, C1302) &amp; IF(M1302="", "", " ("&amp;M1302&amp;")") &amp; CHAR(10) &amp;
  _xlpm.vanillaPrefix &amp; "Keyword = Uvi_Wig_Distr_KYWD|" &amp; B1302 &amp; CHAR(10) &amp;
  _xlpm.vanillaPrefix &amp; "Spell = " &amp; _xlpm.spell &amp; "|" &amp; B1302
  )
)</f>
        <v>;Revyn Sadri
;Keyword = Uvi_Wig_Distr_KYWD|RevynSadri
;Spell = No Spell for Hairstyle|RevynSadri</v>
      </c>
    </row>
    <row r="1303" ht="12.75" customHeight="1">
      <c r="A1303" s="5" t="s">
        <v>4723</v>
      </c>
      <c r="B1303" s="5" t="s">
        <v>4724</v>
      </c>
      <c r="C1303" s="5" t="s">
        <v>4724</v>
      </c>
      <c r="D1303" s="5" t="s">
        <v>59</v>
      </c>
      <c r="E1303" s="5" t="s">
        <v>233</v>
      </c>
      <c r="F1303" s="5" t="s">
        <v>224</v>
      </c>
      <c r="G1303" s="14" t="str">
        <f t="array" ref="G1303">IF(B1303="", "",
  LET(_xlpm.spell, IFERROR(IF(F1303="", "", INDEX(_xlws.FILTER(Hairstyles!$F:$F, ISNUMBER(SEARCH(F1303, Hairstyles!$B:$B))), 1)), "No Spell for Hairstyle"),
  _xlpm.vanillaPrefix, IF(LEFT(_xlpm.spell, 7)="Uvi_Wig", "", ";"),
  ";" &amp; IF(C1303="", B1303, C1303) &amp; IF(M1303="", "", " ("&amp;M1303&amp;")") &amp; CHAR(10) &amp;
  _xlpm.vanillaPrefix &amp; "Keyword = Uvi_Wig_Distr_KYWD|" &amp; B1303 &amp; CHAR(10) &amp;
  _xlpm.vanillaPrefix &amp; "Spell = " &amp; _xlpm.spell &amp; "|" &amp; B1303
  )
)</f>
        <v>;Rexus
;Keyword = Uvi_Wig_Distr_KYWD|Rexus
;Spell = No Spell for Hairstyle|Rexus</v>
      </c>
    </row>
    <row r="1304" ht="12.75" customHeight="1">
      <c r="A1304" s="5" t="s">
        <v>4725</v>
      </c>
      <c r="B1304" s="5" t="s">
        <v>4726</v>
      </c>
      <c r="C1304" s="5" t="s">
        <v>4726</v>
      </c>
      <c r="D1304" s="5" t="s">
        <v>16</v>
      </c>
      <c r="E1304" s="5" t="s">
        <v>41</v>
      </c>
      <c r="F1304" s="5" t="s">
        <v>44</v>
      </c>
      <c r="G1304" s="14" t="str">
        <f t="array" ref="G1304">IF(B1304="", "",
  LET(_xlpm.spell, IFERROR(IF(F1304="", "", INDEX(_xlws.FILTER(Hairstyles!$F:$F, ISNUMBER(SEARCH(F1304, Hairstyles!$B:$B))), 1)), "No Spell for Hairstyle"),
  _xlpm.vanillaPrefix, IF(LEFT(_xlpm.spell, 7)="Uvi_Wig", "", ";"),
  ";" &amp; IF(C1304="", B1304, C1304) &amp; IF(M1304="", "", " ("&amp;M1304&amp;")") &amp; CHAR(10) &amp;
  _xlpm.vanillaPrefix &amp; "Keyword = Uvi_Wig_Distr_KYWD|" &amp; B1304 &amp; CHAR(10) &amp;
  _xlpm.vanillaPrefix &amp; "Spell = " &amp; _xlpm.spell &amp; "|" &amp; B1304
  )
)</f>
        <v>;Rhiada
;Keyword = Uvi_Wig_Distr_KYWD|Rhiada
;Spell = No Spell for Hairstyle|Rhiada</v>
      </c>
    </row>
    <row r="1305" ht="12.75" customHeight="1">
      <c r="A1305" s="15" t="s">
        <v>4727</v>
      </c>
      <c r="B1305" s="5" t="s">
        <v>4728</v>
      </c>
      <c r="C1305" s="5" t="s">
        <v>4728</v>
      </c>
      <c r="D1305" s="5" t="s">
        <v>38</v>
      </c>
      <c r="E1305" s="5" t="s">
        <v>233</v>
      </c>
      <c r="F1305" s="5" t="s">
        <v>1622</v>
      </c>
      <c r="G1305" s="14" t="str">
        <f t="array" ref="G1305">IF(B1305="", "",
  LET(_xlpm.spell, IFERROR(IF(F1305="", "", INDEX(_xlws.FILTER(Hairstyles!$F:$F, ISNUMBER(SEARCH(F1305, Hairstyles!$B:$B))), 1)), "No Spell for Hairstyle"),
  _xlpm.vanillaPrefix, IF(LEFT(_xlpm.spell, 7)="Uvi_Wig", "", ";"),
  ";" &amp; IF(C1305="", B1305, C1305) &amp; IF(M1305="", "", " ("&amp;M1305&amp;")") &amp; CHAR(10) &amp;
  _xlpm.vanillaPrefix &amp; "Keyword = Uvi_Wig_Distr_KYWD|" &amp; B1305 &amp; CHAR(10) &amp;
  _xlpm.vanillaPrefix &amp; "Spell = " &amp; _xlpm.spell &amp; "|" &amp; B1305
  )
)</f>
        <v>;Rhorlak
;Keyword = Uvi_Wig_Distr_KYWD|Rhorlak
;Spell = No Spell for Hairstyle|Rhorlak</v>
      </c>
    </row>
    <row r="1306" ht="12.75" customHeight="1">
      <c r="A1306" s="5" t="s">
        <v>4729</v>
      </c>
      <c r="B1306" s="5" t="s">
        <v>4730</v>
      </c>
      <c r="C1306" s="5" t="s">
        <v>4731</v>
      </c>
      <c r="D1306" s="5" t="s">
        <v>65</v>
      </c>
      <c r="E1306" s="5" t="s">
        <v>233</v>
      </c>
      <c r="F1306" s="5" t="s">
        <v>4732</v>
      </c>
      <c r="G1306" s="14" t="str">
        <f t="array" ref="G1306">IF(B1306="", "",
  LET(_xlpm.spell, IFERROR(IF(F1306="", "", INDEX(_xlws.FILTER(Hairstyles!$F:$F, ISNUMBER(SEARCH(F1306, Hairstyles!$B:$B))), 1)), "No Spell for Hairstyle"),
  _xlpm.vanillaPrefix, IF(LEFT(_xlpm.spell, 7)="Uvi_Wig", "", ";"),
  ";" &amp; IF(C1306="", B1306, C1306) &amp; IF(M1306="", "", " ("&amp;M1306&amp;")") &amp; CHAR(10) &amp;
  _xlpm.vanillaPrefix &amp; "Keyword = Uvi_Wig_Distr_KYWD|" &amp; B1306 &amp; CHAR(10) &amp;
  _xlpm.vanillaPrefix &amp; "Spell = " &amp; _xlpm.spell &amp; "|" &amp; B1306
  )
)</f>
        <v>;Ri'saad
;Keyword = Uvi_Wig_Distr_KYWD|Risaad
;Spell = No Spell for Hairstyle|Risaad</v>
      </c>
    </row>
    <row r="1307" ht="12.75" customHeight="1">
      <c r="A1307" s="5" t="s">
        <v>4733</v>
      </c>
      <c r="B1307" s="5" t="s">
        <v>4734</v>
      </c>
      <c r="C1307" s="5" t="s">
        <v>4734</v>
      </c>
      <c r="D1307" s="5" t="s">
        <v>59</v>
      </c>
      <c r="E1307" s="5" t="s">
        <v>41</v>
      </c>
      <c r="F1307" s="5" t="s">
        <v>862</v>
      </c>
      <c r="G1307" s="14" t="str">
        <f t="array" ref="G1307">IF(B1307="", "",
  LET(_xlpm.spell, IFERROR(IF(F1307="", "", INDEX(_xlws.FILTER(Hairstyles!$F:$F, ISNUMBER(SEARCH(F1307, Hairstyles!$B:$B))), 1)), "No Spell for Hairstyle"),
  _xlpm.vanillaPrefix, IF(LEFT(_xlpm.spell, 7)="Uvi_Wig", "", ";"),
  ";" &amp; IF(C1307="", B1307, C1307) &amp; IF(M1307="", "", " ("&amp;M1307&amp;")") &amp; CHAR(10) &amp;
  _xlpm.vanillaPrefix &amp; "Keyword = Uvi_Wig_Distr_KYWD|" &amp; B1307 &amp; CHAR(10) &amp;
  _xlpm.vanillaPrefix &amp; "Spell = " &amp; _xlpm.spell &amp; "|" &amp; B1307
  )
)</f>
        <v>;Ria
;Keyword = Uvi_Wig_Distr_KYWD|Ria
;Spell = No Spell for Hairstyle|Ria</v>
      </c>
    </row>
    <row r="1308" ht="12.75" customHeight="1">
      <c r="A1308" s="5" t="s">
        <v>4735</v>
      </c>
      <c r="B1308" s="5" t="s">
        <v>4736</v>
      </c>
      <c r="C1308" s="5" t="s">
        <v>4737</v>
      </c>
      <c r="D1308" s="5" t="s">
        <v>38</v>
      </c>
      <c r="E1308" s="5" t="s">
        <v>233</v>
      </c>
      <c r="F1308" s="5" t="s">
        <v>1894</v>
      </c>
      <c r="G1308" s="14" t="str">
        <f t="array" ref="G1308">IF(B1308="", "",
  LET(_xlpm.spell, IFERROR(IF(F1308="", "", INDEX(_xlws.FILTER(Hairstyles!$F:$F, ISNUMBER(SEARCH(F1308, Hairstyles!$B:$B))), 1)), "No Spell for Hairstyle"),
  _xlpm.vanillaPrefix, IF(LEFT(_xlpm.spell, 7)="Uvi_Wig", "", ";"),
  ";" &amp; IF(C1308="", B1308, C1308) &amp; IF(M1308="", "", " ("&amp;M1308&amp;")") &amp; CHAR(10) &amp;
  _xlpm.vanillaPrefix &amp; "Keyword = Uvi_Wig_Distr_KYWD|" &amp; B1308 &amp; CHAR(10) &amp;
  _xlpm.vanillaPrefix &amp; "Spell = " &amp; _xlpm.spell &amp; "|" &amp; B1308
  )
)</f>
        <v>;Riften Guard
;Keyword = Uvi_Wig_Distr_KYWD|TreasCorpseGuardRiften01
;Spell = No Spell for Hairstyle|TreasCorpseGuardRiften01</v>
      </c>
    </row>
    <row r="1309" ht="12.75" customHeight="1">
      <c r="A1309" s="5" t="s">
        <v>4738</v>
      </c>
      <c r="B1309" s="5" t="s">
        <v>4739</v>
      </c>
      <c r="C1309" s="5" t="s">
        <v>4737</v>
      </c>
      <c r="D1309" s="5" t="s">
        <v>38</v>
      </c>
      <c r="E1309" s="5" t="s">
        <v>41</v>
      </c>
      <c r="F1309" s="5" t="s">
        <v>905</v>
      </c>
      <c r="G1309" s="14" t="str">
        <f t="array" ref="G1309">IF(B1309="", "",
  LET(_xlpm.spell, IFERROR(IF(F1309="", "", INDEX(_xlws.FILTER(Hairstyles!$F:$F, ISNUMBER(SEARCH(F1309, Hairstyles!$B:$B))), 1)), "No Spell for Hairstyle"),
  _xlpm.vanillaPrefix, IF(LEFT(_xlpm.spell, 7)="Uvi_Wig", "", ";"),
  ";" &amp; IF(C1309="", B1309, C1309) &amp; IF(M1309="", "", " ("&amp;M1309&amp;")") &amp; CHAR(10) &amp;
  _xlpm.vanillaPrefix &amp; "Keyword = Uvi_Wig_Distr_KYWD|" &amp; B1309 &amp; CHAR(10) &amp;
  _xlpm.vanillaPrefix &amp; "Spell = " &amp; _xlpm.spell &amp; "|" &amp; B1309
  )
)</f>
        <v>;Riften Guard
;Keyword = Uvi_Wig_Distr_KYWD|TreasCorpseGuardRiften02
;Spell = No Spell for Hairstyle|TreasCorpseGuardRiften02</v>
      </c>
    </row>
    <row r="1310" ht="12.75" customHeight="1">
      <c r="A1310" s="5" t="s">
        <v>4740</v>
      </c>
      <c r="B1310" s="5" t="s">
        <v>4741</v>
      </c>
      <c r="C1310" s="5" t="s">
        <v>4742</v>
      </c>
      <c r="D1310" s="5" t="s">
        <v>45</v>
      </c>
      <c r="E1310" s="5" t="s">
        <v>233</v>
      </c>
      <c r="F1310" s="5" t="s">
        <v>2612</v>
      </c>
      <c r="G1310" s="14" t="str">
        <f t="array" ref="G1310">IF(B1310="", "",
  LET(_xlpm.spell, IFERROR(IF(F1310="", "", INDEX(_xlws.FILTER(Hairstyles!$F:$F, ISNUMBER(SEARCH(F1310, Hairstyles!$B:$B))), 1)), "No Spell for Hairstyle"),
  _xlpm.vanillaPrefix, IF(LEFT(_xlpm.spell, 7)="Uvi_Wig", "", ";"),
  ";" &amp; IF(C1310="", B1310, C1310) &amp; IF(M1310="", "", " ("&amp;M1310&amp;")") &amp; CHAR(10) &amp;
  _xlpm.vanillaPrefix &amp; "Keyword = Uvi_Wig_Distr_KYWD|" &amp; B1310 &amp; CHAR(10) &amp;
  _xlpm.vanillaPrefix &amp; "Spell = " &amp; _xlpm.spell &amp; "|" &amp; B1310
  )
)</f>
        <v>;Rirns Llervu
;Keyword = Uvi_Wig_Distr_KYWD|DLC2RRRirnsLlervu
;Spell = No Spell for Hairstyle|DLC2RRRirnsLlervu</v>
      </c>
    </row>
    <row r="1311" ht="12.75" customHeight="1">
      <c r="A1311" s="5" t="s">
        <v>4743</v>
      </c>
      <c r="B1311" s="5" t="s">
        <v>4744</v>
      </c>
      <c r="C1311" s="5" t="s">
        <v>4745</v>
      </c>
      <c r="D1311" s="5" t="s">
        <v>38</v>
      </c>
      <c r="E1311" s="5" t="s">
        <v>233</v>
      </c>
      <c r="F1311" s="5" t="s">
        <v>762</v>
      </c>
      <c r="G1311" s="14" t="str">
        <f t="array" ref="G1311">IF(B1311="", "",
  LET(_xlpm.spell, IFERROR(IF(F1311="", "", INDEX(_xlws.FILTER(Hairstyles!$F:$F, ISNUMBER(SEARCH(F1311, Hairstyles!$B:$B))), 1)), "No Spell for Hairstyle"),
  _xlpm.vanillaPrefix, IF(LEFT(_xlpm.spell, 7)="Uvi_Wig", "", ";"),
  ";" &amp; IF(C1311="", B1311, C1311) &amp; IF(M1311="", "", " ("&amp;M1311&amp;")") &amp; CHAR(10) &amp;
  _xlpm.vanillaPrefix &amp; "Keyword = Uvi_Wig_Distr_KYWD|" &amp; B1311 &amp; CHAR(10) &amp;
  _xlpm.vanillaPrefix &amp; "Spell = " &amp; _xlpm.spell &amp; "|" &amp; B1311
  )
)</f>
        <v>;Rissing
;Keyword = Uvi_Wig_Distr_KYWD|DA05Hunter02_Rissing
;Spell = No Spell for Hairstyle|DA05Hunter02_Rissing</v>
      </c>
    </row>
    <row r="1312" ht="12.75" customHeight="1">
      <c r="A1312" s="5" t="s">
        <v>4746</v>
      </c>
      <c r="B1312" s="5" t="s">
        <v>4747</v>
      </c>
      <c r="C1312" s="5" t="s">
        <v>4748</v>
      </c>
      <c r="D1312" s="5" t="s">
        <v>51</v>
      </c>
      <c r="E1312" s="5" t="s">
        <v>41</v>
      </c>
      <c r="F1312" s="5" t="s">
        <v>3254</v>
      </c>
      <c r="G1312" s="14" t="str">
        <f t="array" ref="G1312">IF(B1312="", "",
  LET(_xlpm.spell, IFERROR(IF(F1312="", "", INDEX(_xlws.FILTER(Hairstyles!$F:$F, ISNUMBER(SEARCH(F1312, Hairstyles!$B:$B))), 1)), "No Spell for Hairstyle"),
  _xlpm.vanillaPrefix, IF(LEFT(_xlpm.spell, 7)="Uvi_Wig", "", ";"),
  ";" &amp; IF(C1312="", B1312, C1312) &amp; IF(M1312="", "", " ("&amp;M1312&amp;")") &amp; CHAR(10) &amp;
  _xlpm.vanillaPrefix &amp; "Keyword = Uvi_Wig_Distr_KYWD|" &amp; B1312 &amp; CHAR(10) &amp;
  _xlpm.vanillaPrefix &amp; "Spell = " &amp; _xlpm.spell &amp; "|" &amp; B1312
  )
)</f>
        <v>;Ritual Master
;Keyword = Uvi_Wig_Distr_KYWD|MS06NecromancerLeader
;Spell = No Spell for Hairstyle|MS06NecromancerLeader</v>
      </c>
    </row>
    <row r="1313" ht="12.75" customHeight="1">
      <c r="A1313" s="5" t="s">
        <v>4749</v>
      </c>
      <c r="B1313" s="5" t="s">
        <v>4750</v>
      </c>
      <c r="C1313" s="5" t="s">
        <v>4751</v>
      </c>
      <c r="D1313" s="5" t="s">
        <v>51</v>
      </c>
      <c r="E1313" s="5" t="s">
        <v>233</v>
      </c>
      <c r="F1313" s="4" t="s">
        <v>1741</v>
      </c>
      <c r="G1313" s="14" t="str">
        <f t="array" ref="G1313">IF(B1313="", "",
  LET(_xlpm.spell, IFERROR(IF(F1313="", "", INDEX(_xlws.FILTER(Hairstyles!$F:$F, ISNUMBER(SEARCH(F1313, Hairstyles!$B:$B))), 1)), "No Spell for Hairstyle"),
  _xlpm.vanillaPrefix, IF(LEFT(_xlpm.spell, 7)="Uvi_Wig", "", ";"),
  ";" &amp; IF(C1313="", B1313, C1313) &amp; IF(M1313="", "", " ("&amp;M1313&amp;")") &amp; CHAR(10) &amp;
  _xlpm.vanillaPrefix &amp; "Keyword = Uvi_Wig_Distr_KYWD|" &amp; B1313 &amp; CHAR(10) &amp;
  _xlpm.vanillaPrefix &amp; "Spell = " &amp; _xlpm.spell &amp; "|" &amp; B1313
  )
)</f>
        <v>;Rogatus Salvius
;Keyword = Uvi_Wig_Distr_KYWD|Rogatus
;Spell = No Spell for Hairstyle|Rogatus</v>
      </c>
    </row>
    <row r="1314" ht="12.75" customHeight="1">
      <c r="A1314" s="5" t="s">
        <v>4752</v>
      </c>
      <c r="B1314" s="5" t="s">
        <v>4753</v>
      </c>
      <c r="C1314" s="5" t="s">
        <v>4754</v>
      </c>
      <c r="D1314" s="5" t="s">
        <v>38</v>
      </c>
      <c r="E1314" s="5" t="s">
        <v>233</v>
      </c>
      <c r="F1314" s="5" t="s">
        <v>521</v>
      </c>
      <c r="G1314" s="14" t="str">
        <f t="array" ref="G1314">IF(B1314="", "",
  LET(_xlpm.spell, IFERROR(IF(F1314="", "", INDEX(_xlws.FILTER(Hairstyles!$F:$F, ISNUMBER(SEARCH(F1314, Hairstyles!$B:$B))), 1)), "No Spell for Hairstyle"),
  _xlpm.vanillaPrefix, IF(LEFT(_xlpm.spell, 7)="Uvi_Wig", "", ";"),
  ";" &amp; IF(C1314="", B1314, C1314) &amp; IF(M1314="", "", " ("&amp;M1314&amp;")") &amp; CHAR(10) &amp;
  _xlpm.vanillaPrefix &amp; "Keyword = Uvi_Wig_Distr_KYWD|" &amp; B1314 &amp; CHAR(10) &amp;
  _xlpm.vanillaPrefix &amp; "Spell = " &amp; _xlpm.spell &amp; "|" &amp; B1314
  )
)</f>
        <v>;Rogen
;Keyword = Uvi_Wig_Distr_KYWD|DLC1VQ03VampireDriver
;Spell = No Spell for Hairstyle|DLC1VQ03VampireDriver</v>
      </c>
    </row>
    <row r="1315" ht="12.75" customHeight="1">
      <c r="A1315" s="5" t="s">
        <v>4755</v>
      </c>
      <c r="B1315" s="5" t="s">
        <v>4756</v>
      </c>
      <c r="C1315" s="5" t="s">
        <v>4757</v>
      </c>
      <c r="D1315" s="5" t="s">
        <v>38</v>
      </c>
      <c r="E1315" s="5" t="s">
        <v>233</v>
      </c>
      <c r="F1315" s="5" t="s">
        <v>990</v>
      </c>
      <c r="G1315" s="14" t="str">
        <f t="array" ref="G1315">IF(B1315="", "",
  LET(_xlpm.spell, IFERROR(IF(F1315="", "", INDEX(_xlws.FILTER(Hairstyles!$F:$F, ISNUMBER(SEARCH(F1315, Hairstyles!$B:$B))), 1)), "No Spell for Hairstyle"),
  _xlpm.vanillaPrefix, IF(LEFT(_xlpm.spell, 7)="Uvi_Wig", "", ";"),
  ";" &amp; IF(C1315="", B1315, C1315) &amp; IF(M1315="", "", " ("&amp;M1315&amp;")") &amp; CHAR(10) &amp;
  _xlpm.vanillaPrefix &amp; "Keyword = Uvi_Wig_Distr_KYWD|" &amp; B1315 &amp; CHAR(10) &amp;
  _xlpm.vanillaPrefix &amp; "Spell = " &amp; _xlpm.spell &amp; "|" &amp; B1315
  )
)</f>
        <v>;Roggi Knot-Beard
;Keyword = Uvi_Wig_Distr_KYWD|Roggi
;Spell = No Spell for Hairstyle|Roggi</v>
      </c>
    </row>
    <row r="1316" ht="12.75" customHeight="1">
      <c r="A1316" s="5" t="s">
        <v>4758</v>
      </c>
      <c r="B1316" s="5" t="s">
        <v>4759</v>
      </c>
      <c r="C1316" s="5" t="s">
        <v>4759</v>
      </c>
      <c r="D1316" s="5" t="s">
        <v>38</v>
      </c>
      <c r="E1316" s="5" t="s">
        <v>233</v>
      </c>
      <c r="F1316" s="5" t="s">
        <v>19</v>
      </c>
      <c r="G1316" s="14" t="str">
        <f t="array" ref="G1316">IF(B1316="", "",
  LET(_xlpm.spell, IFERROR(IF(F1316="", "", INDEX(_xlws.FILTER(Hairstyles!$F:$F, ISNUMBER(SEARCH(F1316, Hairstyles!$B:$B))), 1)), "No Spell for Hairstyle"),
  _xlpm.vanillaPrefix, IF(LEFT(_xlpm.spell, 7)="Uvi_Wig", "", ";"),
  ";" &amp; IF(C1316="", B1316, C1316) &amp; IF(M1316="", "", " ("&amp;M1316&amp;")") &amp; CHAR(10) &amp;
  _xlpm.vanillaPrefix &amp; "Keyword = Uvi_Wig_Distr_KYWD|" &amp; B1316 &amp; CHAR(10) &amp;
  _xlpm.vanillaPrefix &amp; "Spell = " &amp; _xlpm.spell &amp; "|" &amp; B1316
  )
)</f>
        <v>;Roggvir
;Keyword = Uvi_Wig_Distr_KYWD|Roggvir
;Spell = No Spell for Hairstyle|Roggvir</v>
      </c>
    </row>
    <row r="1317" ht="12.75" customHeight="1">
      <c r="A1317" s="5" t="s">
        <v>4760</v>
      </c>
      <c r="B1317" s="5" t="s">
        <v>4761</v>
      </c>
      <c r="C1317" s="5" t="s">
        <v>4762</v>
      </c>
      <c r="D1317" s="5" t="s">
        <v>38</v>
      </c>
      <c r="E1317" s="5" t="s">
        <v>233</v>
      </c>
      <c r="F1317" s="5" t="s">
        <v>1906</v>
      </c>
      <c r="G1317" s="14" t="str">
        <f t="array" ref="G1317">IF(B1317="", "",
  LET(_xlpm.spell, IFERROR(IF(F1317="", "", INDEX(_xlws.FILTER(Hairstyles!$F:$F, ISNUMBER(SEARCH(F1317, Hairstyles!$B:$B))), 1)), "No Spell for Hairstyle"),
  _xlpm.vanillaPrefix, IF(LEFT(_xlpm.spell, 7)="Uvi_Wig", "", ";"),
  ";" &amp; IF(C1317="", B1317, C1317) &amp; IF(M1317="", "", " ("&amp;M1317&amp;")") &amp; CHAR(10) &amp;
  _xlpm.vanillaPrefix &amp; "Keyword = Uvi_Wig_Distr_KYWD|" &amp; B1317 &amp; CHAR(10) &amp;
  _xlpm.vanillaPrefix &amp; "Spell = " &amp; _xlpm.spell &amp; "|" &amp; B1317
  )
)</f>
        <v>;Rolff Stone-Fist
;Keyword = Uvi_Wig_Distr_KYWD|Rolff
;Spell = No Spell for Hairstyle|Rolff</v>
      </c>
    </row>
    <row r="1318" ht="12.75" customHeight="1">
      <c r="A1318" s="15" t="s">
        <v>4763</v>
      </c>
      <c r="B1318" s="5" t="s">
        <v>4764</v>
      </c>
      <c r="C1318" s="5" t="s">
        <v>4765</v>
      </c>
      <c r="D1318" s="5" t="s">
        <v>45</v>
      </c>
      <c r="E1318" s="5" t="s">
        <v>233</v>
      </c>
      <c r="F1318" s="5" t="s">
        <v>47</v>
      </c>
      <c r="G1318" s="14" t="str">
        <f t="array" ref="G1318">IF(B1318="", "",
  LET(_xlpm.spell, IFERROR(IF(F1318="", "", INDEX(_xlws.FILTER(Hairstyles!$F:$F, ISNUMBER(SEARCH(F1318, Hairstyles!$B:$B))), 1)), "No Spell for Hairstyle"),
  _xlpm.vanillaPrefix, IF(LEFT(_xlpm.spell, 7)="Uvi_Wig", "", ";"),
  ";" &amp; IF(C1318="", B1318, C1318) &amp; IF(M1318="", "", " ("&amp;M1318&amp;")") &amp; CHAR(10) &amp;
  _xlpm.vanillaPrefix &amp; "Keyword = Uvi_Wig_Distr_KYWD|" &amp; B1318 &amp; CHAR(10) &amp;
  _xlpm.vanillaPrefix &amp; "Spell = " &amp; _xlpm.spell &amp; "|" &amp; B1318
  )
)</f>
        <v>;Romlyn Dreth
;Keyword = Uvi_Wig_Distr_KYWD|Romlyn
;Spell = No Spell for Hairstyle|Romlyn</v>
      </c>
    </row>
    <row r="1319" ht="12.75" customHeight="1">
      <c r="A1319" s="5" t="s">
        <v>4766</v>
      </c>
      <c r="B1319" s="5" t="s">
        <v>4767</v>
      </c>
      <c r="C1319" s="5" t="s">
        <v>4767</v>
      </c>
      <c r="D1319" s="5" t="s">
        <v>16</v>
      </c>
      <c r="E1319" s="5" t="s">
        <v>233</v>
      </c>
      <c r="F1319" s="5" t="s">
        <v>424</v>
      </c>
      <c r="G1319" s="14" t="str">
        <f t="array" ref="G1319">IF(B1319="", "",
  LET(_xlpm.spell, IFERROR(IF(F1319="", "", INDEX(_xlws.FILTER(Hairstyles!$F:$F, ISNUMBER(SEARCH(F1319, Hairstyles!$B:$B))), 1)), "No Spell for Hairstyle"),
  _xlpm.vanillaPrefix, IF(LEFT(_xlpm.spell, 7)="Uvi_Wig", "", ";"),
  ";" &amp; IF(C1319="", B1319, C1319) &amp; IF(M1319="", "", " ("&amp;M1319&amp;")") &amp; CHAR(10) &amp;
  _xlpm.vanillaPrefix &amp; "Keyword = Uvi_Wig_Distr_KYWD|" &amp; B1319 &amp; CHAR(10) &amp;
  _xlpm.vanillaPrefix &amp; "Spell = " &amp; _xlpm.spell &amp; "|" &amp; B1319
  )
)</f>
        <v>;Rondach
;Keyword = Uvi_Wig_Distr_KYWD|Rondach
;Spell = No Spell for Hairstyle|Rondach</v>
      </c>
    </row>
    <row r="1320" ht="12.75" customHeight="1">
      <c r="A1320" s="15" t="s">
        <v>4768</v>
      </c>
      <c r="B1320" s="5" t="s">
        <v>4769</v>
      </c>
      <c r="C1320" s="5" t="s">
        <v>4770</v>
      </c>
      <c r="D1320" s="5" t="s">
        <v>93</v>
      </c>
      <c r="E1320" s="5" t="s">
        <v>233</v>
      </c>
      <c r="F1320" s="5" t="s">
        <v>91</v>
      </c>
      <c r="G1320" s="14" t="str">
        <f t="array" ref="G1320">IF(B1320="", "",
  LET(_xlpm.spell, IFERROR(IF(F1320="", "", INDEX(_xlws.FILTER(Hairstyles!$F:$F, ISNUMBER(SEARCH(F1320, Hairstyles!$B:$B))), 1)), "No Spell for Hairstyle"),
  _xlpm.vanillaPrefix, IF(LEFT(_xlpm.spell, 7)="Uvi_Wig", "", ";"),
  ";" &amp; IF(C1320="", B1320, C1320) &amp; IF(M1320="", "", " ("&amp;M1320&amp;")") &amp; CHAR(10) &amp;
  _xlpm.vanillaPrefix &amp; "Keyword = Uvi_Wig_Distr_KYWD|" &amp; B1320 &amp; CHAR(10) &amp;
  _xlpm.vanillaPrefix &amp; "Spell = " &amp; _xlpm.spell &amp; "|" &amp; B1320
  )
)</f>
        <v>;Ronthil
;Keyword = Uvi_Wig_Distr_KYWD|DLC1Ronthil
;Spell = No Spell for Hairstyle|DLC1Ronthil</v>
      </c>
    </row>
    <row r="1321" ht="12.75" customHeight="1">
      <c r="A1321" s="5" t="s">
        <v>4771</v>
      </c>
      <c r="B1321" s="5" t="s">
        <v>4772</v>
      </c>
      <c r="C1321" s="5" t="s">
        <v>4772</v>
      </c>
      <c r="D1321" s="5" t="s">
        <v>38</v>
      </c>
      <c r="E1321" s="5" t="s">
        <v>233</v>
      </c>
      <c r="F1321" s="5" t="s">
        <v>218</v>
      </c>
      <c r="G1321" s="14" t="str">
        <f t="array" ref="G1321">IF(B1321="", "",
  LET(_xlpm.spell, IFERROR(IF(F1321="", "", INDEX(_xlws.FILTER(Hairstyles!$F:$F, ISNUMBER(SEARCH(F1321, Hairstyles!$B:$B))), 1)), "No Spell for Hairstyle"),
  _xlpm.vanillaPrefix, IF(LEFT(_xlpm.spell, 7)="Uvi_Wig", "", ";"),
  ";" &amp; IF(C1321="", B1321, C1321) &amp; IF(M1321="", "", " ("&amp;M1321&amp;")") &amp; CHAR(10) &amp;
  _xlpm.vanillaPrefix &amp; "Keyword = Uvi_Wig_Distr_KYWD|" &amp; B1321 &amp; CHAR(10) &amp;
  _xlpm.vanillaPrefix &amp; "Spell = " &amp; _xlpm.spell &amp; "|" &amp; B1321
  )
)</f>
        <v>;Rorik
;Keyword = Uvi_Wig_Distr_KYWD|Rorik
;Spell = No Spell for Hairstyle|Rorik</v>
      </c>
    </row>
    <row r="1322" ht="12.75" customHeight="1">
      <c r="A1322" s="5" t="s">
        <v>4773</v>
      </c>
      <c r="B1322" s="5" t="s">
        <v>4774</v>
      </c>
      <c r="C1322" s="5" t="s">
        <v>4774</v>
      </c>
      <c r="D1322" s="5" t="s">
        <v>38</v>
      </c>
      <c r="E1322" s="5" t="s">
        <v>233</v>
      </c>
      <c r="F1322" s="5" t="s">
        <v>1700</v>
      </c>
      <c r="G1322" s="14" t="str">
        <f t="array" ref="G1322">IF(B1322="", "",
  LET(_xlpm.spell, IFERROR(IF(F1322="", "", INDEX(_xlws.FILTER(Hairstyles!$F:$F, ISNUMBER(SEARCH(F1322, Hairstyles!$B:$B))), 1)), "No Spell for Hairstyle"),
  _xlpm.vanillaPrefix, IF(LEFT(_xlpm.spell, 7)="Uvi_Wig", "", ";"),
  ";" &amp; IF(C1322="", B1322, C1322) &amp; IF(M1322="", "", " ("&amp;M1322&amp;")") &amp; CHAR(10) &amp;
  _xlpm.vanillaPrefix &amp; "Keyword = Uvi_Wig_Distr_KYWD|" &amp; B1322 &amp; CHAR(10) &amp;
  _xlpm.vanillaPrefix &amp; "Spell = " &amp; _xlpm.spell &amp; "|" &amp; B1322
  )
)</f>
        <v>;Rorlund
;Keyword = Uvi_Wig_Distr_KYWD|Rorlund
;Spell = No Spell for Hairstyle|Rorlund</v>
      </c>
    </row>
    <row r="1323" ht="12.75" customHeight="1">
      <c r="A1323" s="15" t="s">
        <v>4775</v>
      </c>
      <c r="B1323" s="5" t="s">
        <v>4776</v>
      </c>
      <c r="C1323" s="5" t="s">
        <v>4777</v>
      </c>
      <c r="D1323" s="5" t="s">
        <v>38</v>
      </c>
      <c r="E1323" s="5" t="s">
        <v>41</v>
      </c>
      <c r="F1323" s="5" t="s">
        <v>42</v>
      </c>
      <c r="G1323" s="14" t="str">
        <f t="array" ref="G1323">IF(B1323="", "",
  LET(_xlpm.spell, IFERROR(IF(F1323="", "", INDEX(_xlws.FILTER(Hairstyles!$F:$F, ISNUMBER(SEARCH(F1323, Hairstyles!$B:$B))), 1)), "No Spell for Hairstyle"),
  _xlpm.vanillaPrefix, IF(LEFT(_xlpm.spell, 7)="Uvi_Wig", "", ";"),
  ";" &amp; IF(C1323="", B1323, C1323) &amp; IF(M1323="", "", " ("&amp;M1323&amp;")") &amp; CHAR(10) &amp;
  _xlpm.vanillaPrefix &amp; "Keyword = Uvi_Wig_Distr_KYWD|" &amp; B1323 &amp; CHAR(10) &amp;
  _xlpm.vanillaPrefix &amp; "Spell = " &amp; _xlpm.spell &amp; "|" &amp; B1323
  )
)</f>
        <v>;Ruki
;Keyword = Uvi_Wig_Distr_KYWD|T02Ruki
;Spell = No Spell for Hairstyle|T02Ruki</v>
      </c>
    </row>
    <row r="1324" ht="12.75" customHeight="1">
      <c r="A1324" s="5" t="s">
        <v>4778</v>
      </c>
      <c r="B1324" s="5" t="s">
        <v>4779</v>
      </c>
      <c r="C1324" s="5" t="s">
        <v>4779</v>
      </c>
      <c r="D1324" s="5" t="s">
        <v>57</v>
      </c>
      <c r="E1324" s="5" t="s">
        <v>233</v>
      </c>
      <c r="F1324" s="5" t="s">
        <v>534</v>
      </c>
      <c r="G1324" s="14" t="str">
        <f t="array" ref="G1324">IF(B1324="", "",
  LET(_xlpm.spell, IFERROR(IF(F1324="", "", INDEX(_xlws.FILTER(Hairstyles!$F:$F, ISNUMBER(SEARCH(F1324, Hairstyles!$B:$B))), 1)), "No Spell for Hairstyle"),
  _xlpm.vanillaPrefix, IF(LEFT(_xlpm.spell, 7)="Uvi_Wig", "", ";"),
  ";" &amp; IF(C1324="", B1324, C1324) &amp; IF(M1324="", "", " ("&amp;M1324&amp;")") &amp; CHAR(10) &amp;
  _xlpm.vanillaPrefix &amp; "Keyword = Uvi_Wig_Distr_KYWD|" &amp; B1324 &amp; CHAR(10) &amp;
  _xlpm.vanillaPrefix &amp; "Spell = " &amp; _xlpm.spell &amp; "|" &amp; B1324
  )
)</f>
        <v>;Rulindil
;Keyword = Uvi_Wig_Distr_KYWD|Rulindil
;Spell = No Spell for Hairstyle|Rulindil</v>
      </c>
    </row>
    <row r="1325" ht="12.75" customHeight="1">
      <c r="A1325" s="15" t="s">
        <v>4780</v>
      </c>
      <c r="B1325" s="5" t="s">
        <v>4781</v>
      </c>
      <c r="C1325" s="5" t="s">
        <v>4782</v>
      </c>
      <c r="D1325" s="5" t="s">
        <v>74</v>
      </c>
      <c r="E1325" s="5" t="s">
        <v>41</v>
      </c>
      <c r="F1325" s="5" t="s">
        <v>62</v>
      </c>
      <c r="G1325" s="14" t="str">
        <f t="array" ref="G1325">IF(B1325="", "",
  LET(_xlpm.spell, IFERROR(IF(F1325="", "", INDEX(_xlws.FILTER(Hairstyles!$F:$F, ISNUMBER(SEARCH(F1325, Hairstyles!$B:$B))), 1)), "No Spell for Hairstyle"),
  _xlpm.vanillaPrefix, IF(LEFT(_xlpm.spell, 7)="Uvi_Wig", "", ";"),
  ";" &amp; IF(C1325="", B1325, C1325) &amp; IF(M1325="", "", " ("&amp;M1325&amp;")") &amp; CHAR(10) &amp;
  _xlpm.vanillaPrefix &amp; "Keyword = Uvi_Wig_Distr_KYWD|" &amp; B1325 &amp; CHAR(10) &amp;
  _xlpm.vanillaPrefix &amp; "Spell = " &amp; _xlpm.spell &amp; "|" &amp; B1325
  )
)</f>
        <v>;Runa Fair-Shield
;Keyword = Uvi_Wig_Distr_KYWD|Runa
;Spell = No Spell for Hairstyle|Runa</v>
      </c>
    </row>
    <row r="1326" ht="12.75" customHeight="1">
      <c r="A1326" s="5" t="s">
        <v>4783</v>
      </c>
      <c r="B1326" s="5" t="s">
        <v>4784</v>
      </c>
      <c r="C1326" s="5" t="s">
        <v>4785</v>
      </c>
      <c r="D1326" s="5" t="s">
        <v>38</v>
      </c>
      <c r="E1326" s="5" t="s">
        <v>233</v>
      </c>
      <c r="F1326" s="5" t="s">
        <v>990</v>
      </c>
      <c r="G1326" s="14" t="str">
        <f t="array" ref="G1326">IF(B1326="", "",
  LET(_xlpm.spell, IFERROR(IF(F1326="", "", INDEX(_xlws.FILTER(Hairstyles!$F:$F, ISNUMBER(SEARCH(F1326, Hairstyles!$B:$B))), 1)), "No Spell for Hairstyle"),
  _xlpm.vanillaPrefix, IF(LEFT(_xlpm.spell, 7)="Uvi_Wig", "", ";"),
  ";" &amp; IF(C1326="", B1326, C1326) &amp; IF(M1326="", "", " ("&amp;M1326&amp;")") &amp; CHAR(10) &amp;
  _xlpm.vanillaPrefix &amp; "Keyword = Uvi_Wig_Distr_KYWD|" &amp; B1326 &amp; CHAR(10) &amp;
  _xlpm.vanillaPrefix &amp; "Spell = " &amp; _xlpm.spell &amp; "|" &amp; B1326
  )
)</f>
        <v>;Rundi
;Keyword = Uvi_Wig_Distr_KYWD|POIMageRundi
;Spell = No Spell for Hairstyle|POIMageRundi</v>
      </c>
    </row>
    <row r="1327" ht="12.75" customHeight="1">
      <c r="A1327" s="5" t="s">
        <v>4786</v>
      </c>
      <c r="B1327" s="5" t="s">
        <v>4787</v>
      </c>
      <c r="C1327" s="5" t="s">
        <v>4787</v>
      </c>
      <c r="D1327" s="5" t="s">
        <v>59</v>
      </c>
      <c r="E1327" s="5" t="s">
        <v>233</v>
      </c>
      <c r="F1327" s="5" t="s">
        <v>40</v>
      </c>
      <c r="G1327" s="14" t="str">
        <f t="array" ref="G1327">IF(B1327="", "",
  LET(_xlpm.spell, IFERROR(IF(F1327="", "", INDEX(_xlws.FILTER(Hairstyles!$F:$F, ISNUMBER(SEARCH(F1327, Hairstyles!$B:$B))), 1)), "No Spell for Hairstyle"),
  _xlpm.vanillaPrefix, IF(LEFT(_xlpm.spell, 7)="Uvi_Wig", "", ";"),
  ";" &amp; IF(C1327="", B1327, C1327) &amp; IF(M1327="", "", " ("&amp;M1327&amp;")") &amp; CHAR(10) &amp;
  _xlpm.vanillaPrefix &amp; "Keyword = Uvi_Wig_Distr_KYWD|" &amp; B1327 &amp; CHAR(10) &amp;
  _xlpm.vanillaPrefix &amp; "Spell = " &amp; _xlpm.spell &amp; "|" &amp; B1327
  )
)</f>
        <v>;Rune
;Keyword = Uvi_Wig_Distr_KYWD|Rune
;Spell = No Spell for Hairstyle|Rune</v>
      </c>
    </row>
    <row r="1328" ht="12.75" customHeight="1">
      <c r="A1328" s="5" t="s">
        <v>4788</v>
      </c>
      <c r="B1328" s="5" t="s">
        <v>4789</v>
      </c>
      <c r="C1328" s="5" t="s">
        <v>4789</v>
      </c>
      <c r="D1328" s="5" t="s">
        <v>57</v>
      </c>
      <c r="E1328" s="5" t="s">
        <v>233</v>
      </c>
      <c r="F1328" s="5" t="s">
        <v>47</v>
      </c>
      <c r="G1328" s="14" t="str">
        <f t="array" ref="G1328">IF(B1328="", "",
  LET(_xlpm.spell, IFERROR(IF(F1328="", "", INDEX(_xlws.FILTER(Hairstyles!$F:$F, ISNUMBER(SEARCH(F1328, Hairstyles!$B:$B))), 1)), "No Spell for Hairstyle"),
  _xlpm.vanillaPrefix, IF(LEFT(_xlpm.spell, 7)="Uvi_Wig", "", ";"),
  ";" &amp; IF(C1328="", B1328, C1328) &amp; IF(M1328="", "", " ("&amp;M1328&amp;")") &amp; CHAR(10) &amp;
  _xlpm.vanillaPrefix &amp; "Keyword = Uvi_Wig_Distr_KYWD|" &amp; B1328 &amp; CHAR(10) &amp;
  _xlpm.vanillaPrefix &amp; "Spell = " &amp; _xlpm.spell &amp; "|" &amp; B1328
  )
)</f>
        <v>;Runil
;Keyword = Uvi_Wig_Distr_KYWD|Runil
;Spell = No Spell for Hairstyle|Runil</v>
      </c>
    </row>
    <row r="1329" ht="12.75" customHeight="1">
      <c r="A1329" s="5" t="s">
        <v>4790</v>
      </c>
      <c r="B1329" s="5" t="s">
        <v>4791</v>
      </c>
      <c r="C1329" s="5" t="s">
        <v>4791</v>
      </c>
      <c r="D1329" s="5" t="s">
        <v>38</v>
      </c>
      <c r="E1329" s="5" t="s">
        <v>233</v>
      </c>
      <c r="F1329" s="5" t="s">
        <v>40</v>
      </c>
      <c r="G1329" s="14" t="str">
        <f t="array" ref="G1329">IF(B1329="", "",
  LET(_xlpm.spell, IFERROR(IF(F1329="", "", INDEX(_xlws.FILTER(Hairstyles!$F:$F, ISNUMBER(SEARCH(F1329, Hairstyles!$B:$B))), 1)), "No Spell for Hairstyle"),
  _xlpm.vanillaPrefix, IF(LEFT(_xlpm.spell, 7)="Uvi_Wig", "", ";"),
  ";" &amp; IF(C1329="", B1329, C1329) &amp; IF(M1329="", "", " ("&amp;M1329&amp;")") &amp; CHAR(10) &amp;
  _xlpm.vanillaPrefix &amp; "Keyword = Uvi_Wig_Distr_KYWD|" &amp; B1329 &amp; CHAR(10) &amp;
  _xlpm.vanillaPrefix &amp; "Spell = " &amp; _xlpm.spell &amp; "|" &amp; B1329
  )
)</f>
        <v>;Rustleif
;Keyword = Uvi_Wig_Distr_KYWD|Rustleif
;Spell = No Spell for Hairstyle|Rustleif</v>
      </c>
    </row>
    <row r="1330" ht="12.75" customHeight="1">
      <c r="A1330" s="5" t="s">
        <v>4792</v>
      </c>
      <c r="B1330" s="5" t="s">
        <v>4793</v>
      </c>
      <c r="C1330" s="5" t="s">
        <v>4793</v>
      </c>
      <c r="D1330" s="5" t="s">
        <v>83</v>
      </c>
      <c r="E1330" s="5" t="s">
        <v>41</v>
      </c>
      <c r="F1330" s="5" t="s">
        <v>281</v>
      </c>
      <c r="G1330" s="14" t="str">
        <f t="array" ref="G1330">IF(B1330="", "",
  LET(_xlpm.spell, IFERROR(IF(F1330="", "", INDEX(_xlws.FILTER(Hairstyles!$F:$F, ISNUMBER(SEARCH(F1330, Hairstyles!$B:$B))), 1)), "No Spell for Hairstyle"),
  _xlpm.vanillaPrefix, IF(LEFT(_xlpm.spell, 7)="Uvi_Wig", "", ";"),
  ";" &amp; IF(C1330="", B1330, C1330) &amp; IF(M1330="", "", " ("&amp;M1330&amp;")") &amp; CHAR(10) &amp;
  _xlpm.vanillaPrefix &amp; "Keyword = Uvi_Wig_Distr_KYWD|" &amp; B1330 &amp; CHAR(10) &amp;
  _xlpm.vanillaPrefix &amp; "Spell = " &amp; _xlpm.spell &amp; "|" &amp; B1330
  )
)</f>
        <v>;Saadia
;Keyword = Uvi_Wig_Distr_KYWD|Saadia
;Spell = No Spell for Hairstyle|Saadia</v>
      </c>
    </row>
    <row r="1331" ht="12.75" customHeight="1">
      <c r="A1331" s="15" t="s">
        <v>4794</v>
      </c>
      <c r="B1331" s="5" t="s">
        <v>4795</v>
      </c>
      <c r="C1331" s="5" t="s">
        <v>4796</v>
      </c>
      <c r="D1331" s="5" t="s">
        <v>90</v>
      </c>
      <c r="E1331" s="5" t="s">
        <v>233</v>
      </c>
      <c r="F1331" s="5" t="s">
        <v>91</v>
      </c>
      <c r="G1331" s="14" t="str">
        <f t="array" ref="G1331">IF(B1331="", "",
  LET(_xlpm.spell, IFERROR(IF(F1331="", "", INDEX(_xlws.FILTER(Hairstyles!$F:$F, ISNUMBER(SEARCH(F1331, Hairstyles!$B:$B))), 1)), "No Spell for Hairstyle"),
  _xlpm.vanillaPrefix, IF(LEFT(_xlpm.spell, 7)="Uvi_Wig", "", ";"),
  ";" &amp; IF(C1331="", B1331, C1331) &amp; IF(M1331="", "", " ("&amp;M1331&amp;")") &amp; CHAR(10) &amp;
  _xlpm.vanillaPrefix &amp; "Keyword = Uvi_Wig_Distr_KYWD|" &amp; B1331 &amp; CHAR(10) &amp;
  _xlpm.vanillaPrefix &amp; "Spell = " &amp; _xlpm.spell &amp; "|" &amp; B1331
  )
)</f>
        <v>;Saarthal Miner
;Keyword = Uvi_Wig_Distr_KYWD|MG02Miner01
;Spell = No Spell for Hairstyle|MG02Miner01</v>
      </c>
    </row>
    <row r="1332" ht="12.75" customHeight="1">
      <c r="A1332" s="15" t="s">
        <v>4797</v>
      </c>
      <c r="B1332" s="5" t="s">
        <v>4798</v>
      </c>
      <c r="C1332" s="5" t="s">
        <v>4796</v>
      </c>
      <c r="D1332" s="5" t="s">
        <v>90</v>
      </c>
      <c r="E1332" s="5" t="s">
        <v>233</v>
      </c>
      <c r="F1332" s="5" t="s">
        <v>91</v>
      </c>
      <c r="G1332" s="14" t="str">
        <f t="array" ref="G1332">IF(B1332="", "",
  LET(_xlpm.spell, IFERROR(IF(F1332="", "", INDEX(_xlws.FILTER(Hairstyles!$F:$F, ISNUMBER(SEARCH(F1332, Hairstyles!$B:$B))), 1)), "No Spell for Hairstyle"),
  _xlpm.vanillaPrefix, IF(LEFT(_xlpm.spell, 7)="Uvi_Wig", "", ";"),
  ";" &amp; IF(C1332="", B1332, C1332) &amp; IF(M1332="", "", " ("&amp;M1332&amp;")") &amp; CHAR(10) &amp;
  _xlpm.vanillaPrefix &amp; "Keyword = Uvi_Wig_Distr_KYWD|" &amp; B1332 &amp; CHAR(10) &amp;
  _xlpm.vanillaPrefix &amp; "Spell = " &amp; _xlpm.spell &amp; "|" &amp; B1332
  )
)</f>
        <v>;Saarthal Miner
;Keyword = Uvi_Wig_Distr_KYWD|MG02Miner02
;Spell = No Spell for Hairstyle|MG02Miner02</v>
      </c>
    </row>
    <row r="1333" ht="12.75" customHeight="1">
      <c r="A1333" s="15" t="s">
        <v>4799</v>
      </c>
      <c r="B1333" s="5" t="s">
        <v>4800</v>
      </c>
      <c r="C1333" s="5" t="s">
        <v>4796</v>
      </c>
      <c r="D1333" s="5" t="s">
        <v>90</v>
      </c>
      <c r="E1333" s="5" t="s">
        <v>233</v>
      </c>
      <c r="F1333" s="5" t="s">
        <v>91</v>
      </c>
      <c r="G1333" s="14" t="str">
        <f t="array" ref="G1333">IF(B1333="", "",
  LET(_xlpm.spell, IFERROR(IF(F1333="", "", INDEX(_xlws.FILTER(Hairstyles!$F:$F, ISNUMBER(SEARCH(F1333, Hairstyles!$B:$B))), 1)), "No Spell for Hairstyle"),
  _xlpm.vanillaPrefix, IF(LEFT(_xlpm.spell, 7)="Uvi_Wig", "", ";"),
  ";" &amp; IF(C1333="", B1333, C1333) &amp; IF(M1333="", "", " ("&amp;M1333&amp;")") &amp; CHAR(10) &amp;
  _xlpm.vanillaPrefix &amp; "Keyword = Uvi_Wig_Distr_KYWD|" &amp; B1333 &amp; CHAR(10) &amp;
  _xlpm.vanillaPrefix &amp; "Spell = " &amp; _xlpm.spell &amp; "|" &amp; B1333
  )
)</f>
        <v>;Saarthal Miner
;Keyword = Uvi_Wig_Distr_KYWD|MG02Miner03
;Spell = No Spell for Hairstyle|MG02Miner03</v>
      </c>
    </row>
    <row r="1334" ht="12.75" customHeight="1">
      <c r="A1334" s="15" t="s">
        <v>4801</v>
      </c>
      <c r="B1334" s="5" t="s">
        <v>4802</v>
      </c>
      <c r="C1334" s="5" t="s">
        <v>4796</v>
      </c>
      <c r="D1334" s="5" t="s">
        <v>45</v>
      </c>
      <c r="E1334" s="5" t="s">
        <v>233</v>
      </c>
      <c r="F1334" s="5" t="s">
        <v>47</v>
      </c>
      <c r="G1334" s="14" t="str">
        <f t="array" ref="G1334">IF(B1334="", "",
  LET(_xlpm.spell, IFERROR(IF(F1334="", "", INDEX(_xlws.FILTER(Hairstyles!$F:$F, ISNUMBER(SEARCH(F1334, Hairstyles!$B:$B))), 1)), "No Spell for Hairstyle"),
  _xlpm.vanillaPrefix, IF(LEFT(_xlpm.spell, 7)="Uvi_Wig", "", ";"),
  ";" &amp; IF(C1334="", B1334, C1334) &amp; IF(M1334="", "", " ("&amp;M1334&amp;")") &amp; CHAR(10) &amp;
  _xlpm.vanillaPrefix &amp; "Keyword = Uvi_Wig_Distr_KYWD|" &amp; B1334 &amp; CHAR(10) &amp;
  _xlpm.vanillaPrefix &amp; "Spell = " &amp; _xlpm.spell &amp; "|" &amp; B1334
  )
)</f>
        <v>;Saarthal Miner
;Keyword = Uvi_Wig_Distr_KYWD|MG02Miner04
;Spell = No Spell for Hairstyle|MG02Miner04</v>
      </c>
    </row>
    <row r="1335" ht="12.75" customHeight="1">
      <c r="A1335" s="15" t="s">
        <v>4803</v>
      </c>
      <c r="B1335" s="5" t="s">
        <v>4804</v>
      </c>
      <c r="C1335" s="5" t="s">
        <v>4796</v>
      </c>
      <c r="D1335" s="5" t="s">
        <v>45</v>
      </c>
      <c r="E1335" s="5" t="s">
        <v>233</v>
      </c>
      <c r="F1335" s="5" t="s">
        <v>47</v>
      </c>
      <c r="G1335" s="14" t="str">
        <f t="array" ref="G1335">IF(B1335="", "",
  LET(_xlpm.spell, IFERROR(IF(F1335="", "", INDEX(_xlws.FILTER(Hairstyles!$F:$F, ISNUMBER(SEARCH(F1335, Hairstyles!$B:$B))), 1)), "No Spell for Hairstyle"),
  _xlpm.vanillaPrefix, IF(LEFT(_xlpm.spell, 7)="Uvi_Wig", "", ";"),
  ";" &amp; IF(C1335="", B1335, C1335) &amp; IF(M1335="", "", " ("&amp;M1335&amp;")") &amp; CHAR(10) &amp;
  _xlpm.vanillaPrefix &amp; "Keyword = Uvi_Wig_Distr_KYWD|" &amp; B1335 &amp; CHAR(10) &amp;
  _xlpm.vanillaPrefix &amp; "Spell = " &amp; _xlpm.spell &amp; "|" &amp; B1335
  )
)</f>
        <v>;Saarthal Miner
;Keyword = Uvi_Wig_Distr_KYWD|MG02Miner05
;Spell = No Spell for Hairstyle|MG02Miner05</v>
      </c>
    </row>
    <row r="1336" ht="12.75" customHeight="1">
      <c r="A1336" s="15" t="s">
        <v>4805</v>
      </c>
      <c r="B1336" s="5" t="s">
        <v>4806</v>
      </c>
      <c r="C1336" s="5" t="s">
        <v>4796</v>
      </c>
      <c r="D1336" s="5" t="s">
        <v>45</v>
      </c>
      <c r="E1336" s="5" t="s">
        <v>233</v>
      </c>
      <c r="F1336" s="5" t="s">
        <v>47</v>
      </c>
      <c r="G1336" s="14" t="str">
        <f t="array" ref="G1336">IF(B1336="", "",
  LET(_xlpm.spell, IFERROR(IF(F1336="", "", INDEX(_xlws.FILTER(Hairstyles!$F:$F, ISNUMBER(SEARCH(F1336, Hairstyles!$B:$B))), 1)), "No Spell for Hairstyle"),
  _xlpm.vanillaPrefix, IF(LEFT(_xlpm.spell, 7)="Uvi_Wig", "", ";"),
  ";" &amp; IF(C1336="", B1336, C1336) &amp; IF(M1336="", "", " ("&amp;M1336&amp;")") &amp; CHAR(10) &amp;
  _xlpm.vanillaPrefix &amp; "Keyword = Uvi_Wig_Distr_KYWD|" &amp; B1336 &amp; CHAR(10) &amp;
  _xlpm.vanillaPrefix &amp; "Spell = " &amp; _xlpm.spell &amp; "|" &amp; B1336
  )
)</f>
        <v>;Saarthal Miner
;Keyword = Uvi_Wig_Distr_KYWD|MG02Miner06
;Spell = No Spell for Hairstyle|MG02Miner06</v>
      </c>
    </row>
    <row r="1337" ht="12.75" customHeight="1">
      <c r="A1337" s="5" t="s">
        <v>4807</v>
      </c>
      <c r="B1337" s="5" t="s">
        <v>4808</v>
      </c>
      <c r="C1337" s="5" t="s">
        <v>4809</v>
      </c>
      <c r="D1337" s="5" t="s">
        <v>16</v>
      </c>
      <c r="E1337" s="5" t="s">
        <v>41</v>
      </c>
      <c r="F1337" s="5" t="s">
        <v>1759</v>
      </c>
      <c r="G1337" s="14" t="str">
        <f t="array" ref="G1337">IF(B1337="", "",
  LET(_xlpm.spell, IFERROR(IF(F1337="", "", INDEX(_xlws.FILTER(Hairstyles!$F:$F, ISNUMBER(SEARCH(F1337, Hairstyles!$B:$B))), 1)), "No Spell for Hairstyle"),
  _xlpm.vanillaPrefix, IF(LEFT(_xlpm.spell, 7)="Uvi_Wig", "", ";"),
  ";" &amp; IF(C1337="", B1337, C1337) &amp; IF(M1337="", "", " ("&amp;M1337&amp;")") &amp; CHAR(10) &amp;
  _xlpm.vanillaPrefix &amp; "Keyword = Uvi_Wig_Distr_KYWD|" &amp; B1337 &amp; CHAR(10) &amp;
  _xlpm.vanillaPrefix &amp; "Spell = " &amp; _xlpm.spell &amp; "|" &amp; B1337
  )
)</f>
        <v>;Sabine Nytte
;Keyword = Uvi_Wig_Distr_KYWD|SabineNytte
;Spell = No Spell for Hairstyle|SabineNytte</v>
      </c>
    </row>
    <row r="1338" ht="12.75" customHeight="1">
      <c r="A1338" s="5" t="s">
        <v>4810</v>
      </c>
      <c r="B1338" s="5" t="s">
        <v>4811</v>
      </c>
      <c r="C1338" s="5" t="s">
        <v>4811</v>
      </c>
      <c r="D1338" s="5" t="s">
        <v>38</v>
      </c>
      <c r="E1338" s="5" t="s">
        <v>233</v>
      </c>
      <c r="F1338" s="5" t="s">
        <v>218</v>
      </c>
      <c r="G1338" s="14" t="str">
        <f t="array" ref="G1338">IF(B1338="", "",
  LET(_xlpm.spell, IFERROR(IF(F1338="", "", INDEX(_xlws.FILTER(Hairstyles!$F:$F, ISNUMBER(SEARCH(F1338, Hairstyles!$B:$B))), 1)), "No Spell for Hairstyle"),
  _xlpm.vanillaPrefix, IF(LEFT(_xlpm.spell, 7)="Uvi_Wig", "", ";"),
  ";" &amp; IF(C1338="", B1338, C1338) &amp; IF(M1338="", "", " ("&amp;M1338&amp;")") &amp; CHAR(10) &amp;
  _xlpm.vanillaPrefix &amp; "Keyword = Uvi_Wig_Distr_KYWD|" &amp; B1338 &amp; CHAR(10) &amp;
  _xlpm.vanillaPrefix &amp; "Spell = " &amp; _xlpm.spell &amp; "|" &amp; B1338
  )
)</f>
        <v>;Sabjorn
;Keyword = Uvi_Wig_Distr_KYWD|Sabjorn
;Spell = No Spell for Hairstyle|Sabjorn</v>
      </c>
    </row>
    <row r="1339" ht="12.75" customHeight="1">
      <c r="A1339" s="5" t="s">
        <v>4812</v>
      </c>
      <c r="B1339" s="5" t="s">
        <v>4813</v>
      </c>
      <c r="C1339" s="5" t="s">
        <v>4814</v>
      </c>
      <c r="D1339" s="5" t="s">
        <v>16</v>
      </c>
      <c r="E1339" s="5" t="s">
        <v>41</v>
      </c>
      <c r="F1339" s="5" t="s">
        <v>42</v>
      </c>
      <c r="G1339" s="14" t="str">
        <f t="array" ref="G1339">IF(B1339="", "",
  LET(_xlpm.spell, IFERROR(IF(F1339="", "", INDEX(_xlws.FILTER(Hairstyles!$F:$F, ISNUMBER(SEARCH(F1339, Hairstyles!$B:$B))), 1)), "No Spell for Hairstyle"),
  _xlpm.vanillaPrefix, IF(LEFT(_xlpm.spell, 7)="Uvi_Wig", "", ";"),
  ";" &amp; IF(C1339="", B1339, C1339) &amp; IF(M1339="", "", " ("&amp;M1339&amp;")") &amp; CHAR(10) &amp;
  _xlpm.vanillaPrefix &amp; "Keyword = Uvi_Wig_Distr_KYWD|" &amp; B1339 &amp; CHAR(10) &amp;
  _xlpm.vanillaPrefix &amp; "Spell = " &amp; _xlpm.spell &amp; "|" &amp; B1339
  )
)</f>
        <v>;Sacrifice
;Keyword = Uvi_Wig_Distr_KYWD|DLC2dunAltarOfThrondTreasCorpse
;Spell = No Spell for Hairstyle|DLC2dunAltarOfThrondTreasCorpse</v>
      </c>
    </row>
    <row r="1340" ht="12.75" customHeight="1">
      <c r="A1340" s="5" t="s">
        <v>4815</v>
      </c>
      <c r="B1340" s="5" t="s">
        <v>4816</v>
      </c>
      <c r="C1340" s="5" t="s">
        <v>4817</v>
      </c>
      <c r="D1340" s="5" t="s">
        <v>45</v>
      </c>
      <c r="E1340" s="5" t="s">
        <v>233</v>
      </c>
      <c r="F1340" s="5" t="s">
        <v>47</v>
      </c>
      <c r="G1340" s="14" t="str">
        <f t="array" ref="G1340">IF(B1340="", "",
  LET(_xlpm.spell, IFERROR(IF(F1340="", "", INDEX(_xlws.FILTER(Hairstyles!$F:$F, ISNUMBER(SEARCH(F1340, Hairstyles!$B:$B))), 1)), "No Spell for Hairstyle"),
  _xlpm.vanillaPrefix, IF(LEFT(_xlpm.spell, 7)="Uvi_Wig", "", ";"),
  ";" &amp; IF(C1340="", B1340, C1340) &amp; IF(M1340="", "", " ("&amp;M1340&amp;")") &amp; CHAR(10) &amp;
  _xlpm.vanillaPrefix &amp; "Keyword = Uvi_Wig_Distr_KYWD|" &amp; B1340 &amp; CHAR(10) &amp;
  _xlpm.vanillaPrefix &amp; "Spell = " &amp; _xlpm.spell &amp; "|" &amp; B1340
  )
)</f>
        <v>;Saden
;Keyword = Uvi_Wig_Distr_KYWD|DLC2dunHorkerIslandTreasCorpseBanditDarkElfMale
;Spell = No Spell for Hairstyle|DLC2dunHorkerIslandTreasCorpseBanditDarkElfMale</v>
      </c>
    </row>
    <row r="1341" ht="12.75" customHeight="1">
      <c r="A1341" s="15" t="s">
        <v>4818</v>
      </c>
      <c r="B1341" s="5" t="s">
        <v>4819</v>
      </c>
      <c r="C1341" s="5" t="s">
        <v>4819</v>
      </c>
      <c r="D1341" s="5" t="s">
        <v>38</v>
      </c>
      <c r="E1341" s="5" t="s">
        <v>233</v>
      </c>
      <c r="F1341" s="5" t="s">
        <v>19</v>
      </c>
      <c r="G1341" s="14" t="str">
        <f t="array" ref="G1341">IF(B1341="", "",
  LET(_xlpm.spell, IFERROR(IF(F1341="", "", INDEX(_xlws.FILTER(Hairstyles!$F:$F, ISNUMBER(SEARCH(F1341, Hairstyles!$B:$B))), 1)), "No Spell for Hairstyle"),
  _xlpm.vanillaPrefix, IF(LEFT(_xlpm.spell, 7)="Uvi_Wig", "", ";"),
  ";" &amp; IF(C1341="", B1341, C1341) &amp; IF(M1341="", "", " ("&amp;M1341&amp;")") &amp; CHAR(10) &amp;
  _xlpm.vanillaPrefix &amp; "Keyword = Uvi_Wig_Distr_KYWD|" &amp; B1341 &amp; CHAR(10) &amp;
  _xlpm.vanillaPrefix &amp; "Spell = " &amp; _xlpm.spell &amp; "|" &amp; B1341
  )
)</f>
        <v>;Saerlund
;Keyword = Uvi_Wig_Distr_KYWD|Saerlund
;Spell = No Spell for Hairstyle|Saerlund</v>
      </c>
    </row>
    <row r="1342" ht="12.75" customHeight="1">
      <c r="A1342" s="5" t="s">
        <v>4820</v>
      </c>
      <c r="B1342" s="5" t="s">
        <v>4821</v>
      </c>
      <c r="C1342" s="5" t="s">
        <v>4821</v>
      </c>
      <c r="D1342" s="5" t="s">
        <v>83</v>
      </c>
      <c r="E1342" s="5" t="s">
        <v>41</v>
      </c>
      <c r="F1342" s="5" t="s">
        <v>85</v>
      </c>
      <c r="G1342" s="14" t="str">
        <f t="array" ref="G1342">IF(B1342="", "",
  LET(_xlpm.spell, IFERROR(IF(F1342="", "", INDEX(_xlws.FILTER(Hairstyles!$F:$F, ISNUMBER(SEARCH(F1342, Hairstyles!$B:$B))), 1)), "No Spell for Hairstyle"),
  _xlpm.vanillaPrefix, IF(LEFT(_xlpm.spell, 7)="Uvi_Wig", "", ";"),
  ";" &amp; IF(C1342="", B1342, C1342) &amp; IF(M1342="", "", " ("&amp;M1342&amp;")") &amp; CHAR(10) &amp;
  _xlpm.vanillaPrefix &amp; "Keyword = Uvi_Wig_Distr_KYWD|" &amp; B1342 &amp; CHAR(10) &amp;
  _xlpm.vanillaPrefix &amp; "Spell = " &amp; _xlpm.spell &amp; "|" &amp; B1342
  )
)</f>
        <v>;Saffir
;Keyword = Uvi_Wig_Distr_KYWD|Saffir
;Spell = No Spell for Hairstyle|Saffir</v>
      </c>
    </row>
    <row r="1343" ht="12.75" customHeight="1">
      <c r="A1343" s="15" t="s">
        <v>4822</v>
      </c>
      <c r="B1343" s="5" t="s">
        <v>4823</v>
      </c>
      <c r="C1343" s="5" t="s">
        <v>4823</v>
      </c>
      <c r="D1343" s="5" t="s">
        <v>59</v>
      </c>
      <c r="E1343" s="5" t="s">
        <v>41</v>
      </c>
      <c r="F1343" s="5" t="s">
        <v>1759</v>
      </c>
      <c r="G1343" s="14" t="str">
        <f t="array" ref="G1343">IF(B1343="", "",
  LET(_xlpm.spell, IFERROR(IF(F1343="", "", INDEX(_xlws.FILTER(Hairstyles!$F:$F, ISNUMBER(SEARCH(F1343, Hairstyles!$B:$B))), 1)), "No Spell for Hairstyle"),
  _xlpm.vanillaPrefix, IF(LEFT(_xlpm.spell, 7)="Uvi_Wig", "", ";"),
  ";" &amp; IF(C1343="", B1343, C1343) &amp; IF(M1343="", "", " ("&amp;M1343&amp;")") &amp; CHAR(10) &amp;
  _xlpm.vanillaPrefix &amp; "Keyword = Uvi_Wig_Distr_KYWD|" &amp; B1343 &amp; CHAR(10) &amp;
  _xlpm.vanillaPrefix &amp; "Spell = " &amp; _xlpm.spell &amp; "|" &amp; B1343
  )
)</f>
        <v>;Safia
;Keyword = Uvi_Wig_Distr_KYWD|Safia
;Spell = No Spell for Hairstyle|Safia</v>
      </c>
    </row>
    <row r="1344" ht="12.75" customHeight="1">
      <c r="A1344" s="5" t="s">
        <v>4824</v>
      </c>
      <c r="B1344" s="5" t="s">
        <v>4825</v>
      </c>
      <c r="C1344" s="5" t="s">
        <v>4826</v>
      </c>
      <c r="D1344" s="5" t="s">
        <v>38</v>
      </c>
      <c r="E1344" s="5" t="s">
        <v>233</v>
      </c>
      <c r="F1344" s="5" t="s">
        <v>209</v>
      </c>
      <c r="G1344" s="14" t="str">
        <f t="array" ref="G1344">IF(B1344="", "",
  LET(_xlpm.spell, IFERROR(IF(F1344="", "", INDEX(_xlws.FILTER(Hairstyles!$F:$F, ISNUMBER(SEARCH(F1344, Hairstyles!$B:$B))), 1)), "No Spell for Hairstyle"),
  _xlpm.vanillaPrefix, IF(LEFT(_xlpm.spell, 7)="Uvi_Wig", "", ";"),
  ";" &amp; IF(C1344="", B1344, C1344) &amp; IF(M1344="", "", " ("&amp;M1344&amp;")") &amp; CHAR(10) &amp;
  _xlpm.vanillaPrefix &amp; "Keyword = Uvi_Wig_Distr_KYWD|" &amp; B1344 &amp; CHAR(10) &amp;
  _xlpm.vanillaPrefix &amp; "Spell = " &amp; _xlpm.spell &amp; "|" &amp; B1344
  )
)</f>
        <v>;Sailor
;Keyword = Uvi_Wig_Distr_KYWD|EncSailor00Template
;Spell = No Spell for Hairstyle|EncSailor00Template</v>
      </c>
    </row>
    <row r="1345" ht="12.75" customHeight="1">
      <c r="A1345" s="5" t="s">
        <v>4827</v>
      </c>
      <c r="B1345" s="5" t="s">
        <v>4828</v>
      </c>
      <c r="C1345" s="5" t="s">
        <v>4829</v>
      </c>
      <c r="D1345" s="5" t="s">
        <v>83</v>
      </c>
      <c r="E1345" s="5" t="s">
        <v>41</v>
      </c>
      <c r="F1345" s="5" t="s">
        <v>85</v>
      </c>
      <c r="G1345" s="14" t="str">
        <f t="array" ref="G1345">IF(B1345="", "",
  LET(_xlpm.spell, IFERROR(IF(F1345="", "", INDEX(_xlws.FILTER(Hairstyles!$F:$F, ISNUMBER(SEARCH(F1345, Hairstyles!$B:$B))), 1)), "No Spell for Hairstyle"),
  _xlpm.vanillaPrefix, IF(LEFT(_xlpm.spell, 7)="Uvi_Wig", "", ";"),
  ";" &amp; IF(C1345="", B1345, C1345) &amp; IF(M1345="", "", " ("&amp;M1345&amp;")") &amp; CHAR(10) &amp;
  _xlpm.vanillaPrefix &amp; "Keyword = Uvi_Wig_Distr_KYWD|" &amp; B1345 &amp; CHAR(10) &amp;
  _xlpm.vanillaPrefix &amp; "Spell = " &amp; _xlpm.spell &amp; "|" &amp; B1345
  )
)</f>
        <v>;Saliah
;Keyword = Uvi_Wig_Distr_KYWD|DLC1_WESC07_Outrider
;Spell = No Spell for Hairstyle|DLC1_WESC07_Outrider</v>
      </c>
    </row>
    <row r="1346" ht="12.75" customHeight="1">
      <c r="A1346" s="5" t="s">
        <v>4830</v>
      </c>
      <c r="B1346" s="5" t="s">
        <v>4831</v>
      </c>
      <c r="C1346" s="5" t="s">
        <v>4832</v>
      </c>
      <c r="D1346" s="5" t="s">
        <v>83</v>
      </c>
      <c r="E1346" s="5" t="s">
        <v>41</v>
      </c>
      <c r="F1346" s="5" t="s">
        <v>69</v>
      </c>
      <c r="G1346" s="14" t="str">
        <f t="array" ref="G1346">IF(B1346="", "",
  LET(_xlpm.spell, IFERROR(IF(F1346="", "", INDEX(_xlws.FILTER(Hairstyles!$F:$F, ISNUMBER(SEARCH(F1346, Hairstyles!$B:$B))), 1)), "No Spell for Hairstyle"),
  _xlpm.vanillaPrefix, IF(LEFT(_xlpm.spell, 7)="Uvi_Wig", "", ";"),
  ";" &amp; IF(C1346="", B1346, C1346) &amp; IF(M1346="", "", " ("&amp;M1346&amp;")") &amp; CHAR(10) &amp;
  _xlpm.vanillaPrefix &amp; "Keyword = Uvi_Wig_Distr_KYWD|" &amp; B1346 &amp; CHAR(10) &amp;
  _xlpm.vanillaPrefix &amp; "Spell = " &amp; _xlpm.spell &amp; "|" &amp; B1346
  )
)</f>
        <v>;Salma
;Keyword = Uvi_Wig_Distr_KYWD|dunIronbindSalma
;Spell = No Spell for Hairstyle|dunIronbindSalma</v>
      </c>
    </row>
    <row r="1347" ht="12.75" customHeight="1">
      <c r="A1347" s="15" t="s">
        <v>4833</v>
      </c>
      <c r="B1347" s="5" t="s">
        <v>4834</v>
      </c>
      <c r="C1347" s="5" t="s">
        <v>4835</v>
      </c>
      <c r="D1347" s="5" t="s">
        <v>63</v>
      </c>
      <c r="E1347" s="5" t="s">
        <v>41</v>
      </c>
      <c r="F1347" s="5" t="s">
        <v>85</v>
      </c>
      <c r="G1347" s="14" t="str">
        <f t="array" ref="G1347">IF(B1347="", "",
  LET(_xlpm.spell, IFERROR(IF(F1347="", "", INDEX(_xlws.FILTER(Hairstyles!$F:$F, ISNUMBER(SEARCH(F1347, Hairstyles!$B:$B))), 1)), "No Spell for Hairstyle"),
  _xlpm.vanillaPrefix, IF(LEFT(_xlpm.spell, 7)="Uvi_Wig", "", ";"),
  ";" &amp; IF(C1347="", B1347, C1347) &amp; IF(M1347="", "", " ("&amp;M1347&amp;")") &amp; CHAR(10) &amp;
  _xlpm.vanillaPrefix &amp; "Keyword = Uvi_Wig_Distr_KYWD|" &amp; B1347 &amp; CHAR(10) &amp;
  _xlpm.vanillaPrefix &amp; "Spell = " &amp; _xlpm.spell &amp; "|" &amp; B1347
  )
)</f>
        <v>;Salonia Caelia
;Keyword = Uvi_Wig_Distr_KYWD|DLC1SaloniaCaelia
;Spell = No Spell for Hairstyle|DLC1SaloniaCaelia</v>
      </c>
    </row>
    <row r="1348" ht="12.75" customHeight="1">
      <c r="A1348" s="5" t="s">
        <v>4836</v>
      </c>
      <c r="B1348" s="5" t="s">
        <v>4837</v>
      </c>
      <c r="C1348" s="5" t="s">
        <v>4838</v>
      </c>
      <c r="D1348" s="5" t="s">
        <v>59</v>
      </c>
      <c r="E1348" s="5" t="s">
        <v>41</v>
      </c>
      <c r="F1348" s="5" t="s">
        <v>862</v>
      </c>
      <c r="G1348" s="14" t="str">
        <f t="array" ref="G1348">IF(B1348="", "",
  LET(_xlpm.spell, IFERROR(IF(F1348="", "", INDEX(_xlws.FILTER(Hairstyles!$F:$F, ISNUMBER(SEARCH(F1348, Hairstyles!$B:$B))), 1)), "No Spell for Hairstyle"),
  _xlpm.vanillaPrefix, IF(LEFT(_xlpm.spell, 7)="Uvi_Wig", "", ";"),
  ";" &amp; IF(C1348="", B1348, C1348) &amp; IF(M1348="", "", " ("&amp;M1348&amp;")") &amp; CHAR(10) &amp;
  _xlpm.vanillaPrefix &amp; "Keyword = Uvi_Wig_Distr_KYWD|" &amp; B1348 &amp; CHAR(10) &amp;
  _xlpm.vanillaPrefix &amp; "Spell = " &amp; _xlpm.spell &amp; "|" &amp; B1348
  )
)</f>
        <v>;Salonia Carvain
;Keyword = Uvi_Wig_Distr_KYWD|WEDL03SaloniaCarvain
;Spell = No Spell for Hairstyle|WEDL03SaloniaCarvain</v>
      </c>
    </row>
    <row r="1349" ht="12.75" customHeight="1">
      <c r="A1349" s="5" t="s">
        <v>4839</v>
      </c>
      <c r="B1349" s="5" t="s">
        <v>4840</v>
      </c>
      <c r="C1349" s="5" t="s">
        <v>4838</v>
      </c>
      <c r="D1349" s="5" t="s">
        <v>59</v>
      </c>
      <c r="E1349" s="5" t="s">
        <v>41</v>
      </c>
      <c r="F1349" s="5" t="s">
        <v>862</v>
      </c>
      <c r="G1349" s="14" t="str">
        <f t="array" ref="G1349">IF(B1349="", "",
  LET(_xlpm.spell, IFERROR(IF(F1349="", "", INDEX(_xlws.FILTER(Hairstyles!$F:$F, ISNUMBER(SEARCH(F1349, Hairstyles!$B:$B))), 1)), "No Spell for Hairstyle"),
  _xlpm.vanillaPrefix, IF(LEFT(_xlpm.spell, 7)="Uvi_Wig", "", ";"),
  ";" &amp; IF(C1349="", B1349, C1349) &amp; IF(M1349="", "", " ("&amp;M1349&amp;")") &amp; CHAR(10) &amp;
  _xlpm.vanillaPrefix &amp; "Keyword = Uvi_Wig_Distr_KYWD|" &amp; B1349 &amp; CHAR(10) &amp;
  _xlpm.vanillaPrefix &amp; "Spell = " &amp; _xlpm.spell &amp; "|" &amp; B1349
  )
)</f>
        <v>;Salonia Carvain
;Keyword = Uvi_Wig_Distr_KYWD|WEDL04SaloniaCarvain
;Spell = No Spell for Hairstyle|WEDL04SaloniaCarvain</v>
      </c>
    </row>
    <row r="1350" ht="12.75" customHeight="1">
      <c r="A1350" s="15" t="s">
        <v>4841</v>
      </c>
      <c r="B1350" s="5" t="s">
        <v>4842</v>
      </c>
      <c r="C1350" s="5" t="s">
        <v>4842</v>
      </c>
      <c r="D1350" s="5" t="s">
        <v>59</v>
      </c>
      <c r="E1350" s="5" t="s">
        <v>233</v>
      </c>
      <c r="F1350" s="5" t="s">
        <v>19</v>
      </c>
      <c r="G1350" s="14" t="str">
        <f t="array" ref="G1350">IF(B1350="", "",
  LET(_xlpm.spell, IFERROR(IF(F1350="", "", INDEX(_xlws.FILTER(Hairstyles!$F:$F, ISNUMBER(SEARCH(F1350, Hairstyles!$B:$B))), 1)), "No Spell for Hairstyle"),
  _xlpm.vanillaPrefix, IF(LEFT(_xlpm.spell, 7)="Uvi_Wig", "", ";"),
  ";" &amp; IF(C1350="", B1350, C1350) &amp; IF(M1350="", "", " ("&amp;M1350&amp;")") &amp; CHAR(10) &amp;
  _xlpm.vanillaPrefix &amp; "Keyword = Uvi_Wig_Distr_KYWD|" &amp; B1350 &amp; CHAR(10) &amp;
  _xlpm.vanillaPrefix &amp; "Spell = " &amp; _xlpm.spell &amp; "|" &amp; B1350
  )
)</f>
        <v>;Salvianus
;Keyword = Uvi_Wig_Distr_KYWD|Salvianus
;Spell = No Spell for Hairstyle|Salvianus</v>
      </c>
    </row>
    <row r="1351" ht="12.75" customHeight="1">
      <c r="A1351" s="5" t="s">
        <v>4843</v>
      </c>
      <c r="B1351" s="5" t="s">
        <v>4844</v>
      </c>
      <c r="C1351" s="5" t="s">
        <v>4845</v>
      </c>
      <c r="D1351" s="5" t="s">
        <v>16</v>
      </c>
      <c r="E1351" s="5" t="s">
        <v>233</v>
      </c>
      <c r="F1351" s="5" t="s">
        <v>521</v>
      </c>
      <c r="G1351" s="14" t="str">
        <f t="array" ref="G1351">IF(B1351="", "",
  LET(_xlpm.spell, IFERROR(IF(F1351="", "", INDEX(_xlws.FILTER(Hairstyles!$F:$F, ISNUMBER(SEARCH(F1351, Hairstyles!$B:$B))), 1)), "No Spell for Hairstyle"),
  _xlpm.vanillaPrefix, IF(LEFT(_xlpm.spell, 7)="Uvi_Wig", "", ";"),
  ";" &amp; IF(C1351="", B1351, C1351) &amp; IF(M1351="", "", " ("&amp;M1351&amp;")") &amp; CHAR(10) &amp;
  _xlpm.vanillaPrefix &amp; "Keyword = Uvi_Wig_Distr_KYWD|" &amp; B1351 &amp; CHAR(10) &amp;
  _xlpm.vanillaPrefix &amp; "Spell = " &amp; _xlpm.spell &amp; "|" &amp; B1351
  )
)</f>
        <v>;Sam Guevenne
;Keyword = Uvi_Wig_Distr_KYWD|DA14Samwell
;Spell = No Spell for Hairstyle|DA14Samwell</v>
      </c>
    </row>
    <row r="1352" ht="12.75" customHeight="1">
      <c r="A1352" s="5" t="s">
        <v>4846</v>
      </c>
      <c r="B1352" s="5" t="s">
        <v>4847</v>
      </c>
      <c r="C1352" s="5" t="s">
        <v>4847</v>
      </c>
      <c r="D1352" s="5" t="s">
        <v>60</v>
      </c>
      <c r="E1352" s="5" t="s">
        <v>233</v>
      </c>
      <c r="F1352" s="5" t="s">
        <v>27</v>
      </c>
      <c r="G1352" s="14" t="str">
        <f t="array" ref="G1352">IF(B1352="", "",
  LET(_xlpm.spell, IFERROR(IF(F1352="", "", INDEX(_xlws.FILTER(Hairstyles!$F:$F, ISNUMBER(SEARCH(F1352, Hairstyles!$B:$B))), 1)), "No Spell for Hairstyle"),
  _xlpm.vanillaPrefix, IF(LEFT(_xlpm.spell, 7)="Uvi_Wig", "", ";"),
  ";" &amp; IF(C1352="", B1352, C1352) &amp; IF(M1352="", "", " ("&amp;M1352&amp;")") &amp; CHAR(10) &amp;
  _xlpm.vanillaPrefix &amp; "Keyword = Uvi_Wig_Distr_KYWD|" &amp; B1352 &amp; CHAR(10) &amp;
  _xlpm.vanillaPrefix &amp; "Spell = " &amp; _xlpm.spell &amp; "|" &amp; B1352
  )
)</f>
        <v>;Samuel
;Keyword = Uvi_Wig_Distr_KYWD|Samuel
;Spell = No Spell for Hairstyle|Samuel</v>
      </c>
    </row>
    <row r="1353" ht="12.75" customHeight="1">
      <c r="A1353" s="5" t="s">
        <v>4848</v>
      </c>
      <c r="B1353" s="5" t="s">
        <v>4849</v>
      </c>
      <c r="C1353" s="5" t="s">
        <v>4850</v>
      </c>
      <c r="D1353" s="5" t="s">
        <v>38</v>
      </c>
      <c r="E1353" s="5" t="s">
        <v>233</v>
      </c>
      <c r="F1353" s="5" t="s">
        <v>521</v>
      </c>
      <c r="G1353" s="14" t="str">
        <f t="array" ref="G1353">IF(B1353="", "",
  LET(_xlpm.spell, IFERROR(IF(F1353="", "", INDEX(_xlws.FILTER(Hairstyles!$F:$F, ISNUMBER(SEARCH(F1353, Hairstyles!$B:$B))), 1)), "No Spell for Hairstyle"),
  _xlpm.vanillaPrefix, IF(LEFT(_xlpm.spell, 7)="Uvi_Wig", "", ";"),
  ";" &amp; IF(C1353="", B1353, C1353) &amp; IF(M1353="", "", " ("&amp;M1353&amp;")") &amp; CHAR(10) &amp;
  _xlpm.vanillaPrefix &amp; "Keyword = Uvi_Wig_Distr_KYWD|" &amp; B1353 &amp; CHAR(10) &amp;
  _xlpm.vanillaPrefix &amp; "Spell = " &amp; _xlpm.spell &amp; "|" &amp; B1353
  )
)</f>
        <v>;Sanctuary Guardian
;Keyword = Uvi_Wig_Distr_KYWD|dunDawnstarSanctuary_LvlBrotherhoodSentry
;Spell = No Spell for Hairstyle|dunDawnstarSanctuary_LvlBrotherhoodSentry</v>
      </c>
    </row>
    <row r="1354" ht="12.75" customHeight="1">
      <c r="A1354" s="5" t="s">
        <v>4851</v>
      </c>
      <c r="B1354" s="5" t="s">
        <v>4852</v>
      </c>
      <c r="C1354" s="5" t="s">
        <v>4850</v>
      </c>
      <c r="D1354" s="5" t="s">
        <v>38</v>
      </c>
      <c r="E1354" s="5" t="s">
        <v>233</v>
      </c>
      <c r="F1354" s="5" t="s">
        <v>475</v>
      </c>
      <c r="G1354" s="14" t="str">
        <f t="array" ref="G1354">IF(B1354="", "",
  LET(_xlpm.spell, IFERROR(IF(F1354="", "", INDEX(_xlws.FILTER(Hairstyles!$F:$F, ISNUMBER(SEARCH(F1354, Hairstyles!$B:$B))), 1)), "No Spell for Hairstyle"),
  _xlpm.vanillaPrefix, IF(LEFT(_xlpm.spell, 7)="Uvi_Wig", "", ";"),
  ";" &amp; IF(C1354="", B1354, C1354) &amp; IF(M1354="", "", " ("&amp;M1354&amp;")") &amp; CHAR(10) &amp;
  _xlpm.vanillaPrefix &amp; "Keyword = Uvi_Wig_Distr_KYWD|" &amp; B1354 &amp; CHAR(10) &amp;
  _xlpm.vanillaPrefix &amp; "Spell = " &amp; _xlpm.spell &amp; "|" &amp; B1354
  )
)</f>
        <v>;Sanctuary Guardian
;Keyword = Uvi_Wig_Distr_KYWD|dunDawnstarSanctuary_LvlBrotherhoodSentryMissile
;Spell = No Spell for Hairstyle|dunDawnstarSanctuary_LvlBrotherhoodSentryMissile</v>
      </c>
    </row>
    <row r="1355" ht="12.75" customHeight="1">
      <c r="A1355" s="5" t="s">
        <v>4853</v>
      </c>
      <c r="B1355" s="5" t="s">
        <v>4854</v>
      </c>
      <c r="C1355" s="5" t="s">
        <v>4855</v>
      </c>
      <c r="D1355" s="5" t="s">
        <v>57</v>
      </c>
      <c r="E1355" s="5" t="s">
        <v>233</v>
      </c>
      <c r="F1355" s="5" t="s">
        <v>543</v>
      </c>
      <c r="G1355" s="14" t="str">
        <f t="array" ref="G1355">IF(B1355="", "",
  LET(_xlpm.spell, IFERROR(IF(F1355="", "", INDEX(_xlws.FILTER(Hairstyles!$F:$F, ISNUMBER(SEARCH(F1355, Hairstyles!$B:$B))), 1)), "No Spell for Hairstyle"),
  _xlpm.vanillaPrefix, IF(LEFT(_xlpm.spell, 7)="Uvi_Wig", "", ";"),
  ";" &amp; IF(C1355="", B1355, C1355) &amp; IF(M1355="", "", " ("&amp;M1355&amp;")") &amp; CHAR(10) &amp;
  _xlpm.vanillaPrefix &amp; "Keyword = Uvi_Wig_Distr_KYWD|" &amp; B1355 &amp; CHAR(10) &amp;
  _xlpm.vanillaPrefix &amp; "Spell = " &amp; _xlpm.spell &amp; "|" &amp; B1355
  )
)</f>
        <v>;Sanyon
;Keyword = Uvi_Wig_Distr_KYWD|DA11Sanyon
;Spell = No Spell for Hairstyle|DA11Sanyon</v>
      </c>
    </row>
    <row r="1356" ht="12.75" customHeight="1">
      <c r="A1356" s="5" t="s">
        <v>4856</v>
      </c>
      <c r="B1356" s="5" t="s">
        <v>4857</v>
      </c>
      <c r="C1356" s="5" t="s">
        <v>4857</v>
      </c>
      <c r="D1356" s="5" t="s">
        <v>38</v>
      </c>
      <c r="E1356" s="5" t="s">
        <v>41</v>
      </c>
      <c r="F1356" s="5" t="s">
        <v>69</v>
      </c>
      <c r="G1356" s="14" t="str">
        <f t="array" ref="G1356">IF(B1356="", "",
  LET(_xlpm.spell, IFERROR(IF(F1356="", "", INDEX(_xlws.FILTER(Hairstyles!$F:$F, ISNUMBER(SEARCH(F1356, Hairstyles!$B:$B))), 1)), "No Spell for Hairstyle"),
  _xlpm.vanillaPrefix, IF(LEFT(_xlpm.spell, 7)="Uvi_Wig", "", ";"),
  ";" &amp; IF(C1356="", B1356, C1356) &amp; IF(M1356="", "", " ("&amp;M1356&amp;")") &amp; CHAR(10) &amp;
  _xlpm.vanillaPrefix &amp; "Keyword = Uvi_Wig_Distr_KYWD|" &amp; B1356 &amp; CHAR(10) &amp;
  _xlpm.vanillaPrefix &amp; "Spell = " &amp; _xlpm.spell &amp; "|" &amp; B1356
  )
)</f>
        <v>;Sapphire
;Keyword = Uvi_Wig_Distr_KYWD|Sapphire
;Spell = No Spell for Hairstyle|Sapphire</v>
      </c>
    </row>
    <row r="1357" ht="12.75" customHeight="1">
      <c r="A1357" s="5" t="s">
        <v>4858</v>
      </c>
      <c r="B1357" s="5" t="s">
        <v>4859</v>
      </c>
      <c r="C1357" s="5" t="s">
        <v>4860</v>
      </c>
      <c r="D1357" s="5" t="s">
        <v>45</v>
      </c>
      <c r="E1357" s="5" t="s">
        <v>233</v>
      </c>
      <c r="F1357" s="5" t="s">
        <v>1787</v>
      </c>
      <c r="G1357" s="14" t="str">
        <f t="array" ref="G1357">IF(B1357="", "",
  LET(_xlpm.spell, IFERROR(IF(F1357="", "", INDEX(_xlws.FILTER(Hairstyles!$F:$F, ISNUMBER(SEARCH(F1357, Hairstyles!$B:$B))), 1)), "No Spell for Hairstyle"),
  _xlpm.vanillaPrefix, IF(LEFT(_xlpm.spell, 7)="Uvi_Wig", "", ";"),
  ";" &amp; IF(C1357="", B1357, C1357) &amp; IF(M1357="", "", " ("&amp;M1357&amp;")") &amp; CHAR(10) &amp;
  _xlpm.vanillaPrefix &amp; "Keyword = Uvi_Wig_Distr_KYWD|" &amp; B1357 &amp; CHAR(10) &amp;
  _xlpm.vanillaPrefix &amp; "Spell = " &amp; _xlpm.spell &amp; "|" &amp; B1357
  )
)</f>
        <v>;Sarthis Idren
;Keyword = Uvi_Wig_Distr_KYWD|SarthisIdren
;Spell = No Spell for Hairstyle|SarthisIdren</v>
      </c>
    </row>
    <row r="1358" ht="12.75" customHeight="1">
      <c r="A1358" s="5" t="s">
        <v>4861</v>
      </c>
      <c r="B1358" s="5" t="s">
        <v>4862</v>
      </c>
      <c r="C1358" s="5" t="s">
        <v>4863</v>
      </c>
      <c r="D1358" s="5" t="s">
        <v>45</v>
      </c>
      <c r="E1358" s="5" t="s">
        <v>233</v>
      </c>
      <c r="F1358" s="5" t="s">
        <v>47</v>
      </c>
      <c r="G1358" s="14" t="str">
        <f t="array" ref="G1358">IF(B1358="", "",
  LET(_xlpm.spell, IFERROR(IF(F1358="", "", INDEX(_xlws.FILTER(Hairstyles!$F:$F, ISNUMBER(SEARCH(F1358, Hairstyles!$B:$B))), 1)), "No Spell for Hairstyle"),
  _xlpm.vanillaPrefix, IF(LEFT(_xlpm.spell, 7)="Uvi_Wig", "", ";"),
  ";" &amp; IF(C1358="", B1358, C1358) &amp; IF(M1358="", "", " ("&amp;M1358&amp;")") &amp; CHAR(10) &amp;
  _xlpm.vanillaPrefix &amp; "Keyword = Uvi_Wig_Distr_KYWD|" &amp; B1358 &amp; CHAR(10) &amp;
  _xlpm.vanillaPrefix &amp; "Spell = " &amp; _xlpm.spell &amp; "|" &amp; B1358
  )
)</f>
        <v>;Savos Aren
;Keyword = Uvi_Wig_Distr_KYWD|SavosAren
;Spell = No Spell for Hairstyle|SavosAren</v>
      </c>
    </row>
    <row r="1359" ht="12.75" customHeight="1">
      <c r="A1359" s="5" t="s">
        <v>4864</v>
      </c>
      <c r="B1359" s="5" t="s">
        <v>4865</v>
      </c>
      <c r="C1359" s="5" t="s">
        <v>4863</v>
      </c>
      <c r="D1359" s="5" t="s">
        <v>45</v>
      </c>
      <c r="E1359" s="5" t="s">
        <v>233</v>
      </c>
      <c r="F1359" s="5" t="s">
        <v>1723</v>
      </c>
      <c r="G1359" s="14" t="str">
        <f t="array" ref="G1359">IF(B1359="", "",
  LET(_xlpm.spell, IFERROR(IF(F1359="", "", INDEX(_xlws.FILTER(Hairstyles!$F:$F, ISNUMBER(SEARCH(F1359, Hairstyles!$B:$B))), 1)), "No Spell for Hairstyle"),
  _xlpm.vanillaPrefix, IF(LEFT(_xlpm.spell, 7)="Uvi_Wig", "", ";"),
  ";" &amp; IF(C1359="", B1359, C1359) &amp; IF(M1359="", "", " ("&amp;M1359&amp;")") &amp; CHAR(10) &amp;
  _xlpm.vanillaPrefix &amp; "Keyword = Uvi_Wig_Distr_KYWD|" &amp; B1359 &amp; CHAR(10) &amp;
  _xlpm.vanillaPrefix &amp; "Spell = " &amp; _xlpm.spell &amp; "|" &amp; B1359
  )
)</f>
        <v>;Savos Aren
;Keyword = Uvi_Wig_Distr_KYWD|SavosArenGhost
;Spell = No Spell for Hairstyle|SavosArenGhost</v>
      </c>
    </row>
    <row r="1360" ht="12.75" customHeight="1">
      <c r="A1360" s="5" t="s">
        <v>4866</v>
      </c>
      <c r="B1360" s="5" t="s">
        <v>4867</v>
      </c>
      <c r="C1360" s="5" t="s">
        <v>4867</v>
      </c>
      <c r="D1360" s="5" t="s">
        <v>83</v>
      </c>
      <c r="E1360" s="5" t="s">
        <v>41</v>
      </c>
      <c r="F1360" s="5" t="s">
        <v>85</v>
      </c>
      <c r="G1360" s="14" t="str">
        <f t="array" ref="G1360">IF(B1360="", "",
  LET(_xlpm.spell, IFERROR(IF(F1360="", "", INDEX(_xlws.FILTER(Hairstyles!$F:$F, ISNUMBER(SEARCH(F1360, Hairstyles!$B:$B))), 1)), "No Spell for Hairstyle"),
  _xlpm.vanillaPrefix, IF(LEFT(_xlpm.spell, 7)="Uvi_Wig", "", ";"),
  ";" &amp; IF(C1360="", B1360, C1360) &amp; IF(M1360="", "", " ("&amp;M1360&amp;")") &amp; CHAR(10) &amp;
  _xlpm.vanillaPrefix &amp; "Keyword = Uvi_Wig_Distr_KYWD|" &amp; B1360 &amp; CHAR(10) &amp;
  _xlpm.vanillaPrefix &amp; "Spell = " &amp; _xlpm.spell &amp; "|" &amp; B1360
  )
)</f>
        <v>;Sayma
;Keyword = Uvi_Wig_Distr_KYWD|Sayma
;Spell = No Spell for Hairstyle|Sayma</v>
      </c>
    </row>
    <row r="1361" ht="12.75" customHeight="1">
      <c r="A1361" s="15" t="s">
        <v>4868</v>
      </c>
      <c r="B1361" s="5" t="s">
        <v>4869</v>
      </c>
      <c r="C1361" s="5" t="s">
        <v>4870</v>
      </c>
      <c r="D1361" s="5" t="s">
        <v>38</v>
      </c>
      <c r="E1361" s="5" t="s">
        <v>233</v>
      </c>
      <c r="F1361" s="5" t="s">
        <v>424</v>
      </c>
      <c r="G1361" s="14" t="str">
        <f t="array" ref="G1361">IF(B1361="", "",
  LET(_xlpm.spell, IFERROR(IF(F1361="", "", INDEX(_xlws.FILTER(Hairstyles!$F:$F, ISNUMBER(SEARCH(F1361, Hairstyles!$B:$B))), 1)), "No Spell for Hairstyle"),
  _xlpm.vanillaPrefix, IF(LEFT(_xlpm.spell, 7)="Uvi_Wig", "", ";"),
  ";" &amp; IF(C1361="", B1361, C1361) &amp; IF(M1361="", "", " ("&amp;M1361&amp;")") &amp; CHAR(10) &amp;
  _xlpm.vanillaPrefix &amp; "Keyword = Uvi_Wig_Distr_KYWD|" &amp; B1361 &amp; CHAR(10) &amp;
  _xlpm.vanillaPrefix &amp; "Spell = " &amp; _xlpm.spell &amp; "|" &amp; B1361
  )
)</f>
        <v>;Scavenger
;Keyword = Uvi_Wig_Distr_KYWD|WE23Scavenger
;Spell = No Spell for Hairstyle|WE23Scavenger</v>
      </c>
    </row>
    <row r="1362" ht="12.75" customHeight="1">
      <c r="A1362" s="5" t="s">
        <v>4871</v>
      </c>
      <c r="B1362" s="5" t="s">
        <v>4872</v>
      </c>
      <c r="C1362" s="5" t="s">
        <v>4873</v>
      </c>
      <c r="D1362" s="5" t="s">
        <v>38</v>
      </c>
      <c r="E1362" s="5" t="s">
        <v>233</v>
      </c>
      <c r="F1362" s="5" t="s">
        <v>1622</v>
      </c>
      <c r="G1362" s="14" t="str">
        <f t="array" ref="G1362">IF(B1362="", "",
  LET(_xlpm.spell, IFERROR(IF(F1362="", "", INDEX(_xlws.FILTER(Hairstyles!$F:$F, ISNUMBER(SEARCH(F1362, Hairstyles!$B:$B))), 1)), "No Spell for Hairstyle"),
  _xlpm.vanillaPrefix, IF(LEFT(_xlpm.spell, 7)="Uvi_Wig", "", ";"),
  ";" &amp; IF(C1362="", B1362, C1362) &amp; IF(M1362="", "", " ("&amp;M1362&amp;")") &amp; CHAR(10) &amp;
  _xlpm.vanillaPrefix &amp; "Keyword = Uvi_Wig_Distr_KYWD|" &amp; B1362 &amp; CHAR(10) &amp;
  _xlpm.vanillaPrefix &amp; "Spell = " &amp; _xlpm.spell &amp; "|" &amp; B1362
  )
)</f>
        <v>;Scheming Servant
;Keyword = Uvi_Wig_Distr_KYWD|DBRecurringContact4Markarth
;Spell = No Spell for Hairstyle|DBRecurringContact4Markarth</v>
      </c>
    </row>
    <row r="1363" ht="12.75" customHeight="1">
      <c r="A1363" s="5" t="s">
        <v>4874</v>
      </c>
      <c r="B1363" s="5" t="s">
        <v>4875</v>
      </c>
      <c r="C1363" s="5" t="s">
        <v>4876</v>
      </c>
      <c r="D1363" s="5" t="s">
        <v>10</v>
      </c>
      <c r="E1363" s="5" t="s">
        <v>233</v>
      </c>
      <c r="F1363" s="5" t="s">
        <v>4877</v>
      </c>
      <c r="G1363" s="14" t="str">
        <f t="array" ref="G1363">IF(B1363="", "",
  LET(_xlpm.spell, IFERROR(IF(F1363="", "", INDEX(_xlws.FILTER(Hairstyles!$F:$F, ISNUMBER(SEARCH(F1363, Hairstyles!$B:$B))), 1)), "No Spell for Hairstyle"),
  _xlpm.vanillaPrefix, IF(LEFT(_xlpm.spell, 7)="Uvi_Wig", "", ";"),
  ";" &amp; IF(C1363="", B1363, C1363) &amp; IF(M1363="", "", " ("&amp;M1363&amp;")") &amp; CHAR(10) &amp;
  _xlpm.vanillaPrefix &amp; "Keyword = Uvi_Wig_Distr_KYWD|" &amp; B1363 &amp; CHAR(10) &amp;
  _xlpm.vanillaPrefix &amp; "Spell = " &amp; _xlpm.spell &amp; "|" &amp; B1363
  )
)</f>
        <v>;Scouts-Many-Marshes
;Keyword = Uvi_Wig_Distr_KYWD|ScoutsManyMarshes
;Spell = No Spell for Hairstyle|ScoutsManyMarshes</v>
      </c>
    </row>
    <row r="1364" ht="12.75" customHeight="1">
      <c r="A1364" s="5" t="s">
        <v>4878</v>
      </c>
      <c r="B1364" s="5" t="s">
        <v>4879</v>
      </c>
      <c r="C1364" s="5" t="s">
        <v>4880</v>
      </c>
      <c r="D1364" s="5" t="s">
        <v>38</v>
      </c>
      <c r="E1364" s="5" t="s">
        <v>233</v>
      </c>
      <c r="F1364" s="5" t="s">
        <v>521</v>
      </c>
      <c r="G1364" s="14" t="str">
        <f t="array" ref="G1364">IF(B1364="", "",
  LET(_xlpm.spell, IFERROR(IF(F1364="", "", INDEX(_xlws.FILTER(Hairstyles!$F:$F, ISNUMBER(SEARCH(F1364, Hairstyles!$B:$B))), 1)), "No Spell for Hairstyle"),
  _xlpm.vanillaPrefix, IF(LEFT(_xlpm.spell, 7)="Uvi_Wig", "", ";"),
  ";" &amp; IF(C1364="", B1364, C1364) &amp; IF(M1364="", "", " ("&amp;M1364&amp;")") &amp; CHAR(10) &amp;
  _xlpm.vanillaPrefix &amp; "Keyword = Uvi_Wig_Distr_KYWD|" &amp; B1364 &amp; CHAR(10) &amp;
  _xlpm.vanillaPrefix &amp; "Spell = " &amp; _xlpm.spell &amp; "|" &amp; B1364
  )
)</f>
        <v>;Seasoned Hunter
;Keyword = Uvi_Wig_Distr_KYWD|DBRecurringTarget5Falkreath
;Spell = No Spell for Hairstyle|DBRecurringTarget5Falkreath</v>
      </c>
    </row>
    <row r="1365" ht="12.75" customHeight="1">
      <c r="A1365" s="5" t="s">
        <v>4881</v>
      </c>
      <c r="B1365" s="5" t="s">
        <v>4882</v>
      </c>
      <c r="C1365" s="5" t="s">
        <v>4883</v>
      </c>
      <c r="D1365" s="5" t="s">
        <v>16</v>
      </c>
      <c r="E1365" s="5" t="s">
        <v>233</v>
      </c>
      <c r="F1365" s="5" t="s">
        <v>990</v>
      </c>
      <c r="G1365" s="14" t="str">
        <f t="array" ref="G1365">IF(B1365="", "",
  LET(_xlpm.spell, IFERROR(IF(F1365="", "", INDEX(_xlws.FILTER(Hairstyles!$F:$F, ISNUMBER(SEARCH(F1365, Hairstyles!$B:$B))), 1)), "No Spell for Hairstyle"),
  _xlpm.vanillaPrefix, IF(LEFT(_xlpm.spell, 7)="Uvi_Wig", "", ";"),
  ";" &amp; IF(C1365="", B1365, C1365) &amp; IF(M1365="", "", " ("&amp;M1365&amp;")") &amp; CHAR(10) &amp;
  _xlpm.vanillaPrefix &amp; "Keyword = Uvi_Wig_Distr_KYWD|" &amp; B1365 &amp; CHAR(10) &amp;
  _xlpm.vanillaPrefix &amp; "Spell = " &amp; _xlpm.spell &amp; "|" &amp; B1365
  )
)</f>
        <v>;Self Doubt
;Keyword = Uvi_Wig_Distr_KYWD|dunBluePalaceInvisbleAttacker
;Spell = No Spell for Hairstyle|dunBluePalaceInvisbleAttacker</v>
      </c>
    </row>
    <row r="1366" ht="12.75" customHeight="1">
      <c r="A1366" s="5" t="s">
        <v>4884</v>
      </c>
      <c r="B1366" s="5" t="s">
        <v>4885</v>
      </c>
      <c r="C1366" s="5" t="s">
        <v>4886</v>
      </c>
      <c r="D1366" s="5" t="s">
        <v>45</v>
      </c>
      <c r="E1366" s="5" t="s">
        <v>41</v>
      </c>
      <c r="F1366" s="5" t="s">
        <v>1854</v>
      </c>
      <c r="G1366" s="14" t="str">
        <f t="array" ref="G1366">IF(B1366="", "",
  LET(_xlpm.spell, IFERROR(IF(F1366="", "", INDEX(_xlws.FILTER(Hairstyles!$F:$F, ISNUMBER(SEARCH(F1366, Hairstyles!$B:$B))), 1)), "No Spell for Hairstyle"),
  _xlpm.vanillaPrefix, IF(LEFT(_xlpm.spell, 7)="Uvi_Wig", "", ";"),
  ";" &amp; IF(C1366="", B1366, C1366) &amp; IF(M1366="", "", " ("&amp;M1366&amp;")") &amp; CHAR(10) &amp;
  _xlpm.vanillaPrefix &amp; "Keyword = Uvi_Wig_Distr_KYWD|" &amp; B1366 &amp; CHAR(10) &amp;
  _xlpm.vanillaPrefix &amp; "Spell = " &amp; _xlpm.spell &amp; "|" &amp; B1366
  )
)</f>
        <v>;Selveni Nethri
;Keyword = Uvi_Wig_Distr_KYWD|dunSouthfringeSelveniNethri
;Spell = No Spell for Hairstyle|dunSouthfringeSelveniNethri</v>
      </c>
    </row>
    <row r="1367" ht="12.75" customHeight="1">
      <c r="A1367" s="5" t="s">
        <v>4887</v>
      </c>
      <c r="B1367" s="5" t="s">
        <v>4888</v>
      </c>
      <c r="C1367" s="5" t="s">
        <v>4888</v>
      </c>
      <c r="D1367" s="5" t="s">
        <v>16</v>
      </c>
      <c r="E1367" s="5" t="s">
        <v>41</v>
      </c>
      <c r="F1367" s="5" t="s">
        <v>270</v>
      </c>
      <c r="G1367" s="14" t="str">
        <f t="array" ref="G1367">IF(B1367="", "",
  LET(_xlpm.spell, IFERROR(IF(F1367="", "", INDEX(_xlws.FILTER(Hairstyles!$F:$F, ISNUMBER(SEARCH(F1367, Hairstyles!$B:$B))), 1)), "No Spell for Hairstyle"),
  _xlpm.vanillaPrefix, IF(LEFT(_xlpm.spell, 7)="Uvi_Wig", "", ";"),
  ";" &amp; IF(C1367="", B1367, C1367) &amp; IF(M1367="", "", " ("&amp;M1367&amp;")") &amp; CHAR(10) &amp;
  _xlpm.vanillaPrefix &amp; "Keyword = Uvi_Wig_Distr_KYWD|" &amp; B1367 &amp; CHAR(10) &amp;
  _xlpm.vanillaPrefix &amp; "Spell = " &amp; _xlpm.spell &amp; "|" &amp; B1367
  )
)</f>
        <v>;Senna
;Keyword = Uvi_Wig_Distr_KYWD|Senna
;Spell = No Spell for Hairstyle|Senna</v>
      </c>
    </row>
    <row r="1368" ht="12.75" customHeight="1">
      <c r="A1368" s="5" t="s">
        <v>4889</v>
      </c>
      <c r="B1368" s="5" t="s">
        <v>4890</v>
      </c>
      <c r="C1368" s="5" t="s">
        <v>4891</v>
      </c>
      <c r="D1368" s="5" t="s">
        <v>51</v>
      </c>
      <c r="E1368" s="5" t="s">
        <v>233</v>
      </c>
      <c r="F1368" s="5" t="s">
        <v>224</v>
      </c>
      <c r="G1368" s="14" t="str">
        <f t="array" ref="G1368">IF(B1368="", "",
  LET(_xlpm.spell, IFERROR(IF(F1368="", "", INDEX(_xlws.FILTER(Hairstyles!$F:$F, ISNUMBER(SEARCH(F1368, Hairstyles!$B:$B))), 1)), "No Spell for Hairstyle"),
  _xlpm.vanillaPrefix, IF(LEFT(_xlpm.spell, 7)="Uvi_Wig", "", ";"),
  ";" &amp; IF(C1368="", B1368, C1368) &amp; IF(M1368="", "", " ("&amp;M1368&amp;")") &amp; CHAR(10) &amp;
  _xlpm.vanillaPrefix &amp; "Keyword = Uvi_Wig_Distr_KYWD|" &amp; B1368 &amp; CHAR(10) &amp;
  _xlpm.vanillaPrefix &amp; "Spell = " &amp; _xlpm.spell &amp; "|" &amp; B1368
  )
)</f>
        <v>;Septimus Signus
;Keyword = Uvi_Wig_Distr_KYWD|DA04Septimus
;Spell = No Spell for Hairstyle|DA04Septimus</v>
      </c>
    </row>
    <row r="1369" ht="12.75" customHeight="1">
      <c r="A1369" s="5" t="s">
        <v>4892</v>
      </c>
      <c r="B1369" s="5" t="s">
        <v>4893</v>
      </c>
      <c r="C1369" s="5" t="s">
        <v>4894</v>
      </c>
      <c r="D1369" s="5" t="s">
        <v>38</v>
      </c>
      <c r="E1369" s="5" t="s">
        <v>41</v>
      </c>
      <c r="F1369" s="5" t="s">
        <v>4895</v>
      </c>
      <c r="G1369" s="14" t="str">
        <f t="array" ref="G1369">IF(B1369="", "",
  LET(_xlpm.spell, IFERROR(IF(F1369="", "", INDEX(_xlws.FILTER(Hairstyles!$F:$F, ISNUMBER(SEARCH(F1369, Hairstyles!$B:$B))), 1)), "No Spell for Hairstyle"),
  _xlpm.vanillaPrefix, IF(LEFT(_xlpm.spell, 7)="Uvi_Wig", "", ";"),
  ";" &amp; IF(C1369="", B1369, C1369) &amp; IF(M1369="", "", " ("&amp;M1369&amp;")") &amp; CHAR(10) &amp;
  _xlpm.vanillaPrefix &amp; "Keyword = Uvi_Wig_Distr_KYWD|" &amp; B1369 &amp; CHAR(10) &amp;
  _xlpm.vanillaPrefix &amp; "Spell = " &amp; _xlpm.spell &amp; "|" &amp; B1369
  )
)</f>
        <v>;Serana
;Keyword = Uvi_Wig_Distr_KYWD|DLC1Serana
;Spell = No Spell for Hairstyle|DLC1Serana</v>
      </c>
    </row>
    <row r="1370" ht="12.75" customHeight="1">
      <c r="A1370" s="5" t="s">
        <v>4896</v>
      </c>
      <c r="B1370" s="5" t="s">
        <v>4897</v>
      </c>
      <c r="C1370" s="5" t="s">
        <v>4897</v>
      </c>
      <c r="D1370" s="5" t="s">
        <v>83</v>
      </c>
      <c r="E1370" s="5" t="s">
        <v>41</v>
      </c>
      <c r="F1370" s="5" t="s">
        <v>85</v>
      </c>
      <c r="G1370" s="14" t="str">
        <f t="array" ref="G1370">IF(B1370="", "",
  LET(_xlpm.spell, IFERROR(IF(F1370="", "", INDEX(_xlws.FILTER(Hairstyles!$F:$F, ISNUMBER(SEARCH(F1370, Hairstyles!$B:$B))), 1)), "No Spell for Hairstyle"),
  _xlpm.vanillaPrefix, IF(LEFT(_xlpm.spell, 7)="Uvi_Wig", "", ";"),
  ";" &amp; IF(C1370="", B1370, C1370) &amp; IF(M1370="", "", " ("&amp;M1370&amp;")") &amp; CHAR(10) &amp;
  _xlpm.vanillaPrefix &amp; "Keyword = Uvi_Wig_Distr_KYWD|" &amp; B1370 &amp; CHAR(10) &amp;
  _xlpm.vanillaPrefix &amp; "Spell = " &amp; _xlpm.spell &amp; "|" &amp; B1370
  )
)</f>
        <v>;Seren
;Keyword = Uvi_Wig_Distr_KYWD|Seren
;Spell = No Spell for Hairstyle|Seren</v>
      </c>
    </row>
    <row r="1371" ht="12.75" customHeight="1">
      <c r="A1371" s="5" t="s">
        <v>4898</v>
      </c>
      <c r="B1371" s="5" t="s">
        <v>4899</v>
      </c>
      <c r="C1371" s="5" t="s">
        <v>4900</v>
      </c>
      <c r="D1371" s="5" t="s">
        <v>59</v>
      </c>
      <c r="E1371" s="5" t="s">
        <v>233</v>
      </c>
      <c r="F1371" s="5" t="s">
        <v>218</v>
      </c>
      <c r="G1371" s="14" t="str">
        <f t="array" ref="G1371">IF(B1371="", "",
  LET(_xlpm.spell, IFERROR(IF(F1371="", "", INDEX(_xlws.FILTER(Hairstyles!$F:$F, ISNUMBER(SEARCH(F1371, Hairstyles!$B:$B))), 1)), "No Spell for Hairstyle"),
  _xlpm.vanillaPrefix, IF(LEFT(_xlpm.spell, 7)="Uvi_Wig", "", ";"),
  ";" &amp; IF(C1371="", B1371, C1371) &amp; IF(M1371="", "", " ("&amp;M1371&amp;")") &amp; CHAR(10) &amp;
  _xlpm.vanillaPrefix &amp; "Keyword = Uvi_Wig_Distr_KYWD|" &amp; B1371 &amp; CHAR(10) &amp;
  _xlpm.vanillaPrefix &amp; "Spell = " &amp; _xlpm.spell &amp; "|" &amp; B1371
  )
)</f>
        <v>;Sergius Turrianus
;Keyword = Uvi_Wig_Distr_KYWD|SergiusTurrianus
;Spell = No Spell for Hairstyle|SergiusTurrianus</v>
      </c>
    </row>
    <row r="1372" ht="12.75" customHeight="1">
      <c r="A1372" s="5" t="s">
        <v>4901</v>
      </c>
      <c r="B1372" s="5" t="s">
        <v>4902</v>
      </c>
      <c r="C1372" s="5" t="s">
        <v>4903</v>
      </c>
      <c r="D1372" s="5" t="s">
        <v>51</v>
      </c>
      <c r="E1372" s="5" t="s">
        <v>233</v>
      </c>
      <c r="F1372" s="4" t="s">
        <v>1741</v>
      </c>
      <c r="G1372" s="14" t="str">
        <f t="array" ref="G1372">IF(B1372="", "",
  LET(_xlpm.spell, IFERROR(IF(F1372="", "", INDEX(_xlws.FILTER(Hairstyles!$F:$F, ISNUMBER(SEARCH(F1372, Hairstyles!$B:$B))), 1)), "No Spell for Hairstyle"),
  _xlpm.vanillaPrefix, IF(LEFT(_xlpm.spell, 7)="Uvi_Wig", "", ";"),
  ";" &amp; IF(C1372="", B1372, C1372) &amp; IF(M1372="", "", " ("&amp;M1372&amp;")") &amp; CHAR(10) &amp;
  _xlpm.vanillaPrefix &amp; "Keyword = Uvi_Wig_Distr_KYWD|" &amp; B1372 &amp; CHAR(10) &amp;
  _xlpm.vanillaPrefix &amp; "Spell = " &amp; _xlpm.spell &amp; "|" &amp; B1372
  )
)</f>
        <v>;Sern
;Keyword = Uvi_Wig_Distr_KYWD|DLC1RefugeeSern
;Spell = No Spell for Hairstyle|DLC1RefugeeSern</v>
      </c>
    </row>
    <row r="1373" ht="12.75" customHeight="1">
      <c r="A1373" s="5" t="s">
        <v>4904</v>
      </c>
      <c r="B1373" s="5" t="s">
        <v>4905</v>
      </c>
      <c r="C1373" s="5" t="s">
        <v>4906</v>
      </c>
      <c r="D1373" s="5" t="s">
        <v>45</v>
      </c>
      <c r="E1373" s="5" t="s">
        <v>233</v>
      </c>
      <c r="F1373" s="5" t="s">
        <v>1541</v>
      </c>
      <c r="G1373" s="14" t="str">
        <f t="array" ref="G1373">IF(B1373="", "",
  LET(_xlpm.spell, IFERROR(IF(F1373="", "", INDEX(_xlws.FILTER(Hairstyles!$F:$F, ISNUMBER(SEARCH(F1373, Hairstyles!$B:$B))), 1)), "No Spell for Hairstyle"),
  _xlpm.vanillaPrefix, IF(LEFT(_xlpm.spell, 7)="Uvi_Wig", "", ";"),
  ";" &amp; IF(C1373="", B1373, C1373) &amp; IF(M1373="", "", " ("&amp;M1373&amp;")") &amp; CHAR(10) &amp;
  _xlpm.vanillaPrefix &amp; "Keyword = Uvi_Wig_Distr_KYWD|" &amp; B1373 &amp; CHAR(10) &amp;
  _xlpm.vanillaPrefix &amp; "Spell = " &amp; _xlpm.spell &amp; "|" &amp; B1373
  )
)</f>
        <v>;Servos Rendas
;Keyword = Uvi_Wig_Distr_KYWD|DLC2ServosRendas
;Spell = No Spell for Hairstyle|DLC2ServosRendas</v>
      </c>
    </row>
    <row r="1374" ht="12.75" customHeight="1">
      <c r="A1374" s="5" t="s">
        <v>4907</v>
      </c>
      <c r="B1374" s="5" t="s">
        <v>4908</v>
      </c>
      <c r="C1374" s="5" t="s">
        <v>4909</v>
      </c>
      <c r="D1374" s="5" t="s">
        <v>59</v>
      </c>
      <c r="E1374" s="5" t="s">
        <v>233</v>
      </c>
      <c r="F1374" s="5" t="s">
        <v>990</v>
      </c>
      <c r="G1374" s="14" t="str">
        <f t="array" ref="G1374">IF(B1374="", "",
  LET(_xlpm.spell, IFERROR(IF(F1374="", "", INDEX(_xlws.FILTER(Hairstyles!$F:$F, ISNUMBER(SEARCH(F1374, Hairstyles!$B:$B))), 1)), "No Spell for Hairstyle"),
  _xlpm.vanillaPrefix, IF(LEFT(_xlpm.spell, 7)="Uvi_Wig", "", ";"),
  ";" &amp; IF(C1374="", B1374, C1374) &amp; IF(M1374="", "", " ("&amp;M1374&amp;")") &amp; CHAR(10) &amp;
  _xlpm.vanillaPrefix &amp; "Keyword = Uvi_Wig_Distr_KYWD|" &amp; B1374 &amp; CHAR(10) &amp;
  _xlpm.vanillaPrefix &amp; "Spell = " &amp; _xlpm.spell &amp; "|" &amp; B1374
  )
)</f>
        <v>;Severio Pelagia
;Keyword = Uvi_Wig_Distr_KYWD|SeverioPelagia
;Spell = No Spell for Hairstyle|SeverioPelagia</v>
      </c>
    </row>
    <row r="1375" ht="12.75" customHeight="1">
      <c r="A1375" s="15" t="s">
        <v>4910</v>
      </c>
      <c r="B1375" s="5" t="s">
        <v>4911</v>
      </c>
      <c r="C1375" s="5" t="s">
        <v>4911</v>
      </c>
      <c r="D1375" s="5" t="s">
        <v>83</v>
      </c>
      <c r="E1375" s="5" t="s">
        <v>233</v>
      </c>
      <c r="F1375" s="5" t="s">
        <v>84</v>
      </c>
      <c r="G1375" s="14" t="str">
        <f t="array" ref="G1375">IF(B1375="", "",
  LET(_xlpm.spell, IFERROR(IF(F1375="", "", INDEX(_xlws.FILTER(Hairstyles!$F:$F, ISNUMBER(SEARCH(F1375, Hairstyles!$B:$B))), 1)), "No Spell for Hairstyle"),
  _xlpm.vanillaPrefix, IF(LEFT(_xlpm.spell, 7)="Uvi_Wig", "", ";"),
  ";" &amp; IF(C1375="", B1375, C1375) &amp; IF(M1375="", "", " ("&amp;M1375&amp;")") &amp; CHAR(10) &amp;
  _xlpm.vanillaPrefix &amp; "Keyword = Uvi_Wig_Distr_KYWD|" &amp; B1375 &amp; CHAR(10) &amp;
  _xlpm.vanillaPrefix &amp; "Spell = " &amp; _xlpm.spell &amp; "|" &amp; B1375
  )
)</f>
        <v>;Shadr
;Keyword = Uvi_Wig_Distr_KYWD|Shadr
;Spell = No Spell for Hairstyle|Shadr</v>
      </c>
    </row>
    <row r="1376" ht="12.75" customHeight="1">
      <c r="A1376" s="5" t="s">
        <v>4912</v>
      </c>
      <c r="B1376" s="5" t="s">
        <v>4913</v>
      </c>
      <c r="C1376" s="5" t="s">
        <v>4913</v>
      </c>
      <c r="D1376" s="5" t="s">
        <v>10</v>
      </c>
      <c r="E1376" s="5" t="s">
        <v>41</v>
      </c>
      <c r="F1376" s="5" t="s">
        <v>4914</v>
      </c>
      <c r="G1376" s="14" t="str">
        <f t="array" ref="G1376">IF(B1376="", "",
  LET(_xlpm.spell, IFERROR(IF(F1376="", "", INDEX(_xlws.FILTER(Hairstyles!$F:$F, ISNUMBER(SEARCH(F1376, Hairstyles!$B:$B))), 1)), "No Spell for Hairstyle"),
  _xlpm.vanillaPrefix, IF(LEFT(_xlpm.spell, 7)="Uvi_Wig", "", ";"),
  ";" &amp; IF(C1376="", B1376, C1376) &amp; IF(M1376="", "", " ("&amp;M1376&amp;")") &amp; CHAR(10) &amp;
  _xlpm.vanillaPrefix &amp; "Keyword = Uvi_Wig_Distr_KYWD|" &amp; B1376 &amp; CHAR(10) &amp;
  _xlpm.vanillaPrefix &amp; "Spell = " &amp; _xlpm.spell &amp; "|" &amp; B1376
  )
)</f>
        <v>;Shahvee
;Keyword = Uvi_Wig_Distr_KYWD|Shahvee
;Spell = No Spell for Hairstyle|Shahvee</v>
      </c>
    </row>
    <row r="1377" ht="12.75" customHeight="1">
      <c r="A1377" s="15" t="s">
        <v>4915</v>
      </c>
      <c r="B1377" s="5" t="s">
        <v>4916</v>
      </c>
      <c r="C1377" s="5" t="s">
        <v>4916</v>
      </c>
      <c r="D1377" s="5" t="s">
        <v>80</v>
      </c>
      <c r="E1377" s="5" t="s">
        <v>41</v>
      </c>
      <c r="F1377" s="5" t="s">
        <v>4917</v>
      </c>
      <c r="G1377" s="14" t="str">
        <f t="array" ref="G1377">IF(B1377="", "",
  LET(_xlpm.spell, IFERROR(IF(F1377="", "", INDEX(_xlws.FILTER(Hairstyles!$F:$F, ISNUMBER(SEARCH(F1377, Hairstyles!$B:$B))), 1)), "No Spell for Hairstyle"),
  _xlpm.vanillaPrefix, IF(LEFT(_xlpm.spell, 7)="Uvi_Wig", "", ";"),
  ";" &amp; IF(C1377="", B1377, C1377) &amp; IF(M1377="", "", " ("&amp;M1377&amp;")") &amp; CHAR(10) &amp;
  _xlpm.vanillaPrefix &amp; "Keyword = Uvi_Wig_Distr_KYWD|" &amp; B1377 &amp; CHAR(10) &amp;
  _xlpm.vanillaPrefix &amp; "Spell = " &amp; _xlpm.spell &amp; "|" &amp; B1377
  )
)</f>
        <v>;Sharamph
;Keyword = Uvi_Wig_Distr_KYWD|Sharamph
;Spell = No Spell for Hairstyle|Sharamph</v>
      </c>
    </row>
    <row r="1378" ht="12.75" customHeight="1">
      <c r="A1378" s="5" t="s">
        <v>4918</v>
      </c>
      <c r="B1378" s="5" t="s">
        <v>4919</v>
      </c>
      <c r="C1378" s="5" t="s">
        <v>4919</v>
      </c>
      <c r="D1378" s="5" t="s">
        <v>65</v>
      </c>
      <c r="E1378" s="5" t="s">
        <v>41</v>
      </c>
      <c r="F1378" s="5" t="s">
        <v>1831</v>
      </c>
      <c r="G1378" s="14" t="str">
        <f t="array" ref="G1378">IF(B1378="", "",
  LET(_xlpm.spell, IFERROR(IF(F1378="", "", INDEX(_xlws.FILTER(Hairstyles!$F:$F, ISNUMBER(SEARCH(F1378, Hairstyles!$B:$B))), 1)), "No Spell for Hairstyle"),
  _xlpm.vanillaPrefix, IF(LEFT(_xlpm.spell, 7)="Uvi_Wig", "", ";"),
  ";" &amp; IF(C1378="", B1378, C1378) &amp; IF(M1378="", "", " ("&amp;M1378&amp;")") &amp; CHAR(10) &amp;
  _xlpm.vanillaPrefix &amp; "Keyword = Uvi_Wig_Distr_KYWD|" &amp; B1378 &amp; CHAR(10) &amp;
  _xlpm.vanillaPrefix &amp; "Spell = " &amp; _xlpm.spell &amp; "|" &amp; B1378
  )
)</f>
        <v>;Shavari
;Keyword = Uvi_Wig_Distr_KYWD|Shavari
;Spell = No Spell for Hairstyle|Shavari</v>
      </c>
    </row>
    <row r="1379" ht="12.75" customHeight="1">
      <c r="A1379" s="5" t="s">
        <v>4920</v>
      </c>
      <c r="B1379" s="5" t="s">
        <v>4921</v>
      </c>
      <c r="C1379" s="5" t="s">
        <v>4921</v>
      </c>
      <c r="D1379" s="5" t="s">
        <v>80</v>
      </c>
      <c r="E1379" s="5" t="s">
        <v>41</v>
      </c>
      <c r="F1379" s="5" t="s">
        <v>4917</v>
      </c>
      <c r="G1379" s="14" t="str">
        <f t="array" ref="G1379">IF(B1379="", "",
  LET(_xlpm.spell, IFERROR(IF(F1379="", "", INDEX(_xlws.FILTER(Hairstyles!$F:$F, ISNUMBER(SEARCH(F1379, Hairstyles!$B:$B))), 1)), "No Spell for Hairstyle"),
  _xlpm.vanillaPrefix, IF(LEFT(_xlpm.spell, 7)="Uvi_Wig", "", ";"),
  ";" &amp; IF(C1379="", B1379, C1379) &amp; IF(M1379="", "", " ("&amp;M1379&amp;")") &amp; CHAR(10) &amp;
  _xlpm.vanillaPrefix &amp; "Keyword = Uvi_Wig_Distr_KYWD|" &amp; B1379 &amp; CHAR(10) &amp;
  _xlpm.vanillaPrefix &amp; "Spell = " &amp; _xlpm.spell &amp; "|" &amp; B1379
  )
)</f>
        <v>;Shel
;Keyword = Uvi_Wig_Distr_KYWD|Shel
;Spell = No Spell for Hairstyle|Shel</v>
      </c>
    </row>
    <row r="1380" ht="12.75" customHeight="1">
      <c r="A1380" s="5" t="s">
        <v>4922</v>
      </c>
      <c r="B1380" s="5" t="s">
        <v>4923</v>
      </c>
      <c r="C1380" s="5" t="s">
        <v>4924</v>
      </c>
      <c r="D1380" s="5" t="s">
        <v>16</v>
      </c>
      <c r="E1380" s="5" t="s">
        <v>233</v>
      </c>
      <c r="F1380" s="5" t="s">
        <v>1906</v>
      </c>
      <c r="G1380" s="14" t="str">
        <f t="array" ref="G1380">IF(B1380="", "",
  LET(_xlpm.spell, IFERROR(IF(F1380="", "", INDEX(_xlws.FILTER(Hairstyles!$F:$F, ISNUMBER(SEARCH(F1380, Hairstyles!$B:$B))), 1)), "No Spell for Hairstyle"),
  _xlpm.vanillaPrefix, IF(LEFT(_xlpm.spell, 7)="Uvi_Wig", "", ";"),
  ";" &amp; IF(C1380="", B1380, C1380) &amp; IF(M1380="", "", " ("&amp;M1380&amp;")") &amp; CHAR(10) &amp;
  _xlpm.vanillaPrefix &amp; "Keyword = Uvi_Wig_Distr_KYWD|" &amp; B1380 &amp; CHAR(10) &amp;
  _xlpm.vanillaPrefix &amp; "Spell = " &amp; _xlpm.spell &amp; "|" &amp; B1380
  )
)</f>
        <v>;Sheogorath
;Keyword = Uvi_Wig_Distr_KYWD|DA15Sheogorath
;Spell = No Spell for Hairstyle|DA15Sheogorath</v>
      </c>
    </row>
    <row r="1381" ht="12.75" customHeight="1">
      <c r="A1381" s="15" t="s">
        <v>4925</v>
      </c>
      <c r="B1381" s="5" t="s">
        <v>4926</v>
      </c>
      <c r="C1381" s="5" t="s">
        <v>4926</v>
      </c>
      <c r="D1381" s="5" t="s">
        <v>80</v>
      </c>
      <c r="E1381" s="5" t="s">
        <v>41</v>
      </c>
      <c r="F1381" s="5" t="s">
        <v>430</v>
      </c>
      <c r="G1381" s="14" t="str">
        <f t="array" ref="G1381">IF(B1381="", "",
  LET(_xlpm.spell, IFERROR(IF(F1381="", "", INDEX(_xlws.FILTER(Hairstyles!$F:$F, ISNUMBER(SEARCH(F1381, Hairstyles!$B:$B))), 1)), "No Spell for Hairstyle"),
  _xlpm.vanillaPrefix, IF(LEFT(_xlpm.spell, 7)="Uvi_Wig", "", ";"),
  ";" &amp; IF(C1381="", B1381, C1381) &amp; IF(M1381="", "", " ("&amp;M1381&amp;")") &amp; CHAR(10) &amp;
  _xlpm.vanillaPrefix &amp; "Keyword = Uvi_Wig_Distr_KYWD|" &amp; B1381 &amp; CHAR(10) &amp;
  _xlpm.vanillaPrefix &amp; "Spell = " &amp; _xlpm.spell &amp; "|" &amp; B1381
  )
)</f>
        <v>;Shuftharz
;Keyword = Uvi_Wig_Distr_KYWD|Shuftharz
;Spell = No Spell for Hairstyle|Shuftharz</v>
      </c>
    </row>
    <row r="1382" ht="12.75" customHeight="1">
      <c r="A1382" s="5" t="s">
        <v>4927</v>
      </c>
      <c r="B1382" s="5" t="s">
        <v>4928</v>
      </c>
      <c r="C1382" s="5" t="s">
        <v>4929</v>
      </c>
      <c r="D1382" s="5" t="s">
        <v>38</v>
      </c>
      <c r="E1382" s="5" t="s">
        <v>233</v>
      </c>
      <c r="F1382" s="5" t="s">
        <v>84</v>
      </c>
      <c r="G1382" s="14" t="str">
        <f t="array" ref="G1382">IF(B1382="", "",
  LET(_xlpm.spell, IFERROR(IF(F1382="", "", INDEX(_xlws.FILTER(Hairstyles!$F:$F, ISNUMBER(SEARCH(F1382, Hairstyles!$B:$B))), 1)), "No Spell for Hairstyle"),
  _xlpm.vanillaPrefix, IF(LEFT(_xlpm.spell, 7)="Uvi_Wig", "", ";"),
  ";" &amp; IF(C1382="", B1382, C1382) &amp; IF(M1382="", "", " ("&amp;M1382&amp;")") &amp; CHAR(10) &amp;
  _xlpm.vanillaPrefix &amp; "Keyword = Uvi_Wig_Distr_KYWD|" &amp; B1382 &amp; CHAR(10) &amp;
  _xlpm.vanillaPrefix &amp; "Spell = " &amp; _xlpm.spell &amp; "|" &amp; B1382
  )
)</f>
        <v>;Sibbi Black-Briar
;Keyword = Uvi_Wig_Distr_KYWD|Sibbi
;Spell = No Spell for Hairstyle|Sibbi</v>
      </c>
    </row>
    <row r="1383" ht="12.75" customHeight="1">
      <c r="A1383" s="5" t="s">
        <v>4930</v>
      </c>
      <c r="B1383" s="5" t="s">
        <v>4931</v>
      </c>
      <c r="C1383" s="5" t="s">
        <v>4932</v>
      </c>
      <c r="D1383" s="5" t="s">
        <v>38</v>
      </c>
      <c r="E1383" s="5" t="s">
        <v>41</v>
      </c>
      <c r="F1383" s="5" t="s">
        <v>1557</v>
      </c>
      <c r="G1383" s="14" t="str">
        <f t="array" ref="G1383">IF(B1383="", "",
  LET(_xlpm.spell, IFERROR(IF(F1383="", "", INDEX(_xlws.FILTER(Hairstyles!$F:$F, ISNUMBER(SEARCH(F1383, Hairstyles!$B:$B))), 1)), "No Spell for Hairstyle"),
  _xlpm.vanillaPrefix, IF(LEFT(_xlpm.spell, 7)="Uvi_Wig", "", ";"),
  ";" &amp; IF(C1383="", B1383, C1383) &amp; IF(M1383="", "", " ("&amp;M1383&amp;")") &amp; CHAR(10) &amp;
  _xlpm.vanillaPrefix &amp; "Keyword = Uvi_Wig_Distr_KYWD|" &amp; B1383 &amp; CHAR(10) &amp;
  _xlpm.vanillaPrefix &amp; "Spell = " &amp; _xlpm.spell &amp; "|" &amp; B1383
  )
)</f>
        <v>;Sickly Farmer
;Keyword = Uvi_Wig_Distr_KYWD|WhiterunTempleSicklyFarmer
;Spell = No Spell for Hairstyle|WhiterunTempleSicklyFarmer</v>
      </c>
    </row>
    <row r="1384" ht="12.75" customHeight="1">
      <c r="A1384" s="15" t="s">
        <v>4933</v>
      </c>
      <c r="B1384" s="5" t="s">
        <v>4934</v>
      </c>
      <c r="C1384" s="5" t="s">
        <v>4934</v>
      </c>
      <c r="D1384" s="5" t="s">
        <v>38</v>
      </c>
      <c r="E1384" s="5" t="s">
        <v>233</v>
      </c>
      <c r="F1384" s="5" t="s">
        <v>990</v>
      </c>
      <c r="G1384" s="14" t="str">
        <f t="array" ref="G1384">IF(B1384="", "",
  LET(_xlpm.spell, IFERROR(IF(F1384="", "", INDEX(_xlws.FILTER(Hairstyles!$F:$F, ISNUMBER(SEARCH(F1384, Hairstyles!$B:$B))), 1)), "No Spell for Hairstyle"),
  _xlpm.vanillaPrefix, IF(LEFT(_xlpm.spell, 7)="Uvi_Wig", "", ";"),
  ";" &amp; IF(C1384="", B1384, C1384) &amp; IF(M1384="", "", " ("&amp;M1384&amp;")") &amp; CHAR(10) &amp;
  _xlpm.vanillaPrefix &amp; "Keyword = Uvi_Wig_Distr_KYWD|" &amp; B1384 &amp; CHAR(10) &amp;
  _xlpm.vanillaPrefix &amp; "Spell = " &amp; _xlpm.spell &amp; "|" &amp; B1384
  )
)</f>
        <v>;Siddgeir
;Keyword = Uvi_Wig_Distr_KYWD|Siddgeir
;Spell = No Spell for Hairstyle|Siddgeir</v>
      </c>
    </row>
    <row r="1385" ht="12.75" customHeight="1">
      <c r="A1385" s="5" t="s">
        <v>4935</v>
      </c>
      <c r="B1385" s="5" t="s">
        <v>4936</v>
      </c>
      <c r="C1385" s="5" t="s">
        <v>4937</v>
      </c>
      <c r="D1385" s="5" t="s">
        <v>51</v>
      </c>
      <c r="E1385" s="5" t="s">
        <v>233</v>
      </c>
      <c r="F1385" s="5" t="s">
        <v>762</v>
      </c>
      <c r="G1385" s="14" t="str">
        <f t="array" ref="G1385">IF(B1385="", "",
  LET(_xlpm.spell, IFERROR(IF(F1385="", "", INDEX(_xlws.FILTER(Hairstyles!$F:$F, ISNUMBER(SEARCH(F1385, Hairstyles!$B:$B))), 1)), "No Spell for Hairstyle"),
  _xlpm.vanillaPrefix, IF(LEFT(_xlpm.spell, 7)="Uvi_Wig", "", ";"),
  ";" &amp; IF(C1385="", B1385, C1385) &amp; IF(M1385="", "", " ("&amp;M1385&amp;")") &amp; CHAR(10) &amp;
  _xlpm.vanillaPrefix &amp; "Keyword = Uvi_Wig_Distr_KYWD|" &amp; B1385 &amp; CHAR(10) &amp;
  _xlpm.vanillaPrefix &amp; "Spell = " &amp; _xlpm.spell &amp; "|" &amp; B1385
  )
)</f>
        <v>;Sifnar Ironkettle
;Keyword = Uvi_Wig_Distr_KYWD|Sifnar
;Spell = No Spell for Hairstyle|Sifnar</v>
      </c>
    </row>
    <row r="1386" ht="12.75" customHeight="1">
      <c r="A1386" s="5" t="s">
        <v>4938</v>
      </c>
      <c r="B1386" s="5" t="s">
        <v>4939</v>
      </c>
      <c r="C1386" s="5" t="s">
        <v>4940</v>
      </c>
      <c r="D1386" s="5" t="s">
        <v>38</v>
      </c>
      <c r="E1386" s="5" t="s">
        <v>233</v>
      </c>
      <c r="F1386" s="5" t="s">
        <v>762</v>
      </c>
      <c r="G1386" s="14" t="str">
        <f t="array" ref="G1386">IF(B1386="", "",
  LET(_xlpm.spell, IFERROR(IF(F1386="", "", INDEX(_xlws.FILTER(Hairstyles!$F:$F, ISNUMBER(SEARCH(F1386, Hairstyles!$B:$B))), 1)), "No Spell for Hairstyle"),
  _xlpm.vanillaPrefix, IF(LEFT(_xlpm.spell, 7)="Uvi_Wig", "", ";"),
  ";" &amp; IF(C1386="", B1386, C1386) &amp; IF(M1386="", "", " ("&amp;M1386&amp;")") &amp; CHAR(10) &amp;
  _xlpm.vanillaPrefix &amp; "Keyword = Uvi_Wig_Distr_KYWD|" &amp; B1386 &amp; CHAR(10) &amp;
  _xlpm.vanillaPrefix &amp; "Spell = " &amp; _xlpm.spell &amp; "|" &amp; B1386
  )
)</f>
        <v>;Sigaar
;Keyword = Uvi_Wig_Distr_KYWD|CarriageDriverRiften
;Spell = No Spell for Hairstyle|CarriageDriverRiften</v>
      </c>
    </row>
    <row r="1387" ht="12.75" customHeight="1">
      <c r="A1387" s="5" t="s">
        <v>4941</v>
      </c>
      <c r="B1387" s="5" t="s">
        <v>4942</v>
      </c>
      <c r="C1387" s="5" t="s">
        <v>4943</v>
      </c>
      <c r="D1387" s="5" t="s">
        <v>38</v>
      </c>
      <c r="E1387" s="5" t="s">
        <v>233</v>
      </c>
      <c r="F1387" s="5" t="s">
        <v>2030</v>
      </c>
      <c r="G1387" s="14" t="str">
        <f t="array" ref="G1387">IF(B1387="", "",
  LET(_xlpm.spell, IFERROR(IF(F1387="", "", INDEX(_xlws.FILTER(Hairstyles!$F:$F, ISNUMBER(SEARCH(F1387, Hairstyles!$B:$B))), 1)), "No Spell for Hairstyle"),
  _xlpm.vanillaPrefix, IF(LEFT(_xlpm.spell, 7)="Uvi_Wig", "", ";"),
  ";" &amp; IF(C1387="", B1387, C1387) &amp; IF(M1387="", "", " ("&amp;M1387&amp;")") &amp; CHAR(10) &amp;
  _xlpm.vanillaPrefix &amp; "Keyword = Uvi_Wig_Distr_KYWD|" &amp; B1387 &amp; CHAR(10) &amp;
  _xlpm.vanillaPrefix &amp; "Spell = " &amp; _xlpm.spell &amp; "|" &amp; B1387
  )
)</f>
        <v>;Sigar
;Keyword = Uvi_Wig_Distr_KYWD|WEJS11Sigar
;Spell = No Spell for Hairstyle|WEJS11Sigar</v>
      </c>
    </row>
    <row r="1388" ht="12.75" customHeight="1">
      <c r="A1388" s="15" t="s">
        <v>4944</v>
      </c>
      <c r="B1388" s="5" t="s">
        <v>4945</v>
      </c>
      <c r="C1388" s="5" t="s">
        <v>4945</v>
      </c>
      <c r="D1388" s="5" t="s">
        <v>38</v>
      </c>
      <c r="E1388" s="5" t="s">
        <v>41</v>
      </c>
      <c r="F1388" s="5" t="s">
        <v>270</v>
      </c>
      <c r="G1388" s="14" t="str">
        <f t="array" ref="G1388">IF(B1388="", "",
  LET(_xlpm.spell, IFERROR(IF(F1388="", "", INDEX(_xlws.FILTER(Hairstyles!$F:$F, ISNUMBER(SEARCH(F1388, Hairstyles!$B:$B))), 1)), "No Spell for Hairstyle"),
  _xlpm.vanillaPrefix, IF(LEFT(_xlpm.spell, 7)="Uvi_Wig", "", ";"),
  ";" &amp; IF(C1388="", B1388, C1388) &amp; IF(M1388="", "", " ("&amp;M1388&amp;")") &amp; CHAR(10) &amp;
  _xlpm.vanillaPrefix &amp; "Keyword = Uvi_Wig_Distr_KYWD|" &amp; B1388 &amp; CHAR(10) &amp;
  _xlpm.vanillaPrefix &amp; "Spell = " &amp; _xlpm.spell &amp; "|" &amp; B1388
  )
)</f>
        <v>;Sigrid
;Keyword = Uvi_Wig_Distr_KYWD|Sigrid
;Spell = No Spell for Hairstyle|Sigrid</v>
      </c>
    </row>
    <row r="1389" ht="12.75" customHeight="1">
      <c r="A1389" s="5" t="s">
        <v>4946</v>
      </c>
      <c r="B1389" s="5" t="s">
        <v>4947</v>
      </c>
      <c r="C1389" s="5" t="s">
        <v>4947</v>
      </c>
      <c r="D1389" s="5" t="s">
        <v>38</v>
      </c>
      <c r="E1389" s="5" t="s">
        <v>233</v>
      </c>
      <c r="F1389" s="5" t="s">
        <v>84</v>
      </c>
      <c r="G1389" s="14" t="str">
        <f t="array" ref="G1389">IF(B1389="", "",
  LET(_xlpm.spell, IFERROR(IF(F1389="", "", INDEX(_xlws.FILTER(Hairstyles!$F:$F, ISNUMBER(SEARCH(F1389, Hairstyles!$B:$B))), 1)), "No Spell for Hairstyle"),
  _xlpm.vanillaPrefix, IF(LEFT(_xlpm.spell, 7)="Uvi_Wig", "", ";"),
  ";" &amp; IF(C1389="", B1389, C1389) &amp; IF(M1389="", "", " ("&amp;M1389&amp;")") &amp; CHAR(10) &amp;
  _xlpm.vanillaPrefix &amp; "Keyword = Uvi_Wig_Distr_KYWD|" &amp; B1389 &amp; CHAR(10) &amp;
  _xlpm.vanillaPrefix &amp; "Spell = " &amp; _xlpm.spell &amp; "|" &amp; B1389
  )
)</f>
        <v>;Sigurd
;Keyword = Uvi_Wig_Distr_KYWD|Sigurd
;Spell = No Spell for Hairstyle|Sigurd</v>
      </c>
    </row>
    <row r="1390" ht="12.75" customHeight="1">
      <c r="A1390" s="5" t="s">
        <v>4948</v>
      </c>
      <c r="B1390" s="5" t="s">
        <v>4949</v>
      </c>
      <c r="C1390" s="5" t="s">
        <v>4950</v>
      </c>
      <c r="D1390" s="5" t="s">
        <v>59</v>
      </c>
      <c r="E1390" s="5" t="s">
        <v>41</v>
      </c>
      <c r="F1390" s="5" t="s">
        <v>270</v>
      </c>
      <c r="G1390" s="14" t="str">
        <f t="array" ref="G1390">IF(B1390="", "",
  LET(_xlpm.spell, IFERROR(IF(F1390="", "", INDEX(_xlws.FILTER(Hairstyles!$F:$F, ISNUMBER(SEARCH(F1390, Hairstyles!$B:$B))), 1)), "No Spell for Hairstyle"),
  _xlpm.vanillaPrefix, IF(LEFT(_xlpm.spell, 7)="Uvi_Wig", "", ";"),
  ";" &amp; IF(C1390="", B1390, C1390) &amp; IF(M1390="", "", " ("&amp;M1390&amp;")") &amp; CHAR(10) &amp;
  _xlpm.vanillaPrefix &amp; "Keyword = Uvi_Wig_Distr_KYWD|" &amp; B1390 &amp; CHAR(10) &amp;
  _xlpm.vanillaPrefix &amp; "Spell = " &amp; _xlpm.spell &amp; "|" &amp; B1390
  )
)</f>
        <v>;Silana Petreia
;Keyword = Uvi_Wig_Distr_KYWD|SilanaPetreia
;Spell = No Spell for Hairstyle|SilanaPetreia</v>
      </c>
    </row>
    <row r="1391" ht="12.75" customHeight="1">
      <c r="A1391" s="5" t="s">
        <v>4951</v>
      </c>
      <c r="B1391" s="5" t="s">
        <v>4952</v>
      </c>
      <c r="C1391" s="5" t="s">
        <v>4953</v>
      </c>
      <c r="D1391" s="5" t="s">
        <v>38</v>
      </c>
      <c r="E1391" s="5" t="s">
        <v>233</v>
      </c>
      <c r="F1391" s="5" t="s">
        <v>1553</v>
      </c>
      <c r="G1391" s="14" t="str">
        <f t="array" ref="G1391">IF(B1391="", "",
  LET(_xlpm.spell, IFERROR(IF(F1391="", "", INDEX(_xlws.FILTER(Hairstyles!$F:$F, ISNUMBER(SEARCH(F1391, Hairstyles!$B:$B))), 1)), "No Spell for Hairstyle"),
  _xlpm.vanillaPrefix, IF(LEFT(_xlpm.spell, 7)="Uvi_Wig", "", ";"),
  ";" &amp; IF(C1391="", B1391, C1391) &amp; IF(M1391="", "", " ("&amp;M1391&amp;")") &amp; CHAR(10) &amp;
  _xlpm.vanillaPrefix &amp; "Keyword = Uvi_Wig_Distr_KYWD|" &amp; B1391 &amp; CHAR(10) &amp;
  _xlpm.vanillaPrefix &amp; "Spell = " &amp; _xlpm.spell &amp; "|" &amp; B1391
  )
)</f>
        <v>;Sild the Warlock
;Keyword = Uvi_Wig_Distr_KYWD|dunRannLvlWarlockBoss
;Spell = No Spell for Hairstyle|dunRannLvlWarlockBoss</v>
      </c>
    </row>
    <row r="1392" ht="12.75" customHeight="1">
      <c r="A1392" s="5" t="s">
        <v>4954</v>
      </c>
      <c r="B1392" s="5" t="s">
        <v>4955</v>
      </c>
      <c r="C1392" s="5" t="s">
        <v>4956</v>
      </c>
      <c r="D1392" s="5" t="s">
        <v>45</v>
      </c>
      <c r="E1392" s="5" t="s">
        <v>41</v>
      </c>
      <c r="F1392" s="5" t="s">
        <v>512</v>
      </c>
      <c r="G1392" s="14" t="str">
        <f t="array" ref="G1392">IF(B1392="", "",
  LET(_xlpm.spell, IFERROR(IF(F1392="", "", INDEX(_xlws.FILTER(Hairstyles!$F:$F, ISNUMBER(SEARCH(F1392, Hairstyles!$B:$B))), 1)), "No Spell for Hairstyle"),
  _xlpm.vanillaPrefix, IF(LEFT(_xlpm.spell, 7)="Uvi_Wig", "", ";"),
  ";" &amp; IF(C1392="", B1392, C1392) &amp; IF(M1392="", "", " ("&amp;M1392&amp;")") &amp; CHAR(10) &amp;
  _xlpm.vanillaPrefix &amp; "Keyword = Uvi_Wig_Distr_KYWD|" &amp; B1392 &amp; CHAR(10) &amp;
  _xlpm.vanillaPrefix &amp; "Spell = " &amp; _xlpm.spell &amp; "|" &amp; B1392
  )
)</f>
        <v>;Sild's Assistant
;Keyword = Uvi_Wig_Distr_KYWD|dunRannLvlWarlockAssistant
;Spell = No Spell for Hairstyle|dunRannLvlWarlockAssistant</v>
      </c>
    </row>
    <row r="1393" ht="12.75" customHeight="1">
      <c r="A1393" s="15" t="s">
        <v>4957</v>
      </c>
      <c r="B1393" s="5" t="s">
        <v>4958</v>
      </c>
      <c r="C1393" s="5" t="s">
        <v>4959</v>
      </c>
      <c r="D1393" s="5" t="s">
        <v>38</v>
      </c>
      <c r="E1393" s="5" t="s">
        <v>41</v>
      </c>
      <c r="F1393" s="5" t="s">
        <v>1041</v>
      </c>
      <c r="G1393" s="14" t="str">
        <f t="array" ref="G1393">IF(B1393="", "",
  LET(_xlpm.spell, IFERROR(IF(F1393="", "", INDEX(_xlws.FILTER(Hairstyles!$F:$F, ISNUMBER(SEARCH(F1393, Hairstyles!$B:$B))), 1)), "No Spell for Hairstyle"),
  _xlpm.vanillaPrefix, IF(LEFT(_xlpm.spell, 7)="Uvi_Wig", "", ";"),
  ";" &amp; IF(C1393="", B1393, C1393) &amp; IF(M1393="", "", " ("&amp;M1393&amp;")") &amp; CHAR(10) &amp;
  _xlpm.vanillaPrefix &amp; "Keyword = Uvi_Wig_Distr_KYWD|" &amp; B1393 &amp; CHAR(10) &amp;
  _xlpm.vanillaPrefix &amp; "Spell = " &amp; _xlpm.spell &amp; "|" &amp; B1393
  )
)</f>
        <v>;Silda the Unseen
;Keyword = Uvi_Wig_Distr_KYWD|Silda
;Spell = No Spell for Hairstyle|Silda</v>
      </c>
    </row>
    <row r="1394" ht="12.75" customHeight="1">
      <c r="A1394" s="5" t="s">
        <v>4960</v>
      </c>
      <c r="B1394" s="5" t="s">
        <v>4961</v>
      </c>
      <c r="C1394" s="5" t="s">
        <v>4962</v>
      </c>
      <c r="D1394" s="5" t="s">
        <v>59</v>
      </c>
      <c r="E1394" s="5" t="s">
        <v>233</v>
      </c>
      <c r="F1394" s="5" t="s">
        <v>1906</v>
      </c>
      <c r="G1394" s="14" t="str">
        <f t="array" ref="G1394">IF(B1394="", "",
  LET(_xlpm.spell, IFERROR(IF(F1394="", "", INDEX(_xlws.FILTER(Hairstyles!$F:$F, ISNUMBER(SEARCH(F1394, Hairstyles!$B:$B))), 1)), "No Spell for Hairstyle"),
  _xlpm.vanillaPrefix, IF(LEFT(_xlpm.spell, 7)="Uvi_Wig", "", ";"),
  ";" &amp; IF(C1394="", B1394, C1394) &amp; IF(M1394="", "", " ("&amp;M1394&amp;")") &amp; CHAR(10) &amp;
  _xlpm.vanillaPrefix &amp; "Keyword = Uvi_Wig_Distr_KYWD|" &amp; B1394 &amp; CHAR(10) &amp;
  _xlpm.vanillaPrefix &amp; "Spell = " &amp; _xlpm.spell &amp; "|" &amp; B1394
  )
)</f>
        <v>;Silus Vesuius
;Keyword = Uvi_Wig_Distr_KYWD|SilusVesuius
;Spell = No Spell for Hairstyle|SilusVesuius</v>
      </c>
    </row>
    <row r="1395" ht="12.75" customHeight="1">
      <c r="A1395" s="5" t="s">
        <v>4963</v>
      </c>
      <c r="B1395" s="5" t="s">
        <v>4964</v>
      </c>
      <c r="C1395" s="5" t="s">
        <v>4965</v>
      </c>
      <c r="D1395" s="5" t="s">
        <v>38</v>
      </c>
      <c r="E1395" s="5" t="s">
        <v>41</v>
      </c>
      <c r="F1395" s="5" t="s">
        <v>1759</v>
      </c>
      <c r="G1395" s="14" t="str">
        <f t="array" ref="G1395">IF(B1395="", "",
  LET(_xlpm.spell, IFERROR(IF(F1395="", "", INDEX(_xlws.FILTER(Hairstyles!$F:$F, ISNUMBER(SEARCH(F1395, Hairstyles!$B:$B))), 1)), "No Spell for Hairstyle"),
  _xlpm.vanillaPrefix, IF(LEFT(_xlpm.spell, 7)="Uvi_Wig", "", ";"),
  ";" &amp; IF(C1395="", B1395, C1395) &amp; IF(M1395="", "", " ("&amp;M1395&amp;")") &amp; CHAR(10) &amp;
  _xlpm.vanillaPrefix &amp; "Keyword = Uvi_Wig_Distr_KYWD|" &amp; B1395 &amp; CHAR(10) &amp;
  _xlpm.vanillaPrefix &amp; "Spell = " &amp; _xlpm.spell &amp; "|" &amp; B1395
  )
)</f>
        <v>;Silver Hand Warrior
;Keyword = Uvi_Wig_Distr_KYWD|TreasCorpseSilverHandNordFemale
;Spell = No Spell for Hairstyle|TreasCorpseSilverHandNordFemale</v>
      </c>
    </row>
    <row r="1396" ht="12.75" customHeight="1">
      <c r="A1396" s="5" t="s">
        <v>4966</v>
      </c>
      <c r="B1396" s="5" t="s">
        <v>4967</v>
      </c>
      <c r="C1396" s="5" t="s">
        <v>4965</v>
      </c>
      <c r="D1396" s="5" t="s">
        <v>38</v>
      </c>
      <c r="E1396" s="5" t="s">
        <v>233</v>
      </c>
      <c r="F1396" s="5" t="s">
        <v>762</v>
      </c>
      <c r="G1396" s="14" t="str">
        <f t="array" ref="G1396">IF(B1396="", "",
  LET(_xlpm.spell, IFERROR(IF(F1396="", "", INDEX(_xlws.FILTER(Hairstyles!$F:$F, ISNUMBER(SEARCH(F1396, Hairstyles!$B:$B))), 1)), "No Spell for Hairstyle"),
  _xlpm.vanillaPrefix, IF(LEFT(_xlpm.spell, 7)="Uvi_Wig", "", ";"),
  ";" &amp; IF(C1396="", B1396, C1396) &amp; IF(M1396="", "", " ("&amp;M1396&amp;")") &amp; CHAR(10) &amp;
  _xlpm.vanillaPrefix &amp; "Keyword = Uvi_Wig_Distr_KYWD|" &amp; B1396 &amp; CHAR(10) &amp;
  _xlpm.vanillaPrefix &amp; "Spell = " &amp; _xlpm.spell &amp; "|" &amp; B1396
  )
)</f>
        <v>;Silver Hand Warrior
;Keyword = Uvi_Wig_Distr_KYWD|TreasCorpseSilverHandNordMale
;Spell = No Spell for Hairstyle|TreasCorpseSilverHandNordMale</v>
      </c>
    </row>
    <row r="1397" ht="12.75" customHeight="1">
      <c r="A1397" s="5" t="s">
        <v>4968</v>
      </c>
      <c r="B1397" s="5" t="s">
        <v>4969</v>
      </c>
      <c r="C1397" s="5" t="s">
        <v>4970</v>
      </c>
      <c r="D1397" s="5" t="s">
        <v>51</v>
      </c>
      <c r="E1397" s="5" t="s">
        <v>41</v>
      </c>
      <c r="F1397" s="5" t="s">
        <v>270</v>
      </c>
      <c r="G1397" s="14" t="str">
        <f t="array" ref="G1397">IF(B1397="", "",
  LET(_xlpm.spell, IFERROR(IF(F1397="", "", INDEX(_xlws.FILTER(Hairstyles!$F:$F, ISNUMBER(SEARCH(F1397, Hairstyles!$B:$B))), 1)), "No Spell for Hairstyle"),
  _xlpm.vanillaPrefix, IF(LEFT(_xlpm.spell, 7)="Uvi_Wig", "", ";"),
  ";" &amp; IF(C1397="", B1397, C1397) &amp; IF(M1397="", "", " ("&amp;M1397&amp;")") &amp; CHAR(10) &amp;
  _xlpm.vanillaPrefix &amp; "Keyword = Uvi_Wig_Distr_KYWD|" &amp; B1397 &amp; CHAR(10) &amp;
  _xlpm.vanillaPrefix &amp; "Spell = " &amp; _xlpm.spell &amp; "|" &amp; B1397
  )
)</f>
        <v>;Silvia
;Keyword = Uvi_Wig_Distr_KYWD|dunDarklightSilvia
;Spell = No Spell for Hairstyle|dunDarklightSilvia</v>
      </c>
    </row>
    <row r="1398" ht="12.75" customHeight="1">
      <c r="A1398" s="5" t="s">
        <v>4971</v>
      </c>
      <c r="B1398" s="5" t="s">
        <v>4972</v>
      </c>
      <c r="C1398" s="5" t="s">
        <v>4973</v>
      </c>
      <c r="D1398" s="5" t="s">
        <v>38</v>
      </c>
      <c r="E1398" s="5" t="s">
        <v>233</v>
      </c>
      <c r="F1398" s="5" t="s">
        <v>1906</v>
      </c>
      <c r="G1398" s="14" t="str">
        <f t="array" ref="G1398">IF(B1398="", "",
  LET(_xlpm.spell, IFERROR(IF(F1398="", "", INDEX(_xlws.FILTER(Hairstyles!$F:$F, ISNUMBER(SEARCH(F1398, Hairstyles!$B:$B))), 1)), "No Spell for Hairstyle"),
  _xlpm.vanillaPrefix, IF(LEFT(_xlpm.spell, 7)="Uvi_Wig", "", ";"),
  ";" &amp; IF(C1398="", B1398, C1398) &amp; IF(M1398="", "", " ("&amp;M1398&amp;")") &amp; CHAR(10) &amp;
  _xlpm.vanillaPrefix &amp; "Keyword = Uvi_Wig_Distr_KYWD|" &amp; B1398 &amp; CHAR(10) &amp;
  _xlpm.vanillaPrefix &amp; "Spell = " &amp; _xlpm.spell &amp; "|" &amp; B1398
  )
)</f>
        <v>;Sinding
;Keyword = Uvi_Wig_Distr_KYWD|DA05SindingHuman
;Spell = No Spell for Hairstyle|DA05SindingHuman</v>
      </c>
    </row>
    <row r="1399" ht="12.75" customHeight="1">
      <c r="A1399" s="5" t="s">
        <v>4974</v>
      </c>
      <c r="B1399" s="5" t="s">
        <v>4975</v>
      </c>
      <c r="C1399" s="5" t="s">
        <v>4975</v>
      </c>
      <c r="D1399" s="5" t="s">
        <v>38</v>
      </c>
      <c r="E1399" s="5" t="s">
        <v>233</v>
      </c>
      <c r="F1399" s="5" t="s">
        <v>1709</v>
      </c>
      <c r="G1399" s="14" t="str">
        <f t="array" ref="G1399">IF(B1399="", "",
  LET(_xlpm.spell, IFERROR(IF(F1399="", "", INDEX(_xlws.FILTER(Hairstyles!$F:$F, ISNUMBER(SEARCH(F1399, Hairstyles!$B:$B))), 1)), "No Spell for Hairstyle"),
  _xlpm.vanillaPrefix, IF(LEFT(_xlpm.spell, 7)="Uvi_Wig", "", ";"),
  ";" &amp; IF(C1399="", B1399, C1399) &amp; IF(M1399="", "", " ("&amp;M1399&amp;")") &amp; CHAR(10) &amp;
  _xlpm.vanillaPrefix &amp; "Keyword = Uvi_Wig_Distr_KYWD|" &amp; B1399 &amp; CHAR(10) &amp;
  _xlpm.vanillaPrefix &amp; "Spell = " &amp; _xlpm.spell &amp; "|" &amp; B1399
  )
)</f>
        <v>;Sinmir
;Keyword = Uvi_Wig_Distr_KYWD|Sinmir
;Spell = No Spell for Hairstyle|Sinmir</v>
      </c>
    </row>
    <row r="1400" ht="12.75" customHeight="1">
      <c r="A1400" s="15" t="s">
        <v>4976</v>
      </c>
      <c r="B1400" s="5" t="s">
        <v>4977</v>
      </c>
      <c r="C1400" s="5" t="s">
        <v>4977</v>
      </c>
      <c r="D1400" s="5" t="s">
        <v>38</v>
      </c>
      <c r="E1400" s="5" t="s">
        <v>233</v>
      </c>
      <c r="F1400" s="5" t="s">
        <v>68</v>
      </c>
      <c r="G1400" s="14" t="str">
        <f t="array" ref="G1400">IF(B1400="", "",
  LET(_xlpm.spell, IFERROR(IF(F1400="", "", INDEX(_xlws.FILTER(Hairstyles!$F:$F, ISNUMBER(SEARCH(F1400, Hairstyles!$B:$B))), 1)), "No Spell for Hairstyle"),
  _xlpm.vanillaPrefix, IF(LEFT(_xlpm.spell, 7)="Uvi_Wig", "", ";"),
  ";" &amp; IF(C1400="", B1400, C1400) &amp; IF(M1400="", "", " ("&amp;M1400&amp;")") &amp; CHAR(10) &amp;
  _xlpm.vanillaPrefix &amp; "Keyword = Uvi_Wig_Distr_KYWD|" &amp; B1400 &amp; CHAR(10) &amp;
  _xlpm.vanillaPrefix &amp; "Spell = " &amp; _xlpm.spell &amp; "|" &amp; B1400
  )
)</f>
        <v>;Sirgar
;Keyword = Uvi_Wig_Distr_KYWD|Sirgar
;Spell = No Spell for Hairstyle|Sirgar</v>
      </c>
    </row>
    <row r="1401" ht="12.75" customHeight="1">
      <c r="A1401" s="15" t="s">
        <v>4978</v>
      </c>
      <c r="B1401" s="5" t="s">
        <v>4979</v>
      </c>
      <c r="C1401" s="5" t="s">
        <v>4980</v>
      </c>
      <c r="D1401" s="5" t="s">
        <v>38</v>
      </c>
      <c r="E1401" s="5" t="s">
        <v>233</v>
      </c>
      <c r="F1401" s="5" t="s">
        <v>521</v>
      </c>
      <c r="G1401" s="14" t="str">
        <f t="array" ref="G1401">IF(B1401="", "",
  LET(_xlpm.spell, IFERROR(IF(F1401="", "", INDEX(_xlws.FILTER(Hairstyles!$F:$F, ISNUMBER(SEARCH(F1401, Hairstyles!$B:$B))), 1)), "No Spell for Hairstyle"),
  _xlpm.vanillaPrefix, IF(LEFT(_xlpm.spell, 7)="Uvi_Wig", "", ";"),
  ";" &amp; IF(C1401="", B1401, C1401) &amp; IF(M1401="", "", " ("&amp;M1401&amp;")") &amp; CHAR(10) &amp;
  _xlpm.vanillaPrefix &amp; "Keyword = Uvi_Wig_Distr_KYWD|" &amp; B1401 &amp; CHAR(10) &amp;
  _xlpm.vanillaPrefix &amp; "Spell = " &amp; _xlpm.spell &amp; "|" &amp; B1401
  )
)</f>
        <v>;Sirkjorg
;Keyword = Uvi_Wig_Distr_KYWD|DLC2Sirkjorg
;Spell = No Spell for Hairstyle|DLC2Sirkjorg</v>
      </c>
    </row>
    <row r="1402" ht="12.75" customHeight="1">
      <c r="A1402" s="5" t="s">
        <v>4981</v>
      </c>
      <c r="B1402" s="5" t="s">
        <v>4982</v>
      </c>
      <c r="C1402" s="5" t="s">
        <v>4982</v>
      </c>
      <c r="D1402" s="5" t="s">
        <v>74</v>
      </c>
      <c r="E1402" s="5" t="s">
        <v>41</v>
      </c>
      <c r="F1402" s="5" t="s">
        <v>28</v>
      </c>
      <c r="G1402" s="14" t="str">
        <f t="array" ref="G1402">IF(B1402="", "",
  LET(_xlpm.spell, IFERROR(IF(F1402="", "", INDEX(_xlws.FILTER(Hairstyles!$F:$F, ISNUMBER(SEARCH(F1402, Hairstyles!$B:$B))), 1)), "No Spell for Hairstyle"),
  _xlpm.vanillaPrefix, IF(LEFT(_xlpm.spell, 7)="Uvi_Wig", "", ";"),
  ";" &amp; IF(C1402="", B1402, C1402) &amp; IF(M1402="", "", " ("&amp;M1402&amp;")") &amp; CHAR(10) &amp;
  _xlpm.vanillaPrefix &amp; "Keyword = Uvi_Wig_Distr_KYWD|" &amp; B1402 &amp; CHAR(10) &amp;
  _xlpm.vanillaPrefix &amp; "Spell = " &amp; _xlpm.spell &amp; "|" &amp; B1402
  )
)</f>
        <v>;Sissel
;Keyword = Uvi_Wig_Distr_KYWD|Sissel
;Spell = No Spell for Hairstyle|Sissel</v>
      </c>
    </row>
    <row r="1403" ht="12.75" customHeight="1">
      <c r="A1403" s="5" t="s">
        <v>4983</v>
      </c>
      <c r="B1403" s="5" t="s">
        <v>4984</v>
      </c>
      <c r="C1403" s="5" t="s">
        <v>4985</v>
      </c>
      <c r="D1403" s="5" t="s">
        <v>38</v>
      </c>
      <c r="E1403" s="5" t="s">
        <v>233</v>
      </c>
      <c r="F1403" s="5" t="s">
        <v>1700</v>
      </c>
      <c r="G1403" s="14" t="str">
        <f t="array" ref="G1403">IF(B1403="", "",
  LET(_xlpm.spell, IFERROR(IF(F1403="", "", INDEX(_xlws.FILTER(Hairstyles!$F:$F, ISNUMBER(SEARCH(F1403, Hairstyles!$B:$B))), 1)), "No Spell for Hairstyle"),
  _xlpm.vanillaPrefix, IF(LEFT(_xlpm.spell, 7)="Uvi_Wig", "", ";"),
  ";" &amp; IF(C1403="", B1403, C1403) &amp; IF(M1403="", "", " ("&amp;M1403&amp;")") &amp; CHAR(10) &amp;
  _xlpm.vanillaPrefix &amp; "Keyword = Uvi_Wig_Distr_KYWD|" &amp; B1403 &amp; CHAR(10) &amp;
  _xlpm.vanillaPrefix &amp; "Spell = " &amp; _xlpm.spell &amp; "|" &amp; B1403
  )
)</f>
        <v>;Skaggi Scar-Face
;Keyword = Uvi_Wig_Distr_KYWD|Skaggi
;Spell = No Spell for Hairstyle|Skaggi</v>
      </c>
    </row>
    <row r="1404" ht="12.75" customHeight="1">
      <c r="A1404" s="15" t="s">
        <v>4986</v>
      </c>
      <c r="B1404" s="5" t="s">
        <v>4987</v>
      </c>
      <c r="C1404" s="5" t="s">
        <v>4988</v>
      </c>
      <c r="D1404" s="5" t="s">
        <v>51</v>
      </c>
      <c r="E1404" s="5" t="s">
        <v>233</v>
      </c>
      <c r="F1404" s="5" t="s">
        <v>84</v>
      </c>
      <c r="G1404" s="14" t="str">
        <f t="array" ref="G1404">IF(B1404="", "",
  LET(_xlpm.spell, IFERROR(IF(F1404="", "", INDEX(_xlws.FILTER(Hairstyles!$F:$F, ISNUMBER(SEARCH(F1404, Hairstyles!$B:$B))), 1)), "No Spell for Hairstyle"),
  _xlpm.vanillaPrefix, IF(LEFT(_xlpm.spell, 7)="Uvi_Wig", "", ";"),
  ";" &amp; IF(C1404="", B1404, C1404) &amp; IF(M1404="", "", " ("&amp;M1404&amp;")") &amp; CHAR(10) &amp;
  _xlpm.vanillaPrefix &amp; "Keyword = Uvi_Wig_Distr_KYWD|" &amp; B1404 &amp; CHAR(10) &amp;
  _xlpm.vanillaPrefix &amp; "Spell = " &amp; _xlpm.spell &amp; "|" &amp; B1404
  )
)</f>
        <v>;Skald
;Keyword = Uvi_Wig_Distr_KYWD|SkaldtheElder
;Spell = No Spell for Hairstyle|SkaldtheElder</v>
      </c>
    </row>
    <row r="1405" ht="12.75" customHeight="1">
      <c r="A1405" s="5" t="s">
        <v>4989</v>
      </c>
      <c r="B1405" s="5" t="s">
        <v>4990</v>
      </c>
      <c r="C1405" s="5" t="s">
        <v>4991</v>
      </c>
      <c r="D1405" s="5" t="s">
        <v>38</v>
      </c>
      <c r="E1405" s="5" t="s">
        <v>233</v>
      </c>
      <c r="F1405" s="5" t="s">
        <v>68</v>
      </c>
      <c r="G1405" s="14" t="str">
        <f t="array" ref="G1405">IF(B1405="", "",
  LET(_xlpm.spell, IFERROR(IF(F1405="", "", INDEX(_xlws.FILTER(Hairstyles!$F:$F, ISNUMBER(SEARCH(F1405, Hairstyles!$B:$B))), 1)), "No Spell for Hairstyle"),
  _xlpm.vanillaPrefix, IF(LEFT(_xlpm.spell, 7)="Uvi_Wig", "", ";"),
  ";" &amp; IF(C1405="", B1405, C1405) &amp; IF(M1405="", "", " ("&amp;M1405&amp;")") &amp; CHAR(10) &amp;
  _xlpm.vanillaPrefix &amp; "Keyword = Uvi_Wig_Distr_KYWD|" &amp; B1405 &amp; CHAR(10) &amp;
  _xlpm.vanillaPrefix &amp; "Spell = " &amp; _xlpm.spell &amp; "|" &amp; B1405
  )
)</f>
        <v>;Skeggr
;Keyword = Uvi_Wig_Distr_KYWD|TG07Skeggr
;Spell = No Spell for Hairstyle|TG07Skeggr</v>
      </c>
    </row>
    <row r="1406" ht="12.75" customHeight="1">
      <c r="A1406" s="5" t="s">
        <v>4992</v>
      </c>
      <c r="B1406" s="5" t="s">
        <v>4993</v>
      </c>
      <c r="C1406" s="5" t="s">
        <v>4993</v>
      </c>
      <c r="D1406" s="5" t="s">
        <v>38</v>
      </c>
      <c r="E1406" s="5" t="s">
        <v>233</v>
      </c>
      <c r="F1406" s="5" t="s">
        <v>1709</v>
      </c>
      <c r="G1406" s="14" t="str">
        <f t="array" ref="G1406">IF(B1406="", "",
  LET(_xlpm.spell, IFERROR(IF(F1406="", "", INDEX(_xlws.FILTER(Hairstyles!$F:$F, ISNUMBER(SEARCH(F1406, Hairstyles!$B:$B))), 1)), "No Spell for Hairstyle"),
  _xlpm.vanillaPrefix, IF(LEFT(_xlpm.spell, 7)="Uvi_Wig", "", ";"),
  ";" &amp; IF(C1406="", B1406, C1406) &amp; IF(M1406="", "", " ("&amp;M1406&amp;")") &amp; CHAR(10) &amp;
  _xlpm.vanillaPrefix &amp; "Keyword = Uvi_Wig_Distr_KYWD|" &amp; B1406 &amp; CHAR(10) &amp;
  _xlpm.vanillaPrefix &amp; "Spell = " &amp; _xlpm.spell &amp; "|" &amp; B1406
  )
)</f>
        <v>;Skjor
;Keyword = Uvi_Wig_Distr_KYWD|Skjor
;Spell = No Spell for Hairstyle|Skjor</v>
      </c>
    </row>
    <row r="1407" ht="12.75" customHeight="1">
      <c r="A1407" s="5" t="s">
        <v>4994</v>
      </c>
      <c r="B1407" s="5" t="s">
        <v>4995</v>
      </c>
      <c r="C1407" s="5" t="s">
        <v>4995</v>
      </c>
      <c r="D1407" s="5" t="s">
        <v>74</v>
      </c>
      <c r="E1407" s="5" t="s">
        <v>233</v>
      </c>
      <c r="F1407" s="5" t="s">
        <v>76</v>
      </c>
      <c r="G1407" s="14" t="str">
        <f t="array" ref="G1407">IF(B1407="", "",
  LET(_xlpm.spell, IFERROR(IF(F1407="", "", INDEX(_xlws.FILTER(Hairstyles!$F:$F, ISNUMBER(SEARCH(F1407, Hairstyles!$B:$B))), 1)), "No Spell for Hairstyle"),
  _xlpm.vanillaPrefix, IF(LEFT(_xlpm.spell, 7)="Uvi_Wig", "", ";"),
  ";" &amp; IF(C1407="", B1407, C1407) &amp; IF(M1407="", "", " ("&amp;M1407&amp;")") &amp; CHAR(10) &amp;
  _xlpm.vanillaPrefix &amp; "Keyword = Uvi_Wig_Distr_KYWD|" &amp; B1407 &amp; CHAR(10) &amp;
  _xlpm.vanillaPrefix &amp; "Spell = " &amp; _xlpm.spell &amp; "|" &amp; B1407
  )
)</f>
        <v>;Skuli
;Keyword = Uvi_Wig_Distr_KYWD|Skuli
;Spell = No Spell for Hairstyle|Skuli</v>
      </c>
    </row>
    <row r="1408" ht="12.75" customHeight="1">
      <c r="A1408" s="5" t="s">
        <v>4996</v>
      </c>
      <c r="B1408" s="5" t="s">
        <v>4997</v>
      </c>
      <c r="C1408" s="5" t="s">
        <v>4998</v>
      </c>
      <c r="D1408" s="5" t="s">
        <v>38</v>
      </c>
      <c r="E1408" s="5" t="s">
        <v>233</v>
      </c>
      <c r="F1408" s="5" t="s">
        <v>40</v>
      </c>
      <c r="G1408" s="14" t="str">
        <f t="array" ref="G1408">IF(B1408="", "",
  LET(_xlpm.spell, IFERROR(IF(F1408="", "", INDEX(_xlws.FILTER(Hairstyles!$F:$F, ISNUMBER(SEARCH(F1408, Hairstyles!$B:$B))), 1)), "No Spell for Hairstyle"),
  _xlpm.vanillaPrefix, IF(LEFT(_xlpm.spell, 7)="Uvi_Wig", "", ";"),
  ";" &amp; IF(C1408="", B1408, C1408) &amp; IF(M1408="", "", " ("&amp;M1408&amp;")") &amp; CHAR(10) &amp;
  _xlpm.vanillaPrefix &amp; "Keyword = Uvi_Wig_Distr_KYWD|" &amp; B1408 &amp; CHAR(10) &amp;
  _xlpm.vanillaPrefix &amp; "Spell = " &amp; _xlpm.spell &amp; "|" &amp; B1408
  )
)</f>
        <v>;Skulvar Sable-Hilt
;Keyword = Uvi_Wig_Distr_KYWD|SkulvarSableHilt
;Spell = No Spell for Hairstyle|SkulvarSableHilt</v>
      </c>
    </row>
    <row r="1409" ht="12.75" customHeight="1">
      <c r="A1409" s="15" t="s">
        <v>4999</v>
      </c>
      <c r="B1409" s="5" t="s">
        <v>5000</v>
      </c>
      <c r="C1409" s="5" t="s">
        <v>5001</v>
      </c>
      <c r="D1409" s="5" t="s">
        <v>45</v>
      </c>
      <c r="E1409" s="5" t="s">
        <v>233</v>
      </c>
      <c r="F1409" s="5" t="s">
        <v>2583</v>
      </c>
      <c r="G1409" s="14" t="str">
        <f t="array" ref="G1409">IF(B1409="", "",
  LET(_xlpm.spell, IFERROR(IF(F1409="", "", INDEX(_xlws.FILTER(Hairstyles!$F:$F, ISNUMBER(SEARCH(F1409, Hairstyles!$B:$B))), 1)), "No Spell for Hairstyle"),
  _xlpm.vanillaPrefix, IF(LEFT(_xlpm.spell, 7)="Uvi_Wig", "", ";"),
  ";" &amp; IF(C1409="", B1409, C1409) &amp; IF(M1409="", "", " ("&amp;M1409&amp;")") &amp; CHAR(10) &amp;
  _xlpm.vanillaPrefix &amp; "Keyword = Uvi_Wig_Distr_KYWD|" &amp; B1409 &amp; CHAR(10) &amp;
  _xlpm.vanillaPrefix &amp; "Spell = " &amp; _xlpm.spell &amp; "|" &amp; B1409
  )
)</f>
        <v>;Slitter
;Keyword = Uvi_Wig_Distr_KYWD|DLC2MogrulThugTT1b
;Spell = No Spell for Hairstyle|DLC2MogrulThugTT1b</v>
      </c>
    </row>
    <row r="1410" ht="12.75" customHeight="1">
      <c r="A1410" s="5" t="s">
        <v>5002</v>
      </c>
      <c r="B1410" s="5" t="s">
        <v>5003</v>
      </c>
      <c r="C1410" s="5" t="s">
        <v>5004</v>
      </c>
      <c r="D1410" s="5" t="s">
        <v>83</v>
      </c>
      <c r="E1410" s="5" t="s">
        <v>233</v>
      </c>
      <c r="F1410" s="5" t="s">
        <v>3700</v>
      </c>
      <c r="G1410" s="14" t="str">
        <f t="array" ref="G1410">IF(B1410="", "",
  LET(_xlpm.spell, IFERROR(IF(F1410="", "", INDEX(_xlws.FILTER(Hairstyles!$F:$F, ISNUMBER(SEARCH(F1410, Hairstyles!$B:$B))), 1)), "No Spell for Hairstyle"),
  _xlpm.vanillaPrefix, IF(LEFT(_xlpm.spell, 7)="Uvi_Wig", "", ";"),
  ";" &amp; IF(C1410="", B1410, C1410) &amp; IF(M1410="", "", " ("&amp;M1410&amp;")") &amp; CHAR(10) &amp;
  _xlpm.vanillaPrefix &amp; "Keyword = Uvi_Wig_Distr_KYWD|" &amp; B1410 &amp; CHAR(10) &amp;
  _xlpm.vanillaPrefix &amp; "Spell = " &amp; _xlpm.spell &amp; "|" &amp; B1410
  )
)</f>
        <v>;Smuggler
;Keyword = Uvi_Wig_Distr_KYWD|DunPOIVolcanicTreasSmugglerCorpse
;Spell = No Spell for Hairstyle|DunPOIVolcanicTreasSmugglerCorpse</v>
      </c>
    </row>
    <row r="1411" ht="12.75" customHeight="1">
      <c r="A1411" s="5" t="s">
        <v>5005</v>
      </c>
      <c r="B1411" s="5" t="s">
        <v>5006</v>
      </c>
      <c r="C1411" s="5" t="s">
        <v>5006</v>
      </c>
      <c r="D1411" s="5" t="s">
        <v>38</v>
      </c>
      <c r="E1411" s="5" t="s">
        <v>233</v>
      </c>
      <c r="F1411" s="5" t="s">
        <v>1700</v>
      </c>
      <c r="G1411" s="14" t="str">
        <f t="array" ref="G1411">IF(B1411="", "",
  LET(_xlpm.spell, IFERROR(IF(F1411="", "", INDEX(_xlws.FILTER(Hairstyles!$F:$F, ISNUMBER(SEARCH(F1411, Hairstyles!$B:$B))), 1)), "No Spell for Hairstyle"),
  _xlpm.vanillaPrefix, IF(LEFT(_xlpm.spell, 7)="Uvi_Wig", "", ";"),
  ";" &amp; IF(C1411="", B1411, C1411) &amp; IF(M1411="", "", " ("&amp;M1411&amp;")") &amp; CHAR(10) &amp;
  _xlpm.vanillaPrefix &amp; "Keyword = Uvi_Wig_Distr_KYWD|" &amp; B1411 &amp; CHAR(10) &amp;
  _xlpm.vanillaPrefix &amp; "Spell = " &amp; _xlpm.spell &amp; "|" &amp; B1411
  )
)</f>
        <v>;Snilf
;Keyword = Uvi_Wig_Distr_KYWD|Snilf
;Spell = No Spell for Hairstyle|Snilf</v>
      </c>
    </row>
    <row r="1412" ht="12.75" customHeight="1">
      <c r="A1412" s="5" t="s">
        <v>5007</v>
      </c>
      <c r="B1412" s="5" t="s">
        <v>5008</v>
      </c>
      <c r="C1412" s="5" t="s">
        <v>5008</v>
      </c>
      <c r="D1412" s="5" t="s">
        <v>38</v>
      </c>
      <c r="E1412" s="5" t="s">
        <v>233</v>
      </c>
      <c r="F1412" s="5" t="s">
        <v>1709</v>
      </c>
      <c r="G1412" s="14" t="str">
        <f t="array" ref="G1412">IF(B1412="", "",
  LET(_xlpm.spell, IFERROR(IF(F1412="", "", INDEX(_xlws.FILTER(Hairstyles!$F:$F, ISNUMBER(SEARCH(F1412, Hairstyles!$B:$B))), 1)), "No Spell for Hairstyle"),
  _xlpm.vanillaPrefix, IF(LEFT(_xlpm.spell, 7)="Uvi_Wig", "", ";"),
  ";" &amp; IF(C1412="", B1412, C1412) &amp; IF(M1412="", "", " ("&amp;M1412&amp;")") &amp; CHAR(10) &amp;
  _xlpm.vanillaPrefix &amp; "Keyword = Uvi_Wig_Distr_KYWD|" &amp; B1412 &amp; CHAR(10) &amp;
  _xlpm.vanillaPrefix &amp; "Spell = " &amp; _xlpm.spell &amp; "|" &amp; B1412
  )
)</f>
        <v>;Snilling
;Keyword = Uvi_Wig_Distr_KYWD|Snilling
;Spell = No Spell for Hairstyle|Snilling</v>
      </c>
    </row>
    <row r="1413" ht="12.75" customHeight="1">
      <c r="A1413" s="5" t="s">
        <v>5009</v>
      </c>
      <c r="B1413" s="5" t="s">
        <v>5010</v>
      </c>
      <c r="C1413" s="5" t="s">
        <v>5010</v>
      </c>
      <c r="D1413" s="5" t="s">
        <v>38</v>
      </c>
      <c r="E1413" s="5" t="s">
        <v>233</v>
      </c>
      <c r="F1413" s="5" t="s">
        <v>84</v>
      </c>
      <c r="G1413" s="14" t="str">
        <f t="array" ref="G1413">IF(B1413="", "",
  LET(_xlpm.spell, IFERROR(IF(F1413="", "", INDEX(_xlws.FILTER(Hairstyles!$F:$F, ISNUMBER(SEARCH(F1413, Hairstyles!$B:$B))), 1)), "No Spell for Hairstyle"),
  _xlpm.vanillaPrefix, IF(LEFT(_xlpm.spell, 7)="Uvi_Wig", "", ";"),
  ";" &amp; IF(C1413="", B1413, C1413) &amp; IF(M1413="", "", " ("&amp;M1413&amp;")") &amp; CHAR(10) &amp;
  _xlpm.vanillaPrefix &amp; "Keyword = Uvi_Wig_Distr_KYWD|" &amp; B1413 &amp; CHAR(10) &amp;
  _xlpm.vanillaPrefix &amp; "Spell = " &amp; _xlpm.spell &amp; "|" &amp; B1413
  )
)</f>
        <v>;Snorreid
;Keyword = Uvi_Wig_Distr_KYWD|Snorreid
;Spell = No Spell for Hairstyle|Snorreid</v>
      </c>
    </row>
    <row r="1414" ht="12.75" customHeight="1">
      <c r="A1414" s="5" t="s">
        <v>5011</v>
      </c>
      <c r="B1414" s="5" t="s">
        <v>5012</v>
      </c>
      <c r="C1414" s="5" t="s">
        <v>5013</v>
      </c>
      <c r="D1414" s="5" t="s">
        <v>74</v>
      </c>
      <c r="E1414" s="5" t="s">
        <v>41</v>
      </c>
      <c r="F1414" s="5" t="s">
        <v>28</v>
      </c>
      <c r="G1414" s="14" t="str">
        <f t="array" ref="G1414">IF(B1414="", "",
  LET(_xlpm.spell, IFERROR(IF(F1414="", "", INDEX(_xlws.FILTER(Hairstyles!$F:$F, ISNUMBER(SEARCH(F1414, Hairstyles!$B:$B))), 1)), "No Spell for Hairstyle"),
  _xlpm.vanillaPrefix, IF(LEFT(_xlpm.spell, 7)="Uvi_Wig", "", ";"),
  ";" &amp; IF(C1414="", B1414, C1414) &amp; IF(M1414="", "", " ("&amp;M1414&amp;")") &amp; CHAR(10) &amp;
  _xlpm.vanillaPrefix &amp; "Keyword = Uvi_Wig_Distr_KYWD|" &amp; B1414 &amp; CHAR(10) &amp;
  _xlpm.vanillaPrefix &amp; "Spell = " &amp; _xlpm.spell &amp; "|" &amp; B1414
  )
)</f>
        <v>;Sofie
;Keyword = Uvi_Wig_Distr_KYWD|BYOHUrchin_Sofie
;Spell = No Spell for Hairstyle|BYOHUrchin_Sofie</v>
      </c>
    </row>
    <row r="1415" ht="12.75" customHeight="1">
      <c r="A1415" s="5" t="s">
        <v>5014</v>
      </c>
      <c r="B1415" s="5" t="s">
        <v>5015</v>
      </c>
      <c r="C1415" s="5" t="s">
        <v>5016</v>
      </c>
      <c r="D1415" s="5" t="s">
        <v>38</v>
      </c>
      <c r="E1415" s="5" t="s">
        <v>233</v>
      </c>
      <c r="F1415" s="5" t="s">
        <v>19</v>
      </c>
      <c r="G1415" s="14" t="str">
        <f t="array" ref="G1415">IF(B1415="", "",
  LET(_xlpm.spell, IFERROR(IF(F1415="", "", INDEX(_xlws.FILTER(Hairstyles!$F:$F, ISNUMBER(SEARCH(F1415, Hairstyles!$B:$B))), 1)), "No Spell for Hairstyle"),
  _xlpm.vanillaPrefix, IF(LEFT(_xlpm.spell, 7)="Uvi_Wig", "", ";"),
  ";" &amp; IF(C1415="", B1415, C1415) &amp; IF(M1415="", "", " ("&amp;M1415&amp;")") &amp; CHAR(10) &amp;
  _xlpm.vanillaPrefix &amp; "Keyword = Uvi_Wig_Distr_KYWD|" &amp; B1415 &amp; CHAR(10) &amp;
  _xlpm.vanillaPrefix &amp; "Spell = " &amp; _xlpm.spell &amp; "|" &amp; B1415
  )
)</f>
        <v>;Sogrlaf
;Keyword = Uvi_Wig_Distr_KYWD|DLC2RRSogrlafSolstheim
;Spell = No Spell for Hairstyle|DLC2RRSogrlafSolstheim</v>
      </c>
    </row>
    <row r="1416" ht="12.75" customHeight="1">
      <c r="A1416" s="5" t="s">
        <v>5017</v>
      </c>
      <c r="B1416" s="5" t="s">
        <v>5018</v>
      </c>
      <c r="C1416" s="5" t="s">
        <v>5016</v>
      </c>
      <c r="D1416" s="5" t="s">
        <v>38</v>
      </c>
      <c r="E1416" s="5" t="s">
        <v>233</v>
      </c>
      <c r="F1416" s="5" t="s">
        <v>224</v>
      </c>
      <c r="G1416" s="14" t="str">
        <f t="array" ref="G1416">IF(B1416="", "",
  LET(_xlpm.spell, IFERROR(IF(F1416="", "", INDEX(_xlws.FILTER(Hairstyles!$F:$F, ISNUMBER(SEARCH(F1416, Hairstyles!$B:$B))), 1)), "No Spell for Hairstyle"),
  _xlpm.vanillaPrefix, IF(LEFT(_xlpm.spell, 7)="Uvi_Wig", "", ";"),
  ";" &amp; IF(C1416="", B1416, C1416) &amp; IF(M1416="", "", " ("&amp;M1416&amp;")") &amp; CHAR(10) &amp;
  _xlpm.vanillaPrefix &amp; "Keyword = Uvi_Wig_Distr_KYWD|" &amp; B1416 &amp; CHAR(10) &amp;
  _xlpm.vanillaPrefix &amp; "Spell = " &amp; _xlpm.spell &amp; "|" &amp; B1416
  )
)</f>
        <v>;Sogrlaf
;Keyword = Uvi_Wig_Distr_KYWD|DLC2RRSogrlafWindhelm
;Spell = No Spell for Hairstyle|DLC2RRSogrlafWindhelm</v>
      </c>
    </row>
    <row r="1417" ht="12.75" customHeight="1">
      <c r="A1417" s="15" t="s">
        <v>5019</v>
      </c>
      <c r="B1417" s="5" t="s">
        <v>5020</v>
      </c>
      <c r="C1417" s="5" t="s">
        <v>5020</v>
      </c>
      <c r="D1417" s="5" t="s">
        <v>38</v>
      </c>
      <c r="E1417" s="5" t="s">
        <v>233</v>
      </c>
      <c r="F1417" s="5" t="s">
        <v>1894</v>
      </c>
      <c r="G1417" s="14" t="str">
        <f t="array" ref="G1417">IF(B1417="", "",
  LET(_xlpm.spell, IFERROR(IF(F1417="", "", INDEX(_xlws.FILTER(Hairstyles!$F:$F, ISNUMBER(SEARCH(F1417, Hairstyles!$B:$B))), 1)), "No Spell for Hairstyle"),
  _xlpm.vanillaPrefix, IF(LEFT(_xlpm.spell, 7)="Uvi_Wig", "", ";"),
  ";" &amp; IF(C1417="", B1417, C1417) &amp; IF(M1417="", "", " ("&amp;M1417&amp;")") &amp; CHAR(10) &amp;
  _xlpm.vanillaPrefix &amp; "Keyword = Uvi_Wig_Distr_KYWD|" &amp; B1417 &amp; CHAR(10) &amp;
  _xlpm.vanillaPrefix &amp; "Spell = " &amp; _xlpm.spell &amp; "|" &amp; B1417
  )
)</f>
        <v>;Solaf
;Keyword = Uvi_Wig_Distr_KYWD|Solaf
;Spell = No Spell for Hairstyle|Solaf</v>
      </c>
    </row>
    <row r="1418" ht="12.75" customHeight="1">
      <c r="A1418" s="5" t="s">
        <v>5021</v>
      </c>
      <c r="B1418" s="5" t="s">
        <v>5022</v>
      </c>
      <c r="C1418" s="5" t="s">
        <v>5023</v>
      </c>
      <c r="D1418" s="5" t="s">
        <v>80</v>
      </c>
      <c r="E1418" s="5" t="s">
        <v>233</v>
      </c>
      <c r="F1418" s="5" t="s">
        <v>81</v>
      </c>
      <c r="G1418" s="14" t="str">
        <f t="array" ref="G1418">IF(B1418="", "",
  LET(_xlpm.spell, IFERROR(IF(F1418="", "", INDEX(_xlws.FILTER(Hairstyles!$F:$F, ISNUMBER(SEARCH(F1418, Hairstyles!$B:$B))), 1)), "No Spell for Hairstyle"),
  _xlpm.vanillaPrefix, IF(LEFT(_xlpm.spell, 7)="Uvi_Wig", "", ";"),
  ";" &amp; IF(C1418="", B1418, C1418) &amp; IF(M1418="", "", " ("&amp;M1418&amp;")") &amp; CHAR(10) &amp;
  _xlpm.vanillaPrefix &amp; "Keyword = Uvi_Wig_Distr_KYWD|" &amp; B1418 &amp; CHAR(10) &amp;
  _xlpm.vanillaPrefix &amp; "Spell = " &amp; _xlpm.spell &amp; "|" &amp; B1418
  )
)</f>
        <v>;Soldier
;Keyword = Uvi_Wig_Distr_KYWD|WE17Bandit1
;Spell = No Spell for Hairstyle|WE17Bandit1</v>
      </c>
    </row>
    <row r="1419" ht="12.75" customHeight="1">
      <c r="A1419" s="5" t="s">
        <v>5024</v>
      </c>
      <c r="B1419" s="5" t="s">
        <v>5025</v>
      </c>
      <c r="C1419" s="5" t="s">
        <v>5023</v>
      </c>
      <c r="D1419" s="5" t="s">
        <v>16</v>
      </c>
      <c r="E1419" s="5" t="s">
        <v>41</v>
      </c>
      <c r="F1419" s="5" t="s">
        <v>44</v>
      </c>
      <c r="G1419" s="14" t="str">
        <f t="array" ref="G1419">IF(B1419="", "",
  LET(_xlpm.spell, IFERROR(IF(F1419="", "", INDEX(_xlws.FILTER(Hairstyles!$F:$F, ISNUMBER(SEARCH(F1419, Hairstyles!$B:$B))), 1)), "No Spell for Hairstyle"),
  _xlpm.vanillaPrefix, IF(LEFT(_xlpm.spell, 7)="Uvi_Wig", "", ";"),
  ";" &amp; IF(C1419="", B1419, C1419) &amp; IF(M1419="", "", " ("&amp;M1419&amp;")") &amp; CHAR(10) &amp;
  _xlpm.vanillaPrefix &amp; "Keyword = Uvi_Wig_Distr_KYWD|" &amp; B1419 &amp; CHAR(10) &amp;
  _xlpm.vanillaPrefix &amp; "Spell = " &amp; _xlpm.spell &amp; "|" &amp; B1419
  )
)</f>
        <v>;Soldier
;Keyword = Uvi_Wig_Distr_KYWD|WE17Bandit2
;Spell = No Spell for Hairstyle|WE17Bandit2</v>
      </c>
    </row>
    <row r="1420" ht="12.75" customHeight="1">
      <c r="A1420" s="5" t="s">
        <v>5026</v>
      </c>
      <c r="B1420" s="5" t="s">
        <v>5027</v>
      </c>
      <c r="C1420" s="5" t="s">
        <v>5023</v>
      </c>
      <c r="D1420" s="5" t="s">
        <v>45</v>
      </c>
      <c r="E1420" s="5" t="s">
        <v>233</v>
      </c>
      <c r="F1420" s="5" t="s">
        <v>1667</v>
      </c>
      <c r="G1420" s="14" t="str">
        <f t="array" ref="G1420">IF(B1420="", "",
  LET(_xlpm.spell, IFERROR(IF(F1420="", "", INDEX(_xlws.FILTER(Hairstyles!$F:$F, ISNUMBER(SEARCH(F1420, Hairstyles!$B:$B))), 1)), "No Spell for Hairstyle"),
  _xlpm.vanillaPrefix, IF(LEFT(_xlpm.spell, 7)="Uvi_Wig", "", ";"),
  ";" &amp; IF(C1420="", B1420, C1420) &amp; IF(M1420="", "", " ("&amp;M1420&amp;")") &amp; CHAR(10) &amp;
  _xlpm.vanillaPrefix &amp; "Keyword = Uvi_Wig_Distr_KYWD|" &amp; B1420 &amp; CHAR(10) &amp;
  _xlpm.vanillaPrefix &amp; "Spell = " &amp; _xlpm.spell &amp; "|" &amp; B1420
  )
)</f>
        <v>;Soldier
;Keyword = Uvi_Wig_Distr_KYWD|WE17Bandit3
;Spell = No Spell for Hairstyle|WE17Bandit3</v>
      </c>
    </row>
    <row r="1421" ht="12.75" customHeight="1">
      <c r="A1421" s="5" t="s">
        <v>5028</v>
      </c>
      <c r="B1421" s="5" t="s">
        <v>5029</v>
      </c>
      <c r="C1421" s="5" t="s">
        <v>5030</v>
      </c>
      <c r="D1421" s="5" t="s">
        <v>38</v>
      </c>
      <c r="E1421" s="5" t="s">
        <v>233</v>
      </c>
      <c r="F1421" s="5" t="s">
        <v>68</v>
      </c>
      <c r="G1421" s="14" t="str">
        <f t="array" ref="G1421">IF(B1421="", "",
  LET(_xlpm.spell, IFERROR(IF(F1421="", "", INDEX(_xlws.FILTER(Hairstyles!$F:$F, ISNUMBER(SEARCH(F1421, Hairstyles!$B:$B))), 1)), "No Spell for Hairstyle"),
  _xlpm.vanillaPrefix, IF(LEFT(_xlpm.spell, 7)="Uvi_Wig", "", ";"),
  ";" &amp; IF(C1421="", B1421, C1421) &amp; IF(M1421="", "", " ("&amp;M1421&amp;")") &amp; CHAR(10) &amp;
  _xlpm.vanillaPrefix &amp; "Keyword = Uvi_Wig_Distr_KYWD|" &amp; B1421 &amp; CHAR(10) &amp;
  _xlpm.vanillaPrefix &amp; "Spell = " &amp; _xlpm.spell &amp; "|" &amp; B1421
  )
)</f>
        <v>;Sond
;Keyword = Uvi_Wig_Distr_KYWD|dunEldergleamPilgrimNordM
;Spell = No Spell for Hairstyle|dunEldergleamPilgrimNordM</v>
      </c>
    </row>
    <row r="1422" ht="12.75" customHeight="1">
      <c r="A1422" s="5" t="s">
        <v>5031</v>
      </c>
      <c r="B1422" s="5" t="s">
        <v>5032</v>
      </c>
      <c r="C1422" s="5" t="s">
        <v>5030</v>
      </c>
      <c r="D1422" s="5" t="s">
        <v>74</v>
      </c>
      <c r="E1422" s="5" t="s">
        <v>233</v>
      </c>
      <c r="F1422" s="5" t="s">
        <v>76</v>
      </c>
      <c r="G1422" s="14" t="str">
        <f t="array" ref="G1422">IF(B1422="", "",
  LET(_xlpm.spell, IFERROR(IF(F1422="", "", INDEX(_xlws.FILTER(Hairstyles!$F:$F, ISNUMBER(SEARCH(F1422, Hairstyles!$B:$B))), 1)), "No Spell for Hairstyle"),
  _xlpm.vanillaPrefix, IF(LEFT(_xlpm.spell, 7)="Uvi_Wig", "", ";"),
  ";" &amp; IF(C1422="", B1422, C1422) &amp; IF(M1422="", "", " ("&amp;M1422&amp;")") &amp; CHAR(10) &amp;
  _xlpm.vanillaPrefix &amp; "Keyword = Uvi_Wig_Distr_KYWD|" &amp; B1422 &amp; CHAR(10) &amp;
  _xlpm.vanillaPrefix &amp; "Spell = " &amp; _xlpm.spell &amp; "|" &amp; B1422
  )
)</f>
        <v>;Sond
;Keyword = Uvi_Wig_Distr_KYWD|WERJ04Kid01
;Spell = No Spell for Hairstyle|WERJ04Kid01</v>
      </c>
    </row>
    <row r="1423" ht="12.75" customHeight="1">
      <c r="A1423" s="5" t="s">
        <v>5033</v>
      </c>
      <c r="B1423" s="5" t="s">
        <v>5034</v>
      </c>
      <c r="C1423" s="5" t="s">
        <v>5035</v>
      </c>
      <c r="D1423" s="5" t="s">
        <v>45</v>
      </c>
      <c r="E1423" s="5" t="s">
        <v>233</v>
      </c>
      <c r="F1423" s="5" t="s">
        <v>4186</v>
      </c>
      <c r="G1423" s="14" t="str">
        <f t="array" ref="G1423">IF(B1423="", "",
  LET(_xlpm.spell, IFERROR(IF(F1423="", "", INDEX(_xlws.FILTER(Hairstyles!$F:$F, ISNUMBER(SEARCH(F1423, Hairstyles!$B:$B))), 1)), "No Spell for Hairstyle"),
  _xlpm.vanillaPrefix, IF(LEFT(_xlpm.spell, 7)="Uvi_Wig", "", ";"),
  ";" &amp; IF(C1423="", B1423, C1423) &amp; IF(M1423="", "", " ("&amp;M1423&amp;")") &amp; CHAR(10) &amp;
  _xlpm.vanillaPrefix &amp; "Keyword = Uvi_Wig_Distr_KYWD|" &amp; B1423 &amp; CHAR(10) &amp;
  _xlpm.vanillaPrefix &amp; "Spell = " &amp; _xlpm.spell &amp; "|" &amp; B1423
  )
)</f>
        <v>;Sondas Drenim
;Keyword = Uvi_Wig_Distr_KYWD|SondasDrenim
;Spell = No Spell for Hairstyle|SondasDrenim</v>
      </c>
    </row>
    <row r="1424" ht="12.75" customHeight="1">
      <c r="A1424" s="15" t="s">
        <v>5036</v>
      </c>
      <c r="B1424" s="5" t="s">
        <v>5037</v>
      </c>
      <c r="C1424" s="5" t="s">
        <v>5038</v>
      </c>
      <c r="D1424" s="5" t="s">
        <v>38</v>
      </c>
      <c r="E1424" s="5" t="s">
        <v>41</v>
      </c>
      <c r="F1424" s="5" t="s">
        <v>1694</v>
      </c>
      <c r="G1424" s="14" t="str">
        <f t="array" ref="G1424">IF(B1424="", "",
  LET(_xlpm.spell, IFERROR(IF(F1424="", "", INDEX(_xlws.FILTER(Hairstyles!$F:$F, ISNUMBER(SEARCH(F1424, Hairstyles!$B:$B))), 1)), "No Spell for Hairstyle"),
  _xlpm.vanillaPrefix, IF(LEFT(_xlpm.spell, 7)="Uvi_Wig", "", ";"),
  ";" &amp; IF(C1424="", B1424, C1424) &amp; IF(M1424="", "", " ("&amp;M1424&amp;")") &amp; CHAR(10) &amp;
  _xlpm.vanillaPrefix &amp; "Keyword = Uvi_Wig_Distr_KYWD|" &amp; B1424 &amp; CHAR(10) &amp;
  _xlpm.vanillaPrefix &amp; "Spell = " &amp; _xlpm.spell &amp; "|" &amp; B1424
  )
)</f>
        <v>;Sonir
;Keyword = Uvi_Wig_Distr_KYWD|BYOHHouse2Bard
;Spell = No Spell for Hairstyle|BYOHHouse2Bard</v>
      </c>
    </row>
    <row r="1425" ht="12.75" customHeight="1">
      <c r="A1425" s="5" t="s">
        <v>5039</v>
      </c>
      <c r="B1425" s="5" t="s">
        <v>5040</v>
      </c>
      <c r="C1425" s="5" t="s">
        <v>5041</v>
      </c>
      <c r="D1425" s="5" t="s">
        <v>59</v>
      </c>
      <c r="E1425" s="5" t="s">
        <v>233</v>
      </c>
      <c r="F1425" s="5" t="s">
        <v>346</v>
      </c>
      <c r="G1425" s="14" t="str">
        <f t="array" ref="G1425">IF(B1425="", "",
  LET(_xlpm.spell, IFERROR(IF(F1425="", "", INDEX(_xlws.FILTER(Hairstyles!$F:$F, ISNUMBER(SEARCH(F1425, Hairstyles!$B:$B))), 1)), "No Spell for Hairstyle"),
  _xlpm.vanillaPrefix, IF(LEFT(_xlpm.spell, 7)="Uvi_Wig", "", ";"),
  ";" &amp; IF(C1425="", B1425, C1425) &amp; IF(M1425="", "", " ("&amp;M1425&amp;")") &amp; CHAR(10) &amp;
  _xlpm.vanillaPrefix &amp; "Keyword = Uvi_Wig_Distr_KYWD|" &amp; B1425 &amp; CHAR(10) &amp;
  _xlpm.vanillaPrefix &amp; "Spell = " &amp; _xlpm.spell &amp; "|" &amp; B1425
  )
)</f>
        <v>;Sorex Vinius
;Keyword = Uvi_Wig_Distr_KYWD|SorexVinius
;Spell = No Spell for Hairstyle|SorexVinius</v>
      </c>
    </row>
    <row r="1426" ht="12.75" customHeight="1">
      <c r="A1426" s="5" t="s">
        <v>5042</v>
      </c>
      <c r="B1426" s="5" t="s">
        <v>5043</v>
      </c>
      <c r="C1426" s="5" t="s">
        <v>5044</v>
      </c>
      <c r="D1426" s="5" t="s">
        <v>16</v>
      </c>
      <c r="E1426" s="5" t="s">
        <v>41</v>
      </c>
      <c r="F1426" s="5" t="s">
        <v>1557</v>
      </c>
      <c r="G1426" s="14" t="str">
        <f t="array" ref="G1426">IF(B1426="", "",
  LET(_xlpm.spell, IFERROR(IF(F1426="", "", INDEX(_xlws.FILTER(Hairstyles!$F:$F, ISNUMBER(SEARCH(F1426, Hairstyles!$B:$B))), 1)), "No Spell for Hairstyle"),
  _xlpm.vanillaPrefix, IF(LEFT(_xlpm.spell, 7)="Uvi_Wig", "", ";"),
  ";" &amp; IF(C1426="", B1426, C1426) &amp; IF(M1426="", "", " ("&amp;M1426&amp;")") &amp; CHAR(10) &amp;
  _xlpm.vanillaPrefix &amp; "Keyword = Uvi_Wig_Distr_KYWD|" &amp; B1426 &amp; CHAR(10) &amp;
  _xlpm.vanillaPrefix &amp; "Spell = " &amp; _xlpm.spell &amp; "|" &amp; B1426
  )
)</f>
        <v>;Sorine Jurard
;Keyword = Uvi_Wig_Distr_KYWD|DLC1SorineJurard
;Spell = No Spell for Hairstyle|DLC1SorineJurard</v>
      </c>
    </row>
    <row r="1427" ht="12.75" customHeight="1">
      <c r="A1427" s="15" t="s">
        <v>5045</v>
      </c>
      <c r="B1427" s="5" t="s">
        <v>5046</v>
      </c>
      <c r="C1427" s="5" t="s">
        <v>5047</v>
      </c>
      <c r="D1427" s="5" t="s">
        <v>38</v>
      </c>
      <c r="E1427" s="5" t="s">
        <v>41</v>
      </c>
      <c r="F1427" s="5" t="s">
        <v>356</v>
      </c>
      <c r="G1427" s="14" t="str">
        <f t="array" ref="G1427">IF(B1427="", "",
  LET(_xlpm.spell, IFERROR(IF(F1427="", "", INDEX(_xlws.FILTER(Hairstyles!$F:$F, ISNUMBER(SEARCH(F1427, Hairstyles!$B:$B))), 1)), "No Spell for Hairstyle"),
  _xlpm.vanillaPrefix, IF(LEFT(_xlpm.spell, 7)="Uvi_Wig", "", ";"),
  ";" &amp; IF(C1427="", B1427, C1427) &amp; IF(M1427="", "", " ("&amp;M1427&amp;")") &amp; CHAR(10) &amp;
  _xlpm.vanillaPrefix &amp; "Keyword = Uvi_Wig_Distr_KYWD|" &amp; B1427 &amp; CHAR(10) &amp;
  _xlpm.vanillaPrefix &amp; "Spell = " &amp; _xlpm.spell &amp; "|" &amp; B1427
  )
)</f>
        <v>;Sorli the Builder
;Keyword = Uvi_Wig_Distr_KYWD|Sorli
;Spell = No Spell for Hairstyle|Sorli</v>
      </c>
    </row>
    <row r="1428" ht="12.75" customHeight="1">
      <c r="A1428" s="5" t="s">
        <v>5048</v>
      </c>
      <c r="B1428" s="5" t="s">
        <v>5049</v>
      </c>
      <c r="C1428" s="5" t="s">
        <v>5050</v>
      </c>
      <c r="D1428" s="5" t="s">
        <v>59</v>
      </c>
      <c r="E1428" s="5" t="s">
        <v>41</v>
      </c>
      <c r="F1428" s="5" t="s">
        <v>2118</v>
      </c>
      <c r="G1428" s="14" t="str">
        <f t="array" ref="G1428">IF(B1428="", "",
  LET(_xlpm.spell, IFERROR(IF(F1428="", "", INDEX(_xlws.FILTER(Hairstyles!$F:$F, ISNUMBER(SEARCH(F1428, Hairstyles!$B:$B))), 1)), "No Spell for Hairstyle"),
  _xlpm.vanillaPrefix, IF(LEFT(_xlpm.spell, 7)="Uvi_Wig", "", ";"),
  ";" &amp; IF(C1428="", B1428, C1428) &amp; IF(M1428="", "", " ("&amp;M1428&amp;")") &amp; CHAR(10) &amp;
  _xlpm.vanillaPrefix &amp; "Keyword = Uvi_Wig_Distr_KYWD|" &amp; B1428 &amp; CHAR(10) &amp;
  _xlpm.vanillaPrefix &amp; "Spell = " &amp; _xlpm.spell &amp; "|" &amp; B1428
  )
)</f>
        <v>;Sosia Tremellia
;Keyword = Uvi_Wig_Distr_KYWD|Sosia
;Spell = No Spell for Hairstyle|Sosia</v>
      </c>
    </row>
    <row r="1429" ht="12.75" customHeight="1">
      <c r="A1429" s="5" t="s">
        <v>5051</v>
      </c>
      <c r="B1429" s="5" t="s">
        <v>5052</v>
      </c>
      <c r="C1429" s="5" t="s">
        <v>5053</v>
      </c>
      <c r="D1429" s="5" t="s">
        <v>38</v>
      </c>
      <c r="E1429" s="5" t="s">
        <v>233</v>
      </c>
      <c r="F1429" s="5" t="s">
        <v>68</v>
      </c>
      <c r="G1429" s="14" t="str">
        <f t="array" ref="G1429">IF(B1429="", "",
  LET(_xlpm.spell, IFERROR(IF(F1429="", "", INDEX(_xlws.FILTER(Hairstyles!$F:$F, ISNUMBER(SEARCH(F1429, Hairstyles!$B:$B))), 1)), "No Spell for Hairstyle"),
  _xlpm.vanillaPrefix, IF(LEFT(_xlpm.spell, 7)="Uvi_Wig", "", ";"),
  ";" &amp; IF(C1429="", B1429, C1429) &amp; IF(M1429="", "", " ("&amp;M1429&amp;")") &amp; CHAR(10) &amp;
  _xlpm.vanillaPrefix &amp; "Keyword = Uvi_Wig_Distr_KYWD|" &amp; B1429 &amp; CHAR(10) &amp;
  _xlpm.vanillaPrefix &amp; "Spell = " &amp; _xlpm.spell &amp; "|" &amp; B1429
  )
)</f>
        <v>;Soul
;Keyword = Uvi_Wig_Distr_KYWD|DLC01SoulCairnSoulDefault
;Spell = No Spell for Hairstyle|DLC01SoulCairnSoulDefault</v>
      </c>
    </row>
    <row r="1430" ht="12.75" customHeight="1">
      <c r="A1430" s="5" t="s">
        <v>5054</v>
      </c>
      <c r="B1430" s="5" t="s">
        <v>5055</v>
      </c>
      <c r="C1430" s="5" t="s">
        <v>5053</v>
      </c>
      <c r="D1430" s="5" t="s">
        <v>38</v>
      </c>
      <c r="E1430" s="5" t="s">
        <v>41</v>
      </c>
      <c r="F1430" s="5" t="s">
        <v>69</v>
      </c>
      <c r="G1430" s="14" t="str">
        <f t="array" ref="G1430">IF(B1430="", "",
  LET(_xlpm.spell, IFERROR(IF(F1430="", "", INDEX(_xlws.FILTER(Hairstyles!$F:$F, ISNUMBER(SEARCH(F1430, Hairstyles!$B:$B))), 1)), "No Spell for Hairstyle"),
  _xlpm.vanillaPrefix, IF(LEFT(_xlpm.spell, 7)="Uvi_Wig", "", ";"),
  ";" &amp; IF(C1430="", B1430, C1430) &amp; IF(M1430="", "", " ("&amp;M1430&amp;")") &amp; CHAR(10) &amp;
  _xlpm.vanillaPrefix &amp; "Keyword = Uvi_Wig_Distr_KYWD|" &amp; B1430 &amp; CHAR(10) &amp;
  _xlpm.vanillaPrefix &amp; "Spell = " &amp; _xlpm.spell &amp; "|" &amp; B1430
  )
)</f>
        <v>;Soul
;Keyword = Uvi_Wig_Distr_KYWD|DLC01SoulCairnSoulFarmFemale
;Spell = No Spell for Hairstyle|DLC01SoulCairnSoulFarmFemale</v>
      </c>
    </row>
    <row r="1431" ht="12.75" customHeight="1">
      <c r="A1431" s="5" t="s">
        <v>5056</v>
      </c>
      <c r="B1431" s="5" t="s">
        <v>5057</v>
      </c>
      <c r="C1431" s="5" t="s">
        <v>5053</v>
      </c>
      <c r="D1431" s="5" t="s">
        <v>38</v>
      </c>
      <c r="E1431" s="5" t="s">
        <v>233</v>
      </c>
      <c r="F1431" s="5" t="s">
        <v>68</v>
      </c>
      <c r="G1431" s="14" t="str">
        <f t="array" ref="G1431">IF(B1431="", "",
  LET(_xlpm.spell, IFERROR(IF(F1431="", "", INDEX(_xlws.FILTER(Hairstyles!$F:$F, ISNUMBER(SEARCH(F1431, Hairstyles!$B:$B))), 1)), "No Spell for Hairstyle"),
  _xlpm.vanillaPrefix, IF(LEFT(_xlpm.spell, 7)="Uvi_Wig", "", ";"),
  ";" &amp; IF(C1431="", B1431, C1431) &amp; IF(M1431="", "", " ("&amp;M1431&amp;")") &amp; CHAR(10) &amp;
  _xlpm.vanillaPrefix &amp; "Keyword = Uvi_Wig_Distr_KYWD|" &amp; B1431 &amp; CHAR(10) &amp;
  _xlpm.vanillaPrefix &amp; "Spell = " &amp; _xlpm.spell &amp; "|" &amp; B1431
  )
)</f>
        <v>;Soul
;Keyword = Uvi_Wig_Distr_KYWD|DLC01SoulCairnSoulFarmMale
;Spell = No Spell for Hairstyle|DLC01SoulCairnSoulFarmMale</v>
      </c>
    </row>
    <row r="1432" ht="12.75" customHeight="1">
      <c r="A1432" s="5" t="s">
        <v>5058</v>
      </c>
      <c r="B1432" s="5" t="s">
        <v>5059</v>
      </c>
      <c r="C1432" s="5" t="s">
        <v>5053</v>
      </c>
      <c r="D1432" s="5" t="s">
        <v>83</v>
      </c>
      <c r="E1432" s="5" t="s">
        <v>233</v>
      </c>
      <c r="F1432" s="5" t="s">
        <v>84</v>
      </c>
      <c r="G1432" s="14" t="str">
        <f t="array" ref="G1432">IF(B1432="", "",
  LET(_xlpm.spell, IFERROR(IF(F1432="", "", INDEX(_xlws.FILTER(Hairstyles!$F:$F, ISNUMBER(SEARCH(F1432, Hairstyles!$B:$B))), 1)), "No Spell for Hairstyle"),
  _xlpm.vanillaPrefix, IF(LEFT(_xlpm.spell, 7)="Uvi_Wig", "", ";"),
  ";" &amp; IF(C1432="", B1432, C1432) &amp; IF(M1432="", "", " ("&amp;M1432&amp;")") &amp; CHAR(10) &amp;
  _xlpm.vanillaPrefix &amp; "Keyword = Uvi_Wig_Distr_KYWD|" &amp; B1432 &amp; CHAR(10) &amp;
  _xlpm.vanillaPrefix &amp; "Spell = " &amp; _xlpm.spell &amp; "|" &amp; B1432
  )
)</f>
        <v>;Soul
;Keyword = Uvi_Wig_Distr_KYWD|DLC01SoulCairnSoulHorseRider
;Spell = No Spell for Hairstyle|DLC01SoulCairnSoulHorseRider</v>
      </c>
    </row>
    <row r="1433" ht="12.75" customHeight="1">
      <c r="A1433" s="5" t="s">
        <v>5060</v>
      </c>
      <c r="B1433" s="5" t="s">
        <v>5061</v>
      </c>
      <c r="C1433" s="5" t="s">
        <v>5053</v>
      </c>
      <c r="D1433" s="5" t="s">
        <v>38</v>
      </c>
      <c r="E1433" s="5" t="s">
        <v>41</v>
      </c>
      <c r="F1433" s="5" t="s">
        <v>69</v>
      </c>
      <c r="G1433" s="14" t="str">
        <f t="array" ref="G1433">IF(B1433="", "",
  LET(_xlpm.spell, IFERROR(IF(F1433="", "", INDEX(_xlws.FILTER(Hairstyles!$F:$F, ISNUMBER(SEARCH(F1433, Hairstyles!$B:$B))), 1)), "No Spell for Hairstyle"),
  _xlpm.vanillaPrefix, IF(LEFT(_xlpm.spell, 7)="Uvi_Wig", "", ";"),
  ";" &amp; IF(C1433="", B1433, C1433) &amp; IF(M1433="", "", " ("&amp;M1433&amp;")") &amp; CHAR(10) &amp;
  _xlpm.vanillaPrefix &amp; "Keyword = Uvi_Wig_Distr_KYWD|" &amp; B1433 &amp; CHAR(10) &amp;
  _xlpm.vanillaPrefix &amp; "Spell = " &amp; _xlpm.spell &amp; "|" &amp; B1433
  )
)</f>
        <v>;Soul
;Keyword = Uvi_Wig_Distr_KYWD|DLC01SoulCairnSoulHunterF
;Spell = No Spell for Hairstyle|DLC01SoulCairnSoulHunterF</v>
      </c>
    </row>
    <row r="1434" ht="12.75" customHeight="1">
      <c r="A1434" s="5" t="s">
        <v>5062</v>
      </c>
      <c r="B1434" s="5" t="s">
        <v>5063</v>
      </c>
      <c r="C1434" s="5" t="s">
        <v>5053</v>
      </c>
      <c r="D1434" s="5" t="s">
        <v>38</v>
      </c>
      <c r="E1434" s="5" t="s">
        <v>233</v>
      </c>
      <c r="F1434" s="5" t="s">
        <v>68</v>
      </c>
      <c r="G1434" s="14" t="str">
        <f t="array" ref="G1434">IF(B1434="", "",
  LET(_xlpm.spell, IFERROR(IF(F1434="", "", INDEX(_xlws.FILTER(Hairstyles!$F:$F, ISNUMBER(SEARCH(F1434, Hairstyles!$B:$B))), 1)), "No Spell for Hairstyle"),
  _xlpm.vanillaPrefix, IF(LEFT(_xlpm.spell, 7)="Uvi_Wig", "", ";"),
  ";" &amp; IF(C1434="", B1434, C1434) &amp; IF(M1434="", "", " ("&amp;M1434&amp;")") &amp; CHAR(10) &amp;
  _xlpm.vanillaPrefix &amp; "Keyword = Uvi_Wig_Distr_KYWD|" &amp; B1434 &amp; CHAR(10) &amp;
  _xlpm.vanillaPrefix &amp; "Spell = " &amp; _xlpm.spell &amp; "|" &amp; B1434
  )
)</f>
        <v>;Soul
;Keyword = Uvi_Wig_Distr_KYWD|DLC01SoulCairnSoulHunterM
;Spell = No Spell for Hairstyle|DLC01SoulCairnSoulHunterM</v>
      </c>
    </row>
    <row r="1435" ht="12.75" customHeight="1">
      <c r="A1435" s="5" t="s">
        <v>5064</v>
      </c>
      <c r="B1435" s="5" t="s">
        <v>5065</v>
      </c>
      <c r="C1435" s="5" t="s">
        <v>5053</v>
      </c>
      <c r="D1435" s="5" t="s">
        <v>38</v>
      </c>
      <c r="E1435" s="5" t="s">
        <v>41</v>
      </c>
      <c r="F1435" s="5" t="s">
        <v>69</v>
      </c>
      <c r="G1435" s="14" t="str">
        <f t="array" ref="G1435">IF(B1435="", "",
  LET(_xlpm.spell, IFERROR(IF(F1435="", "", INDEX(_xlws.FILTER(Hairstyles!$F:$F, ISNUMBER(SEARCH(F1435, Hairstyles!$B:$B))), 1)), "No Spell for Hairstyle"),
  _xlpm.vanillaPrefix, IF(LEFT(_xlpm.spell, 7)="Uvi_Wig", "", ";"),
  ";" &amp; IF(C1435="", B1435, C1435) &amp; IF(M1435="", "", " ("&amp;M1435&amp;")") &amp; CHAR(10) &amp;
  _xlpm.vanillaPrefix &amp; "Keyword = Uvi_Wig_Distr_KYWD|" &amp; B1435 &amp; CHAR(10) &amp;
  _xlpm.vanillaPrefix &amp; "Spell = " &amp; _xlpm.spell &amp; "|" &amp; B1435
  )
)</f>
        <v>;Soul
;Keyword = Uvi_Wig_Distr_KYWD|DLC01SoulCairnSoulMageFemale
;Spell = No Spell for Hairstyle|DLC01SoulCairnSoulMageFemale</v>
      </c>
    </row>
    <row r="1436" ht="12.75" customHeight="1">
      <c r="A1436" s="5" t="s">
        <v>5066</v>
      </c>
      <c r="B1436" s="5" t="s">
        <v>5067</v>
      </c>
      <c r="C1436" s="5" t="s">
        <v>5053</v>
      </c>
      <c r="D1436" s="5" t="s">
        <v>57</v>
      </c>
      <c r="E1436" s="5" t="s">
        <v>41</v>
      </c>
      <c r="F1436" s="5" t="s">
        <v>48</v>
      </c>
      <c r="G1436" s="14" t="str">
        <f t="array" ref="G1436">IF(B1436="", "",
  LET(_xlpm.spell, IFERROR(IF(F1436="", "", INDEX(_xlws.FILTER(Hairstyles!$F:$F, ISNUMBER(SEARCH(F1436, Hairstyles!$B:$B))), 1)), "No Spell for Hairstyle"),
  _xlpm.vanillaPrefix, IF(LEFT(_xlpm.spell, 7)="Uvi_Wig", "", ";"),
  ";" &amp; IF(C1436="", B1436, C1436) &amp; IF(M1436="", "", " ("&amp;M1436&amp;")") &amp; CHAR(10) &amp;
  _xlpm.vanillaPrefix &amp; "Keyword = Uvi_Wig_Distr_KYWD|" &amp; B1436 &amp; CHAR(10) &amp;
  _xlpm.vanillaPrefix &amp; "Spell = " &amp; _xlpm.spell &amp; "|" &amp; B1436
  )
)</f>
        <v>;Soul
;Keyword = Uvi_Wig_Distr_KYWD|DLC01SoulCairnSoulMageFemale02
;Spell = No Spell for Hairstyle|DLC01SoulCairnSoulMageFemale02</v>
      </c>
    </row>
    <row r="1437" ht="12.75" customHeight="1">
      <c r="A1437" s="5" t="s">
        <v>5068</v>
      </c>
      <c r="B1437" s="5" t="s">
        <v>5069</v>
      </c>
      <c r="C1437" s="5" t="s">
        <v>5053</v>
      </c>
      <c r="D1437" s="5" t="s">
        <v>38</v>
      </c>
      <c r="E1437" s="5" t="s">
        <v>41</v>
      </c>
      <c r="F1437" s="5" t="s">
        <v>69</v>
      </c>
      <c r="G1437" s="14" t="str">
        <f t="array" ref="G1437">IF(B1437="", "",
  LET(_xlpm.spell, IFERROR(IF(F1437="", "", INDEX(_xlws.FILTER(Hairstyles!$F:$F, ISNUMBER(SEARCH(F1437, Hairstyles!$B:$B))), 1)), "No Spell for Hairstyle"),
  _xlpm.vanillaPrefix, IF(LEFT(_xlpm.spell, 7)="Uvi_Wig", "", ";"),
  ";" &amp; IF(C1437="", B1437, C1437) &amp; IF(M1437="", "", " ("&amp;M1437&amp;")") &amp; CHAR(10) &amp;
  _xlpm.vanillaPrefix &amp; "Keyword = Uvi_Wig_Distr_KYWD|" &amp; B1437 &amp; CHAR(10) &amp;
  _xlpm.vanillaPrefix &amp; "Spell = " &amp; _xlpm.spell &amp; "|" &amp; B1437
  )
)</f>
        <v>;Soul
;Keyword = Uvi_Wig_Distr_KYWD|DLC01SoulCairnSoulMageFemale03
;Spell = No Spell for Hairstyle|DLC01SoulCairnSoulMageFemale03</v>
      </c>
    </row>
    <row r="1438" ht="12.75" customHeight="1">
      <c r="A1438" s="5" t="s">
        <v>5070</v>
      </c>
      <c r="B1438" s="5" t="s">
        <v>5071</v>
      </c>
      <c r="C1438" s="5" t="s">
        <v>5053</v>
      </c>
      <c r="D1438" s="5" t="s">
        <v>57</v>
      </c>
      <c r="E1438" s="5" t="s">
        <v>233</v>
      </c>
      <c r="F1438" s="5" t="s">
        <v>47</v>
      </c>
      <c r="G1438" s="14" t="str">
        <f t="array" ref="G1438">IF(B1438="", "",
  LET(_xlpm.spell, IFERROR(IF(F1438="", "", INDEX(_xlws.FILTER(Hairstyles!$F:$F, ISNUMBER(SEARCH(F1438, Hairstyles!$B:$B))), 1)), "No Spell for Hairstyle"),
  _xlpm.vanillaPrefix, IF(LEFT(_xlpm.spell, 7)="Uvi_Wig", "", ";"),
  ";" &amp; IF(C1438="", B1438, C1438) &amp; IF(M1438="", "", " ("&amp;M1438&amp;")") &amp; CHAR(10) &amp;
  _xlpm.vanillaPrefix &amp; "Keyword = Uvi_Wig_Distr_KYWD|" &amp; B1438 &amp; CHAR(10) &amp;
  _xlpm.vanillaPrefix &amp; "Spell = " &amp; _xlpm.spell &amp; "|" &amp; B1438
  )
)</f>
        <v>;Soul
;Keyword = Uvi_Wig_Distr_KYWD|DLC01SoulCairnSoulMageMale
;Spell = No Spell for Hairstyle|DLC01SoulCairnSoulMageMale</v>
      </c>
    </row>
    <row r="1439" ht="12.75" customHeight="1">
      <c r="A1439" s="5" t="s">
        <v>5072</v>
      </c>
      <c r="B1439" s="5" t="s">
        <v>5073</v>
      </c>
      <c r="C1439" s="5" t="s">
        <v>5053</v>
      </c>
      <c r="D1439" s="5" t="s">
        <v>38</v>
      </c>
      <c r="E1439" s="5" t="s">
        <v>233</v>
      </c>
      <c r="F1439" s="5" t="s">
        <v>68</v>
      </c>
      <c r="G1439" s="14" t="str">
        <f t="array" ref="G1439">IF(B1439="", "",
  LET(_xlpm.spell, IFERROR(IF(F1439="", "", INDEX(_xlws.FILTER(Hairstyles!$F:$F, ISNUMBER(SEARCH(F1439, Hairstyles!$B:$B))), 1)), "No Spell for Hairstyle"),
  _xlpm.vanillaPrefix, IF(LEFT(_xlpm.spell, 7)="Uvi_Wig", "", ";"),
  ";" &amp; IF(C1439="", B1439, C1439) &amp; IF(M1439="", "", " ("&amp;M1439&amp;")") &amp; CHAR(10) &amp;
  _xlpm.vanillaPrefix &amp; "Keyword = Uvi_Wig_Distr_KYWD|" &amp; B1439 &amp; CHAR(10) &amp;
  _xlpm.vanillaPrefix &amp; "Spell = " &amp; _xlpm.spell &amp; "|" &amp; B1439
  )
)</f>
        <v>;Soul
;Keyword = Uvi_Wig_Distr_KYWD|DLC01SoulCairnSoulMageMale02
;Spell = No Spell for Hairstyle|DLC01SoulCairnSoulMageMale02</v>
      </c>
    </row>
    <row r="1440" ht="12.75" customHeight="1">
      <c r="A1440" s="5" t="s">
        <v>5074</v>
      </c>
      <c r="B1440" s="5" t="s">
        <v>5075</v>
      </c>
      <c r="C1440" s="5" t="s">
        <v>5053</v>
      </c>
      <c r="D1440" s="5" t="s">
        <v>38</v>
      </c>
      <c r="E1440" s="5" t="s">
        <v>233</v>
      </c>
      <c r="F1440" s="5" t="s">
        <v>68</v>
      </c>
      <c r="G1440" s="14" t="str">
        <f t="array" ref="G1440">IF(B1440="", "",
  LET(_xlpm.spell, IFERROR(IF(F1440="", "", INDEX(_xlws.FILTER(Hairstyles!$F:$F, ISNUMBER(SEARCH(F1440, Hairstyles!$B:$B))), 1)), "No Spell for Hairstyle"),
  _xlpm.vanillaPrefix, IF(LEFT(_xlpm.spell, 7)="Uvi_Wig", "", ";"),
  ";" &amp; IF(C1440="", B1440, C1440) &amp; IF(M1440="", "", " ("&amp;M1440&amp;")") &amp; CHAR(10) &amp;
  _xlpm.vanillaPrefix &amp; "Keyword = Uvi_Wig_Distr_KYWD|" &amp; B1440 &amp; CHAR(10) &amp;
  _xlpm.vanillaPrefix &amp; "Spell = " &amp; _xlpm.spell &amp; "|" &amp; B1440
  )
)</f>
        <v>;Soul
;Keyword = Uvi_Wig_Distr_KYWD|DLC01SoulCairnSoulMageMale03
;Spell = No Spell for Hairstyle|DLC01SoulCairnSoulMageMale03</v>
      </c>
    </row>
    <row r="1441" ht="12.75" customHeight="1">
      <c r="A1441" s="5" t="s">
        <v>5076</v>
      </c>
      <c r="B1441" s="5" t="s">
        <v>5077</v>
      </c>
      <c r="C1441" s="5" t="s">
        <v>5053</v>
      </c>
      <c r="D1441" s="5" t="s">
        <v>38</v>
      </c>
      <c r="E1441" s="5" t="s">
        <v>41</v>
      </c>
      <c r="F1441" s="5" t="s">
        <v>69</v>
      </c>
      <c r="G1441" s="14" t="str">
        <f t="array" ref="G1441">IF(B1441="", "",
  LET(_xlpm.spell, IFERROR(IF(F1441="", "", INDEX(_xlws.FILTER(Hairstyles!$F:$F, ISNUMBER(SEARCH(F1441, Hairstyles!$B:$B))), 1)), "No Spell for Hairstyle"),
  _xlpm.vanillaPrefix, IF(LEFT(_xlpm.spell, 7)="Uvi_Wig", "", ";"),
  ";" &amp; IF(C1441="", B1441, C1441) &amp; IF(M1441="", "", " ("&amp;M1441&amp;")") &amp; CHAR(10) &amp;
  _xlpm.vanillaPrefix &amp; "Keyword = Uvi_Wig_Distr_KYWD|" &amp; B1441 &amp; CHAR(10) &amp;
  _xlpm.vanillaPrefix &amp; "Spell = " &amp; _xlpm.spell &amp; "|" &amp; B1441
  )
)</f>
        <v>;Soul
;Keyword = Uvi_Wig_Distr_KYWD|DLC01SoulCairnSoulMeleeFemale
;Spell = No Spell for Hairstyle|DLC01SoulCairnSoulMeleeFemale</v>
      </c>
    </row>
    <row r="1442" ht="12.75" customHeight="1">
      <c r="A1442" s="5" t="s">
        <v>5078</v>
      </c>
      <c r="B1442" s="5" t="s">
        <v>5079</v>
      </c>
      <c r="C1442" s="5" t="s">
        <v>5053</v>
      </c>
      <c r="D1442" s="5" t="s">
        <v>38</v>
      </c>
      <c r="E1442" s="5" t="s">
        <v>41</v>
      </c>
      <c r="F1442" s="5" t="s">
        <v>69</v>
      </c>
      <c r="G1442" s="14" t="str">
        <f t="array" ref="G1442">IF(B1442="", "",
  LET(_xlpm.spell, IFERROR(IF(F1442="", "", INDEX(_xlws.FILTER(Hairstyles!$F:$F, ISNUMBER(SEARCH(F1442, Hairstyles!$B:$B))), 1)), "No Spell for Hairstyle"),
  _xlpm.vanillaPrefix, IF(LEFT(_xlpm.spell, 7)="Uvi_Wig", "", ";"),
  ";" &amp; IF(C1442="", B1442, C1442) &amp; IF(M1442="", "", " ("&amp;M1442&amp;")") &amp; CHAR(10) &amp;
  _xlpm.vanillaPrefix &amp; "Keyword = Uvi_Wig_Distr_KYWD|" &amp; B1442 &amp; CHAR(10) &amp;
  _xlpm.vanillaPrefix &amp; "Spell = " &amp; _xlpm.spell &amp; "|" &amp; B1442
  )
)</f>
        <v>;Soul
;Keyword = Uvi_Wig_Distr_KYWD|DLC01SoulCairnSoulMeleeFemale02
;Spell = No Spell for Hairstyle|DLC01SoulCairnSoulMeleeFemale02</v>
      </c>
    </row>
    <row r="1443" ht="12.75" customHeight="1">
      <c r="A1443" s="15" t="s">
        <v>5080</v>
      </c>
      <c r="B1443" s="5" t="s">
        <v>5081</v>
      </c>
      <c r="C1443" s="5" t="s">
        <v>5053</v>
      </c>
      <c r="D1443" s="5" t="s">
        <v>38</v>
      </c>
      <c r="E1443" s="5" t="s">
        <v>233</v>
      </c>
      <c r="F1443" s="5" t="s">
        <v>68</v>
      </c>
      <c r="G1443" s="14" t="str">
        <f t="array" ref="G1443">IF(B1443="", "",
  LET(_xlpm.spell, IFERROR(IF(F1443="", "", INDEX(_xlws.FILTER(Hairstyles!$F:$F, ISNUMBER(SEARCH(F1443, Hairstyles!$B:$B))), 1)), "No Spell for Hairstyle"),
  _xlpm.vanillaPrefix, IF(LEFT(_xlpm.spell, 7)="Uvi_Wig", "", ";"),
  ";" &amp; IF(C1443="", B1443, C1443) &amp; IF(M1443="", "", " ("&amp;M1443&amp;")") &amp; CHAR(10) &amp;
  _xlpm.vanillaPrefix &amp; "Keyword = Uvi_Wig_Distr_KYWD|" &amp; B1443 &amp; CHAR(10) &amp;
  _xlpm.vanillaPrefix &amp; "Spell = " &amp; _xlpm.spell &amp; "|" &amp; B1443
  )
)</f>
        <v>;Soul
;Keyword = Uvi_Wig_Distr_KYWD|DLC01SoulCairnSoulMeleeMale
;Spell = No Spell for Hairstyle|DLC01SoulCairnSoulMeleeMale</v>
      </c>
    </row>
    <row r="1444" ht="12.75" customHeight="1">
      <c r="A1444" s="5" t="s">
        <v>5082</v>
      </c>
      <c r="B1444" s="5" t="s">
        <v>5083</v>
      </c>
      <c r="C1444" s="5" t="s">
        <v>5053</v>
      </c>
      <c r="D1444" s="5" t="s">
        <v>38</v>
      </c>
      <c r="E1444" s="5" t="s">
        <v>233</v>
      </c>
      <c r="F1444" s="5" t="s">
        <v>68</v>
      </c>
      <c r="G1444" s="14" t="str">
        <f t="array" ref="G1444">IF(B1444="", "",
  LET(_xlpm.spell, IFERROR(IF(F1444="", "", INDEX(_xlws.FILTER(Hairstyles!$F:$F, ISNUMBER(SEARCH(F1444, Hairstyles!$B:$B))), 1)), "No Spell for Hairstyle"),
  _xlpm.vanillaPrefix, IF(LEFT(_xlpm.spell, 7)="Uvi_Wig", "", ";"),
  ";" &amp; IF(C1444="", B1444, C1444) &amp; IF(M1444="", "", " ("&amp;M1444&amp;")") &amp; CHAR(10) &amp;
  _xlpm.vanillaPrefix &amp; "Keyword = Uvi_Wig_Distr_KYWD|" &amp; B1444 &amp; CHAR(10) &amp;
  _xlpm.vanillaPrefix &amp; "Spell = " &amp; _xlpm.spell &amp; "|" &amp; B1444
  )
)</f>
        <v>;Soul
;Keyword = Uvi_Wig_Distr_KYWD|DLC01SoulCairnSoulMeleeMale02
;Spell = No Spell for Hairstyle|DLC01SoulCairnSoulMeleeMale02</v>
      </c>
    </row>
    <row r="1445" ht="12.75" customHeight="1">
      <c r="A1445" s="5" t="s">
        <v>5084</v>
      </c>
      <c r="B1445" s="5" t="s">
        <v>5085</v>
      </c>
      <c r="C1445" s="5" t="s">
        <v>5053</v>
      </c>
      <c r="D1445" s="5" t="s">
        <v>38</v>
      </c>
      <c r="E1445" s="5" t="s">
        <v>41</v>
      </c>
      <c r="F1445" s="5" t="s">
        <v>69</v>
      </c>
      <c r="G1445" s="14" t="str">
        <f t="array" ref="G1445">IF(B1445="", "",
  LET(_xlpm.spell, IFERROR(IF(F1445="", "", INDEX(_xlws.FILTER(Hairstyles!$F:$F, ISNUMBER(SEARCH(F1445, Hairstyles!$B:$B))), 1)), "No Spell for Hairstyle"),
  _xlpm.vanillaPrefix, IF(LEFT(_xlpm.spell, 7)="Uvi_Wig", "", ";"),
  ";" &amp; IF(C1445="", B1445, C1445) &amp; IF(M1445="", "", " ("&amp;M1445&amp;")") &amp; CHAR(10) &amp;
  _xlpm.vanillaPrefix &amp; "Keyword = Uvi_Wig_Distr_KYWD|" &amp; B1445 &amp; CHAR(10) &amp;
  _xlpm.vanillaPrefix &amp; "Spell = " &amp; _xlpm.spell &amp; "|" &amp; B1445
  )
)</f>
        <v>;Soul
;Keyword = Uvi_Wig_Distr_KYWD|DLC01SoulCairnSoulMissileFemale
;Spell = No Spell for Hairstyle|DLC01SoulCairnSoulMissileFemale</v>
      </c>
    </row>
    <row r="1446" ht="12.75" customHeight="1">
      <c r="A1446" s="5" t="s">
        <v>5086</v>
      </c>
      <c r="B1446" s="5" t="s">
        <v>5087</v>
      </c>
      <c r="C1446" s="5" t="s">
        <v>5053</v>
      </c>
      <c r="D1446" s="5" t="s">
        <v>38</v>
      </c>
      <c r="E1446" s="5" t="s">
        <v>233</v>
      </c>
      <c r="F1446" s="5" t="s">
        <v>68</v>
      </c>
      <c r="G1446" s="14" t="str">
        <f t="array" ref="G1446">IF(B1446="", "",
  LET(_xlpm.spell, IFERROR(IF(F1446="", "", INDEX(_xlws.FILTER(Hairstyles!$F:$F, ISNUMBER(SEARCH(F1446, Hairstyles!$B:$B))), 1)), "No Spell for Hairstyle"),
  _xlpm.vanillaPrefix, IF(LEFT(_xlpm.spell, 7)="Uvi_Wig", "", ";"),
  ";" &amp; IF(C1446="", B1446, C1446) &amp; IF(M1446="", "", " ("&amp;M1446&amp;")") &amp; CHAR(10) &amp;
  _xlpm.vanillaPrefix &amp; "Keyword = Uvi_Wig_Distr_KYWD|" &amp; B1446 &amp; CHAR(10) &amp;
  _xlpm.vanillaPrefix &amp; "Spell = " &amp; _xlpm.spell &amp; "|" &amp; B1446
  )
)</f>
        <v>;Soul
;Keyword = Uvi_Wig_Distr_KYWD|DLC01SoulCairnSoulMissileMale
;Spell = No Spell for Hairstyle|DLC01SoulCairnSoulMissileMale</v>
      </c>
    </row>
    <row r="1447" ht="12.75" customHeight="1">
      <c r="A1447" s="5" t="s">
        <v>5088</v>
      </c>
      <c r="B1447" s="5" t="s">
        <v>5089</v>
      </c>
      <c r="C1447" s="5" t="s">
        <v>5053</v>
      </c>
      <c r="D1447" s="5" t="s">
        <v>57</v>
      </c>
      <c r="E1447" s="5" t="s">
        <v>41</v>
      </c>
      <c r="F1447" s="5" t="s">
        <v>48</v>
      </c>
      <c r="G1447" s="14" t="str">
        <f t="array" ref="G1447">IF(B1447="", "",
  LET(_xlpm.spell, IFERROR(IF(F1447="", "", INDEX(_xlws.FILTER(Hairstyles!$F:$F, ISNUMBER(SEARCH(F1447, Hairstyles!$B:$B))), 1)), "No Spell for Hairstyle"),
  _xlpm.vanillaPrefix, IF(LEFT(_xlpm.spell, 7)="Uvi_Wig", "", ";"),
  ";" &amp; IF(C1447="", B1447, C1447) &amp; IF(M1447="", "", " ("&amp;M1447&amp;")") &amp; CHAR(10) &amp;
  _xlpm.vanillaPrefix &amp; "Keyword = Uvi_Wig_Distr_KYWD|" &amp; B1447 &amp; CHAR(10) &amp;
  _xlpm.vanillaPrefix &amp; "Spell = " &amp; _xlpm.spell &amp; "|" &amp; B1447
  )
)</f>
        <v>;Soul
;Keyword = Uvi_Wig_Distr_KYWD|DLC01SoulCairnSoulNecromancerFemale
;Spell = No Spell for Hairstyle|DLC01SoulCairnSoulNecromancerFemale</v>
      </c>
    </row>
    <row r="1448" ht="12.75" customHeight="1">
      <c r="A1448" s="5" t="s">
        <v>5090</v>
      </c>
      <c r="B1448" s="5" t="s">
        <v>5091</v>
      </c>
      <c r="C1448" s="5" t="s">
        <v>5053</v>
      </c>
      <c r="D1448" s="5" t="s">
        <v>45</v>
      </c>
      <c r="E1448" s="5" t="s">
        <v>233</v>
      </c>
      <c r="F1448" s="5" t="s">
        <v>47</v>
      </c>
      <c r="G1448" s="14" t="str">
        <f t="array" ref="G1448">IF(B1448="", "",
  LET(_xlpm.spell, IFERROR(IF(F1448="", "", INDEX(_xlws.FILTER(Hairstyles!$F:$F, ISNUMBER(SEARCH(F1448, Hairstyles!$B:$B))), 1)), "No Spell for Hairstyle"),
  _xlpm.vanillaPrefix, IF(LEFT(_xlpm.spell, 7)="Uvi_Wig", "", ";"),
  ";" &amp; IF(C1448="", B1448, C1448) &amp; IF(M1448="", "", " ("&amp;M1448&amp;")") &amp; CHAR(10) &amp;
  _xlpm.vanillaPrefix &amp; "Keyword = Uvi_Wig_Distr_KYWD|" &amp; B1448 &amp; CHAR(10) &amp;
  _xlpm.vanillaPrefix &amp; "Spell = " &amp; _xlpm.spell &amp; "|" &amp; B1448
  )
)</f>
        <v>;Soul
;Keyword = Uvi_Wig_Distr_KYWD|DLC01SoulCairnSoulNecromancerMale
;Spell = No Spell for Hairstyle|DLC01SoulCairnSoulNecromancerMale</v>
      </c>
    </row>
    <row r="1449" ht="12.75" customHeight="1">
      <c r="A1449" s="5" t="s">
        <v>5092</v>
      </c>
      <c r="B1449" s="5" t="s">
        <v>5093</v>
      </c>
      <c r="C1449" s="5" t="s">
        <v>5053</v>
      </c>
      <c r="D1449" s="5" t="s">
        <v>80</v>
      </c>
      <c r="E1449" s="5" t="s">
        <v>233</v>
      </c>
      <c r="F1449" s="5" t="s">
        <v>81</v>
      </c>
      <c r="G1449" s="14" t="str">
        <f t="array" ref="G1449">IF(B1449="", "",
  LET(_xlpm.spell, IFERROR(IF(F1449="", "", INDEX(_xlws.FILTER(Hairstyles!$F:$F, ISNUMBER(SEARCH(F1449, Hairstyles!$B:$B))), 1)), "No Spell for Hairstyle"),
  _xlpm.vanillaPrefix, IF(LEFT(_xlpm.spell, 7)="Uvi_Wig", "", ";"),
  ";" &amp; IF(C1449="", B1449, C1449) &amp; IF(M1449="", "", " ("&amp;M1449&amp;")") &amp; CHAR(10) &amp;
  _xlpm.vanillaPrefix &amp; "Keyword = Uvi_Wig_Distr_KYWD|" &amp; B1449 &amp; CHAR(10) &amp;
  _xlpm.vanillaPrefix &amp; "Spell = " &amp; _xlpm.spell &amp; "|" &amp; B1449
  )
)</f>
        <v>;Soul
;Keyword = Uvi_Wig_Distr_KYWD|DLC01SoulCairnSoulOrcMale
;Spell = No Spell for Hairstyle|DLC01SoulCairnSoulOrcMale</v>
      </c>
    </row>
    <row r="1450" ht="12.75" customHeight="1">
      <c r="A1450" s="5" t="s">
        <v>5094</v>
      </c>
      <c r="B1450" s="5" t="s">
        <v>5095</v>
      </c>
      <c r="C1450" s="5" t="s">
        <v>5053</v>
      </c>
      <c r="D1450" s="5" t="s">
        <v>38</v>
      </c>
      <c r="E1450" s="5" t="s">
        <v>41</v>
      </c>
      <c r="F1450" s="5" t="s">
        <v>69</v>
      </c>
      <c r="G1450" s="14" t="str">
        <f t="array" ref="G1450">IF(B1450="", "",
  LET(_xlpm.spell, IFERROR(IF(F1450="", "", INDEX(_xlws.FILTER(Hairstyles!$F:$F, ISNUMBER(SEARCH(F1450, Hairstyles!$B:$B))), 1)), "No Spell for Hairstyle"),
  _xlpm.vanillaPrefix, IF(LEFT(_xlpm.spell, 7)="Uvi_Wig", "", ";"),
  ";" &amp; IF(C1450="", B1450, C1450) &amp; IF(M1450="", "", " ("&amp;M1450&amp;")") &amp; CHAR(10) &amp;
  _xlpm.vanillaPrefix &amp; "Keyword = Uvi_Wig_Distr_KYWD|" &amp; B1450 &amp; CHAR(10) &amp;
  _xlpm.vanillaPrefix &amp; "Spell = " &amp; _xlpm.spell &amp; "|" &amp; B1450
  )
)</f>
        <v>;Soul
;Keyword = Uvi_Wig_Distr_KYWD|DLC01SoulCairnSoulPrisonerFemale
;Spell = No Spell for Hairstyle|DLC01SoulCairnSoulPrisonerFemale</v>
      </c>
    </row>
    <row r="1451" ht="12.75" customHeight="1">
      <c r="A1451" s="5" t="s">
        <v>5096</v>
      </c>
      <c r="B1451" s="5" t="s">
        <v>5097</v>
      </c>
      <c r="C1451" s="5" t="s">
        <v>5053</v>
      </c>
      <c r="D1451" s="5" t="s">
        <v>38</v>
      </c>
      <c r="E1451" s="5" t="s">
        <v>233</v>
      </c>
      <c r="F1451" s="5" t="s">
        <v>68</v>
      </c>
      <c r="G1451" s="14" t="str">
        <f t="array" ref="G1451">IF(B1451="", "",
  LET(_xlpm.spell, IFERROR(IF(F1451="", "", INDEX(_xlws.FILTER(Hairstyles!$F:$F, ISNUMBER(SEARCH(F1451, Hairstyles!$B:$B))), 1)), "No Spell for Hairstyle"),
  _xlpm.vanillaPrefix, IF(LEFT(_xlpm.spell, 7)="Uvi_Wig", "", ";"),
  ";" &amp; IF(C1451="", B1451, C1451) &amp; IF(M1451="", "", " ("&amp;M1451&amp;")") &amp; CHAR(10) &amp;
  _xlpm.vanillaPrefix &amp; "Keyword = Uvi_Wig_Distr_KYWD|" &amp; B1451 &amp; CHAR(10) &amp;
  _xlpm.vanillaPrefix &amp; "Spell = " &amp; _xlpm.spell &amp; "|" &amp; B1451
  )
)</f>
        <v>;Soul
;Keyword = Uvi_Wig_Distr_KYWD|DLC01SoulCairnSoulPrisonerMale
;Spell = No Spell for Hairstyle|DLC01SoulCairnSoulPrisonerMale</v>
      </c>
    </row>
    <row r="1452" ht="12.75" customHeight="1">
      <c r="A1452" s="5" t="s">
        <v>5098</v>
      </c>
      <c r="B1452" s="5" t="s">
        <v>5099</v>
      </c>
      <c r="C1452" s="5" t="s">
        <v>5100</v>
      </c>
      <c r="D1452" s="5" t="s">
        <v>59</v>
      </c>
      <c r="E1452" s="5" t="s">
        <v>233</v>
      </c>
      <c r="F1452" s="5" t="s">
        <v>990</v>
      </c>
      <c r="G1452" s="14" t="str">
        <f t="array" ref="G1452">IF(B1452="", "",
  LET(_xlpm.spell, IFERROR(IF(F1452="", "", INDEX(_xlws.FILTER(Hairstyles!$F:$F, ISNUMBER(SEARCH(F1452, Hairstyles!$B:$B))), 1)), "No Spell for Hairstyle"),
  _xlpm.vanillaPrefix, IF(LEFT(_xlpm.spell, 7)="Uvi_Wig", "", ";"),
  ";" &amp; IF(C1452="", B1452, C1452) &amp; IF(M1452="", "", " ("&amp;M1452&amp;")") &amp; CHAR(10) &amp;
  _xlpm.vanillaPrefix &amp; "Keyword = Uvi_Wig_Distr_KYWD|" &amp; B1452 &amp; CHAR(10) &amp;
  _xlpm.vanillaPrefix &amp; "Spell = " &amp; _xlpm.spell &amp; "|" &amp; B1452
  )
)</f>
        <v>;Spectral Assassin
;Keyword = Uvi_Wig_Distr_KYWD|DBSpectralAssassin
;Spell = No Spell for Hairstyle|DBSpectralAssassin</v>
      </c>
    </row>
    <row r="1453" ht="12.75" customHeight="1">
      <c r="A1453" s="5" t="s">
        <v>5101</v>
      </c>
      <c r="B1453" s="5" t="s">
        <v>5102</v>
      </c>
      <c r="C1453" s="5" t="s">
        <v>5103</v>
      </c>
      <c r="D1453" s="5" t="s">
        <v>38</v>
      </c>
      <c r="E1453" s="5" t="s">
        <v>233</v>
      </c>
      <c r="F1453" s="5" t="s">
        <v>68</v>
      </c>
      <c r="G1453" s="14" t="str">
        <f t="array" ref="G1453">IF(B1453="", "",
  LET(_xlpm.spell, IFERROR(IF(F1453="", "", INDEX(_xlws.FILTER(Hairstyles!$F:$F, ISNUMBER(SEARCH(F1453, Hairstyles!$B:$B))), 1)), "No Spell for Hairstyle"),
  _xlpm.vanillaPrefix, IF(LEFT(_xlpm.spell, 7)="Uvi_Wig", "", ";"),
  ";" &amp; IF(C1453="", B1453, C1453) &amp; IF(M1453="", "", " ("&amp;M1453&amp;")") &amp; CHAR(10) &amp;
  _xlpm.vanillaPrefix &amp; "Keyword = Uvi_Wig_Distr_KYWD|" &amp; B1453 &amp; CHAR(10) &amp;
  _xlpm.vanillaPrefix &amp; "Spell = " &amp; _xlpm.spell &amp; "|" &amp; B1453
  )
)</f>
        <v>;Spirit of the Ancient Traveler
;Keyword = Uvi_Wig_Distr_KYWD|dunWaywardPassGhost
;Spell = No Spell for Hairstyle|dunWaywardPassGhost</v>
      </c>
    </row>
    <row r="1454" ht="12.75" customHeight="1">
      <c r="A1454" s="15" t="s">
        <v>5104</v>
      </c>
      <c r="B1454" s="5" t="s">
        <v>5105</v>
      </c>
      <c r="C1454" s="5" t="s">
        <v>5106</v>
      </c>
      <c r="D1454" s="5" t="s">
        <v>79</v>
      </c>
      <c r="E1454" s="5" t="s">
        <v>233</v>
      </c>
      <c r="F1454" s="5" t="s">
        <v>424</v>
      </c>
      <c r="G1454" s="14" t="str">
        <f t="array" ref="G1454">IF(B1454="", "",
  LET(_xlpm.spell, IFERROR(IF(F1454="", "", INDEX(_xlws.FILTER(Hairstyles!$F:$F, ISNUMBER(SEARCH(F1454, Hairstyles!$B:$B))), 1)), "No Spell for Hairstyle"),
  _xlpm.vanillaPrefix, IF(LEFT(_xlpm.spell, 7)="Uvi_Wig", "", ";"),
  ";" &amp; IF(C1454="", B1454, C1454) &amp; IF(M1454="", "", " ("&amp;M1454&amp;")") &amp; CHAR(10) &amp;
  _xlpm.vanillaPrefix &amp; "Keyword = Uvi_Wig_Distr_KYWD|" &amp; B1454 &amp; CHAR(10) &amp;
  _xlpm.vanillaPrefix &amp; "Spell = " &amp; _xlpm.spell &amp; "|" &amp; B1454
  )
)</f>
        <v>;Stalf
;Keyword = Uvi_Wig_Distr_KYWD|DLC1Stalf
;Spell = No Spell for Hairstyle|DLC1Stalf</v>
      </c>
    </row>
    <row r="1455" ht="12.75" customHeight="1">
      <c r="A1455" s="15" t="s">
        <v>5107</v>
      </c>
      <c r="B1455" s="5" t="s">
        <v>5108</v>
      </c>
      <c r="C1455" s="5" t="s">
        <v>5109</v>
      </c>
      <c r="D1455" s="5" t="s">
        <v>10</v>
      </c>
      <c r="E1455" s="5" t="s">
        <v>233</v>
      </c>
      <c r="F1455" s="5" t="s">
        <v>5110</v>
      </c>
      <c r="G1455" s="14" t="str">
        <f t="array" ref="G1455">IF(B1455="", "",
  LET(_xlpm.spell, IFERROR(IF(F1455="", "", INDEX(_xlws.FILTER(Hairstyles!$F:$F, ISNUMBER(SEARCH(F1455, Hairstyles!$B:$B))), 1)), "No Spell for Hairstyle"),
  _xlpm.vanillaPrefix, IF(LEFT(_xlpm.spell, 7)="Uvi_Wig", "", ";"),
  ";" &amp; IF(C1455="", B1455, C1455) &amp; IF(M1455="", "", " ("&amp;M1455&amp;")") &amp; CHAR(10) &amp;
  _xlpm.vanillaPrefix &amp; "Keyword = Uvi_Wig_Distr_KYWD|" &amp; B1455 &amp; CHAR(10) &amp;
  _xlpm.vanillaPrefix &amp; "Spell = " &amp; _xlpm.spell &amp; "|" &amp; B1455
  )
)</f>
        <v>;Stands-In-Shallows
;Keyword = Uvi_Wig_Distr_KYWD|StandsInShallows
;Spell = No Spell for Hairstyle|StandsInShallows</v>
      </c>
    </row>
    <row r="1456" ht="12.75" customHeight="1">
      <c r="A1456" s="15" t="s">
        <v>5111</v>
      </c>
      <c r="B1456" s="5" t="s">
        <v>5112</v>
      </c>
      <c r="C1456" s="5" t="s">
        <v>5113</v>
      </c>
      <c r="D1456" s="5" t="s">
        <v>16</v>
      </c>
      <c r="E1456" s="5" t="s">
        <v>233</v>
      </c>
      <c r="F1456" s="5" t="s">
        <v>1894</v>
      </c>
      <c r="G1456" s="14" t="str">
        <f t="array" ref="G1456">IF(B1456="", "",
  LET(_xlpm.spell, IFERROR(IF(F1456="", "", INDEX(_xlws.FILTER(Hairstyles!$F:$F, ISNUMBER(SEARCH(F1456, Hairstyles!$B:$B))), 1)), "No Spell for Hairstyle"),
  _xlpm.vanillaPrefix, IF(LEFT(_xlpm.spell, 7)="Uvi_Wig", "", ";"),
  ";" &amp; IF(C1456="", B1456, C1456) &amp; IF(M1456="", "", " ("&amp;M1456&amp;")") &amp; CHAR(10) &amp;
  _xlpm.vanillaPrefix &amp; "Keyword = Uvi_Wig_Distr_KYWD|" &amp; B1456 &amp; CHAR(10) &amp;
  _xlpm.vanillaPrefix &amp; "Spell = " &amp; _xlpm.spell &amp; "|" &amp; B1456
  )
)</f>
        <v>;Staubin
;Keyword = Uvi_Wig_Distr_KYWD|dunNchuandStaubs
;Spell = No Spell for Hairstyle|dunNchuandStaubs</v>
      </c>
    </row>
    <row r="1457" ht="12.75" customHeight="1">
      <c r="A1457" s="5" t="s">
        <v>5114</v>
      </c>
      <c r="B1457" s="5" t="s">
        <v>5115</v>
      </c>
      <c r="C1457" s="5" t="s">
        <v>5115</v>
      </c>
      <c r="D1457" s="5" t="s">
        <v>38</v>
      </c>
      <c r="E1457" s="5" t="s">
        <v>233</v>
      </c>
      <c r="F1457" s="5" t="s">
        <v>84</v>
      </c>
      <c r="G1457" s="14" t="str">
        <f t="array" ref="G1457">IF(B1457="", "",
  LET(_xlpm.spell, IFERROR(IF(F1457="", "", INDEX(_xlws.FILTER(Hairstyles!$F:$F, ISNUMBER(SEARCH(F1457, Hairstyles!$B:$B))), 1)), "No Spell for Hairstyle"),
  _xlpm.vanillaPrefix, IF(LEFT(_xlpm.spell, 7)="Uvi_Wig", "", ";"),
  ";" &amp; IF(C1457="", B1457, C1457) &amp; IF(M1457="", "", " ("&amp;M1457&amp;")") &amp; CHAR(10) &amp;
  _xlpm.vanillaPrefix &amp; "Keyword = Uvi_Wig_Distr_KYWD|" &amp; B1457 &amp; CHAR(10) &amp;
  _xlpm.vanillaPrefix &amp; "Spell = " &amp; _xlpm.spell &amp; "|" &amp; B1457
  )
)</f>
        <v>;Steirod
;Keyword = Uvi_Wig_Distr_KYWD|Steirod
;Spell = No Spell for Hairstyle|Steirod</v>
      </c>
    </row>
    <row r="1458" ht="12.75" customHeight="1">
      <c r="A1458" s="5" t="s">
        <v>5116</v>
      </c>
      <c r="B1458" s="5" t="s">
        <v>5117</v>
      </c>
      <c r="C1458" s="5" t="s">
        <v>5118</v>
      </c>
      <c r="D1458" s="5" t="s">
        <v>38</v>
      </c>
      <c r="E1458" s="5" t="s">
        <v>233</v>
      </c>
      <c r="F1458" s="5" t="s">
        <v>1622</v>
      </c>
      <c r="G1458" s="14" t="str">
        <f t="array" ref="G1458">IF(B1458="", "",
  LET(_xlpm.spell, IFERROR(IF(F1458="", "", INDEX(_xlws.FILTER(Hairstyles!$F:$F, ISNUMBER(SEARCH(F1458, Hairstyles!$B:$B))), 1)), "No Spell for Hairstyle"),
  _xlpm.vanillaPrefix, IF(LEFT(_xlpm.spell, 7)="Uvi_Wig", "", ";"),
  ";" &amp; IF(C1458="", B1458, C1458) &amp; IF(M1458="", "", " ("&amp;M1458&amp;")") &amp; CHAR(10) &amp;
  _xlpm.vanillaPrefix &amp; "Keyword = Uvi_Wig_Distr_KYWD|" &amp; B1458 &amp; CHAR(10) &amp;
  _xlpm.vanillaPrefix &amp; "Spell = " &amp; _xlpm.spell &amp; "|" &amp; B1458
  )
)</f>
        <v>;Stenvar
;Keyword = Uvi_Wig_Distr_KYWD|HirelingStenvar
;Spell = No Spell for Hairstyle|HirelingStenvar</v>
      </c>
    </row>
    <row r="1459" ht="12.75" customHeight="1">
      <c r="A1459" s="5" t="s">
        <v>5119</v>
      </c>
      <c r="B1459" s="5" t="s">
        <v>5120</v>
      </c>
      <c r="C1459" s="5" t="s">
        <v>5121</v>
      </c>
      <c r="D1459" s="5" t="s">
        <v>38</v>
      </c>
      <c r="E1459" s="5" t="s">
        <v>233</v>
      </c>
      <c r="F1459" s="5" t="s">
        <v>1919</v>
      </c>
      <c r="G1459" s="14" t="str">
        <f t="array" ref="G1459">IF(B1459="", "",
  LET(_xlpm.spell, IFERROR(IF(F1459="", "", INDEX(_xlws.FILTER(Hairstyles!$F:$F, ISNUMBER(SEARCH(F1459, Hairstyles!$B:$B))), 1)), "No Spell for Hairstyle"),
  _xlpm.vanillaPrefix, IF(LEFT(_xlpm.spell, 7)="Uvi_Wig", "", ";"),
  ";" &amp; IF(C1459="", B1459, C1459) &amp; IF(M1459="", "", " ("&amp;M1459&amp;")") &amp; CHAR(10) &amp;
  _xlpm.vanillaPrefix &amp; "Keyword = Uvi_Wig_Distr_KYWD|" &amp; B1459 &amp; CHAR(10) &amp;
  _xlpm.vanillaPrefix &amp; "Spell = " &amp; _xlpm.spell &amp; "|" &amp; B1459
  )
)</f>
        <v>;Stig Salt-Plank
;Keyword = Uvi_Wig_Distr_KYWD|MS10Stig
;Spell = No Spell for Hairstyle|MS10Stig</v>
      </c>
    </row>
    <row r="1460" ht="12.75" customHeight="1">
      <c r="A1460" s="5" t="s">
        <v>5122</v>
      </c>
      <c r="B1460" s="5" t="s">
        <v>5123</v>
      </c>
      <c r="C1460" s="5" t="s">
        <v>5124</v>
      </c>
      <c r="D1460" s="5" t="s">
        <v>57</v>
      </c>
      <c r="E1460" s="5" t="s">
        <v>233</v>
      </c>
      <c r="F1460" s="5" t="s">
        <v>91</v>
      </c>
      <c r="G1460" s="14" t="str">
        <f t="array" ref="G1460">IF(B1460="", "",
  LET(_xlpm.spell, IFERROR(IF(F1460="", "", INDEX(_xlws.FILTER(Hairstyles!$F:$F, ISNUMBER(SEARCH(F1460, Hairstyles!$B:$B))), 1)), "No Spell for Hairstyle"),
  _xlpm.vanillaPrefix, IF(LEFT(_xlpm.spell, 7)="Uvi_Wig", "", ";"),
  ";" &amp; IF(C1460="", B1460, C1460) &amp; IF(M1460="", "", " ("&amp;M1460&amp;")") &amp; CHAR(10) &amp;
  _xlpm.vanillaPrefix &amp; "Keyword = Uvi_Wig_Distr_KYWD|" &amp; B1460 &amp; CHAR(10) &amp;
  _xlpm.vanillaPrefix &amp; "Spell = " &amp; _xlpm.spell &amp; "|" &amp; B1460
  )
)</f>
        <v>;Storm Mage
;Keyword = Uvi_Wig_Distr_KYWD|EncWarlock04TemplateBossStorm
;Spell = No Spell for Hairstyle|EncWarlock04TemplateBossStorm</v>
      </c>
    </row>
    <row r="1461" ht="12.75" customHeight="1">
      <c r="A1461" s="5" t="s">
        <v>5125</v>
      </c>
      <c r="B1461" s="5" t="s">
        <v>5126</v>
      </c>
      <c r="C1461" s="5" t="s">
        <v>5124</v>
      </c>
      <c r="D1461" s="5" t="s">
        <v>57</v>
      </c>
      <c r="E1461" s="5" t="s">
        <v>233</v>
      </c>
      <c r="F1461" s="5" t="s">
        <v>525</v>
      </c>
      <c r="G1461" s="14" t="str">
        <f t="array" ref="G1461">IF(B1461="", "",
  LET(_xlpm.spell, IFERROR(IF(F1461="", "", INDEX(_xlws.FILTER(Hairstyles!$F:$F, ISNUMBER(SEARCH(F1461, Hairstyles!$B:$B))), 1)), "No Spell for Hairstyle"),
  _xlpm.vanillaPrefix, IF(LEFT(_xlpm.spell, 7)="Uvi_Wig", "", ";"),
  ";" &amp; IF(C1461="", B1461, C1461) &amp; IF(M1461="", "", " ("&amp;M1461&amp;")") &amp; CHAR(10) &amp;
  _xlpm.vanillaPrefix &amp; "Keyword = Uvi_Wig_Distr_KYWD|" &amp; B1461 &amp; CHAR(10) &amp;
  _xlpm.vanillaPrefix &amp; "Spell = " &amp; _xlpm.spell &amp; "|" &amp; B1461
  )
)</f>
        <v>;Storm Mage
;Keyword = Uvi_Wig_Distr_KYWD|EncWarlock04TemplateStorm
;Spell = No Spell for Hairstyle|EncWarlock04TemplateStorm</v>
      </c>
    </row>
    <row r="1462" ht="12.75" customHeight="1">
      <c r="A1462" s="5" t="s">
        <v>5127</v>
      </c>
      <c r="B1462" s="5" t="s">
        <v>5128</v>
      </c>
      <c r="C1462" s="5" t="s">
        <v>5129</v>
      </c>
      <c r="D1462" s="5" t="s">
        <v>57</v>
      </c>
      <c r="E1462" s="5" t="s">
        <v>233</v>
      </c>
      <c r="F1462" s="5" t="s">
        <v>1787</v>
      </c>
      <c r="G1462" s="14" t="str">
        <f t="array" ref="G1462">IF(B1462="", "",
  LET(_xlpm.spell, IFERROR(IF(F1462="", "", INDEX(_xlws.FILTER(Hairstyles!$F:$F, ISNUMBER(SEARCH(F1462, Hairstyles!$B:$B))), 1)), "No Spell for Hairstyle"),
  _xlpm.vanillaPrefix, IF(LEFT(_xlpm.spell, 7)="Uvi_Wig", "", ";"),
  ";" &amp; IF(C1462="", B1462, C1462) &amp; IF(M1462="", "", " ("&amp;M1462&amp;")") &amp; CHAR(10) &amp;
  _xlpm.vanillaPrefix &amp; "Keyword = Uvi_Wig_Distr_KYWD|" &amp; B1462 &amp; CHAR(10) &amp;
  _xlpm.vanillaPrefix &amp; "Spell = " &amp; _xlpm.spell &amp; "|" &amp; B1462
  )
)</f>
        <v>;Storm Mage Adept
;Keyword = Uvi_Wig_Distr_KYWD|EncWarlock03TemplateBossStorm
;Spell = No Spell for Hairstyle|EncWarlock03TemplateBossStorm</v>
      </c>
    </row>
    <row r="1463" ht="12.75" customHeight="1">
      <c r="A1463" s="5" t="s">
        <v>5130</v>
      </c>
      <c r="B1463" s="5" t="s">
        <v>5131</v>
      </c>
      <c r="C1463" s="5" t="s">
        <v>5129</v>
      </c>
      <c r="D1463" s="5" t="s">
        <v>57</v>
      </c>
      <c r="E1463" s="5" t="s">
        <v>233</v>
      </c>
      <c r="F1463" s="5" t="s">
        <v>47</v>
      </c>
      <c r="G1463" s="14" t="str">
        <f t="array" ref="G1463">IF(B1463="", "",
  LET(_xlpm.spell, IFERROR(IF(F1463="", "", INDEX(_xlws.FILTER(Hairstyles!$F:$F, ISNUMBER(SEARCH(F1463, Hairstyles!$B:$B))), 1)), "No Spell for Hairstyle"),
  _xlpm.vanillaPrefix, IF(LEFT(_xlpm.spell, 7)="Uvi_Wig", "", ";"),
  ";" &amp; IF(C1463="", B1463, C1463) &amp; IF(M1463="", "", " ("&amp;M1463&amp;")") &amp; CHAR(10) &amp;
  _xlpm.vanillaPrefix &amp; "Keyword = Uvi_Wig_Distr_KYWD|" &amp; B1463 &amp; CHAR(10) &amp;
  _xlpm.vanillaPrefix &amp; "Spell = " &amp; _xlpm.spell &amp; "|" &amp; B1463
  )
)</f>
        <v>;Storm Mage Adept
;Keyword = Uvi_Wig_Distr_KYWD|EncWarlock03TemplateStorm
;Spell = No Spell for Hairstyle|EncWarlock03TemplateStorm</v>
      </c>
    </row>
    <row r="1464" ht="12.75" customHeight="1">
      <c r="A1464" s="5" t="s">
        <v>5132</v>
      </c>
      <c r="B1464" s="5" t="s">
        <v>5133</v>
      </c>
      <c r="C1464" s="5" t="s">
        <v>5134</v>
      </c>
      <c r="D1464" s="5" t="s">
        <v>57</v>
      </c>
      <c r="E1464" s="5" t="s">
        <v>233</v>
      </c>
      <c r="F1464" s="5" t="s">
        <v>525</v>
      </c>
      <c r="G1464" s="14" t="str">
        <f t="array" ref="G1464">IF(B1464="", "",
  LET(_xlpm.spell, IFERROR(IF(F1464="", "", INDEX(_xlws.FILTER(Hairstyles!$F:$F, ISNUMBER(SEARCH(F1464, Hairstyles!$B:$B))), 1)), "No Spell for Hairstyle"),
  _xlpm.vanillaPrefix, IF(LEFT(_xlpm.spell, 7)="Uvi_Wig", "", ";"),
  ";" &amp; IF(C1464="", B1464, C1464) &amp; IF(M1464="", "", " ("&amp;M1464&amp;")") &amp; CHAR(10) &amp;
  _xlpm.vanillaPrefix &amp; "Keyword = Uvi_Wig_Distr_KYWD|" &amp; B1464 &amp; CHAR(10) &amp;
  _xlpm.vanillaPrefix &amp; "Spell = " &amp; _xlpm.spell &amp; "|" &amp; B1464
  )
)</f>
        <v>;Storm Wizard
;Keyword = Uvi_Wig_Distr_KYWD|EncWarlock05TemplateBossStorm
;Spell = No Spell for Hairstyle|EncWarlock05TemplateBossStorm</v>
      </c>
    </row>
    <row r="1465" ht="12.75" customHeight="1">
      <c r="A1465" s="5" t="s">
        <v>5135</v>
      </c>
      <c r="B1465" s="5" t="s">
        <v>5136</v>
      </c>
      <c r="C1465" s="5" t="s">
        <v>5134</v>
      </c>
      <c r="D1465" s="5" t="s">
        <v>57</v>
      </c>
      <c r="E1465" s="5" t="s">
        <v>233</v>
      </c>
      <c r="F1465" s="5" t="s">
        <v>47</v>
      </c>
      <c r="G1465" s="14" t="str">
        <f t="array" ref="G1465">IF(B1465="", "",
  LET(_xlpm.spell, IFERROR(IF(F1465="", "", INDEX(_xlws.FILTER(Hairstyles!$F:$F, ISNUMBER(SEARCH(F1465, Hairstyles!$B:$B))), 1)), "No Spell for Hairstyle"),
  _xlpm.vanillaPrefix, IF(LEFT(_xlpm.spell, 7)="Uvi_Wig", "", ";"),
  ";" &amp; IF(C1465="", B1465, C1465) &amp; IF(M1465="", "", " ("&amp;M1465&amp;")") &amp; CHAR(10) &amp;
  _xlpm.vanillaPrefix &amp; "Keyword = Uvi_Wig_Distr_KYWD|" &amp; B1465 &amp; CHAR(10) &amp;
  _xlpm.vanillaPrefix &amp; "Spell = " &amp; _xlpm.spell &amp; "|" &amp; B1465
  )
)</f>
        <v>;Storm Wizard
;Keyword = Uvi_Wig_Distr_KYWD|EncWarlock05TemplateStorm
;Spell = No Spell for Hairstyle|EncWarlock05TemplateStorm</v>
      </c>
    </row>
    <row r="1466" ht="12.75" customHeight="1">
      <c r="A1466" s="5" t="s">
        <v>5137</v>
      </c>
      <c r="B1466" s="5" t="s">
        <v>5138</v>
      </c>
      <c r="C1466" s="5" t="s">
        <v>5139</v>
      </c>
      <c r="D1466" s="5" t="s">
        <v>38</v>
      </c>
      <c r="E1466" s="5" t="s">
        <v>233</v>
      </c>
      <c r="F1466" s="5" t="s">
        <v>84</v>
      </c>
      <c r="G1466" s="14" t="str">
        <f t="array" ref="G1466">IF(B1466="", "",
  LET(_xlpm.spell, IFERROR(IF(F1466="", "", INDEX(_xlws.FILTER(Hairstyles!$F:$F, ISNUMBER(SEARCH(F1466, Hairstyles!$B:$B))), 1)), "No Spell for Hairstyle"),
  _xlpm.vanillaPrefix, IF(LEFT(_xlpm.spell, 7)="Uvi_Wig", "", ";"),
  ";" &amp; IF(C1466="", B1466, C1466) &amp; IF(M1466="", "", " ("&amp;M1466&amp;")") &amp; CHAR(10) &amp;
  _xlpm.vanillaPrefix &amp; "Keyword = Uvi_Wig_Distr_KYWD|" &amp; B1466 &amp; CHAR(10) &amp;
  _xlpm.vanillaPrefix &amp; "Spell = " &amp; _xlpm.spell &amp; "|" &amp; B1466
  )
)</f>
        <v>;Stormcloak Archer
;Keyword = Uvi_Wig_Distr_KYWD|EncSiegeSonsArcherTemplate
;Spell = No Spell for Hairstyle|EncSiegeSonsArcherTemplate</v>
      </c>
    </row>
    <row r="1467" ht="12.75" customHeight="1">
      <c r="A1467" s="5" t="s">
        <v>5140</v>
      </c>
      <c r="B1467" s="5" t="s">
        <v>5141</v>
      </c>
      <c r="C1467" s="5" t="s">
        <v>5142</v>
      </c>
      <c r="D1467" s="5" t="s">
        <v>38</v>
      </c>
      <c r="E1467" s="5" t="s">
        <v>233</v>
      </c>
      <c r="F1467" s="5" t="s">
        <v>762</v>
      </c>
      <c r="G1467" s="14" t="str">
        <f t="array" ref="G1467">IF(B1467="", "",
  LET(_xlpm.spell, IFERROR(IF(F1467="", "", INDEX(_xlws.FILTER(Hairstyles!$F:$F, ISNUMBER(SEARCH(F1467, Hairstyles!$B:$B))), 1)), "No Spell for Hairstyle"),
  _xlpm.vanillaPrefix, IF(LEFT(_xlpm.spell, 7)="Uvi_Wig", "", ";"),
  ";" &amp; IF(C1467="", B1467, C1467) &amp; IF(M1467="", "", " ("&amp;M1467&amp;")") &amp; CHAR(10) &amp;
  _xlpm.vanillaPrefix &amp; "Keyword = Uvi_Wig_Distr_KYWD|" &amp; B1467 &amp; CHAR(10) &amp;
  _xlpm.vanillaPrefix &amp; "Spell = " &amp; _xlpm.spell &amp; "|" &amp; B1467
  )
)</f>
        <v>;Stormcloak Field Commander
;Keyword = Uvi_Wig_Distr_KYWD|CWFieldCOSons
;Spell = No Spell for Hairstyle|CWFieldCOSons</v>
      </c>
    </row>
    <row r="1468" ht="12.75" customHeight="1">
      <c r="A1468" s="5" t="s">
        <v>5143</v>
      </c>
      <c r="B1468" s="5" t="s">
        <v>5144</v>
      </c>
      <c r="C1468" s="5" t="s">
        <v>5145</v>
      </c>
      <c r="D1468" s="5" t="s">
        <v>38</v>
      </c>
      <c r="E1468" s="5" t="s">
        <v>233</v>
      </c>
      <c r="F1468" s="5" t="s">
        <v>424</v>
      </c>
      <c r="G1468" s="14" t="str">
        <f t="array" ref="G1468">IF(B1468="", "",
  LET(_xlpm.spell, IFERROR(IF(F1468="", "", INDEX(_xlws.FILTER(Hairstyles!$F:$F, ISNUMBER(SEARCH(F1468, Hairstyles!$B:$B))), 1)), "No Spell for Hairstyle"),
  _xlpm.vanillaPrefix, IF(LEFT(_xlpm.spell, 7)="Uvi_Wig", "", ";"),
  ";" &amp; IF(C1468="", B1468, C1468) &amp; IF(M1468="", "", " ("&amp;M1468&amp;")") &amp; CHAR(10) &amp;
  _xlpm.vanillaPrefix &amp; "Keyword = Uvi_Wig_Distr_KYWD|" &amp; B1468 &amp; CHAR(10) &amp;
  _xlpm.vanillaPrefix &amp; "Spell = " &amp; _xlpm.spell &amp; "|" &amp; B1468
  )
)</f>
        <v>;Stormcloak Mage
;Keyword = Uvi_Wig_Distr_KYWD|CWSiegeSonsWizard
;Spell = No Spell for Hairstyle|CWSiegeSonsWizard</v>
      </c>
    </row>
    <row r="1469" ht="12.75" customHeight="1">
      <c r="A1469" s="5" t="s">
        <v>5146</v>
      </c>
      <c r="B1469" s="5" t="s">
        <v>5147</v>
      </c>
      <c r="C1469" s="5" t="s">
        <v>5148</v>
      </c>
      <c r="D1469" s="5" t="s">
        <v>38</v>
      </c>
      <c r="E1469" s="5" t="s">
        <v>41</v>
      </c>
      <c r="F1469" s="5" t="s">
        <v>69</v>
      </c>
      <c r="G1469" s="14" t="str">
        <f t="array" ref="G1469">IF(B1469="", "",
  LET(_xlpm.spell, IFERROR(IF(F1469="", "", INDEX(_xlws.FILTER(Hairstyles!$F:$F, ISNUMBER(SEARCH(F1469, Hairstyles!$B:$B))), 1)), "No Spell for Hairstyle"),
  _xlpm.vanillaPrefix, IF(LEFT(_xlpm.spell, 7)="Uvi_Wig", "", ";"),
  ";" &amp; IF(C1469="", B1469, C1469) &amp; IF(M1469="", "", " ("&amp;M1469&amp;")") &amp; CHAR(10) &amp;
  _xlpm.vanillaPrefix &amp; "Keyword = Uvi_Wig_Distr_KYWD|" &amp; B1469 &amp; CHAR(10) &amp;
  _xlpm.vanillaPrefix &amp; "Spell = " &amp; _xlpm.spell &amp; "|" &amp; B1469
  )
)</f>
        <v>;Stormcloak Soldier
;Keyword = Uvi_Wig_Distr_KYWD|dunCGStormcloakPrisonerFemaleDEAD
;Spell = No Spell for Hairstyle|dunCGStormcloakPrisonerFemaleDEAD</v>
      </c>
    </row>
    <row r="1470" ht="12.75" customHeight="1">
      <c r="A1470" s="5" t="s">
        <v>5149</v>
      </c>
      <c r="B1470" s="5" t="s">
        <v>5150</v>
      </c>
      <c r="C1470" s="5" t="s">
        <v>5148</v>
      </c>
      <c r="D1470" s="5" t="s">
        <v>38</v>
      </c>
      <c r="E1470" s="5" t="s">
        <v>233</v>
      </c>
      <c r="F1470" s="5" t="s">
        <v>68</v>
      </c>
      <c r="G1470" s="14" t="str">
        <f t="array" ref="G1470">IF(B1470="", "",
  LET(_xlpm.spell, IFERROR(IF(F1470="", "", INDEX(_xlws.FILTER(Hairstyles!$F:$F, ISNUMBER(SEARCH(F1470, Hairstyles!$B:$B))), 1)), "No Spell for Hairstyle"),
  _xlpm.vanillaPrefix, IF(LEFT(_xlpm.spell, 7)="Uvi_Wig", "", ";"),
  ";" &amp; IF(C1470="", B1470, C1470) &amp; IF(M1470="", "", " ("&amp;M1470&amp;")") &amp; CHAR(10) &amp;
  _xlpm.vanillaPrefix &amp; "Keyword = Uvi_Wig_Distr_KYWD|" &amp; B1470 &amp; CHAR(10) &amp;
  _xlpm.vanillaPrefix &amp; "Spell = " &amp; _xlpm.spell &amp; "|" &amp; B1470
  )
)</f>
        <v>;Stormcloak Soldier
;Keyword = Uvi_Wig_Distr_KYWD|dunCGStormcloakPrisonerMaleDEAD
;Spell = No Spell for Hairstyle|dunCGStormcloakPrisonerMaleDEAD</v>
      </c>
    </row>
    <row r="1471" ht="12.75" customHeight="1">
      <c r="A1471" s="5" t="s">
        <v>5151</v>
      </c>
      <c r="B1471" s="5" t="s">
        <v>5152</v>
      </c>
      <c r="C1471" s="5" t="s">
        <v>5148</v>
      </c>
      <c r="D1471" s="5" t="s">
        <v>38</v>
      </c>
      <c r="E1471" s="5" t="s">
        <v>233</v>
      </c>
      <c r="F1471" s="5" t="s">
        <v>19</v>
      </c>
      <c r="G1471" s="14" t="str">
        <f t="array" ref="G1471">IF(B1471="", "",
  LET(_xlpm.spell, IFERROR(IF(F1471="", "", INDEX(_xlws.FILTER(Hairstyles!$F:$F, ISNUMBER(SEARCH(F1471, Hairstyles!$B:$B))), 1)), "No Spell for Hairstyle"),
  _xlpm.vanillaPrefix, IF(LEFT(_xlpm.spell, 7)="Uvi_Wig", "", ";"),
  ";" &amp; IF(C1471="", B1471, C1471) &amp; IF(M1471="", "", " ("&amp;M1471&amp;")") &amp; CHAR(10) &amp;
  _xlpm.vanillaPrefix &amp; "Keyword = Uvi_Wig_Distr_KYWD|" &amp; B1471 &amp; CHAR(10) &amp;
  _xlpm.vanillaPrefix &amp; "Spell = " &amp; _xlpm.spell &amp; "|" &amp; B1471
  )
)</f>
        <v>;Stormcloak Soldier
;Keyword = Uvi_Wig_Distr_KYWD|E3DemoSoldierCaptain
;Spell = No Spell for Hairstyle|E3DemoSoldierCaptain</v>
      </c>
    </row>
    <row r="1472" ht="12.75" customHeight="1">
      <c r="A1472" s="5" t="s">
        <v>5153</v>
      </c>
      <c r="B1472" s="5" t="s">
        <v>5154</v>
      </c>
      <c r="C1472" s="5" t="s">
        <v>5148</v>
      </c>
      <c r="D1472" s="5" t="s">
        <v>38</v>
      </c>
      <c r="E1472" s="5" t="s">
        <v>41</v>
      </c>
      <c r="F1472" s="5" t="s">
        <v>905</v>
      </c>
      <c r="G1472" s="14" t="str">
        <f t="array" ref="G1472">IF(B1472="", "",
  LET(_xlpm.spell, IFERROR(IF(F1472="", "", INDEX(_xlws.FILTER(Hairstyles!$F:$F, ISNUMBER(SEARCH(F1472, Hairstyles!$B:$B))), 1)), "No Spell for Hairstyle"),
  _xlpm.vanillaPrefix, IF(LEFT(_xlpm.spell, 7)="Uvi_Wig", "", ";"),
  ";" &amp; IF(C1472="", B1472, C1472) &amp; IF(M1472="", "", " ("&amp;M1472&amp;")") &amp; CHAR(10) &amp;
  _xlpm.vanillaPrefix &amp; "Keyword = Uvi_Wig_Distr_KYWD|" &amp; B1472 &amp; CHAR(10) &amp;
  _xlpm.vanillaPrefix &amp; "Spell = " &amp; _xlpm.spell &amp; "|" &amp; B1472
  )
)</f>
        <v>;Stormcloak Soldier
;Keyword = Uvi_Wig_Distr_KYWD|EncGuardSonsF01FemaleNord
;Spell = No Spell for Hairstyle|EncGuardSonsF01FemaleNord</v>
      </c>
    </row>
    <row r="1473" ht="12.75" customHeight="1">
      <c r="A1473" s="5" t="s">
        <v>5155</v>
      </c>
      <c r="B1473" s="5" t="s">
        <v>5156</v>
      </c>
      <c r="C1473" s="5" t="s">
        <v>5148</v>
      </c>
      <c r="D1473" s="5" t="s">
        <v>38</v>
      </c>
      <c r="E1473" s="5" t="s">
        <v>41</v>
      </c>
      <c r="F1473" s="5" t="s">
        <v>42</v>
      </c>
      <c r="G1473" s="14" t="str">
        <f t="array" ref="G1473">IF(B1473="", "",
  LET(_xlpm.spell, IFERROR(IF(F1473="", "", INDEX(_xlws.FILTER(Hairstyles!$F:$F, ISNUMBER(SEARCH(F1473, Hairstyles!$B:$B))), 1)), "No Spell for Hairstyle"),
  _xlpm.vanillaPrefix, IF(LEFT(_xlpm.spell, 7)="Uvi_Wig", "", ";"),
  ";" &amp; IF(C1473="", B1473, C1473) &amp; IF(M1473="", "", " ("&amp;M1473&amp;")") &amp; CHAR(10) &amp;
  _xlpm.vanillaPrefix &amp; "Keyword = Uvi_Wig_Distr_KYWD|" &amp; B1473 &amp; CHAR(10) &amp;
  _xlpm.vanillaPrefix &amp; "Spell = " &amp; _xlpm.spell &amp; "|" &amp; B1473
  )
)</f>
        <v>;Stormcloak Soldier
;Keyword = Uvi_Wig_Distr_KYWD|EncGuardSonsF02FemaleNord
;Spell = No Spell for Hairstyle|EncGuardSonsF02FemaleNord</v>
      </c>
    </row>
    <row r="1474" ht="12.75" customHeight="1">
      <c r="A1474" s="5" t="s">
        <v>5157</v>
      </c>
      <c r="B1474" s="5" t="s">
        <v>5158</v>
      </c>
      <c r="C1474" s="5" t="s">
        <v>5148</v>
      </c>
      <c r="D1474" s="5" t="s">
        <v>38</v>
      </c>
      <c r="E1474" s="5" t="s">
        <v>41</v>
      </c>
      <c r="F1474" s="5" t="s">
        <v>2912</v>
      </c>
      <c r="G1474" s="14" t="str">
        <f t="array" ref="G1474">IF(B1474="", "",
  LET(_xlpm.spell, IFERROR(IF(F1474="", "", INDEX(_xlws.FILTER(Hairstyles!$F:$F, ISNUMBER(SEARCH(F1474, Hairstyles!$B:$B))), 1)), "No Spell for Hairstyle"),
  _xlpm.vanillaPrefix, IF(LEFT(_xlpm.spell, 7)="Uvi_Wig", "", ";"),
  ";" &amp; IF(C1474="", B1474, C1474) &amp; IF(M1474="", "", " ("&amp;M1474&amp;")") &amp; CHAR(10) &amp;
  _xlpm.vanillaPrefix &amp; "Keyword = Uvi_Wig_Distr_KYWD|" &amp; B1474 &amp; CHAR(10) &amp;
  _xlpm.vanillaPrefix &amp; "Spell = " &amp; _xlpm.spell &amp; "|" &amp; B1474
  )
)</f>
        <v>;Stormcloak Soldier
;Keyword = Uvi_Wig_Distr_KYWD|EncGuardSonsF03FemaleNord
;Spell = No Spell for Hairstyle|EncGuardSonsF03FemaleNord</v>
      </c>
    </row>
    <row r="1475" ht="12.75" customHeight="1">
      <c r="A1475" s="5" t="s">
        <v>5159</v>
      </c>
      <c r="B1475" s="5" t="s">
        <v>5160</v>
      </c>
      <c r="C1475" s="5" t="s">
        <v>5148</v>
      </c>
      <c r="D1475" s="5" t="s">
        <v>38</v>
      </c>
      <c r="E1475" s="5" t="s">
        <v>233</v>
      </c>
      <c r="F1475" s="5" t="s">
        <v>1894</v>
      </c>
      <c r="G1475" s="14" t="str">
        <f t="array" ref="G1475">IF(B1475="", "",
  LET(_xlpm.spell, IFERROR(IF(F1475="", "", INDEX(_xlws.FILTER(Hairstyles!$F:$F, ISNUMBER(SEARCH(F1475, Hairstyles!$B:$B))), 1)), "No Spell for Hairstyle"),
  _xlpm.vanillaPrefix, IF(LEFT(_xlpm.spell, 7)="Uvi_Wig", "", ";"),
  ";" &amp; IF(C1475="", B1475, C1475) &amp; IF(M1475="", "", " ("&amp;M1475&amp;")") &amp; CHAR(10) &amp;
  _xlpm.vanillaPrefix &amp; "Keyword = Uvi_Wig_Distr_KYWD|" &amp; B1475 &amp; CHAR(10) &amp;
  _xlpm.vanillaPrefix &amp; "Spell = " &amp; _xlpm.spell &amp; "|" &amp; B1475
  )
)</f>
        <v>;Stormcloak Soldier
;Keyword = Uvi_Wig_Distr_KYWD|EncGuardSonsM01MaleNordCommander
;Spell = No Spell for Hairstyle|EncGuardSonsM01MaleNordCommander</v>
      </c>
    </row>
    <row r="1476" ht="12.75" customHeight="1">
      <c r="A1476" s="5" t="s">
        <v>5161</v>
      </c>
      <c r="B1476" s="5" t="s">
        <v>5162</v>
      </c>
      <c r="C1476" s="5" t="s">
        <v>5148</v>
      </c>
      <c r="D1476" s="5" t="s">
        <v>38</v>
      </c>
      <c r="E1476" s="5" t="s">
        <v>233</v>
      </c>
      <c r="F1476" s="5" t="s">
        <v>695</v>
      </c>
      <c r="G1476" s="14" t="str">
        <f t="array" ref="G1476">IF(B1476="", "",
  LET(_xlpm.spell, IFERROR(IF(F1476="", "", INDEX(_xlws.FILTER(Hairstyles!$F:$F, ISNUMBER(SEARCH(F1476, Hairstyles!$B:$B))), 1)), "No Spell for Hairstyle"),
  _xlpm.vanillaPrefix, IF(LEFT(_xlpm.spell, 7)="Uvi_Wig", "", ";"),
  ";" &amp; IF(C1476="", B1476, C1476) &amp; IF(M1476="", "", " ("&amp;M1476&amp;")") &amp; CHAR(10) &amp;
  _xlpm.vanillaPrefix &amp; "Keyword = Uvi_Wig_Distr_KYWD|" &amp; B1476 &amp; CHAR(10) &amp;
  _xlpm.vanillaPrefix &amp; "Spell = " &amp; _xlpm.spell &amp; "|" &amp; B1476
  )
)</f>
        <v>;Stormcloak Soldier
;Keyword = Uvi_Wig_Distr_KYWD|EncGuardSonsM02MaleNordCommander
;Spell = No Spell for Hairstyle|EncGuardSonsM02MaleNordCommander</v>
      </c>
    </row>
    <row r="1477" ht="12.75" customHeight="1">
      <c r="A1477" s="5" t="s">
        <v>5163</v>
      </c>
      <c r="B1477" s="5" t="s">
        <v>5164</v>
      </c>
      <c r="C1477" s="5" t="s">
        <v>5148</v>
      </c>
      <c r="D1477" s="5" t="s">
        <v>38</v>
      </c>
      <c r="E1477" s="5" t="s">
        <v>233</v>
      </c>
      <c r="F1477" s="5" t="s">
        <v>2030</v>
      </c>
      <c r="G1477" s="14" t="str">
        <f t="array" ref="G1477">IF(B1477="", "",
  LET(_xlpm.spell, IFERROR(IF(F1477="", "", INDEX(_xlws.FILTER(Hairstyles!$F:$F, ISNUMBER(SEARCH(F1477, Hairstyles!$B:$B))), 1)), "No Spell for Hairstyle"),
  _xlpm.vanillaPrefix, IF(LEFT(_xlpm.spell, 7)="Uvi_Wig", "", ";"),
  ";" &amp; IF(C1477="", B1477, C1477) &amp; IF(M1477="", "", " ("&amp;M1477&amp;")") &amp; CHAR(10) &amp;
  _xlpm.vanillaPrefix &amp; "Keyword = Uvi_Wig_Distr_KYWD|" &amp; B1477 &amp; CHAR(10) &amp;
  _xlpm.vanillaPrefix &amp; "Spell = " &amp; _xlpm.spell &amp; "|" &amp; B1477
  )
)</f>
        <v>;Stormcloak Soldier
;Keyword = Uvi_Wig_Distr_KYWD|EncGuardSonsM03MaleNordCommander
;Spell = No Spell for Hairstyle|EncGuardSonsM03MaleNordCommander</v>
      </c>
    </row>
    <row r="1478" ht="12.75" customHeight="1">
      <c r="A1478" s="5" t="s">
        <v>5165</v>
      </c>
      <c r="B1478" s="5" t="s">
        <v>5166</v>
      </c>
      <c r="C1478" s="5" t="s">
        <v>5148</v>
      </c>
      <c r="D1478" s="5" t="s">
        <v>38</v>
      </c>
      <c r="E1478" s="5" t="s">
        <v>233</v>
      </c>
      <c r="F1478" s="5" t="s">
        <v>1622</v>
      </c>
      <c r="G1478" s="14" t="str">
        <f t="array" ref="G1478">IF(B1478="", "",
  LET(_xlpm.spell, IFERROR(IF(F1478="", "", INDEX(_xlws.FILTER(Hairstyles!$F:$F, ISNUMBER(SEARCH(F1478, Hairstyles!$B:$B))), 1)), "No Spell for Hairstyle"),
  _xlpm.vanillaPrefix, IF(LEFT(_xlpm.spell, 7)="Uvi_Wig", "", ";"),
  ";" &amp; IF(C1478="", B1478, C1478) &amp; IF(M1478="", "", " ("&amp;M1478&amp;")") &amp; CHAR(10) &amp;
  _xlpm.vanillaPrefix &amp; "Keyword = Uvi_Wig_Distr_KYWD|" &amp; B1478 &amp; CHAR(10) &amp;
  _xlpm.vanillaPrefix &amp; "Spell = " &amp; _xlpm.spell &amp; "|" &amp; B1478
  )
)</f>
        <v>;Stormcloak Soldier
;Keyword = Uvi_Wig_Distr_KYWD|EncGuardSonsM04MaleGuard
;Spell = No Spell for Hairstyle|EncGuardSonsM04MaleGuard</v>
      </c>
    </row>
    <row r="1479" ht="12.75" customHeight="1">
      <c r="A1479" s="5" t="s">
        <v>5167</v>
      </c>
      <c r="B1479" s="5" t="s">
        <v>5168</v>
      </c>
      <c r="C1479" s="5" t="s">
        <v>5148</v>
      </c>
      <c r="D1479" s="5" t="s">
        <v>38</v>
      </c>
      <c r="E1479" s="5" t="s">
        <v>233</v>
      </c>
      <c r="F1479" s="5" t="s">
        <v>695</v>
      </c>
      <c r="G1479" s="14" t="str">
        <f t="array" ref="G1479">IF(B1479="", "",
  LET(_xlpm.spell, IFERROR(IF(F1479="", "", INDEX(_xlws.FILTER(Hairstyles!$F:$F, ISNUMBER(SEARCH(F1479, Hairstyles!$B:$B))), 1)), "No Spell for Hairstyle"),
  _xlpm.vanillaPrefix, IF(LEFT(_xlpm.spell, 7)="Uvi_Wig", "", ";"),
  ";" &amp; IF(C1479="", B1479, C1479) &amp; IF(M1479="", "", " ("&amp;M1479&amp;")") &amp; CHAR(10) &amp;
  _xlpm.vanillaPrefix &amp; "Keyword = Uvi_Wig_Distr_KYWD|" &amp; B1479 &amp; CHAR(10) &amp;
  _xlpm.vanillaPrefix &amp; "Spell = " &amp; _xlpm.spell &amp; "|" &amp; B1479
  )
)</f>
        <v>;Stormcloak Soldier
;Keyword = Uvi_Wig_Distr_KYWD|EncGuardSonsM05MaleGuard
;Spell = No Spell for Hairstyle|EncGuardSonsM05MaleGuard</v>
      </c>
    </row>
    <row r="1480" ht="12.75" customHeight="1">
      <c r="A1480" s="5" t="s">
        <v>5169</v>
      </c>
      <c r="B1480" s="5" t="s">
        <v>5170</v>
      </c>
      <c r="C1480" s="5" t="s">
        <v>5148</v>
      </c>
      <c r="D1480" s="5" t="s">
        <v>38</v>
      </c>
      <c r="E1480" s="5" t="s">
        <v>233</v>
      </c>
      <c r="F1480" s="5" t="s">
        <v>1894</v>
      </c>
      <c r="G1480" s="14" t="str">
        <f t="array" ref="G1480">IF(B1480="", "",
  LET(_xlpm.spell, IFERROR(IF(F1480="", "", INDEX(_xlws.FILTER(Hairstyles!$F:$F, ISNUMBER(SEARCH(F1480, Hairstyles!$B:$B))), 1)), "No Spell for Hairstyle"),
  _xlpm.vanillaPrefix, IF(LEFT(_xlpm.spell, 7)="Uvi_Wig", "", ";"),
  ";" &amp; IF(C1480="", B1480, C1480) &amp; IF(M1480="", "", " ("&amp;M1480&amp;")") &amp; CHAR(10) &amp;
  _xlpm.vanillaPrefix &amp; "Keyword = Uvi_Wig_Distr_KYWD|" &amp; B1480 &amp; CHAR(10) &amp;
  _xlpm.vanillaPrefix &amp; "Spell = " &amp; _xlpm.spell &amp; "|" &amp; B1480
  )
)</f>
        <v>;Stormcloak Soldier
;Keyword = Uvi_Wig_Distr_KYWD|EncGuardSonsM06MaleGuard
;Spell = No Spell for Hairstyle|EncGuardSonsM06MaleGuard</v>
      </c>
    </row>
    <row r="1481" ht="12.75" customHeight="1">
      <c r="A1481" s="15" t="s">
        <v>5171</v>
      </c>
      <c r="B1481" s="5" t="s">
        <v>5172</v>
      </c>
      <c r="C1481" s="5" t="s">
        <v>5148</v>
      </c>
      <c r="D1481" s="5" t="s">
        <v>38</v>
      </c>
      <c r="E1481" s="5" t="s">
        <v>233</v>
      </c>
      <c r="F1481" s="5" t="s">
        <v>1622</v>
      </c>
      <c r="G1481" s="14" t="str">
        <f t="array" ref="G1481">IF(B1481="", "",
  LET(_xlpm.spell, IFERROR(IF(F1481="", "", INDEX(_xlws.FILTER(Hairstyles!$F:$F, ISNUMBER(SEARCH(F1481, Hairstyles!$B:$B))), 1)), "No Spell for Hairstyle"),
  _xlpm.vanillaPrefix, IF(LEFT(_xlpm.spell, 7)="Uvi_Wig", "", ";"),
  ";" &amp; IF(C1481="", B1481, C1481) &amp; IF(M1481="", "", " ("&amp;M1481&amp;")") &amp; CHAR(10) &amp;
  _xlpm.vanillaPrefix &amp; "Keyword = Uvi_Wig_Distr_KYWD|" &amp; B1481 &amp; CHAR(10) &amp;
  _xlpm.vanillaPrefix &amp; "Spell = " &amp; _xlpm.spell &amp; "|" &amp; B1481
  )
)</f>
        <v>;Stormcloak Soldier
;Keyword = Uvi_Wig_Distr_KYWD|EncSoldierSonsTemplate
;Spell = No Spell for Hairstyle|EncSoldierSonsTemplate</v>
      </c>
    </row>
    <row r="1482" ht="12.75" customHeight="1">
      <c r="A1482" s="5" t="s">
        <v>5173</v>
      </c>
      <c r="B1482" s="5" t="s">
        <v>5174</v>
      </c>
      <c r="C1482" s="5" t="s">
        <v>5148</v>
      </c>
      <c r="D1482" s="5" t="s">
        <v>38</v>
      </c>
      <c r="E1482" s="5" t="s">
        <v>233</v>
      </c>
      <c r="F1482" s="5" t="s">
        <v>990</v>
      </c>
      <c r="G1482" s="14" t="str">
        <f t="array" ref="G1482">IF(B1482="", "",
  LET(_xlpm.spell, IFERROR(IF(F1482="", "", INDEX(_xlws.FILTER(Hairstyles!$F:$F, ISNUMBER(SEARCH(F1482, Hairstyles!$B:$B))), 1)), "No Spell for Hairstyle"),
  _xlpm.vanillaPrefix, IF(LEFT(_xlpm.spell, 7)="Uvi_Wig", "", ";"),
  ";" &amp; IF(C1482="", B1482, C1482) &amp; IF(M1482="", "", " ("&amp;M1482&amp;")") &amp; CHAR(10) &amp;
  _xlpm.vanillaPrefix &amp; "Keyword = Uvi_Wig_Distr_KYWD|" &amp; B1482 &amp; CHAR(10) &amp;
  _xlpm.vanillaPrefix &amp; "Spell = " &amp; _xlpm.spell &amp; "|" &amp; B1482
  )
)</f>
        <v>;Stormcloak Soldier
;Keyword = Uvi_Wig_Distr_KYWD|MQ101CorpseSonsPrisoner01
;Spell = No Spell for Hairstyle|MQ101CorpseSonsPrisoner01</v>
      </c>
    </row>
    <row r="1483" ht="12.75" customHeight="1">
      <c r="A1483" s="5" t="s">
        <v>5175</v>
      </c>
      <c r="B1483" s="5" t="s">
        <v>5176</v>
      </c>
      <c r="C1483" s="5" t="s">
        <v>5148</v>
      </c>
      <c r="D1483" s="5" t="s">
        <v>38</v>
      </c>
      <c r="E1483" s="5" t="s">
        <v>233</v>
      </c>
      <c r="F1483" s="5" t="s">
        <v>1709</v>
      </c>
      <c r="G1483" s="14" t="str">
        <f t="array" ref="G1483">IF(B1483="", "",
  LET(_xlpm.spell, IFERROR(IF(F1483="", "", INDEX(_xlws.FILTER(Hairstyles!$F:$F, ISNUMBER(SEARCH(F1483, Hairstyles!$B:$B))), 1)), "No Spell for Hairstyle"),
  _xlpm.vanillaPrefix, IF(LEFT(_xlpm.spell, 7)="Uvi_Wig", "", ";"),
  ";" &amp; IF(C1483="", B1483, C1483) &amp; IF(M1483="", "", " ("&amp;M1483&amp;")") &amp; CHAR(10) &amp;
  _xlpm.vanillaPrefix &amp; "Keyword = Uvi_Wig_Distr_KYWD|" &amp; B1483 &amp; CHAR(10) &amp;
  _xlpm.vanillaPrefix &amp; "Spell = " &amp; _xlpm.spell &amp; "|" &amp; B1483
  )
)</f>
        <v>;Stormcloak Soldier
;Keyword = Uvi_Wig_Distr_KYWD|MQ101CorpseSonsPrisoner02
;Spell = No Spell for Hairstyle|MQ101CorpseSonsPrisoner02</v>
      </c>
    </row>
    <row r="1484" ht="12.75" customHeight="1">
      <c r="A1484" s="5" t="s">
        <v>5177</v>
      </c>
      <c r="B1484" s="5" t="s">
        <v>5178</v>
      </c>
      <c r="C1484" s="5" t="s">
        <v>5148</v>
      </c>
      <c r="D1484" s="5" t="s">
        <v>38</v>
      </c>
      <c r="E1484" s="5" t="s">
        <v>233</v>
      </c>
      <c r="F1484" s="5" t="s">
        <v>2030</v>
      </c>
      <c r="G1484" s="14" t="str">
        <f t="array" ref="G1484">IF(B1484="", "",
  LET(_xlpm.spell, IFERROR(IF(F1484="", "", INDEX(_xlws.FILTER(Hairstyles!$F:$F, ISNUMBER(SEARCH(F1484, Hairstyles!$B:$B))), 1)), "No Spell for Hairstyle"),
  _xlpm.vanillaPrefix, IF(LEFT(_xlpm.spell, 7)="Uvi_Wig", "", ";"),
  ";" &amp; IF(C1484="", B1484, C1484) &amp; IF(M1484="", "", " ("&amp;M1484&amp;")") &amp; CHAR(10) &amp;
  _xlpm.vanillaPrefix &amp; "Keyword = Uvi_Wig_Distr_KYWD|" &amp; B1484 &amp; CHAR(10) &amp;
  _xlpm.vanillaPrefix &amp; "Spell = " &amp; _xlpm.spell &amp; "|" &amp; B1484
  )
)</f>
        <v>;Stormcloak Soldier
;Keyword = Uvi_Wig_Distr_KYWD|MQ101StormcloakArcher
;Spell = No Spell for Hairstyle|MQ101StormcloakArcher</v>
      </c>
    </row>
    <row r="1485" ht="12.75" customHeight="1">
      <c r="A1485" s="5" t="s">
        <v>5179</v>
      </c>
      <c r="B1485" s="5" t="s">
        <v>5180</v>
      </c>
      <c r="C1485" s="5" t="s">
        <v>5148</v>
      </c>
      <c r="D1485" s="5" t="s">
        <v>38</v>
      </c>
      <c r="E1485" s="5" t="s">
        <v>233</v>
      </c>
      <c r="F1485" s="5" t="s">
        <v>2694</v>
      </c>
      <c r="G1485" s="14" t="str">
        <f t="array" ref="G1485">IF(B1485="", "",
  LET(_xlpm.spell, IFERROR(IF(F1485="", "", INDEX(_xlws.FILTER(Hairstyles!$F:$F, ISNUMBER(SEARCH(F1485, Hairstyles!$B:$B))), 1)), "No Spell for Hairstyle"),
  _xlpm.vanillaPrefix, IF(LEFT(_xlpm.spell, 7)="Uvi_Wig", "", ";"),
  ";" &amp; IF(C1485="", B1485, C1485) &amp; IF(M1485="", "", " ("&amp;M1485&amp;")") &amp; CHAR(10) &amp;
  _xlpm.vanillaPrefix &amp; "Keyword = Uvi_Wig_Distr_KYWD|" &amp; B1485 &amp; CHAR(10) &amp;
  _xlpm.vanillaPrefix &amp; "Spell = " &amp; _xlpm.spell &amp; "|" &amp; B1485
  )
)</f>
        <v>;Stormcloak Soldier
;Keyword = Uvi_Wig_Distr_KYWD|MQ101StormcloakArcher02
;Spell = No Spell for Hairstyle|MQ101StormcloakArcher02</v>
      </c>
    </row>
    <row r="1486" ht="12.75" customHeight="1">
      <c r="A1486" s="5" t="s">
        <v>5181</v>
      </c>
      <c r="B1486" s="5" t="s">
        <v>5182</v>
      </c>
      <c r="C1486" s="5" t="s">
        <v>5148</v>
      </c>
      <c r="D1486" s="5" t="s">
        <v>38</v>
      </c>
      <c r="E1486" s="5" t="s">
        <v>41</v>
      </c>
      <c r="F1486" s="5" t="s">
        <v>22</v>
      </c>
      <c r="G1486" s="14" t="str">
        <f t="array" ref="G1486">IF(B1486="", "",
  LET(_xlpm.spell, IFERROR(IF(F1486="", "", INDEX(_xlws.FILTER(Hairstyles!$F:$F, ISNUMBER(SEARCH(F1486, Hairstyles!$B:$B))), 1)), "No Spell for Hairstyle"),
  _xlpm.vanillaPrefix, IF(LEFT(_xlpm.spell, 7)="Uvi_Wig", "", ";"),
  ";" &amp; IF(C1486="", B1486, C1486) &amp; IF(M1486="", "", " ("&amp;M1486&amp;")") &amp; CHAR(10) &amp;
  _xlpm.vanillaPrefix &amp; "Keyword = Uvi_Wig_Distr_KYWD|" &amp; B1486 &amp; CHAR(10) &amp;
  _xlpm.vanillaPrefix &amp; "Spell = " &amp; _xlpm.spell &amp; "|" &amp; B1486
  )
)</f>
        <v>;Stormcloak Soldier
;Keyword = Uvi_Wig_Distr_KYWD|MQ101StormcloakCartFemale
;Spell = No Spell for Hairstyle|MQ101StormcloakCartFemale</v>
      </c>
    </row>
    <row r="1487" ht="12.75" customHeight="1">
      <c r="A1487" s="5" t="s">
        <v>5183</v>
      </c>
      <c r="B1487" s="5" t="s">
        <v>5184</v>
      </c>
      <c r="C1487" s="5" t="s">
        <v>5148</v>
      </c>
      <c r="D1487" s="5" t="s">
        <v>38</v>
      </c>
      <c r="E1487" s="5" t="s">
        <v>233</v>
      </c>
      <c r="F1487" s="5" t="s">
        <v>1894</v>
      </c>
      <c r="G1487" s="14" t="str">
        <f t="array" ref="G1487">IF(B1487="", "",
  LET(_xlpm.spell, IFERROR(IF(F1487="", "", INDEX(_xlws.FILTER(Hairstyles!$F:$F, ISNUMBER(SEARCH(F1487, Hairstyles!$B:$B))), 1)), "No Spell for Hairstyle"),
  _xlpm.vanillaPrefix, IF(LEFT(_xlpm.spell, 7)="Uvi_Wig", "", ";"),
  ";" &amp; IF(C1487="", B1487, C1487) &amp; IF(M1487="", "", " ("&amp;M1487&amp;")") &amp; CHAR(10) &amp;
  _xlpm.vanillaPrefix &amp; "Keyword = Uvi_Wig_Distr_KYWD|" &amp; B1487 &amp; CHAR(10) &amp;
  _xlpm.vanillaPrefix &amp; "Spell = " &amp; _xlpm.spell &amp; "|" &amp; B1487
  )
)</f>
        <v>;Stormcloak Soldier
;Keyword = Uvi_Wig_Distr_KYWD|MQ101StormcloakCartMale
;Spell = No Spell for Hairstyle|MQ101StormcloakCartMale</v>
      </c>
    </row>
    <row r="1488" ht="12.75" customHeight="1">
      <c r="A1488" s="5" t="s">
        <v>5185</v>
      </c>
      <c r="B1488" s="5" t="s">
        <v>5186</v>
      </c>
      <c r="C1488" s="5" t="s">
        <v>5148</v>
      </c>
      <c r="D1488" s="5" t="s">
        <v>38</v>
      </c>
      <c r="E1488" s="5" t="s">
        <v>233</v>
      </c>
      <c r="F1488" s="5" t="s">
        <v>2694</v>
      </c>
      <c r="G1488" s="14" t="str">
        <f t="array" ref="G1488">IF(B1488="", "",
  LET(_xlpm.spell, IFERROR(IF(F1488="", "", INDEX(_xlws.FILTER(Hairstyles!$F:$F, ISNUMBER(SEARCH(F1488, Hairstyles!$B:$B))), 1)), "No Spell for Hairstyle"),
  _xlpm.vanillaPrefix, IF(LEFT(_xlpm.spell, 7)="Uvi_Wig", "", ";"),
  ";" &amp; IF(C1488="", B1488, C1488) &amp; IF(M1488="", "", " ("&amp;M1488&amp;")") &amp; CHAR(10) &amp;
  _xlpm.vanillaPrefix &amp; "Keyword = Uvi_Wig_Distr_KYWD|" &amp; B1488 &amp; CHAR(10) &amp;
  _xlpm.vanillaPrefix &amp; "Spell = " &amp; _xlpm.spell &amp; "|" &amp; B1488
  )
)</f>
        <v>;Stormcloak Soldier
;Keyword = Uvi_Wig_Distr_KYWD|MQ101StormcloakCartMale02
;Spell = No Spell for Hairstyle|MQ101StormcloakCartMale02</v>
      </c>
    </row>
    <row r="1489" ht="12.75" customHeight="1">
      <c r="A1489" s="5" t="s">
        <v>5187</v>
      </c>
      <c r="B1489" s="5" t="s">
        <v>5188</v>
      </c>
      <c r="C1489" s="5" t="s">
        <v>5148</v>
      </c>
      <c r="D1489" s="5" t="s">
        <v>38</v>
      </c>
      <c r="E1489" s="5" t="s">
        <v>233</v>
      </c>
      <c r="F1489" s="5" t="s">
        <v>521</v>
      </c>
      <c r="G1489" s="14" t="str">
        <f t="array" ref="G1489">IF(B1489="", "",
  LET(_xlpm.spell, IFERROR(IF(F1489="", "", INDEX(_xlws.FILTER(Hairstyles!$F:$F, ISNUMBER(SEARCH(F1489, Hairstyles!$B:$B))), 1)), "No Spell for Hairstyle"),
  _xlpm.vanillaPrefix, IF(LEFT(_xlpm.spell, 7)="Uvi_Wig", "", ";"),
  ";" &amp; IF(C1489="", B1489, C1489) &amp; IF(M1489="", "", " ("&amp;M1489&amp;")") &amp; CHAR(10) &amp;
  _xlpm.vanillaPrefix &amp; "Keyword = Uvi_Wig_Distr_KYWD|" &amp; B1489 &amp; CHAR(10) &amp;
  _xlpm.vanillaPrefix &amp; "Spell = " &amp; _xlpm.spell &amp; "|" &amp; B1489
  )
)</f>
        <v>;Stormcloak Soldier
;Keyword = Uvi_Wig_Distr_KYWD|MQ101StormcloakCartMaleBroder
;Spell = No Spell for Hairstyle|MQ101StormcloakCartMaleBroder</v>
      </c>
    </row>
    <row r="1490" ht="12.75" customHeight="1">
      <c r="A1490" s="5" t="s">
        <v>5189</v>
      </c>
      <c r="B1490" s="5" t="s">
        <v>5190</v>
      </c>
      <c r="C1490" s="5" t="s">
        <v>5148</v>
      </c>
      <c r="D1490" s="5" t="s">
        <v>38</v>
      </c>
      <c r="E1490" s="5" t="s">
        <v>41</v>
      </c>
      <c r="F1490" s="5" t="s">
        <v>22</v>
      </c>
      <c r="G1490" s="14" t="str">
        <f t="array" ref="G1490">IF(B1490="", "",
  LET(_xlpm.spell, IFERROR(IF(F1490="", "", INDEX(_xlws.FILTER(Hairstyles!$F:$F, ISNUMBER(SEARCH(F1490, Hairstyles!$B:$B))), 1)), "No Spell for Hairstyle"),
  _xlpm.vanillaPrefix, IF(LEFT(_xlpm.spell, 7)="Uvi_Wig", "", ";"),
  ";" &amp; IF(C1490="", B1490, C1490) &amp; IF(M1490="", "", " ("&amp;M1490&amp;")") &amp; CHAR(10) &amp;
  _xlpm.vanillaPrefix &amp; "Keyword = Uvi_Wig_Distr_KYWD|" &amp; B1490 &amp; CHAR(10) &amp;
  _xlpm.vanillaPrefix &amp; "Spell = " &amp; _xlpm.spell &amp; "|" &amp; B1490
  )
)</f>
        <v>;Stormcloak Soldier
;Keyword = Uvi_Wig_Distr_KYWD|MQ101StormcloakPrisonerFemale
;Spell = No Spell for Hairstyle|MQ101StormcloakPrisonerFemale</v>
      </c>
    </row>
    <row r="1491" ht="12.75" customHeight="1">
      <c r="A1491" s="5" t="s">
        <v>5191</v>
      </c>
      <c r="B1491" s="5" t="s">
        <v>5192</v>
      </c>
      <c r="C1491" s="5" t="s">
        <v>5148</v>
      </c>
      <c r="D1491" s="5" t="s">
        <v>38</v>
      </c>
      <c r="E1491" s="5" t="s">
        <v>41</v>
      </c>
      <c r="F1491" s="5" t="s">
        <v>343</v>
      </c>
      <c r="G1491" s="14" t="str">
        <f t="array" ref="G1491">IF(B1491="", "",
  LET(_xlpm.spell, IFERROR(IF(F1491="", "", INDEX(_xlws.FILTER(Hairstyles!$F:$F, ISNUMBER(SEARCH(F1491, Hairstyles!$B:$B))), 1)), "No Spell for Hairstyle"),
  _xlpm.vanillaPrefix, IF(LEFT(_xlpm.spell, 7)="Uvi_Wig", "", ";"),
  ";" &amp; IF(C1491="", B1491, C1491) &amp; IF(M1491="", "", " ("&amp;M1491&amp;")") &amp; CHAR(10) &amp;
  _xlpm.vanillaPrefix &amp; "Keyword = Uvi_Wig_Distr_KYWD|" &amp; B1491 &amp; CHAR(10) &amp;
  _xlpm.vanillaPrefix &amp; "Spell = " &amp; _xlpm.spell &amp; "|" &amp; B1491
  )
)</f>
        <v>;Stormcloak Soldier
;Keyword = Uvi_Wig_Distr_KYWD|MQ101StormcloakPrisonerFemale02
;Spell = No Spell for Hairstyle|MQ101StormcloakPrisonerFemale02</v>
      </c>
    </row>
    <row r="1492" ht="12.75" customHeight="1">
      <c r="A1492" s="5" t="s">
        <v>5193</v>
      </c>
      <c r="B1492" s="5" t="s">
        <v>5194</v>
      </c>
      <c r="C1492" s="5" t="s">
        <v>5148</v>
      </c>
      <c r="D1492" s="5" t="s">
        <v>38</v>
      </c>
      <c r="E1492" s="5" t="s">
        <v>233</v>
      </c>
      <c r="F1492" s="5" t="s">
        <v>68</v>
      </c>
      <c r="G1492" s="14" t="str">
        <f t="array" ref="G1492">IF(B1492="", "",
  LET(_xlpm.spell, IFERROR(IF(F1492="", "", INDEX(_xlws.FILTER(Hairstyles!$F:$F, ISNUMBER(SEARCH(F1492, Hairstyles!$B:$B))), 1)), "No Spell for Hairstyle"),
  _xlpm.vanillaPrefix, IF(LEFT(_xlpm.spell, 7)="Uvi_Wig", "", ";"),
  ";" &amp; IF(C1492="", B1492, C1492) &amp; IF(M1492="", "", " ("&amp;M1492&amp;")") &amp; CHAR(10) &amp;
  _xlpm.vanillaPrefix &amp; "Keyword = Uvi_Wig_Distr_KYWD|" &amp; B1492 &amp; CHAR(10) &amp;
  _xlpm.vanillaPrefix &amp; "Spell = " &amp; _xlpm.spell &amp; "|" &amp; B1492
  )
)</f>
        <v>;Stormcloak Soldier
;Keyword = Uvi_Wig_Distr_KYWD|MQ101StormcloakPrisonerMale
;Spell = No Spell for Hairstyle|MQ101StormcloakPrisonerMale</v>
      </c>
    </row>
    <row r="1493" ht="12.75" customHeight="1">
      <c r="A1493" s="5" t="s">
        <v>5195</v>
      </c>
      <c r="B1493" s="5" t="s">
        <v>5196</v>
      </c>
      <c r="C1493" s="5" t="s">
        <v>5148</v>
      </c>
      <c r="D1493" s="5" t="s">
        <v>38</v>
      </c>
      <c r="E1493" s="5" t="s">
        <v>233</v>
      </c>
      <c r="F1493" s="5" t="s">
        <v>1894</v>
      </c>
      <c r="G1493" s="14" t="str">
        <f t="array" ref="G1493">IF(B1493="", "",
  LET(_xlpm.spell, IFERROR(IF(F1493="", "", INDEX(_xlws.FILTER(Hairstyles!$F:$F, ISNUMBER(SEARCH(F1493, Hairstyles!$B:$B))), 1)), "No Spell for Hairstyle"),
  _xlpm.vanillaPrefix, IF(LEFT(_xlpm.spell, 7)="Uvi_Wig", "", ";"),
  ";" &amp; IF(C1493="", B1493, C1493) &amp; IF(M1493="", "", " ("&amp;M1493&amp;")") &amp; CHAR(10) &amp;
  _xlpm.vanillaPrefix &amp; "Keyword = Uvi_Wig_Distr_KYWD|" &amp; B1493 &amp; CHAR(10) &amp;
  _xlpm.vanillaPrefix &amp; "Spell = " &amp; _xlpm.spell &amp; "|" &amp; B1493
  )
)</f>
        <v>;Stormcloak Soldier
;Keyword = Uvi_Wig_Distr_KYWD|MQ101StormcloakPrisonerMale02
;Spell = No Spell for Hairstyle|MQ101StormcloakPrisonerMale02</v>
      </c>
    </row>
    <row r="1494" ht="12.75" customHeight="1">
      <c r="A1494" s="5" t="s">
        <v>5197</v>
      </c>
      <c r="B1494" s="5" t="s">
        <v>5198</v>
      </c>
      <c r="C1494" s="5" t="s">
        <v>5148</v>
      </c>
      <c r="D1494" s="5" t="s">
        <v>38</v>
      </c>
      <c r="E1494" s="5" t="s">
        <v>233</v>
      </c>
      <c r="F1494" s="5" t="s">
        <v>521</v>
      </c>
      <c r="G1494" s="14" t="str">
        <f t="array" ref="G1494">IF(B1494="", "",
  LET(_xlpm.spell, IFERROR(IF(F1494="", "", INDEX(_xlws.FILTER(Hairstyles!$F:$F, ISNUMBER(SEARCH(F1494, Hairstyles!$B:$B))), 1)), "No Spell for Hairstyle"),
  _xlpm.vanillaPrefix, IF(LEFT(_xlpm.spell, 7)="Uvi_Wig", "", ";"),
  ";" &amp; IF(C1494="", B1494, C1494) &amp; IF(M1494="", "", " ("&amp;M1494&amp;")") &amp; CHAR(10) &amp;
  _xlpm.vanillaPrefix &amp; "Keyword = Uvi_Wig_Distr_KYWD|" &amp; B1494 &amp; CHAR(10) &amp;
  _xlpm.vanillaPrefix &amp; "Spell = " &amp; _xlpm.spell &amp; "|" &amp; B1494
  )
)</f>
        <v>;Stormcloak Soldier
;Keyword = Uvi_Wig_Distr_KYWD|MQ101StormcloakPrisonerMale03
;Spell = No Spell for Hairstyle|MQ101StormcloakPrisonerMale03</v>
      </c>
    </row>
    <row r="1495" ht="12.75" customHeight="1">
      <c r="A1495" s="5" t="s">
        <v>5199</v>
      </c>
      <c r="B1495" s="5" t="s">
        <v>5200</v>
      </c>
      <c r="C1495" s="5" t="s">
        <v>5148</v>
      </c>
      <c r="D1495" s="5" t="s">
        <v>38</v>
      </c>
      <c r="E1495" s="5" t="s">
        <v>233</v>
      </c>
      <c r="F1495" s="5" t="s">
        <v>1678</v>
      </c>
      <c r="G1495" s="14" t="str">
        <f t="array" ref="G1495">IF(B1495="", "",
  LET(_xlpm.spell, IFERROR(IF(F1495="", "", INDEX(_xlws.FILTER(Hairstyles!$F:$F, ISNUMBER(SEARCH(F1495, Hairstyles!$B:$B))), 1)), "No Spell for Hairstyle"),
  _xlpm.vanillaPrefix, IF(LEFT(_xlpm.spell, 7)="Uvi_Wig", "", ";"),
  ";" &amp; IF(C1495="", B1495, C1495) &amp; IF(M1495="", "", " ("&amp;M1495&amp;")") &amp; CHAR(10) &amp;
  _xlpm.vanillaPrefix &amp; "Keyword = Uvi_Wig_Distr_KYWD|" &amp; B1495 &amp; CHAR(10) &amp;
  _xlpm.vanillaPrefix &amp; "Spell = " &amp; _xlpm.spell &amp; "|" &amp; B1495
  )
)</f>
        <v>;Stormcloak Soldier
;Keyword = Uvi_Wig_Distr_KYWD|MQ101StormcloakPrisonerMaleNord
;Spell = No Spell for Hairstyle|MQ101StormcloakPrisonerMaleNord</v>
      </c>
    </row>
    <row r="1496" ht="12.75" customHeight="1">
      <c r="A1496" s="5" t="s">
        <v>5201</v>
      </c>
      <c r="B1496" s="5" t="s">
        <v>5202</v>
      </c>
      <c r="C1496" s="5" t="s">
        <v>5148</v>
      </c>
      <c r="D1496" s="5" t="s">
        <v>38</v>
      </c>
      <c r="E1496" s="5" t="s">
        <v>233</v>
      </c>
      <c r="F1496" s="5" t="s">
        <v>234</v>
      </c>
      <c r="G1496" s="14" t="str">
        <f t="array" ref="G1496">IF(B1496="", "",
  LET(_xlpm.spell, IFERROR(IF(F1496="", "", INDEX(_xlws.FILTER(Hairstyles!$F:$F, ISNUMBER(SEARCH(F1496, Hairstyles!$B:$B))), 1)), "No Spell for Hairstyle"),
  _xlpm.vanillaPrefix, IF(LEFT(_xlpm.spell, 7)="Uvi_Wig", "", ";"),
  ";" &amp; IF(C1496="", B1496, C1496) &amp; IF(M1496="", "", " ("&amp;M1496&amp;")") &amp; CHAR(10) &amp;
  _xlpm.vanillaPrefix &amp; "Keyword = Uvi_Wig_Distr_KYWD|" &amp; B1496 &amp; CHAR(10) &amp;
  _xlpm.vanillaPrefix &amp; "Spell = " &amp; _xlpm.spell &amp; "|" &amp; B1496
  )
)</f>
        <v>;Stormcloak Soldier
;Keyword = Uvi_Wig_Distr_KYWD|MQ101StormcloakPrisonerMaleNord02
;Spell = No Spell for Hairstyle|MQ101StormcloakPrisonerMaleNord02</v>
      </c>
    </row>
    <row r="1497" ht="12.75" customHeight="1">
      <c r="A1497" s="15" t="s">
        <v>5203</v>
      </c>
      <c r="B1497" s="5" t="s">
        <v>5204</v>
      </c>
      <c r="C1497" s="5" t="s">
        <v>5205</v>
      </c>
      <c r="D1497" s="5" t="s">
        <v>51</v>
      </c>
      <c r="E1497" s="5" t="s">
        <v>233</v>
      </c>
      <c r="F1497" s="5" t="s">
        <v>1678</v>
      </c>
      <c r="G1497" s="14" t="str">
        <f t="array" ref="G1497">IF(B1497="", "",
  LET(_xlpm.spell, IFERROR(IF(F1497="", "", INDEX(_xlws.FILTER(Hairstyles!$F:$F, ISNUMBER(SEARCH(F1497, Hairstyles!$B:$B))), 1)), "No Spell for Hairstyle"),
  _xlpm.vanillaPrefix, IF(LEFT(_xlpm.spell, 7)="Uvi_Wig", "", ";"),
  ";" &amp; IF(C1497="", B1497, C1497) &amp; IF(M1497="", "", " ("&amp;M1497&amp;")") &amp; CHAR(10) &amp;
  _xlpm.vanillaPrefix &amp; "Keyword = Uvi_Wig_Distr_KYWD|" &amp; B1497 &amp; CHAR(10) &amp;
  _xlpm.vanillaPrefix &amp; "Spell = " &amp; _xlpm.spell &amp; "|" &amp; B1497
  )
)</f>
        <v>;Storn Crag-Strider
;Keyword = Uvi_Wig_Distr_KYWD|DLC2Storn
;Spell = No Spell for Hairstyle|DLC2Storn</v>
      </c>
    </row>
    <row r="1498" ht="12.75" customHeight="1">
      <c r="A1498" s="15" t="s">
        <v>5206</v>
      </c>
      <c r="B1498" s="5" t="s">
        <v>5207</v>
      </c>
      <c r="C1498" s="5" t="s">
        <v>5208</v>
      </c>
      <c r="D1498" s="5" t="s">
        <v>16</v>
      </c>
      <c r="E1498" s="5" t="s">
        <v>233</v>
      </c>
      <c r="F1498" s="5" t="s">
        <v>1894</v>
      </c>
      <c r="G1498" s="14" t="str">
        <f t="array" ref="G1498">IF(B1498="", "",
  LET(_xlpm.spell, IFERROR(IF(F1498="", "", INDEX(_xlws.FILTER(Hairstyles!$F:$F, ISNUMBER(SEARCH(F1498, Hairstyles!$B:$B))), 1)), "No Spell for Hairstyle"),
  _xlpm.vanillaPrefix, IF(LEFT(_xlpm.spell, 7)="Uvi_Wig", "", ";"),
  ";" &amp; IF(C1498="", B1498, C1498) &amp; IF(M1498="", "", " ("&amp;M1498&amp;")") &amp; CHAR(10) &amp;
  _xlpm.vanillaPrefix &amp; "Keyword = Uvi_Wig_Distr_KYWD|" &amp; B1498 &amp; CHAR(10) &amp;
  _xlpm.vanillaPrefix &amp; "Spell = " &amp; _xlpm.spell &amp; "|" &amp; B1498
  )
)</f>
        <v>;Stromm
;Keyword = Uvi_Wig_Distr_KYWD|dunNchuandStromm
;Spell = No Spell for Hairstyle|dunNchuandStromm</v>
      </c>
    </row>
    <row r="1499" ht="12.75" customHeight="1">
      <c r="A1499" s="5" t="s">
        <v>5209</v>
      </c>
      <c r="B1499" s="5" t="s">
        <v>5210</v>
      </c>
      <c r="C1499" s="5" t="s">
        <v>5211</v>
      </c>
      <c r="D1499" s="5" t="s">
        <v>16</v>
      </c>
      <c r="E1499" s="5" t="s">
        <v>233</v>
      </c>
      <c r="F1499" s="5" t="s">
        <v>19</v>
      </c>
      <c r="G1499" s="14" t="str">
        <f t="array" ref="G1499">IF(B1499="", "",
  LET(_xlpm.spell, IFERROR(IF(F1499="", "", INDEX(_xlws.FILTER(Hairstyles!$F:$F, ISNUMBER(SEARCH(F1499, Hairstyles!$B:$B))), 1)), "No Spell for Hairstyle"),
  _xlpm.vanillaPrefix, IF(LEFT(_xlpm.spell, 7)="Uvi_Wig", "", ";"),
  ";" &amp; IF(C1499="", B1499, C1499) &amp; IF(M1499="", "", " ("&amp;M1499&amp;")") &amp; CHAR(10) &amp;
  _xlpm.vanillaPrefix &amp; "Keyword = Uvi_Wig_Distr_KYWD|" &amp; B1499 &amp; CHAR(10) &amp;
  _xlpm.vanillaPrefix &amp; "Spell = " &amp; _xlpm.spell &amp; "|" &amp; B1499
  )
)</f>
        <v>;Student
;Keyword = Uvi_Wig_Distr_KYWD|WIChangeLocation04Student
;Spell = No Spell for Hairstyle|WIChangeLocation04Student</v>
      </c>
    </row>
    <row r="1500" ht="12.75" customHeight="1">
      <c r="A1500" s="5" t="s">
        <v>5212</v>
      </c>
      <c r="B1500" s="5" t="s">
        <v>5213</v>
      </c>
      <c r="C1500" s="5" t="s">
        <v>5213</v>
      </c>
      <c r="D1500" s="5" t="s">
        <v>51</v>
      </c>
      <c r="E1500" s="5" t="s">
        <v>233</v>
      </c>
      <c r="F1500" s="5" t="s">
        <v>1622</v>
      </c>
      <c r="G1500" s="14" t="str">
        <f t="array" ref="G1500">IF(B1500="", "",
  LET(_xlpm.spell, IFERROR(IF(F1500="", "", INDEX(_xlws.FILTER(Hairstyles!$F:$F, ISNUMBER(SEARCH(F1500, Hairstyles!$B:$B))), 1)), "No Spell for Hairstyle"),
  _xlpm.vanillaPrefix, IF(LEFT(_xlpm.spell, 7)="Uvi_Wig", "", ";"),
  ";" &amp; IF(C1500="", B1500, C1500) &amp; IF(M1500="", "", " ("&amp;M1500&amp;")") &amp; CHAR(10) &amp;
  _xlpm.vanillaPrefix &amp; "Keyword = Uvi_Wig_Distr_KYWD|" &amp; B1500 &amp; CHAR(10) &amp;
  _xlpm.vanillaPrefix &amp; "Spell = " &amp; _xlpm.spell &amp; "|" &amp; B1500
  )
)</f>
        <v>;Styrr
;Keyword = Uvi_Wig_Distr_KYWD|Styrr
;Spell = No Spell for Hairstyle|Styrr</v>
      </c>
    </row>
    <row r="1501" ht="12.75" customHeight="1">
      <c r="A1501" s="5" t="s">
        <v>5214</v>
      </c>
      <c r="B1501" s="5" t="s">
        <v>5215</v>
      </c>
      <c r="C1501" s="5" t="s">
        <v>5216</v>
      </c>
      <c r="D1501" s="5" t="s">
        <v>83</v>
      </c>
      <c r="E1501" s="5" t="s">
        <v>41</v>
      </c>
      <c r="F1501" s="5" t="s">
        <v>85</v>
      </c>
      <c r="G1501" s="14" t="str">
        <f t="array" ref="G1501">IF(B1501="", "",
  LET(_xlpm.spell, IFERROR(IF(F1501="", "", INDEX(_xlws.FILTER(Hairstyles!$F:$F, ISNUMBER(SEARCH(F1501, Hairstyles!$B:$B))), 1)), "No Spell for Hairstyle"),
  _xlpm.vanillaPrefix, IF(LEFT(_xlpm.spell, 7)="Uvi_Wig", "", ";"),
  ";" &amp; IF(C1501="", B1501, C1501) &amp; IF(M1501="", "", " ("&amp;M1501&amp;")") &amp; CHAR(10) &amp;
  _xlpm.vanillaPrefix &amp; "Keyword = Uvi_Wig_Distr_KYWD|" &amp; B1501 &amp; CHAR(10) &amp;
  _xlpm.vanillaPrefix &amp; "Spell = " &amp; _xlpm.spell &amp; "|" &amp; B1501
  )
)</f>
        <v>;Sudi
;Keyword = Uvi_Wig_Distr_KYWD|dunFrostflowAbyssSudi
;Spell = No Spell for Hairstyle|dunFrostflowAbyssSudi</v>
      </c>
    </row>
    <row r="1502" ht="12.75" customHeight="1">
      <c r="A1502" s="5" t="s">
        <v>5217</v>
      </c>
      <c r="B1502" s="5" t="s">
        <v>5218</v>
      </c>
      <c r="C1502" s="5" t="s">
        <v>5219</v>
      </c>
      <c r="D1502" s="5" t="s">
        <v>59</v>
      </c>
      <c r="E1502" s="5" t="s">
        <v>233</v>
      </c>
      <c r="F1502" s="5" t="s">
        <v>521</v>
      </c>
      <c r="G1502" s="14" t="str">
        <f t="array" ref="G1502">IF(B1502="", "",
  LET(_xlpm.spell, IFERROR(IF(F1502="", "", INDEX(_xlws.FILTER(Hairstyles!$F:$F, ISNUMBER(SEARCH(F1502, Hairstyles!$B:$B))), 1)), "No Spell for Hairstyle"),
  _xlpm.vanillaPrefix, IF(LEFT(_xlpm.spell, 7)="Uvi_Wig", "", ";"),
  ";" &amp; IF(C1502="", B1502, C1502) &amp; IF(M1502="", "", " ("&amp;M1502&amp;")") &amp; CHAR(10) &amp;
  _xlpm.vanillaPrefix &amp; "Keyword = Uvi_Wig_Distr_KYWD|" &amp; B1502 &amp; CHAR(10) &amp;
  _xlpm.vanillaPrefix &amp; "Spell = " &amp; _xlpm.spell &amp; "|" &amp; B1502
  )
)</f>
        <v>;Sulla Trebatius
;Keyword = Uvi_Wig_Distr_KYWD|dunAlftandSullaTrebatius
;Spell = No Spell for Hairstyle|dunAlftandSullaTrebatius</v>
      </c>
    </row>
    <row r="1503" ht="12.75" customHeight="1">
      <c r="A1503" s="5" t="s">
        <v>5220</v>
      </c>
      <c r="B1503" s="5" t="s">
        <v>5221</v>
      </c>
      <c r="C1503" s="5" t="s">
        <v>5222</v>
      </c>
      <c r="D1503" s="5" t="s">
        <v>16</v>
      </c>
      <c r="E1503" s="5" t="s">
        <v>41</v>
      </c>
      <c r="F1503" s="5" t="s">
        <v>1063</v>
      </c>
      <c r="G1503" s="14" t="str">
        <f t="array" ref="G1503">IF(B1503="", "",
  LET(_xlpm.spell, IFERROR(IF(F1503="", "", INDEX(_xlws.FILTER(Hairstyles!$F:$F, ISNUMBER(SEARCH(F1503, Hairstyles!$B:$B))), 1)), "No Spell for Hairstyle"),
  _xlpm.vanillaPrefix, IF(LEFT(_xlpm.spell, 7)="Uvi_Wig", "", ";"),
  ";" &amp; IF(C1503="", B1503, C1503) &amp; IF(M1503="", "", " ("&amp;M1503&amp;")") &amp; CHAR(10) &amp;
  _xlpm.vanillaPrefix &amp; "Keyword = Uvi_Wig_Distr_KYWD|" &amp; B1503 &amp; CHAR(10) &amp;
  _xlpm.vanillaPrefix &amp; "Spell = " &amp; _xlpm.spell &amp; "|" &amp; B1503
  )
)</f>
        <v>;Sultry Maiden
;Keyword = Uvi_Wig_Distr_KYWD|dunBluePalaceMareMaiden
;Spell = No Spell for Hairstyle|dunBluePalaceMareMaiden</v>
      </c>
    </row>
    <row r="1504" ht="12.75" customHeight="1">
      <c r="A1504" s="15" t="s">
        <v>5223</v>
      </c>
      <c r="B1504" s="5" t="s">
        <v>5224</v>
      </c>
      <c r="C1504" s="5" t="s">
        <v>5225</v>
      </c>
      <c r="D1504" s="5" t="s">
        <v>51</v>
      </c>
      <c r="E1504" s="5" t="s">
        <v>233</v>
      </c>
      <c r="F1504" s="4" t="s">
        <v>1741</v>
      </c>
      <c r="G1504" s="14" t="str">
        <f t="array" ref="G1504">IF(B1504="", "",
  LET(_xlpm.spell, IFERROR(IF(F1504="", "", INDEX(_xlws.FILTER(Hairstyles!$F:$F, ISNUMBER(SEARCH(F1504, Hairstyles!$B:$B))), 1)), "No Spell for Hairstyle"),
  _xlpm.vanillaPrefix, IF(LEFT(_xlpm.spell, 7)="Uvi_Wig", "", ";"),
  ";" &amp; IF(C1504="", B1504, C1504) &amp; IF(M1504="", "", " ("&amp;M1504&amp;")") &amp; CHAR(10) &amp;
  _xlpm.vanillaPrefix &amp; "Keyword = Uvi_Wig_Distr_KYWD|" &amp; B1504 &amp; CHAR(10) &amp;
  _xlpm.vanillaPrefix &amp; "Spell = " &amp; _xlpm.spell &amp; "|" &amp; B1504
  )
)</f>
        <v>;Sulvar the Steady
;Keyword = Uvi_Wig_Distr_KYWD|Sulvar
;Spell = No Spell for Hairstyle|Sulvar</v>
      </c>
    </row>
    <row r="1505" ht="12.75" customHeight="1">
      <c r="A1505" s="5" t="s">
        <v>5226</v>
      </c>
      <c r="B1505" s="5" t="s">
        <v>5227</v>
      </c>
      <c r="C1505" s="5" t="s">
        <v>5228</v>
      </c>
      <c r="D1505" s="5" t="s">
        <v>57</v>
      </c>
      <c r="E1505" s="5" t="s">
        <v>233</v>
      </c>
      <c r="F1505" s="5" t="s">
        <v>1787</v>
      </c>
      <c r="G1505" s="14" t="str">
        <f t="array" ref="G1505">IF(B1505="", "",
  LET(_xlpm.spell, IFERROR(IF(F1505="", "", INDEX(_xlws.FILTER(Hairstyles!$F:$F, ISNUMBER(SEARCH(F1505, Hairstyles!$B:$B))), 1)), "No Spell for Hairstyle"),
  _xlpm.vanillaPrefix, IF(LEFT(_xlpm.spell, 7)="Uvi_Wig", "", ";"),
  ";" &amp; IF(C1505="", B1505, C1505) &amp; IF(M1505="", "", " ("&amp;M1505&amp;")") &amp; CHAR(10) &amp;
  _xlpm.vanillaPrefix &amp; "Keyword = Uvi_Wig_Distr_KYWD|" &amp; B1505 &amp; CHAR(10) &amp;
  _xlpm.vanillaPrefix &amp; "Spell = " &amp; _xlpm.spell &amp; "|" &amp; B1505
  )
)</f>
        <v>;Summerset Shadow
;Keyword = Uvi_Wig_Distr_KYWD|EncTGSummersetTemplate
;Spell = No Spell for Hairstyle|EncTGSummersetTemplate</v>
      </c>
    </row>
    <row r="1506" ht="12.75" customHeight="1">
      <c r="A1506" s="5" t="s">
        <v>5229</v>
      </c>
      <c r="B1506" s="5" t="s">
        <v>5230</v>
      </c>
      <c r="C1506" s="5" t="s">
        <v>5231</v>
      </c>
      <c r="D1506" s="5" t="s">
        <v>38</v>
      </c>
      <c r="E1506" s="5" t="s">
        <v>41</v>
      </c>
      <c r="F1506" s="5" t="s">
        <v>22</v>
      </c>
      <c r="G1506" s="14" t="str">
        <f t="array" ref="G1506">IF(B1506="", "",
  LET(_xlpm.spell, IFERROR(IF(F1506="", "", INDEX(_xlws.FILTER(Hairstyles!$F:$F, ISNUMBER(SEARCH(F1506, Hairstyles!$B:$B))), 1)), "No Spell for Hairstyle"),
  _xlpm.vanillaPrefix, IF(LEFT(_xlpm.spell, 7)="Uvi_Wig", "", ";"),
  ";" &amp; IF(C1506="", B1506, C1506) &amp; IF(M1506="", "", " ("&amp;M1506&amp;")") &amp; CHAR(10) &amp;
  _xlpm.vanillaPrefix &amp; "Keyword = Uvi_Wig_Distr_KYWD|" &amp; B1506 &amp; CHAR(10) &amp;
  _xlpm.vanillaPrefix &amp; "Spell = " &amp; _xlpm.spell &amp; "|" &amp; B1506
  )
)</f>
        <v>;Susanna the Wicked
;Keyword = Uvi_Wig_Distr_KYWD|Susanna
;Spell = No Spell for Hairstyle|Susanna</v>
      </c>
    </row>
    <row r="1507" ht="12.75" customHeight="1">
      <c r="A1507" s="15" t="s">
        <v>5232</v>
      </c>
      <c r="B1507" s="5" t="s">
        <v>5233</v>
      </c>
      <c r="C1507" s="5" t="s">
        <v>5234</v>
      </c>
      <c r="D1507" s="5" t="s">
        <v>45</v>
      </c>
      <c r="E1507" s="5" t="s">
        <v>41</v>
      </c>
      <c r="F1507" s="5" t="s">
        <v>4274</v>
      </c>
      <c r="G1507" s="14" t="str">
        <f t="array" ref="G1507">IF(B1507="", "",
  LET(_xlpm.spell, IFERROR(IF(F1507="", "", INDEX(_xlws.FILTER(Hairstyles!$F:$F, ISNUMBER(SEARCH(F1507, Hairstyles!$B:$B))), 1)), "No Spell for Hairstyle"),
  _xlpm.vanillaPrefix, IF(LEFT(_xlpm.spell, 7)="Uvi_Wig", "", ";"),
  ";" &amp; IF(C1507="", B1507, C1507) &amp; IF(M1507="", "", " ("&amp;M1507&amp;")") &amp; CHAR(10) &amp;
  _xlpm.vanillaPrefix &amp; "Keyword = Uvi_Wig_Distr_KYWD|" &amp; B1507 &amp; CHAR(10) &amp;
  _xlpm.vanillaPrefix &amp; "Spell = " &amp; _xlpm.spell &amp; "|" &amp; B1507
  )
)</f>
        <v>;Suvaris Atheron
;Keyword = Uvi_Wig_Distr_KYWD|SuvarisAtheron
;Spell = No Spell for Hairstyle|SuvarisAtheron</v>
      </c>
    </row>
    <row r="1508" ht="12.75" customHeight="1">
      <c r="A1508" s="5" t="s">
        <v>5235</v>
      </c>
      <c r="B1508" s="5" t="s">
        <v>5236</v>
      </c>
      <c r="C1508" s="5" t="s">
        <v>5237</v>
      </c>
      <c r="D1508" s="5" t="s">
        <v>38</v>
      </c>
      <c r="E1508" s="5" t="s">
        <v>233</v>
      </c>
      <c r="F1508" s="5" t="s">
        <v>68</v>
      </c>
      <c r="G1508" s="14" t="str">
        <f t="array" ref="G1508">IF(B1508="", "",
  LET(_xlpm.spell, IFERROR(IF(F1508="", "", INDEX(_xlws.FILTER(Hairstyles!$F:$F, ISNUMBER(SEARCH(F1508, Hairstyles!$B:$B))), 1)), "No Spell for Hairstyle"),
  _xlpm.vanillaPrefix, IF(LEFT(_xlpm.spell, 7)="Uvi_Wig", "", ";"),
  ";" &amp; IF(C1508="", B1508, C1508) &amp; IF(M1508="", "", " ("&amp;M1508&amp;")") &amp; CHAR(10) &amp;
  _xlpm.vanillaPrefix &amp; "Keyword = Uvi_Wig_Distr_KYWD|" &amp; B1508 &amp; CHAR(10) &amp;
  _xlpm.vanillaPrefix &amp; "Spell = " &amp; _xlpm.spell &amp; "|" &amp; B1508
  )
)</f>
        <v>;Svaknir
;Keyword = Uvi_Wig_Distr_KYWD|MS05_dunDeadMensRespite_Svaknir
;Spell = No Spell for Hairstyle|MS05_dunDeadMensRespite_Svaknir</v>
      </c>
    </row>
    <row r="1509" ht="12.75" customHeight="1">
      <c r="A1509" s="5" t="s">
        <v>5238</v>
      </c>
      <c r="B1509" s="5" t="s">
        <v>5239</v>
      </c>
      <c r="C1509" s="5" t="s">
        <v>5240</v>
      </c>
      <c r="D1509" s="5" t="s">
        <v>38</v>
      </c>
      <c r="E1509" s="5" t="s">
        <v>41</v>
      </c>
      <c r="F1509" s="5" t="s">
        <v>356</v>
      </c>
      <c r="G1509" s="14" t="str">
        <f t="array" ref="G1509">IF(B1509="", "",
  LET(_xlpm.spell, IFERROR(IF(F1509="", "", INDEX(_xlws.FILTER(Hairstyles!$F:$F, ISNUMBER(SEARCH(F1509, Hairstyles!$B:$B))), 1)), "No Spell for Hairstyle"),
  _xlpm.vanillaPrefix, IF(LEFT(_xlpm.spell, 7)="Uvi_Wig", "", ";"),
  ";" &amp; IF(C1509="", B1509, C1509) &amp; IF(M1509="", "", " ("&amp;M1509&amp;")") &amp; CHAR(10) &amp;
  _xlpm.vanillaPrefix &amp; "Keyword = Uvi_Wig_Distr_KYWD|" &amp; B1509 &amp; CHAR(10) &amp;
  _xlpm.vanillaPrefix &amp; "Spell = " &amp; _xlpm.spell &amp; "|" &amp; B1509
  )
)</f>
        <v>;Svana Far-Shield
;Keyword = Uvi_Wig_Distr_KYWD|Svana
;Spell = No Spell for Hairstyle|Svana</v>
      </c>
    </row>
    <row r="1510" ht="12.75" customHeight="1">
      <c r="A1510" s="5" t="s">
        <v>5241</v>
      </c>
      <c r="B1510" s="5" t="s">
        <v>5242</v>
      </c>
      <c r="C1510" s="5" t="s">
        <v>5242</v>
      </c>
      <c r="D1510" s="5" t="s">
        <v>74</v>
      </c>
      <c r="E1510" s="5" t="s">
        <v>41</v>
      </c>
      <c r="F1510" s="5" t="s">
        <v>88</v>
      </c>
      <c r="G1510" s="14" t="str">
        <f t="array" ref="G1510">IF(B1510="", "",
  LET(_xlpm.spell, IFERROR(IF(F1510="", "", INDEX(_xlws.FILTER(Hairstyles!$F:$F, ISNUMBER(SEARCH(F1510, Hairstyles!$B:$B))), 1)), "No Spell for Hairstyle"),
  _xlpm.vanillaPrefix, IF(LEFT(_xlpm.spell, 7)="Uvi_Wig", "", ";"),
  ";" &amp; IF(C1510="", B1510, C1510) &amp; IF(M1510="", "", " ("&amp;M1510&amp;")") &amp; CHAR(10) &amp;
  _xlpm.vanillaPrefix &amp; "Keyword = Uvi_Wig_Distr_KYWD|" &amp; B1510 &amp; CHAR(10) &amp;
  _xlpm.vanillaPrefix &amp; "Spell = " &amp; _xlpm.spell &amp; "|" &amp; B1510
  )
)</f>
        <v>;Svari
;Keyword = Uvi_Wig_Distr_KYWD|Svari
;Spell = No Spell for Hairstyle|Svari</v>
      </c>
    </row>
    <row r="1511" ht="12.75" customHeight="1">
      <c r="A1511" s="5" t="s">
        <v>5243</v>
      </c>
      <c r="B1511" s="5" t="s">
        <v>5244</v>
      </c>
      <c r="C1511" s="5" t="s">
        <v>5244</v>
      </c>
      <c r="D1511" s="5" t="s">
        <v>38</v>
      </c>
      <c r="E1511" s="5" t="s">
        <v>233</v>
      </c>
      <c r="F1511" s="5" t="s">
        <v>1678</v>
      </c>
      <c r="G1511" s="14" t="str">
        <f t="array" ref="G1511">IF(B1511="", "",
  LET(_xlpm.spell, IFERROR(IF(F1511="", "", INDEX(_xlws.FILTER(Hairstyles!$F:$F, ISNUMBER(SEARCH(F1511, Hairstyles!$B:$B))), 1)), "No Spell for Hairstyle"),
  _xlpm.vanillaPrefix, IF(LEFT(_xlpm.spell, 7)="Uvi_Wig", "", ";"),
  ";" &amp; IF(C1511="", B1511, C1511) &amp; IF(M1511="", "", " ("&amp;M1511&amp;")") &amp; CHAR(10) &amp;
  _xlpm.vanillaPrefix &amp; "Keyword = Uvi_Wig_Distr_KYWD|" &amp; B1511 &amp; CHAR(10) &amp;
  _xlpm.vanillaPrefix &amp; "Spell = " &amp; _xlpm.spell &amp; "|" &amp; B1511
  )
)</f>
        <v>;Sven
;Keyword = Uvi_Wig_Distr_KYWD|Sven
;Spell = No Spell for Hairstyle|Sven</v>
      </c>
    </row>
    <row r="1512" ht="12.75" customHeight="1">
      <c r="A1512" s="15" t="s">
        <v>5245</v>
      </c>
      <c r="B1512" s="5" t="s">
        <v>5246</v>
      </c>
      <c r="C1512" s="5" t="s">
        <v>5246</v>
      </c>
      <c r="D1512" s="5" t="s">
        <v>38</v>
      </c>
      <c r="E1512" s="5" t="s">
        <v>41</v>
      </c>
      <c r="F1512" s="5" t="s">
        <v>343</v>
      </c>
      <c r="G1512" s="14" t="str">
        <f t="array" ref="G1512">IF(B1512="", "",
  LET(_xlpm.spell, IFERROR(IF(F1512="", "", INDEX(_xlws.FILTER(Hairstyles!$F:$F, ISNUMBER(SEARCH(F1512, Hairstyles!$B:$B))), 1)), "No Spell for Hairstyle"),
  _xlpm.vanillaPrefix, IF(LEFT(_xlpm.spell, 7)="Uvi_Wig", "", ";"),
  ";" &amp; IF(C1512="", B1512, C1512) &amp; IF(M1512="", "", " ("&amp;M1512&amp;")") &amp; CHAR(10) &amp;
  _xlpm.vanillaPrefix &amp; "Keyword = Uvi_Wig_Distr_KYWD|" &amp; B1512 &amp; CHAR(10) &amp;
  _xlpm.vanillaPrefix &amp; "Spell = " &amp; _xlpm.spell &amp; "|" &amp; B1512
  )
)</f>
        <v>;Swanhvir
;Keyword = Uvi_Wig_Distr_KYWD|Swanhvir
;Spell = No Spell for Hairstyle|Swanhvir</v>
      </c>
    </row>
    <row r="1513" ht="12.75" customHeight="1">
      <c r="A1513" s="5" t="s">
        <v>5247</v>
      </c>
      <c r="B1513" s="5" t="s">
        <v>5248</v>
      </c>
      <c r="C1513" s="5" t="s">
        <v>5249</v>
      </c>
      <c r="D1513" s="5" t="s">
        <v>34</v>
      </c>
      <c r="E1513" s="5" t="s">
        <v>41</v>
      </c>
      <c r="F1513" s="5" t="s">
        <v>1557</v>
      </c>
      <c r="G1513" s="14" t="str">
        <f t="array" ref="G1513">IF(B1513="", "",
  LET(_xlpm.spell, IFERROR(IF(F1513="", "", INDEX(_xlws.FILTER(Hairstyles!$F:$F, ISNUMBER(SEARCH(F1513, Hairstyles!$B:$B))), 1)), "No Spell for Hairstyle"),
  _xlpm.vanillaPrefix, IF(LEFT(_xlpm.spell, 7)="Uvi_Wig", "", ";"),
  ";" &amp; IF(C1513="", B1513, C1513) &amp; IF(M1513="", "", " ("&amp;M1513&amp;")") &amp; CHAR(10) &amp;
  _xlpm.vanillaPrefix &amp; "Keyword = Uvi_Wig_Distr_KYWD|" &amp; B1513 &amp; CHAR(10) &amp;
  _xlpm.vanillaPrefix &amp; "Spell = " &amp; _xlpm.spell &amp; "|" &amp; B1513
  )
)</f>
        <v>;Sybille Stentor
;Keyword = Uvi_Wig_Distr_KYWD|SybilleStentor
;Spell = No Spell for Hairstyle|SybilleStentor</v>
      </c>
    </row>
    <row r="1514" ht="12.75" customHeight="1">
      <c r="A1514" s="5" t="s">
        <v>5250</v>
      </c>
      <c r="B1514" s="5" t="s">
        <v>5251</v>
      </c>
      <c r="C1514" s="5" t="s">
        <v>5251</v>
      </c>
      <c r="D1514" s="5" t="s">
        <v>38</v>
      </c>
      <c r="E1514" s="5" t="s">
        <v>41</v>
      </c>
      <c r="F1514" s="5" t="s">
        <v>1063</v>
      </c>
      <c r="G1514" s="14" t="str">
        <f t="array" ref="G1514">IF(B1514="", "",
  LET(_xlpm.spell, IFERROR(IF(F1514="", "", INDEX(_xlws.FILTER(Hairstyles!$F:$F, ISNUMBER(SEARCH(F1514, Hairstyles!$B:$B))), 1)), "No Spell for Hairstyle"),
  _xlpm.vanillaPrefix, IF(LEFT(_xlpm.spell, 7)="Uvi_Wig", "", ";"),
  ";" &amp; IF(C1514="", B1514, C1514) &amp; IF(M1514="", "", " ("&amp;M1514&amp;")") &amp; CHAR(10) &amp;
  _xlpm.vanillaPrefix &amp; "Keyword = Uvi_Wig_Distr_KYWD|" &amp; B1514 &amp; CHAR(10) &amp;
  _xlpm.vanillaPrefix &amp; "Spell = " &amp; _xlpm.spell &amp; "|" &amp; B1514
  )
)</f>
        <v>;Sylgja
;Keyword = Uvi_Wig_Distr_KYWD|Sylgja
;Spell = No Spell for Hairstyle|Sylgja</v>
      </c>
    </row>
    <row r="1515" ht="12.75" customHeight="1">
      <c r="A1515" s="5" t="s">
        <v>5252</v>
      </c>
      <c r="B1515" s="5" t="s">
        <v>5253</v>
      </c>
      <c r="C1515" s="5" t="s">
        <v>5254</v>
      </c>
      <c r="D1515" s="5" t="s">
        <v>45</v>
      </c>
      <c r="E1515" s="5" t="s">
        <v>41</v>
      </c>
      <c r="F1515" s="5" t="s">
        <v>1691</v>
      </c>
      <c r="G1515" s="14" t="str">
        <f t="array" ref="G1515">IF(B1515="", "",
  LET(_xlpm.spell, IFERROR(IF(F1515="", "", INDEX(_xlws.FILTER(Hairstyles!$F:$F, ISNUMBER(SEARCH(F1515, Hairstyles!$B:$B))), 1)), "No Spell for Hairstyle"),
  _xlpm.vanillaPrefix, IF(LEFT(_xlpm.spell, 7)="Uvi_Wig", "", ";"),
  ";" &amp; IF(C1515="", B1515, C1515) &amp; IF(M1515="", "", " ("&amp;M1515&amp;")") &amp; CHAR(10) &amp;
  _xlpm.vanillaPrefix &amp; "Keyword = Uvi_Wig_Distr_KYWD|" &amp; B1515 &amp; CHAR(10) &amp;
  _xlpm.vanillaPrefix &amp; "Spell = " &amp; _xlpm.spell &amp; "|" &amp; B1515
  )
)</f>
        <v>;Synda Llanith
;Keyword = Uvi_Wig_Distr_KYWD|SyndaLlanith
;Spell = No Spell for Hairstyle|SyndaLlanith</v>
      </c>
    </row>
    <row r="1516" ht="12.75" customHeight="1">
      <c r="A1516" s="5" t="s">
        <v>5255</v>
      </c>
      <c r="B1516" s="5" t="s">
        <v>5256</v>
      </c>
      <c r="C1516" s="5" t="s">
        <v>5256</v>
      </c>
      <c r="D1516" s="5" t="s">
        <v>90</v>
      </c>
      <c r="E1516" s="5" t="s">
        <v>233</v>
      </c>
      <c r="F1516" s="5" t="s">
        <v>1667</v>
      </c>
      <c r="G1516" s="14" t="str">
        <f t="array" ref="G1516">IF(B1516="", "",
  LET(_xlpm.spell, IFERROR(IF(F1516="", "", INDEX(_xlws.FILTER(Hairstyles!$F:$F, ISNUMBER(SEARCH(F1516, Hairstyles!$B:$B))), 1)), "No Spell for Hairstyle"),
  _xlpm.vanillaPrefix, IF(LEFT(_xlpm.spell, 7)="Uvi_Wig", "", ";"),
  ";" &amp; IF(C1516="", B1516, C1516) &amp; IF(M1516="", "", " ("&amp;M1516&amp;")") &amp; CHAR(10) &amp;
  _xlpm.vanillaPrefix &amp; "Keyword = Uvi_Wig_Distr_KYWD|" &amp; B1516 &amp; CHAR(10) &amp;
  _xlpm.vanillaPrefix &amp; "Spell = " &amp; _xlpm.spell &amp; "|" &amp; B1516
  )
)</f>
        <v>;Syndus
;Keyword = Uvi_Wig_Distr_KYWD|Syndus
;Spell = No Spell for Hairstyle|Syndus</v>
      </c>
    </row>
    <row r="1517" ht="12.75" customHeight="1">
      <c r="A1517" s="5" t="s">
        <v>5257</v>
      </c>
      <c r="B1517" s="5" t="s">
        <v>5258</v>
      </c>
      <c r="C1517" s="5" t="s">
        <v>5259</v>
      </c>
      <c r="D1517" s="5" t="s">
        <v>59</v>
      </c>
      <c r="E1517" s="5" t="s">
        <v>41</v>
      </c>
      <c r="F1517" s="5" t="s">
        <v>862</v>
      </c>
      <c r="G1517" s="14" t="str">
        <f t="array" ref="G1517">IF(B1517="", "",
  LET(_xlpm.spell, IFERROR(IF(F1517="", "", INDEX(_xlws.FILTER(Hairstyles!$F:$F, ISNUMBER(SEARCH(F1517, Hairstyles!$B:$B))), 1)), "No Spell for Hairstyle"),
  _xlpm.vanillaPrefix, IF(LEFT(_xlpm.spell, 7)="Uvi_Wig", "", ";"),
  ";" &amp; IF(C1517="", B1517, C1517) &amp; IF(M1517="", "", " ("&amp;M1517&amp;")") &amp; CHAR(10) &amp;
  _xlpm.vanillaPrefix &amp; "Keyword = Uvi_Wig_Distr_KYWD|" &amp; B1517 &amp; CHAR(10) &amp;
  _xlpm.vanillaPrefix &amp; "Spell = " &amp; _xlpm.spell &amp; "|" &amp; B1517
  )
)</f>
        <v>;Synod Researcher
;Keyword = Uvi_Wig_Distr_KYWD|dunMzulftTreasCorpseSynodResearcherF
;Spell = No Spell for Hairstyle|dunMzulftTreasCorpseSynodResearcherF</v>
      </c>
    </row>
    <row r="1518" ht="12.75" customHeight="1">
      <c r="A1518" s="5" t="s">
        <v>5260</v>
      </c>
      <c r="B1518" s="5" t="s">
        <v>5261</v>
      </c>
      <c r="C1518" s="5" t="s">
        <v>5259</v>
      </c>
      <c r="D1518" s="5" t="s">
        <v>59</v>
      </c>
      <c r="E1518" s="5" t="s">
        <v>233</v>
      </c>
      <c r="F1518" s="5" t="s">
        <v>1088</v>
      </c>
      <c r="G1518" s="14" t="str">
        <f t="array" ref="G1518">IF(B1518="", "",
  LET(_xlpm.spell, IFERROR(IF(F1518="", "", INDEX(_xlws.FILTER(Hairstyles!$F:$F, ISNUMBER(SEARCH(F1518, Hairstyles!$B:$B))), 1)), "No Spell for Hairstyle"),
  _xlpm.vanillaPrefix, IF(LEFT(_xlpm.spell, 7)="Uvi_Wig", "", ";"),
  ";" &amp; IF(C1518="", B1518, C1518) &amp; IF(M1518="", "", " ("&amp;M1518&amp;")") &amp; CHAR(10) &amp;
  _xlpm.vanillaPrefix &amp; "Keyword = Uvi_Wig_Distr_KYWD|" &amp; B1518 &amp; CHAR(10) &amp;
  _xlpm.vanillaPrefix &amp; "Spell = " &amp; _xlpm.spell &amp; "|" &amp; B1518
  )
)</f>
        <v>;Synod Researcher
;Keyword = Uvi_Wig_Distr_KYWD|dunMzulftTreasCorpseSynodResearcherM
;Spell = No Spell for Hairstyle|dunMzulftTreasCorpseSynodResearcherM</v>
      </c>
    </row>
    <row r="1519" ht="12.75" customHeight="1">
      <c r="A1519" s="5" t="s">
        <v>5262</v>
      </c>
      <c r="B1519" s="5" t="s">
        <v>5263</v>
      </c>
      <c r="C1519" s="5" t="s">
        <v>5263</v>
      </c>
      <c r="D1519" s="5" t="s">
        <v>57</v>
      </c>
      <c r="E1519" s="5" t="s">
        <v>41</v>
      </c>
      <c r="F1519" s="5" t="s">
        <v>92</v>
      </c>
      <c r="G1519" s="14" t="str">
        <f t="array" ref="G1519">IF(B1519="", "",
  LET(_xlpm.spell, IFERROR(IF(F1519="", "", INDEX(_xlws.FILTER(Hairstyles!$F:$F, ISNUMBER(SEARCH(F1519, Hairstyles!$B:$B))), 1)), "No Spell for Hairstyle"),
  _xlpm.vanillaPrefix, IF(LEFT(_xlpm.spell, 7)="Uvi_Wig", "", ";"),
  ";" &amp; IF(C1519="", B1519, C1519) &amp; IF(M1519="", "", " ("&amp;M1519&amp;")") &amp; CHAR(10) &amp;
  _xlpm.vanillaPrefix &amp; "Keyword = Uvi_Wig_Distr_KYWD|" &amp; B1519 &amp; CHAR(10) &amp;
  _xlpm.vanillaPrefix &amp; "Spell = " &amp; _xlpm.spell &amp; "|" &amp; B1519
  )
)</f>
        <v>;Taarie
;Keyword = Uvi_Wig_Distr_KYWD|Taarie
;Spell = No Spell for Hairstyle|Taarie</v>
      </c>
    </row>
    <row r="1520" ht="12.75" customHeight="1">
      <c r="A1520" s="5" t="s">
        <v>5264</v>
      </c>
      <c r="B1520" s="5" t="s">
        <v>5265</v>
      </c>
      <c r="C1520" s="5" t="s">
        <v>5266</v>
      </c>
      <c r="D1520" s="5" t="s">
        <v>59</v>
      </c>
      <c r="E1520" s="5" t="s">
        <v>233</v>
      </c>
      <c r="F1520" s="5" t="s">
        <v>424</v>
      </c>
      <c r="G1520" s="14" t="str">
        <f t="array" ref="G1520">IF(B1520="", "",
  LET(_xlpm.spell, IFERROR(IF(F1520="", "", INDEX(_xlws.FILTER(Hairstyles!$F:$F, ISNUMBER(SEARCH(F1520, Hairstyles!$B:$B))), 1)), "No Spell for Hairstyle"),
  _xlpm.vanillaPrefix, IF(LEFT(_xlpm.spell, 7)="Uvi_Wig", "", ";"),
  ";" &amp; IF(C1520="", B1520, C1520) &amp; IF(M1520="", "", " ("&amp;M1520&amp;")") &amp; CHAR(10) &amp;
  _xlpm.vanillaPrefix &amp; "Keyword = Uvi_Wig_Distr_KYWD|" &amp; B1520 &amp; CHAR(10) &amp;
  _xlpm.vanillaPrefix &amp; "Spell = " &amp; _xlpm.spell &amp; "|" &amp; B1520
  )
)</f>
        <v>;Tacitus Sallustius
;Keyword = Uvi_Wig_Distr_KYWD|TacitusSallustius
;Spell = No Spell for Hairstyle|TacitusSallustius</v>
      </c>
    </row>
    <row r="1521" ht="12.75" customHeight="1">
      <c r="A1521" s="5" t="s">
        <v>5267</v>
      </c>
      <c r="B1521" s="5" t="s">
        <v>5268</v>
      </c>
      <c r="C1521" s="5" t="s">
        <v>5269</v>
      </c>
      <c r="D1521" s="5" t="s">
        <v>10</v>
      </c>
      <c r="E1521" s="5" t="s">
        <v>41</v>
      </c>
      <c r="F1521" s="5" t="s">
        <v>5270</v>
      </c>
      <c r="G1521" s="14" t="str">
        <f t="array" ref="G1521">IF(B1521="", "",
  LET(_xlpm.spell, IFERROR(IF(F1521="", "", INDEX(_xlws.FILTER(Hairstyles!$F:$F, ISNUMBER(SEARCH(F1521, Hairstyles!$B:$B))), 1)), "No Spell for Hairstyle"),
  _xlpm.vanillaPrefix, IF(LEFT(_xlpm.spell, 7)="Uvi_Wig", "", ";"),
  ";" &amp; IF(C1521="", B1521, C1521) &amp; IF(M1521="", "", " ("&amp;M1521&amp;")") &amp; CHAR(10) &amp;
  _xlpm.vanillaPrefix &amp; "Keyword = Uvi_Wig_Distr_KYWD|" &amp; B1521 &amp; CHAR(10) &amp;
  _xlpm.vanillaPrefix &amp; "Spell = " &amp; _xlpm.spell &amp; "|" &amp; B1521
  )
)</f>
        <v>;Takes-In-Light
;Keyword = Uvi_Wig_Distr_KYWD|MG07TakesGhost
;Spell = No Spell for Hairstyle|MG07TakesGhost</v>
      </c>
    </row>
    <row r="1522" ht="12.75" customHeight="1">
      <c r="A1522" s="15" t="s">
        <v>5271</v>
      </c>
      <c r="B1522" s="5" t="s">
        <v>5272</v>
      </c>
      <c r="C1522" s="5" t="s">
        <v>5273</v>
      </c>
      <c r="D1522" s="5" t="s">
        <v>10</v>
      </c>
      <c r="E1522" s="5" t="s">
        <v>233</v>
      </c>
      <c r="F1522" s="5" t="s">
        <v>1752</v>
      </c>
      <c r="G1522" s="14" t="str">
        <f t="array" ref="G1522">IF(B1522="", "",
  LET(_xlpm.spell, IFERROR(IF(F1522="", "", INDEX(_xlws.FILTER(Hairstyles!$F:$F, ISNUMBER(SEARCH(F1522, Hairstyles!$B:$B))), 1)), "No Spell for Hairstyle"),
  _xlpm.vanillaPrefix, IF(LEFT(_xlpm.spell, 7)="Uvi_Wig", "", ";"),
  ";" &amp; IF(C1522="", B1522, C1522) &amp; IF(M1522="", "", " ("&amp;M1522&amp;")") &amp; CHAR(10) &amp;
  _xlpm.vanillaPrefix &amp; "Keyword = Uvi_Wig_Distr_KYWD|" &amp; B1522 &amp; CHAR(10) &amp;
  _xlpm.vanillaPrefix &amp; "Spell = " &amp; _xlpm.spell &amp; "|" &amp; B1522
  )
)</f>
        <v>;Talen-Jei
;Keyword = Uvi_Wig_Distr_KYWD|TalenJei
;Spell = No Spell for Hairstyle|TalenJei</v>
      </c>
    </row>
    <row r="1523" ht="12.75" customHeight="1">
      <c r="A1523" s="15" t="s">
        <v>5274</v>
      </c>
      <c r="B1523" s="5" t="s">
        <v>5275</v>
      </c>
      <c r="C1523" s="5" t="s">
        <v>5275</v>
      </c>
      <c r="D1523" s="5" t="s">
        <v>83</v>
      </c>
      <c r="E1523" s="5" t="s">
        <v>233</v>
      </c>
      <c r="F1523" s="5" t="s">
        <v>84</v>
      </c>
      <c r="G1523" s="14" t="str">
        <f t="array" ref="G1523">IF(B1523="", "",
  LET(_xlpm.spell, IFERROR(IF(F1523="", "", INDEX(_xlws.FILTER(Hairstyles!$F:$F, ISNUMBER(SEARCH(F1523, Hairstyles!$B:$B))), 1)), "No Spell for Hairstyle"),
  _xlpm.vanillaPrefix, IF(LEFT(_xlpm.spell, 7)="Uvi_Wig", "", ";"),
  ";" &amp; IF(C1523="", B1523, C1523) &amp; IF(M1523="", "", " ("&amp;M1523&amp;")") &amp; CHAR(10) &amp;
  _xlpm.vanillaPrefix &amp; "Keyword = Uvi_Wig_Distr_KYWD|" &amp; B1523 &amp; CHAR(10) &amp;
  _xlpm.vanillaPrefix &amp; "Spell = " &amp; _xlpm.spell &amp; "|" &amp; B1523
  )
)</f>
        <v>;Talib
;Keyword = Uvi_Wig_Distr_KYWD|Talib
;Spell = No Spell for Hairstyle|Talib</v>
      </c>
    </row>
    <row r="1524" ht="12.75" customHeight="1">
      <c r="A1524" s="5" t="s">
        <v>5276</v>
      </c>
      <c r="B1524" s="5" t="s">
        <v>5277</v>
      </c>
      <c r="C1524" s="5" t="s">
        <v>5278</v>
      </c>
      <c r="D1524" s="5" t="s">
        <v>38</v>
      </c>
      <c r="E1524" s="5" t="s">
        <v>233</v>
      </c>
      <c r="F1524" s="5" t="s">
        <v>424</v>
      </c>
      <c r="G1524" s="14" t="str">
        <f t="array" ref="G1524">IF(B1524="", "",
  LET(_xlpm.spell, IFERROR(IF(F1524="", "", INDEX(_xlws.FILTER(Hairstyles!$F:$F, ISNUMBER(SEARCH(F1524, Hairstyles!$B:$B))), 1)), "No Spell for Hairstyle"),
  _xlpm.vanillaPrefix, IF(LEFT(_xlpm.spell, 7)="Uvi_Wig", "", ";"),
  ";" &amp; IF(C1524="", B1524, C1524) &amp; IF(M1524="", "", " ("&amp;M1524&amp;")") &amp; CHAR(10) &amp;
  _xlpm.vanillaPrefix &amp; "Keyword = Uvi_Wig_Distr_KYWD|" &amp; B1524 &amp; CHAR(10) &amp;
  _xlpm.vanillaPrefix &amp; "Spell = " &amp; _xlpm.spell &amp; "|" &amp; B1524
  )
)</f>
        <v>;Talsgar the Wanderer
;Keyword = Uvi_Wig_Distr_KYWD|TalsgarTheWanderer
;Spell = No Spell for Hairstyle|TalsgarTheWanderer</v>
      </c>
    </row>
    <row r="1525" ht="12.75" customHeight="1">
      <c r="A1525" s="15" t="s">
        <v>5279</v>
      </c>
      <c r="B1525" s="5" t="s">
        <v>5280</v>
      </c>
      <c r="C1525" s="5" t="s">
        <v>5281</v>
      </c>
      <c r="D1525" s="5" t="s">
        <v>45</v>
      </c>
      <c r="E1525" s="5" t="s">
        <v>233</v>
      </c>
      <c r="F1525" s="5" t="s">
        <v>1937</v>
      </c>
      <c r="G1525" s="14" t="str">
        <f t="array" ref="G1525">IF(B1525="", "",
  LET(_xlpm.spell, IFERROR(IF(F1525="", "", INDEX(_xlws.FILTER(Hairstyles!$F:$F, ISNUMBER(SEARCH(F1525, Hairstyles!$B:$B))), 1)), "No Spell for Hairstyle"),
  _xlpm.vanillaPrefix, IF(LEFT(_xlpm.spell, 7)="Uvi_Wig", "", ";"),
  ";" &amp; IF(C1525="", B1525, C1525) &amp; IF(M1525="", "", " ("&amp;M1525&amp;")") &amp; CHAR(10) &amp;
  _xlpm.vanillaPrefix &amp; "Keyword = Uvi_Wig_Distr_KYWD|" &amp; B1525 &amp; CHAR(10) &amp;
  _xlpm.vanillaPrefix &amp; "Spell = " &amp; _xlpm.spell &amp; "|" &amp; B1525
  )
)</f>
        <v>;Talvas Fathryon
;Keyword = Uvi_Wig_Distr_KYWD|DLC2Talvas
;Spell = No Spell for Hairstyle|DLC2Talvas</v>
      </c>
    </row>
    <row r="1526" ht="12.75" customHeight="1">
      <c r="A1526" s="5" t="s">
        <v>5282</v>
      </c>
      <c r="B1526" s="5" t="s">
        <v>5283</v>
      </c>
      <c r="C1526" s="5" t="s">
        <v>5284</v>
      </c>
      <c r="D1526" s="5" t="s">
        <v>45</v>
      </c>
      <c r="E1526" s="5" t="s">
        <v>233</v>
      </c>
      <c r="F1526" s="5" t="s">
        <v>543</v>
      </c>
      <c r="G1526" s="14" t="str">
        <f t="array" ref="G1526">IF(B1526="", "",
  LET(_xlpm.spell, IFERROR(IF(F1526="", "", INDEX(_xlws.FILTER(Hairstyles!$F:$F, ISNUMBER(SEARCH(F1526, Hairstyles!$B:$B))), 1)), "No Spell for Hairstyle"),
  _xlpm.vanillaPrefix, IF(LEFT(_xlpm.spell, 7)="Uvi_Wig", "", ";"),
  ";" &amp; IF(C1526="", B1526, C1526) &amp; IF(M1526="", "", " ("&amp;M1526&amp;")") &amp; CHAR(10) &amp;
  _xlpm.vanillaPrefix &amp; "Keyword = Uvi_Wig_Distr_KYWD|" &amp; B1526 &amp; CHAR(10) &amp;
  _xlpm.vanillaPrefix &amp; "Spell = " &amp; _xlpm.spell &amp; "|" &amp; B1526
  )
)</f>
        <v>;Talvur
;Keyword = Uvi_Wig_Distr_KYWD|dunPOIReachLoversCorpse02
;Spell = No Spell for Hairstyle|dunPOIReachLoversCorpse02</v>
      </c>
    </row>
    <row r="1527" ht="12.75" customHeight="1">
      <c r="A1527" s="15" t="s">
        <v>5285</v>
      </c>
      <c r="B1527" s="5" t="s">
        <v>5286</v>
      </c>
      <c r="C1527" s="5" t="s">
        <v>5286</v>
      </c>
      <c r="D1527" s="5" t="s">
        <v>57</v>
      </c>
      <c r="E1527" s="5" t="s">
        <v>233</v>
      </c>
      <c r="F1527" s="5" t="s">
        <v>1684</v>
      </c>
      <c r="G1527" s="14" t="str">
        <f t="array" ref="G1527">IF(B1527="", "",
  LET(_xlpm.spell, IFERROR(IF(F1527="", "", INDEX(_xlws.FILTER(Hairstyles!$F:$F, ISNUMBER(SEARCH(F1527, Hairstyles!$B:$B))), 1)), "No Spell for Hairstyle"),
  _xlpm.vanillaPrefix, IF(LEFT(_xlpm.spell, 7)="Uvi_Wig", "", ";"),
  ";" &amp; IF(C1527="", B1527, C1527) &amp; IF(M1527="", "", " ("&amp;M1527&amp;")") &amp; CHAR(10) &amp;
  _xlpm.vanillaPrefix &amp; "Keyword = Uvi_Wig_Distr_KYWD|" &amp; B1527 &amp; CHAR(10) &amp;
  _xlpm.vanillaPrefix &amp; "Spell = " &amp; _xlpm.spell &amp; "|" &amp; B1527
  )
)</f>
        <v>;Tandil
;Keyword = Uvi_Wig_Distr_KYWD|Tandil
;Spell = No Spell for Hairstyle|Tandil</v>
      </c>
    </row>
    <row r="1528" ht="12.75" customHeight="1">
      <c r="A1528" s="5" t="s">
        <v>5287</v>
      </c>
      <c r="B1528" s="5" t="s">
        <v>5288</v>
      </c>
      <c r="C1528" s="5" t="s">
        <v>5289</v>
      </c>
      <c r="D1528" s="5" t="s">
        <v>45</v>
      </c>
      <c r="E1528" s="5" t="s">
        <v>233</v>
      </c>
      <c r="F1528" s="5" t="s">
        <v>1937</v>
      </c>
      <c r="G1528" s="14" t="str">
        <f t="array" ref="G1528">IF(B1528="", "",
  LET(_xlpm.spell, IFERROR(IF(F1528="", "", INDEX(_xlws.FILTER(Hairstyles!$F:$F, ISNUMBER(SEARCH(F1528, Hairstyles!$B:$B))), 1)), "No Spell for Hairstyle"),
  _xlpm.vanillaPrefix, IF(LEFT(_xlpm.spell, 7)="Uvi_Wig", "", ";"),
  ";" &amp; IF(C1528="", B1528, C1528) &amp; IF(M1528="", "", " ("&amp;M1528&amp;")") &amp; CHAR(10) &amp;
  _xlpm.vanillaPrefix &amp; "Keyword = Uvi_Wig_Distr_KYWD|" &amp; B1528 &amp; CHAR(10) &amp;
  _xlpm.vanillaPrefix &amp; "Spell = " &amp; _xlpm.spell &amp; "|" &amp; B1528
  )
)</f>
        <v>;Taron Dreth
;Keyword = Uvi_Wig_Distr_KYWD|DLC1_WESC09TaronDreth
;Spell = No Spell for Hairstyle|DLC1_WESC09TaronDreth</v>
      </c>
    </row>
    <row r="1529" ht="12.75" customHeight="1">
      <c r="A1529" s="5" t="s">
        <v>5290</v>
      </c>
      <c r="B1529" s="5" t="s">
        <v>5291</v>
      </c>
      <c r="C1529" s="5" t="s">
        <v>5292</v>
      </c>
      <c r="D1529" s="5" t="s">
        <v>59</v>
      </c>
      <c r="E1529" s="5" t="s">
        <v>233</v>
      </c>
      <c r="F1529" s="5" t="s">
        <v>19</v>
      </c>
      <c r="G1529" s="14" t="str">
        <f t="array" ref="G1529">IF(B1529="", "",
  LET(_xlpm.spell, IFERROR(IF(F1529="", "", INDEX(_xlws.FILTER(Hairstyles!$F:$F, ISNUMBER(SEARCH(F1529, Hairstyles!$B:$B))), 1)), "No Spell for Hairstyle"),
  _xlpm.vanillaPrefix, IF(LEFT(_xlpm.spell, 7)="Uvi_Wig", "", ";"),
  ";" &amp; IF(C1529="", B1529, C1529) &amp; IF(M1529="", "", " ("&amp;M1529&amp;")") &amp; CHAR(10) &amp;
  _xlpm.vanillaPrefix &amp; "Keyword = Uvi_Wig_Distr_KYWD|" &amp; B1529 &amp; CHAR(10) &amp;
  _xlpm.vanillaPrefix &amp; "Spell = " &amp; _xlpm.spell &amp; "|" &amp; B1529
  )
)</f>
        <v>;Tasius Tragus
;Keyword = Uvi_Wig_Distr_KYWD|TasiusTragus
;Spell = No Spell for Hairstyle|TasiusTragus</v>
      </c>
    </row>
    <row r="1530" ht="12.75" customHeight="1">
      <c r="A1530" s="5" t="s">
        <v>5293</v>
      </c>
      <c r="B1530" s="5" t="s">
        <v>5294</v>
      </c>
      <c r="C1530" s="5" t="s">
        <v>5295</v>
      </c>
      <c r="D1530" s="5" t="s">
        <v>10</v>
      </c>
      <c r="E1530" s="5" t="s">
        <v>233</v>
      </c>
      <c r="F1530" s="5" t="s">
        <v>5296</v>
      </c>
      <c r="G1530" s="14" t="str">
        <f t="array" ref="G1530">IF(B1530="", "",
  LET(_xlpm.spell, IFERROR(IF(F1530="", "", INDEX(_xlws.FILTER(Hairstyles!$F:$F, ISNUMBER(SEARCH(F1530, Hairstyles!$B:$B))), 1)), "No Spell for Hairstyle"),
  _xlpm.vanillaPrefix, IF(LEFT(_xlpm.spell, 7)="Uvi_Wig", "", ";"),
  ";" &amp; IF(C1530="", B1530, C1530) &amp; IF(M1530="", "", " ("&amp;M1530&amp;")") &amp; CHAR(10) &amp;
  _xlpm.vanillaPrefix &amp; "Keyword = Uvi_Wig_Distr_KYWD|" &amp; B1530 &amp; CHAR(10) &amp;
  _xlpm.vanillaPrefix &amp; "Spell = " &amp; _xlpm.spell &amp; "|" &amp; B1530
  )
)</f>
        <v>;Teeba-Ei
;Keyword = Uvi_Wig_Distr_KYWD|TeebaEi
;Spell = No Spell for Hairstyle|TeebaEi</v>
      </c>
    </row>
    <row r="1531" ht="12.75" customHeight="1">
      <c r="A1531" s="15" t="s">
        <v>5297</v>
      </c>
      <c r="B1531" s="5" t="s">
        <v>5298</v>
      </c>
      <c r="C1531" s="5" t="s">
        <v>5298</v>
      </c>
      <c r="D1531" s="5" t="s">
        <v>38</v>
      </c>
      <c r="E1531" s="5" t="s">
        <v>41</v>
      </c>
      <c r="F1531" s="5" t="s">
        <v>1063</v>
      </c>
      <c r="G1531" s="14" t="str">
        <f t="array" ref="G1531">IF(B1531="", "",
  LET(_xlpm.spell, IFERROR(IF(F1531="", "", INDEX(_xlws.FILTER(Hairstyles!$F:$F, ISNUMBER(SEARCH(F1531, Hairstyles!$B:$B))), 1)), "No Spell for Hairstyle"),
  _xlpm.vanillaPrefix, IF(LEFT(_xlpm.spell, 7)="Uvi_Wig", "", ";"),
  ";" &amp; IF(C1531="", B1531, C1531) &amp; IF(M1531="", "", " ("&amp;M1531&amp;")") &amp; CHAR(10) &amp;
  _xlpm.vanillaPrefix &amp; "Keyword = Uvi_Wig_Distr_KYWD|" &amp; B1531 &amp; CHAR(10) &amp;
  _xlpm.vanillaPrefix &amp; "Spell = " &amp; _xlpm.spell &amp; "|" &amp; B1531
  )
)</f>
        <v>;Tekla
;Keyword = Uvi_Wig_Distr_KYWD|Tekla
;Spell = No Spell for Hairstyle|Tekla</v>
      </c>
    </row>
    <row r="1532" ht="12.75" customHeight="1">
      <c r="A1532" s="15" t="s">
        <v>5299</v>
      </c>
      <c r="B1532" s="5" t="s">
        <v>5300</v>
      </c>
      <c r="C1532" s="5" t="s">
        <v>5301</v>
      </c>
      <c r="D1532" s="5" t="s">
        <v>45</v>
      </c>
      <c r="E1532" s="5" t="s">
        <v>233</v>
      </c>
      <c r="F1532" s="5" t="s">
        <v>1667</v>
      </c>
      <c r="G1532" s="14" t="str">
        <f t="array" ref="G1532">IF(B1532="", "",
  LET(_xlpm.spell, IFERROR(IF(F1532="", "", INDEX(_xlws.FILTER(Hairstyles!$F:$F, ISNUMBER(SEARCH(F1532, Hairstyles!$B:$B))), 1)), "No Spell for Hairstyle"),
  _xlpm.vanillaPrefix, IF(LEFT(_xlpm.spell, 7)="Uvi_Wig", "", ";"),
  ";" &amp; IF(C1532="", B1532, C1532) &amp; IF(M1532="", "", " ("&amp;M1532&amp;")") &amp; CHAR(10) &amp;
  _xlpm.vanillaPrefix &amp; "Keyword = Uvi_Wig_Distr_KYWD|" &amp; B1532 &amp; CHAR(10) &amp;
  _xlpm.vanillaPrefix &amp; "Spell = " &amp; _xlpm.spell &amp; "|" &amp; B1532
  )
)</f>
        <v>;Teldryn Sero
;Keyword = Uvi_Wig_Distr_KYWD|DLC2RRTeldrynSero
;Spell = No Spell for Hairstyle|DLC2RRTeldrynSero</v>
      </c>
    </row>
    <row r="1533" ht="12.75" customHeight="1">
      <c r="A1533" s="5" t="s">
        <v>5302</v>
      </c>
      <c r="B1533" s="5" t="s">
        <v>5303</v>
      </c>
      <c r="C1533" s="5" t="s">
        <v>5304</v>
      </c>
      <c r="D1533" s="5" t="s">
        <v>38</v>
      </c>
      <c r="E1533" s="5" t="s">
        <v>41</v>
      </c>
      <c r="F1533" s="5" t="s">
        <v>44</v>
      </c>
      <c r="G1533" s="14" t="str">
        <f t="array" ref="G1533">IF(B1533="", "",
  LET(_xlpm.spell, IFERROR(IF(F1533="", "", INDEX(_xlws.FILTER(Hairstyles!$F:$F, ISNUMBER(SEARCH(F1533, Hairstyles!$B:$B))), 1)), "No Spell for Hairstyle"),
  _xlpm.vanillaPrefix, IF(LEFT(_xlpm.spell, 7)="Uvi_Wig", "", ";"),
  ";" &amp; IF(C1533="", B1533, C1533) &amp; IF(M1533="", "", " ("&amp;M1533&amp;")") &amp; CHAR(10) &amp;
  _xlpm.vanillaPrefix &amp; "Keyword = Uvi_Wig_Distr_KYWD|" &amp; B1533 &amp; CHAR(10) &amp;
  _xlpm.vanillaPrefix &amp; "Spell = " &amp; _xlpm.spell &amp; "|" &amp; B1533
  )
)</f>
        <v>;Temba Wide-Arm
;Keyword = Uvi_Wig_Distr_KYWD|TembaWideArm
;Spell = No Spell for Hairstyle|TembaWideArm</v>
      </c>
    </row>
    <row r="1534" ht="12.75" customHeight="1">
      <c r="A1534" s="5" t="s">
        <v>5305</v>
      </c>
      <c r="B1534" s="5" t="s">
        <v>5306</v>
      </c>
      <c r="C1534" s="5" t="s">
        <v>5306</v>
      </c>
      <c r="D1534" s="5" t="s">
        <v>59</v>
      </c>
      <c r="E1534" s="5" t="s">
        <v>233</v>
      </c>
      <c r="F1534" s="5" t="s">
        <v>235</v>
      </c>
      <c r="G1534" s="14" t="str">
        <f t="array" ref="G1534">IF(B1534="", "",
  LET(_xlpm.spell, IFERROR(IF(F1534="", "", INDEX(_xlws.FILTER(Hairstyles!$F:$F, ISNUMBER(SEARCH(F1534, Hairstyles!$B:$B))), 1)), "No Spell for Hairstyle"),
  _xlpm.vanillaPrefix, IF(LEFT(_xlpm.spell, 7)="Uvi_Wig", "", ";"),
  ";" &amp; IF(C1534="", B1534, C1534) &amp; IF(M1534="", "", " ("&amp;M1534&amp;")") &amp; CHAR(10) &amp;
  _xlpm.vanillaPrefix &amp; "Keyword = Uvi_Wig_Distr_KYWD|" &amp; B1534 &amp; CHAR(10) &amp;
  _xlpm.vanillaPrefix &amp; "Spell = " &amp; _xlpm.spell &amp; "|" &amp; B1534
  )
)</f>
        <v>;Terek
;Keyword = Uvi_Wig_Distr_KYWD|Terek
;Spell = No Spell for Hairstyle|Terek</v>
      </c>
    </row>
    <row r="1535" ht="12.75" customHeight="1">
      <c r="A1535" s="5" t="s">
        <v>5307</v>
      </c>
      <c r="B1535" s="5" t="s">
        <v>5308</v>
      </c>
      <c r="C1535" s="5" t="s">
        <v>5308</v>
      </c>
      <c r="D1535" s="5" t="s">
        <v>38</v>
      </c>
      <c r="E1535" s="5" t="s">
        <v>233</v>
      </c>
      <c r="F1535" s="5" t="s">
        <v>68</v>
      </c>
      <c r="G1535" s="14" t="str">
        <f t="array" ref="G1535">IF(B1535="", "",
  LET(_xlpm.spell, IFERROR(IF(F1535="", "", INDEX(_xlws.FILTER(Hairstyles!$F:$F, ISNUMBER(SEARCH(F1535, Hairstyles!$B:$B))), 1)), "No Spell for Hairstyle"),
  _xlpm.vanillaPrefix, IF(LEFT(_xlpm.spell, 7)="Uvi_Wig", "", ";"),
  ";" &amp; IF(C1535="", B1535, C1535) &amp; IF(M1535="", "", " ("&amp;M1535&amp;")") &amp; CHAR(10) &amp;
  _xlpm.vanillaPrefix &amp; "Keyword = Uvi_Wig_Distr_KYWD|" &amp; B1535 &amp; CHAR(10) &amp;
  _xlpm.vanillaPrefix &amp; "Spell = " &amp; _xlpm.spell &amp; "|" &amp; B1535
  )
)</f>
        <v>;TestCarryBasket
;Keyword = Uvi_Wig_Distr_KYWD|TestCarryBasket
;Spell = No Spell for Hairstyle|TestCarryBasket</v>
      </c>
    </row>
    <row r="1536" ht="12.75" customHeight="1">
      <c r="A1536" s="5" t="s">
        <v>5309</v>
      </c>
      <c r="B1536" s="5" t="s">
        <v>5310</v>
      </c>
      <c r="C1536" s="5" t="s">
        <v>5310</v>
      </c>
      <c r="D1536" s="5" t="s">
        <v>38</v>
      </c>
      <c r="E1536" s="5" t="s">
        <v>233</v>
      </c>
      <c r="F1536" s="5" t="s">
        <v>68</v>
      </c>
      <c r="G1536" s="14" t="str">
        <f t="array" ref="G1536">IF(B1536="", "",
  LET(_xlpm.spell, IFERROR(IF(F1536="", "", INDEX(_xlws.FILTER(Hairstyles!$F:$F, ISNUMBER(SEARCH(F1536, Hairstyles!$B:$B))), 1)), "No Spell for Hairstyle"),
  _xlpm.vanillaPrefix, IF(LEFT(_xlpm.spell, 7)="Uvi_Wig", "", ";"),
  ";" &amp; IF(C1536="", B1536, C1536) &amp; IF(M1536="", "", " ("&amp;M1536&amp;")") &amp; CHAR(10) &amp;
  _xlpm.vanillaPrefix &amp; "Keyword = Uvi_Wig_Distr_KYWD|" &amp; B1536 &amp; CHAR(10) &amp;
  _xlpm.vanillaPrefix &amp; "Spell = " &amp; _xlpm.spell &amp; "|" &amp; B1536
  )
)</f>
        <v>;TestCarryFirewood
;Keyword = Uvi_Wig_Distr_KYWD|TestCarryFirewood
;Spell = No Spell for Hairstyle|TestCarryFirewood</v>
      </c>
    </row>
    <row r="1537" ht="12.75" customHeight="1">
      <c r="A1537" s="5" t="s">
        <v>5311</v>
      </c>
      <c r="B1537" s="5" t="s">
        <v>5312</v>
      </c>
      <c r="C1537" s="5" t="s">
        <v>5310</v>
      </c>
      <c r="D1537" s="5" t="s">
        <v>38</v>
      </c>
      <c r="E1537" s="5" t="s">
        <v>233</v>
      </c>
      <c r="F1537" s="5" t="s">
        <v>68</v>
      </c>
      <c r="G1537" s="14" t="str">
        <f t="array" ref="G1537">IF(B1537="", "",
  LET(_xlpm.spell, IFERROR(IF(F1537="", "", INDEX(_xlws.FILTER(Hairstyles!$F:$F, ISNUMBER(SEARCH(F1537, Hairstyles!$B:$B))), 1)), "No Spell for Hairstyle"),
  _xlpm.vanillaPrefix, IF(LEFT(_xlpm.spell, 7)="Uvi_Wig", "", ";"),
  ";" &amp; IF(C1537="", B1537, C1537) &amp; IF(M1537="", "", " ("&amp;M1537&amp;")") &amp; CHAR(10) &amp;
  _xlpm.vanillaPrefix &amp; "Keyword = Uvi_Wig_Distr_KYWD|" &amp; B1537 &amp; CHAR(10) &amp;
  _xlpm.vanillaPrefix &amp; "Spell = " &amp; _xlpm.spell &amp; "|" &amp; B1537
  )
)</f>
        <v>;TestCarryFirewood
;Keyword = Uvi_Wig_Distr_KYWD|WarehouseNPCCarryFirewood
;Spell = No Spell for Hairstyle|WarehouseNPCCarryFirewood</v>
      </c>
    </row>
    <row r="1538" ht="12.75" customHeight="1">
      <c r="A1538" s="5" t="s">
        <v>5313</v>
      </c>
      <c r="B1538" s="5" t="s">
        <v>5314</v>
      </c>
      <c r="C1538" s="5" t="s">
        <v>5314</v>
      </c>
      <c r="D1538" s="5" t="s">
        <v>83</v>
      </c>
      <c r="E1538" s="5" t="s">
        <v>233</v>
      </c>
      <c r="F1538" s="5" t="s">
        <v>84</v>
      </c>
      <c r="G1538" s="14" t="str">
        <f t="array" ref="G1538">IF(B1538="", "",
  LET(_xlpm.spell, IFERROR(IF(F1538="", "", INDEX(_xlws.FILTER(Hairstyles!$F:$F, ISNUMBER(SEARCH(F1538, Hairstyles!$B:$B))), 1)), "No Spell for Hairstyle"),
  _xlpm.vanillaPrefix, IF(LEFT(_xlpm.spell, 7)="Uvi_Wig", "", ";"),
  ";" &amp; IF(C1538="", B1538, C1538) &amp; IF(M1538="", "", " ("&amp;M1538&amp;")") &amp; CHAR(10) &amp;
  _xlpm.vanillaPrefix &amp; "Keyword = Uvi_Wig_Distr_KYWD|" &amp; B1538 &amp; CHAR(10) &amp;
  _xlpm.vanillaPrefix &amp; "Spell = " &amp; _xlpm.spell &amp; "|" &amp; B1538
  )
)</f>
        <v>;TestFurnitureUseIdleLinkedRefNPC
;Keyword = Uvi_Wig_Distr_KYWD|TestFurnitureUseIdleLinkedRefNPC
;Spell = No Spell for Hairstyle|TestFurnitureUseIdleLinkedRefNPC</v>
      </c>
    </row>
    <row r="1539" ht="12.75" customHeight="1">
      <c r="A1539" s="5" t="s">
        <v>5315</v>
      </c>
      <c r="B1539" s="5" t="s">
        <v>5316</v>
      </c>
      <c r="C1539" s="5" t="s">
        <v>5317</v>
      </c>
      <c r="D1539" s="5" t="s">
        <v>38</v>
      </c>
      <c r="E1539" s="5" t="s">
        <v>233</v>
      </c>
      <c r="F1539" s="5" t="s">
        <v>68</v>
      </c>
      <c r="G1539" s="14" t="str">
        <f t="array" ref="G1539">IF(B1539="", "",
  LET(_xlpm.spell, IFERROR(IF(F1539="", "", INDEX(_xlws.FILTER(Hairstyles!$F:$F, ISNUMBER(SEARCH(F1539, Hairstyles!$B:$B))), 1)), "No Spell for Hairstyle"),
  _xlpm.vanillaPrefix, IF(LEFT(_xlpm.spell, 7)="Uvi_Wig", "", ";"),
  ";" &amp; IF(C1539="", B1539, C1539) &amp; IF(M1539="", "", " ("&amp;M1539&amp;")") &amp; CHAR(10) &amp;
  _xlpm.vanillaPrefix &amp; "Keyword = Uvi_Wig_Distr_KYWD|" &amp; B1539 &amp; CHAR(10) &amp;
  _xlpm.vanillaPrefix &amp; "Spell = " &amp; _xlpm.spell &amp; "|" &amp; B1539
  )
)</f>
        <v>;TestJeffBCarryWaterBucket
;Keyword = Uvi_Wig_Distr_KYWD|WarehouseNPCCarryWaterBucket
;Spell = No Spell for Hairstyle|WarehouseNPCCarryWaterBucket</v>
      </c>
    </row>
    <row r="1540" ht="12.75" customHeight="1">
      <c r="A1540" s="5" t="s">
        <v>5318</v>
      </c>
      <c r="B1540" s="5" t="s">
        <v>5319</v>
      </c>
      <c r="C1540" s="5" t="s">
        <v>5320</v>
      </c>
      <c r="D1540" s="5" t="s">
        <v>86</v>
      </c>
      <c r="E1540" s="5" t="s">
        <v>41</v>
      </c>
      <c r="F1540" s="5" t="s">
        <v>88</v>
      </c>
      <c r="G1540" s="14" t="str">
        <f t="array" ref="G1540">IF(B1540="", "",
  LET(_xlpm.spell, IFERROR(IF(F1540="", "", INDEX(_xlws.FILTER(Hairstyles!$F:$F, ISNUMBER(SEARCH(F1540, Hairstyles!$B:$B))), 1)), "No Spell for Hairstyle"),
  _xlpm.vanillaPrefix, IF(LEFT(_xlpm.spell, 7)="Uvi_Wig", "", ";"),
  ";" &amp; IF(C1540="", B1540, C1540) &amp; IF(M1540="", "", " ("&amp;M1540&amp;")") &amp; CHAR(10) &amp;
  _xlpm.vanillaPrefix &amp; "Keyword = Uvi_Wig_Distr_KYWD|" &amp; B1540 &amp; CHAR(10) &amp;
  _xlpm.vanillaPrefix &amp; "Spell = " &amp; _xlpm.spell &amp; "|" &amp; B1540
  )
)</f>
        <v>;TestKid
;Keyword = Uvi_Wig_Distr_KYWD|TestMasterPackageKid
;Spell = No Spell for Hairstyle|TestMasterPackageKid</v>
      </c>
    </row>
    <row r="1541" ht="12.75" customHeight="1">
      <c r="A1541" s="5" t="s">
        <v>5321</v>
      </c>
      <c r="B1541" s="5" t="s">
        <v>5322</v>
      </c>
      <c r="C1541" s="5" t="s">
        <v>5322</v>
      </c>
      <c r="D1541" s="5" t="s">
        <v>38</v>
      </c>
      <c r="E1541" s="5" t="s">
        <v>233</v>
      </c>
      <c r="F1541" s="5" t="s">
        <v>68</v>
      </c>
      <c r="G1541" s="14" t="str">
        <f t="array" ref="G1541">IF(B1541="", "",
  LET(_xlpm.spell, IFERROR(IF(F1541="", "", INDEX(_xlws.FILTER(Hairstyles!$F:$F, ISNUMBER(SEARCH(F1541, Hairstyles!$B:$B))), 1)), "No Spell for Hairstyle"),
  _xlpm.vanillaPrefix, IF(LEFT(_xlpm.spell, 7)="Uvi_Wig", "", ";"),
  ";" &amp; IF(C1541="", B1541, C1541) &amp; IF(M1541="", "", " ("&amp;M1541&amp;")") &amp; CHAR(10) &amp;
  _xlpm.vanillaPrefix &amp; "Keyword = Uvi_Wig_Distr_KYWD|" &amp; B1541 &amp; CHAR(10) &amp;
  _xlpm.vanillaPrefix &amp; "Spell = " &amp; _xlpm.spell &amp; "|" &amp; B1541
  )
)</f>
        <v>;TestReadingDude
;Keyword = Uvi_Wig_Distr_KYWD|TestReadingDude
;Spell = No Spell for Hairstyle|TestReadingDude</v>
      </c>
    </row>
    <row r="1542" ht="12.75" customHeight="1">
      <c r="A1542" s="15" t="s">
        <v>5323</v>
      </c>
      <c r="B1542" s="5" t="s">
        <v>5324</v>
      </c>
      <c r="C1542" s="5" t="s">
        <v>5324</v>
      </c>
      <c r="D1542" s="5" t="s">
        <v>38</v>
      </c>
      <c r="E1542" s="5" t="s">
        <v>233</v>
      </c>
      <c r="F1542" s="5" t="s">
        <v>68</v>
      </c>
      <c r="G1542" s="14" t="str">
        <f t="array" ref="G1542">IF(B1542="", "",
  LET(_xlpm.spell, IFERROR(IF(F1542="", "", INDEX(_xlws.FILTER(Hairstyles!$F:$F, ISNUMBER(SEARCH(F1542, Hairstyles!$B:$B))), 1)), "No Spell for Hairstyle"),
  _xlpm.vanillaPrefix, IF(LEFT(_xlpm.spell, 7)="Uvi_Wig", "", ";"),
  ";" &amp; IF(C1542="", B1542, C1542) &amp; IF(M1542="", "", " ("&amp;M1542&amp;")") &amp; CHAR(10) &amp;
  _xlpm.vanillaPrefix &amp; "Keyword = Uvi_Wig_Distr_KYWD|" &amp; B1542 &amp; CHAR(10) &amp;
  _xlpm.vanillaPrefix &amp; "Spell = " &amp; _xlpm.spell &amp; "|" &amp; B1542
  )
)</f>
        <v>;TestWritingDude
;Keyword = Uvi_Wig_Distr_KYWD|TestWritingDude
;Spell = No Spell for Hairstyle|TestWritingDude</v>
      </c>
    </row>
    <row r="1543" ht="12.75" customHeight="1">
      <c r="A1543" s="5" t="s">
        <v>5325</v>
      </c>
      <c r="B1543" s="5" t="s">
        <v>5326</v>
      </c>
      <c r="C1543" s="5" t="s">
        <v>5326</v>
      </c>
      <c r="D1543" s="5" t="s">
        <v>38</v>
      </c>
      <c r="E1543" s="5" t="s">
        <v>233</v>
      </c>
      <c r="F1543" s="5" t="s">
        <v>1894</v>
      </c>
      <c r="G1543" s="14" t="str">
        <f t="array" ref="G1543">IF(B1543="", "",
  LET(_xlpm.spell, IFERROR(IF(F1543="", "", INDEX(_xlws.FILTER(Hairstyles!$F:$F, ISNUMBER(SEARCH(F1543, Hairstyles!$B:$B))), 1)), "No Spell for Hairstyle"),
  _xlpm.vanillaPrefix, IF(LEFT(_xlpm.spell, 7)="Uvi_Wig", "", ";"),
  ";" &amp; IF(C1543="", B1543, C1543) &amp; IF(M1543="", "", " ("&amp;M1543&amp;")") &amp; CHAR(10) &amp;
  _xlpm.vanillaPrefix &amp; "Keyword = Uvi_Wig_Distr_KYWD|" &amp; B1543 &amp; CHAR(10) &amp;
  _xlpm.vanillaPrefix &amp; "Spell = " &amp; _xlpm.spell &amp; "|" &amp; B1543
  )
)</f>
        <v>;Thadgeir
;Keyword = Uvi_Wig_Distr_KYWD|Thadgeir
;Spell = No Spell for Hairstyle|Thadgeir</v>
      </c>
    </row>
    <row r="1544" ht="12.75" customHeight="1">
      <c r="A1544" s="5" t="s">
        <v>5327</v>
      </c>
      <c r="B1544" s="5" t="s">
        <v>5328</v>
      </c>
      <c r="C1544" s="5" t="s">
        <v>5328</v>
      </c>
      <c r="D1544" s="5" t="s">
        <v>38</v>
      </c>
      <c r="E1544" s="5" t="s">
        <v>41</v>
      </c>
      <c r="F1544" s="5" t="s">
        <v>42</v>
      </c>
      <c r="G1544" s="14" t="str">
        <f t="array" ref="G1544">IF(B1544="", "",
  LET(_xlpm.spell, IFERROR(IF(F1544="", "", INDEX(_xlws.FILTER(Hairstyles!$F:$F, ISNUMBER(SEARCH(F1544, Hairstyles!$B:$B))), 1)), "No Spell for Hairstyle"),
  _xlpm.vanillaPrefix, IF(LEFT(_xlpm.spell, 7)="Uvi_Wig", "", ";"),
  ";" &amp; IF(C1544="", B1544, C1544) &amp; IF(M1544="", "", " ("&amp;M1544&amp;")") &amp; CHAR(10) &amp;
  _xlpm.vanillaPrefix &amp; "Keyword = Uvi_Wig_Distr_KYWD|" &amp; B1544 &amp; CHAR(10) &amp;
  _xlpm.vanillaPrefix &amp; "Spell = " &amp; _xlpm.spell &amp; "|" &amp; B1544
  )
)</f>
        <v>;Thaena
;Keyword = Uvi_Wig_Distr_KYWD|Thaena
;Spell = No Spell for Hairstyle|Thaena</v>
      </c>
    </row>
    <row r="1545" ht="12.75" customHeight="1">
      <c r="A1545" s="5" t="s">
        <v>5329</v>
      </c>
      <c r="B1545" s="5" t="s">
        <v>5330</v>
      </c>
      <c r="C1545" s="5" t="s">
        <v>5331</v>
      </c>
      <c r="D1545" s="5" t="s">
        <v>38</v>
      </c>
      <c r="E1545" s="5" t="s">
        <v>233</v>
      </c>
      <c r="F1545" s="5" t="s">
        <v>215</v>
      </c>
      <c r="G1545" s="14" t="str">
        <f t="array" ref="G1545">IF(B1545="", "",
  LET(_xlpm.spell, IFERROR(IF(F1545="", "", INDEX(_xlws.FILTER(Hairstyles!$F:$F, ISNUMBER(SEARCH(F1545, Hairstyles!$B:$B))), 1)), "No Spell for Hairstyle"),
  _xlpm.vanillaPrefix, IF(LEFT(_xlpm.spell, 7)="Uvi_Wig", "", ";"),
  ";" &amp; IF(C1545="", B1545, C1545) &amp; IF(M1545="", "", " ("&amp;M1545&amp;")") &amp; CHAR(10) &amp;
  _xlpm.vanillaPrefix &amp; "Keyword = Uvi_Wig_Distr_KYWD|" &amp; B1545 &amp; CHAR(10) &amp;
  _xlpm.vanillaPrefix &amp; "Spell = " &amp; _xlpm.spell &amp; "|" &amp; B1545
  )
)</f>
        <v>;Thaer
;Keyword = Uvi_Wig_Distr_KYWD|CarriageDriverSolitude
;Spell = No Spell for Hairstyle|CarriageDriverSolitude</v>
      </c>
    </row>
    <row r="1546" ht="12.75" customHeight="1">
      <c r="A1546" s="5" t="s">
        <v>5332</v>
      </c>
      <c r="B1546" s="5" t="s">
        <v>5333</v>
      </c>
      <c r="C1546" s="5" t="s">
        <v>5331</v>
      </c>
      <c r="D1546" s="5" t="s">
        <v>90</v>
      </c>
      <c r="E1546" s="5" t="s">
        <v>233</v>
      </c>
      <c r="F1546" s="5" t="s">
        <v>2469</v>
      </c>
      <c r="G1546" s="14" t="str">
        <f t="array" ref="G1546">IF(B1546="", "",
  LET(_xlpm.spell, IFERROR(IF(F1546="", "", INDEX(_xlws.FILTER(Hairstyles!$F:$F, ISNUMBER(SEARCH(F1546, Hairstyles!$B:$B))), 1)), "No Spell for Hairstyle"),
  _xlpm.vanillaPrefix, IF(LEFT(_xlpm.spell, 7)="Uvi_Wig", "", ";"),
  ";" &amp; IF(C1546="", B1546, C1546) &amp; IF(M1546="", "", " ("&amp;M1546&amp;")") &amp; CHAR(10) &amp;
  _xlpm.vanillaPrefix &amp; "Keyword = Uvi_Wig_Distr_KYWD|" &amp; B1546 &amp; CHAR(10) &amp;
  _xlpm.vanillaPrefix &amp; "Spell = " &amp; _xlpm.spell &amp; "|" &amp; B1546
  )
)</f>
        <v>;Thaer
;Keyword = Uvi_Wig_Distr_KYWD|DLC1VQ03CarriageDriver
;Spell = No Spell for Hairstyle|DLC1VQ03CarriageDriver</v>
      </c>
    </row>
    <row r="1547" ht="12.75" customHeight="1">
      <c r="A1547" s="5" t="s">
        <v>5334</v>
      </c>
      <c r="B1547" s="5" t="s">
        <v>5335</v>
      </c>
      <c r="C1547" s="5" t="s">
        <v>5336</v>
      </c>
      <c r="D1547" s="5" t="s">
        <v>38</v>
      </c>
      <c r="E1547" s="5" t="s">
        <v>233</v>
      </c>
      <c r="F1547" s="5" t="s">
        <v>346</v>
      </c>
      <c r="G1547" s="14" t="str">
        <f t="array" ref="G1547">IF(B1547="", "",
  LET(_xlpm.spell, IFERROR(IF(F1547="", "", INDEX(_xlws.FILTER(Hairstyles!$F:$F, ISNUMBER(SEARCH(F1547, Hairstyles!$B:$B))), 1)), "No Spell for Hairstyle"),
  _xlpm.vanillaPrefix, IF(LEFT(_xlpm.spell, 7)="Uvi_Wig", "", ";"),
  ";" &amp; IF(C1547="", B1547, C1547) &amp; IF(M1547="", "", " ("&amp;M1547&amp;")") &amp; CHAR(10) &amp;
  _xlpm.vanillaPrefix &amp; "Keyword = Uvi_Wig_Distr_KYWD|" &amp; B1547 &amp; CHAR(10) &amp;
  _xlpm.vanillaPrefix &amp; "Spell = " &amp; _xlpm.spell &amp; "|" &amp; B1547
  )
)</f>
        <v>;Thalin Ebonhand
;Keyword = Uvi_Wig_Distr_KYWD|DLC2dunHaknirThalinEbonhand
;Spell = No Spell for Hairstyle|DLC2dunHaknirThalinEbonhand</v>
      </c>
    </row>
    <row r="1548" ht="12.75" customHeight="1">
      <c r="A1548" s="5" t="s">
        <v>5337</v>
      </c>
      <c r="B1548" s="5" t="s">
        <v>5338</v>
      </c>
      <c r="C1548" s="5" t="s">
        <v>5339</v>
      </c>
      <c r="D1548" s="5" t="s">
        <v>38</v>
      </c>
      <c r="E1548" s="5" t="s">
        <v>233</v>
      </c>
      <c r="F1548" s="5" t="s">
        <v>84</v>
      </c>
      <c r="G1548" s="14" t="str">
        <f t="array" ref="G1548">IF(B1548="", "",
  LET(_xlpm.spell, IFERROR(IF(F1548="", "", INDEX(_xlws.FILTER(Hairstyles!$F:$F, ISNUMBER(SEARCH(F1548, Hairstyles!$B:$B))), 1)), "No Spell for Hairstyle"),
  _xlpm.vanillaPrefix, IF(LEFT(_xlpm.spell, 7)="Uvi_Wig", "", ";"),
  ";" &amp; IF(C1548="", B1548, C1548) &amp; IF(M1548="", "", " ("&amp;M1548&amp;")") &amp; CHAR(10) &amp;
  _xlpm.vanillaPrefix &amp; "Keyword = Uvi_Wig_Distr_KYWD|" &amp; B1548 &amp; CHAR(10) &amp;
  _xlpm.vanillaPrefix &amp; "Spell = " &amp; _xlpm.spell &amp; "|" &amp; B1548
  )
)</f>
        <v>;Thalmor Prisoner
;Keyword = Uvi_Wig_Distr_KYWD|WEThalmorPrisoner
;Spell = No Spell for Hairstyle|WEThalmorPrisoner</v>
      </c>
    </row>
    <row r="1549" ht="12.75" customHeight="1">
      <c r="A1549" s="5" t="s">
        <v>5340</v>
      </c>
      <c r="B1549" s="5" t="s">
        <v>5341</v>
      </c>
      <c r="C1549" s="5" t="s">
        <v>5342</v>
      </c>
      <c r="D1549" s="5" t="s">
        <v>57</v>
      </c>
      <c r="E1549" s="5" t="s">
        <v>233</v>
      </c>
      <c r="F1549" s="5" t="s">
        <v>47</v>
      </c>
      <c r="G1549" s="14" t="str">
        <f t="array" ref="G1549">IF(B1549="", "",
  LET(_xlpm.spell, IFERROR(IF(F1549="", "", INDEX(_xlws.FILTER(Hairstyles!$F:$F, ISNUMBER(SEARCH(F1549, Hairstyles!$B:$B))), 1)), "No Spell for Hairstyle"),
  _xlpm.vanillaPrefix, IF(LEFT(_xlpm.spell, 7)="Uvi_Wig", "", ";"),
  ";" &amp; IF(C1549="", B1549, C1549) &amp; IF(M1549="", "", " ("&amp;M1549&amp;")") &amp; CHAR(10) &amp;
  _xlpm.vanillaPrefix &amp; "Keyword = Uvi_Wig_Distr_KYWD|" &amp; B1549 &amp; CHAR(10) &amp;
  _xlpm.vanillaPrefix &amp; "Spell = " &amp; _xlpm.spell &amp; "|" &amp; B1549
  )
)</f>
        <v>;Thalmor Soldier
;Keyword = Uvi_Wig_Distr_KYWD|EncThalmor00MeleeTemplate
;Spell = No Spell for Hairstyle|EncThalmor00MeleeTemplate</v>
      </c>
    </row>
    <row r="1550" ht="12.75" customHeight="1">
      <c r="A1550" s="5" t="s">
        <v>5343</v>
      </c>
      <c r="B1550" s="5" t="s">
        <v>5344</v>
      </c>
      <c r="C1550" s="5" t="s">
        <v>5342</v>
      </c>
      <c r="D1550" s="5" t="s">
        <v>57</v>
      </c>
      <c r="E1550" s="5" t="s">
        <v>233</v>
      </c>
      <c r="F1550" s="5" t="s">
        <v>1787</v>
      </c>
      <c r="G1550" s="14" t="str">
        <f t="array" ref="G1550">IF(B1550="", "",
  LET(_xlpm.spell, IFERROR(IF(F1550="", "", INDEX(_xlws.FILTER(Hairstyles!$F:$F, ISNUMBER(SEARCH(F1550, Hairstyles!$B:$B))), 1)), "No Spell for Hairstyle"),
  _xlpm.vanillaPrefix, IF(LEFT(_xlpm.spell, 7)="Uvi_Wig", "", ";"),
  ";" &amp; IF(C1550="", B1550, C1550) &amp; IF(M1550="", "", " ("&amp;M1550&amp;")") &amp; CHAR(10) &amp;
  _xlpm.vanillaPrefix &amp; "Keyword = Uvi_Wig_Distr_KYWD|" &amp; B1550 &amp; CHAR(10) &amp;
  _xlpm.vanillaPrefix &amp; "Spell = " &amp; _xlpm.spell &amp; "|" &amp; B1550
  )
)</f>
        <v>;Thalmor Soldier
;Keyword = Uvi_Wig_Distr_KYWD|EncThalmor00MissileTemplate
;Spell = No Spell for Hairstyle|EncThalmor00MissileTemplate</v>
      </c>
    </row>
    <row r="1551" ht="12.75" customHeight="1">
      <c r="A1551" s="5" t="s">
        <v>5345</v>
      </c>
      <c r="B1551" s="5" t="s">
        <v>5346</v>
      </c>
      <c r="C1551" s="5" t="s">
        <v>5347</v>
      </c>
      <c r="D1551" s="5" t="s">
        <v>57</v>
      </c>
      <c r="E1551" s="5" t="s">
        <v>233</v>
      </c>
      <c r="F1551" s="5" t="s">
        <v>91</v>
      </c>
      <c r="G1551" s="14" t="str">
        <f t="array" ref="G1551">IF(B1551="", "",
  LET(_xlpm.spell, IFERROR(IF(F1551="", "", INDEX(_xlws.FILTER(Hairstyles!$F:$F, ISNUMBER(SEARCH(F1551, Hairstyles!$B:$B))), 1)), "No Spell for Hairstyle"),
  _xlpm.vanillaPrefix, IF(LEFT(_xlpm.spell, 7)="Uvi_Wig", "", ";"),
  ";" &amp; IF(C1551="", B1551, C1551) &amp; IF(M1551="", "", " ("&amp;M1551&amp;")") &amp; CHAR(10) &amp;
  _xlpm.vanillaPrefix &amp; "Keyword = Uvi_Wig_Distr_KYWD|" &amp; B1551 &amp; CHAR(10) &amp;
  _xlpm.vanillaPrefix &amp; "Spell = " &amp; _xlpm.spell &amp; "|" &amp; B1551
  )
)</f>
        <v>;Thalmor Wizard
;Keyword = Uvi_Wig_Distr_KYWD|EncThalmor00WizardTemplate
;Spell = No Spell for Hairstyle|EncThalmor00WizardTemplate</v>
      </c>
    </row>
    <row r="1552" ht="12.75" customHeight="1">
      <c r="A1552" s="5" t="s">
        <v>5348</v>
      </c>
      <c r="B1552" s="5" t="s">
        <v>5349</v>
      </c>
      <c r="C1552" s="5" t="s">
        <v>5350</v>
      </c>
      <c r="D1552" s="5" t="s">
        <v>51</v>
      </c>
      <c r="E1552" s="5" t="s">
        <v>233</v>
      </c>
      <c r="F1552" s="5" t="s">
        <v>224</v>
      </c>
      <c r="G1552" s="14" t="str">
        <f t="array" ref="G1552">IF(B1552="", "",
  LET(_xlpm.spell, IFERROR(IF(F1552="", "", INDEX(_xlws.FILTER(Hairstyles!$F:$F, ISNUMBER(SEARCH(F1552, Hairstyles!$B:$B))), 1)), "No Spell for Hairstyle"),
  _xlpm.vanillaPrefix, IF(LEFT(_xlpm.spell, 7)="Uvi_Wig", "", ";"),
  ";" &amp; IF(C1552="", B1552, C1552) &amp; IF(M1552="", "", " ("&amp;M1552&amp;")") &amp; CHAR(10) &amp;
  _xlpm.vanillaPrefix &amp; "Keyword = Uvi_Wig_Distr_KYWD|" &amp; B1552 &amp; CHAR(10) &amp;
  _xlpm.vanillaPrefix &amp; "Spell = " &amp; _xlpm.spell &amp; "|" &amp; B1552
  )
)</f>
        <v>;Tharstan
;Keyword = Uvi_Wig_Distr_KYWD|DLC2SVTharstan
;Spell = No Spell for Hairstyle|DLC2SVTharstan</v>
      </c>
    </row>
    <row r="1553" ht="12.75" customHeight="1">
      <c r="A1553" s="5" t="s">
        <v>5351</v>
      </c>
      <c r="B1553" s="5" t="s">
        <v>5352</v>
      </c>
      <c r="C1553" s="5" t="s">
        <v>5353</v>
      </c>
      <c r="D1553" s="5" t="s">
        <v>59</v>
      </c>
      <c r="E1553" s="5" t="s">
        <v>233</v>
      </c>
      <c r="F1553" s="5" t="s">
        <v>1906</v>
      </c>
      <c r="G1553" s="14" t="str">
        <f t="array" ref="G1553">IF(B1553="", "",
  LET(_xlpm.spell, IFERROR(IF(F1553="", "", INDEX(_xlws.FILTER(Hairstyles!$F:$F, ISNUMBER(SEARCH(F1553, Hairstyles!$B:$B))), 1)), "No Spell for Hairstyle"),
  _xlpm.vanillaPrefix, IF(LEFT(_xlpm.spell, 7)="Uvi_Wig", "", ";"),
  ";" &amp; IF(C1553="", B1553, C1553) &amp; IF(M1553="", "", " ("&amp;M1553&amp;")") &amp; CHAR(10) &amp;
  _xlpm.vanillaPrefix &amp; "Keyword = Uvi_Wig_Distr_KYWD|" &amp; B1553 &amp; CHAR(10) &amp;
  _xlpm.vanillaPrefix &amp; "Spell = " &amp; _xlpm.spell &amp; "|" &amp; B1553
  )
)</f>
        <v>;Thief
;Keyword = Uvi_Wig_Distr_KYWD|E3demoThief
;Spell = No Spell for Hairstyle|E3demoThief</v>
      </c>
    </row>
    <row r="1554" ht="12.75" customHeight="1">
      <c r="A1554" s="5" t="s">
        <v>5354</v>
      </c>
      <c r="B1554" s="5" t="s">
        <v>5355</v>
      </c>
      <c r="C1554" s="5" t="s">
        <v>5353</v>
      </c>
      <c r="D1554" s="5" t="s">
        <v>51</v>
      </c>
      <c r="E1554" s="5" t="s">
        <v>233</v>
      </c>
      <c r="F1554" s="5" t="s">
        <v>762</v>
      </c>
      <c r="G1554" s="14" t="str">
        <f t="array" ref="G1554">IF(B1554="", "",
  LET(_xlpm.spell, IFERROR(IF(F1554="", "", INDEX(_xlws.FILTER(Hairstyles!$F:$F, ISNUMBER(SEARCH(F1554, Hairstyles!$B:$B))), 1)), "No Spell for Hairstyle"),
  _xlpm.vanillaPrefix, IF(LEFT(_xlpm.spell, 7)="Uvi_Wig", "", ";"),
  ";" &amp; IF(C1554="", B1554, C1554) &amp; IF(M1554="", "", " ("&amp;M1554&amp;")") &amp; CHAR(10) &amp;
  _xlpm.vanillaPrefix &amp; "Keyword = Uvi_Wig_Distr_KYWD|" &amp; B1554 &amp; CHAR(10) &amp;
  _xlpm.vanillaPrefix &amp; "Spell = " &amp; _xlpm.spell &amp; "|" &amp; B1554
  )
)</f>
        <v>;Thief
;Keyword = Uvi_Wig_Distr_KYWD|TG08BTreasCorpseThiefNordMaleOld
;Spell = No Spell for Hairstyle|TG08BTreasCorpseThiefNordMaleOld</v>
      </c>
    </row>
    <row r="1555" ht="12.75" customHeight="1">
      <c r="A1555" s="5" t="s">
        <v>5356</v>
      </c>
      <c r="B1555" s="5" t="s">
        <v>5357</v>
      </c>
      <c r="C1555" s="5" t="s">
        <v>5353</v>
      </c>
      <c r="D1555" s="5" t="s">
        <v>38</v>
      </c>
      <c r="E1555" s="5" t="s">
        <v>233</v>
      </c>
      <c r="F1555" s="5" t="s">
        <v>1700</v>
      </c>
      <c r="G1555" s="14" t="str">
        <f t="array" ref="G1555">IF(B1555="", "",
  LET(_xlpm.spell, IFERROR(IF(F1555="", "", INDEX(_xlws.FILTER(Hairstyles!$F:$F, ISNUMBER(SEARCH(F1555, Hairstyles!$B:$B))), 1)), "No Spell for Hairstyle"),
  _xlpm.vanillaPrefix, IF(LEFT(_xlpm.spell, 7)="Uvi_Wig", "", ";"),
  ";" &amp; IF(C1555="", B1555, C1555) &amp; IF(M1555="", "", " ("&amp;M1555&amp;")") &amp; CHAR(10) &amp;
  _xlpm.vanillaPrefix &amp; "Keyword = Uvi_Wig_Distr_KYWD|" &amp; B1555 &amp; CHAR(10) &amp;
  _xlpm.vanillaPrefix &amp; "Spell = " &amp; _xlpm.spell &amp; "|" &amp; B1555
  )
)</f>
        <v>;Thief
;Keyword = Uvi_Wig_Distr_KYWD|WERJ03Thief
;Spell = No Spell for Hairstyle|WERJ03Thief</v>
      </c>
    </row>
    <row r="1556" ht="12.75" customHeight="1">
      <c r="A1556" s="5" t="s">
        <v>5358</v>
      </c>
      <c r="B1556" s="5" t="s">
        <v>5359</v>
      </c>
      <c r="C1556" s="5" t="s">
        <v>5353</v>
      </c>
      <c r="D1556" s="5" t="s">
        <v>38</v>
      </c>
      <c r="E1556" s="5" t="s">
        <v>233</v>
      </c>
      <c r="F1556" s="5" t="s">
        <v>19</v>
      </c>
      <c r="G1556" s="14" t="str">
        <f t="array" ref="G1556">IF(B1556="", "",
  LET(_xlpm.spell, IFERROR(IF(F1556="", "", INDEX(_xlws.FILTER(Hairstyles!$F:$F, ISNUMBER(SEARCH(F1556, Hairstyles!$B:$B))), 1)), "No Spell for Hairstyle"),
  _xlpm.vanillaPrefix, IF(LEFT(_xlpm.spell, 7)="Uvi_Wig", "", ";"),
  ";" &amp; IF(C1556="", B1556, C1556) &amp; IF(M1556="", "", " ("&amp;M1556&amp;")") &amp; CHAR(10) &amp;
  _xlpm.vanillaPrefix &amp; "Keyword = Uvi_Wig_Distr_KYWD|" &amp; B1556 &amp; CHAR(10) &amp;
  _xlpm.vanillaPrefix &amp; "Spell = " &amp; _xlpm.spell &amp; "|" &amp; B1556
  )
)</f>
        <v>;Thief
;Keyword = Uvi_Wig_Distr_KYWD|WERJThief
;Spell = No Spell for Hairstyle|WERJThief</v>
      </c>
    </row>
    <row r="1557" ht="12.75" customHeight="1">
      <c r="A1557" s="15" t="s">
        <v>5360</v>
      </c>
      <c r="B1557" s="5" t="s">
        <v>5361</v>
      </c>
      <c r="C1557" s="5" t="s">
        <v>5353</v>
      </c>
      <c r="D1557" s="5" t="s">
        <v>38</v>
      </c>
      <c r="E1557" s="5" t="s">
        <v>233</v>
      </c>
      <c r="F1557" s="5" t="s">
        <v>68</v>
      </c>
      <c r="G1557" s="14" t="str">
        <f t="array" ref="G1557">IF(B1557="", "",
  LET(_xlpm.spell, IFERROR(IF(F1557="", "", INDEX(_xlws.FILTER(Hairstyles!$F:$F, ISNUMBER(SEARCH(F1557, Hairstyles!$B:$B))), 1)), "No Spell for Hairstyle"),
  _xlpm.vanillaPrefix, IF(LEFT(_xlpm.spell, 7)="Uvi_Wig", "", ";"),
  ";" &amp; IF(C1557="", B1557, C1557) &amp; IF(M1557="", "", " ("&amp;M1557&amp;")") &amp; CHAR(10) &amp;
  _xlpm.vanillaPrefix &amp; "Keyword = Uvi_Wig_Distr_KYWD|" &amp; B1557 &amp; CHAR(10) &amp;
  _xlpm.vanillaPrefix &amp; "Spell = " &amp; _xlpm.spell &amp; "|" &amp; B1557
  )
)</f>
        <v>;Thief
;Keyword = Uvi_Wig_Distr_KYWD|WEThiefTemplate
;Spell = No Spell for Hairstyle|WEThiefTemplate</v>
      </c>
    </row>
    <row r="1558" ht="12.75" customHeight="1">
      <c r="A1558" s="5" t="s">
        <v>5362</v>
      </c>
      <c r="B1558" s="5" t="s">
        <v>5363</v>
      </c>
      <c r="C1558" s="5" t="s">
        <v>5353</v>
      </c>
      <c r="D1558" s="5" t="s">
        <v>38</v>
      </c>
      <c r="E1558" s="5" t="s">
        <v>233</v>
      </c>
      <c r="F1558" s="5" t="s">
        <v>1088</v>
      </c>
      <c r="G1558" s="14" t="str">
        <f t="array" ref="G1558">IF(B1558="", "",
  LET(_xlpm.spell, IFERROR(IF(F1558="", "", INDEX(_xlws.FILTER(Hairstyles!$F:$F, ISNUMBER(SEARCH(F1558, Hairstyles!$B:$B))), 1)), "No Spell for Hairstyle"),
  _xlpm.vanillaPrefix, IF(LEFT(_xlpm.spell, 7)="Uvi_Wig", "", ";"),
  ";" &amp; IF(C1558="", B1558, C1558) &amp; IF(M1558="", "", " ("&amp;M1558&amp;")") &amp; CHAR(10) &amp;
  _xlpm.vanillaPrefix &amp; "Keyword = Uvi_Wig_Distr_KYWD|" &amp; B1558 &amp; CHAR(10) &amp;
  _xlpm.vanillaPrefix &amp; "Spell = " &amp; _xlpm.spell &amp; "|" &amp; B1558
  )
)</f>
        <v>;Thief
;Keyword = Uvi_Wig_Distr_KYWD|WIThief
;Spell = No Spell for Hairstyle|WIThief</v>
      </c>
    </row>
    <row r="1559" ht="12.75" customHeight="1">
      <c r="A1559" s="5" t="s">
        <v>5364</v>
      </c>
      <c r="B1559" s="5" t="s">
        <v>5365</v>
      </c>
      <c r="C1559" s="5" t="s">
        <v>5366</v>
      </c>
      <c r="D1559" s="5" t="s">
        <v>38</v>
      </c>
      <c r="E1559" s="5" t="s">
        <v>233</v>
      </c>
      <c r="F1559" s="5" t="s">
        <v>346</v>
      </c>
      <c r="G1559" s="14" t="str">
        <f t="array" ref="G1559">IF(B1559="", "",
  LET(_xlpm.spell, IFERROR(IF(F1559="", "", INDEX(_xlws.FILTER(Hairstyles!$F:$F, ISNUMBER(SEARCH(F1559, Hairstyles!$B:$B))), 1)), "No Spell for Hairstyle"),
  _xlpm.vanillaPrefix, IF(LEFT(_xlpm.spell, 7)="Uvi_Wig", "", ";"),
  ";" &amp; IF(C1559="", B1559, C1559) &amp; IF(M1559="", "", " ("&amp;M1559&amp;")") &amp; CHAR(10) &amp;
  _xlpm.vanillaPrefix &amp; "Keyword = Uvi_Wig_Distr_KYWD|" &amp; B1559 &amp; CHAR(10) &amp;
  _xlpm.vanillaPrefix &amp; "Spell = " &amp; _xlpm.spell &amp; "|" &amp; B1559
  )
)</f>
        <v>;Thjollod
;Keyword = Uvi_Wig_Distr_KYWD|DA05Hunter12_04Archer_Thjollod
;Spell = No Spell for Hairstyle|DA05Hunter12_04Archer_Thjollod</v>
      </c>
    </row>
    <row r="1560" ht="12.75" customHeight="1">
      <c r="A1560" s="5" t="s">
        <v>5367</v>
      </c>
      <c r="B1560" s="5" t="s">
        <v>5368</v>
      </c>
      <c r="C1560" s="5" t="s">
        <v>5369</v>
      </c>
      <c r="D1560" s="5" t="s">
        <v>16</v>
      </c>
      <c r="E1560" s="5" t="s">
        <v>233</v>
      </c>
      <c r="F1560" s="5" t="s">
        <v>235</v>
      </c>
      <c r="G1560" s="14" t="str">
        <f t="array" ref="G1560">IF(B1560="", "",
  LET(_xlpm.spell, IFERROR(IF(F1560="", "", INDEX(_xlws.FILTER(Hairstyles!$F:$F, ISNUMBER(SEARCH(F1560, Hairstyles!$B:$B))), 1)), "No Spell for Hairstyle"),
  _xlpm.vanillaPrefix, IF(LEFT(_xlpm.spell, 7)="Uvi_Wig", "", ";"),
  ";" &amp; IF(C1560="", B1560, C1560) &amp; IF(M1560="", "", " ("&amp;M1560&amp;")") &amp; CHAR(10) &amp;
  _xlpm.vanillaPrefix &amp; "Keyword = Uvi_Wig_Distr_KYWD|" &amp; B1560 &amp; CHAR(10) &amp;
  _xlpm.vanillaPrefix &amp; "Spell = " &amp; _xlpm.spell &amp; "|" &amp; B1560
  )
)</f>
        <v>;Thomas
;Keyword = Uvi_Wig_Distr_KYWD|dunBleakFallsCorpseBretonThomas
;Spell = No Spell for Hairstyle|dunBleakFallsCorpseBretonThomas</v>
      </c>
    </row>
    <row r="1561" ht="12.75" customHeight="1">
      <c r="A1561" s="5" t="s">
        <v>5370</v>
      </c>
      <c r="B1561" s="5" t="s">
        <v>5371</v>
      </c>
      <c r="C1561" s="5" t="s">
        <v>5372</v>
      </c>
      <c r="D1561" s="5" t="s">
        <v>38</v>
      </c>
      <c r="E1561" s="5" t="s">
        <v>233</v>
      </c>
      <c r="F1561" s="5" t="s">
        <v>215</v>
      </c>
      <c r="G1561" s="14" t="str">
        <f t="array" ref="G1561">IF(B1561="", "",
  LET(_xlpm.spell, IFERROR(IF(F1561="", "", INDEX(_xlws.FILTER(Hairstyles!$F:$F, ISNUMBER(SEARCH(F1561, Hairstyles!$B:$B))), 1)), "No Spell for Hairstyle"),
  _xlpm.vanillaPrefix, IF(LEFT(_xlpm.spell, 7)="Uvi_Wig", "", ";"),
  ";" &amp; IF(C1561="", B1561, C1561) &amp; IF(M1561="", "", " ("&amp;M1561&amp;")") &amp; CHAR(10) &amp;
  _xlpm.vanillaPrefix &amp; "Keyword = Uvi_Wig_Distr_KYWD|" &amp; B1561 &amp; CHAR(10) &amp;
  _xlpm.vanillaPrefix &amp; "Spell = " &amp; _xlpm.spell &amp; "|" &amp; B1561
  )
)</f>
        <v>;Thonar Silver-Blood
;Keyword = Uvi_Wig_Distr_KYWD|Thonar
;Spell = No Spell for Hairstyle|Thonar</v>
      </c>
    </row>
    <row r="1562" ht="12.75" customHeight="1">
      <c r="A1562" s="5" t="s">
        <v>5373</v>
      </c>
      <c r="B1562" s="5" t="s">
        <v>5374</v>
      </c>
      <c r="C1562" s="5" t="s">
        <v>5375</v>
      </c>
      <c r="D1562" s="5" t="s">
        <v>38</v>
      </c>
      <c r="E1562" s="5" t="s">
        <v>233</v>
      </c>
      <c r="F1562" s="5" t="s">
        <v>218</v>
      </c>
      <c r="G1562" s="14" t="str">
        <f t="array" ref="G1562">IF(B1562="", "",
  LET(_xlpm.spell, IFERROR(IF(F1562="", "", INDEX(_xlws.FILTER(Hairstyles!$F:$F, ISNUMBER(SEARCH(F1562, Hairstyles!$B:$B))), 1)), "No Spell for Hairstyle"),
  _xlpm.vanillaPrefix, IF(LEFT(_xlpm.spell, 7)="Uvi_Wig", "", ";"),
  ";" &amp; IF(C1562="", B1562, C1562) &amp; IF(M1562="", "", " ("&amp;M1562&amp;")") &amp; CHAR(10) &amp;
  _xlpm.vanillaPrefix &amp; "Keyword = Uvi_Wig_Distr_KYWD|" &amp; B1562 &amp; CHAR(10) &amp;
  _xlpm.vanillaPrefix &amp; "Spell = " &amp; _xlpm.spell &amp; "|" &amp; B1562
  )
)</f>
        <v>;Thongvor Silver-Blood
;Keyword = Uvi_Wig_Distr_KYWD|Thongvor
;Spell = No Spell for Hairstyle|Thongvor</v>
      </c>
    </row>
    <row r="1563" ht="12.75" customHeight="1">
      <c r="A1563" s="5" t="s">
        <v>5376</v>
      </c>
      <c r="B1563" s="5" t="s">
        <v>5377</v>
      </c>
      <c r="C1563" s="5" t="s">
        <v>5377</v>
      </c>
      <c r="D1563" s="5" t="s">
        <v>38</v>
      </c>
      <c r="E1563" s="5" t="s">
        <v>233</v>
      </c>
      <c r="F1563" s="5" t="s">
        <v>1709</v>
      </c>
      <c r="G1563" s="14" t="str">
        <f t="array" ref="G1563">IF(B1563="", "",
  LET(_xlpm.spell, IFERROR(IF(F1563="", "", INDEX(_xlws.FILTER(Hairstyles!$F:$F, ISNUMBER(SEARCH(F1563, Hairstyles!$B:$B))), 1)), "No Spell for Hairstyle"),
  _xlpm.vanillaPrefix, IF(LEFT(_xlpm.spell, 7)="Uvi_Wig", "", ";"),
  ";" &amp; IF(C1563="", B1563, C1563) &amp; IF(M1563="", "", " ("&amp;M1563&amp;")") &amp; CHAR(10) &amp;
  _xlpm.vanillaPrefix &amp; "Keyword = Uvi_Wig_Distr_KYWD|" &amp; B1563 &amp; CHAR(10) &amp;
  _xlpm.vanillaPrefix &amp; "Spell = " &amp; _xlpm.spell &amp; "|" &amp; B1563
  )
)</f>
        <v>;Thonjolf
;Keyword = Uvi_Wig_Distr_KYWD|Thonjolf
;Spell = No Spell for Hairstyle|Thonjolf</v>
      </c>
    </row>
    <row r="1564" ht="12.75" customHeight="1">
      <c r="A1564" s="5" t="s">
        <v>5378</v>
      </c>
      <c r="B1564" s="5" t="s">
        <v>5379</v>
      </c>
      <c r="C1564" s="5" t="s">
        <v>5379</v>
      </c>
      <c r="D1564" s="5" t="s">
        <v>38</v>
      </c>
      <c r="E1564" s="5" t="s">
        <v>233</v>
      </c>
      <c r="F1564" s="5" t="s">
        <v>990</v>
      </c>
      <c r="G1564" s="14" t="str">
        <f t="array" ref="G1564">IF(B1564="", "",
  LET(_xlpm.spell, IFERROR(IF(F1564="", "", INDEX(_xlws.FILTER(Hairstyles!$F:$F, ISNUMBER(SEARCH(F1564, Hairstyles!$B:$B))), 1)), "No Spell for Hairstyle"),
  _xlpm.vanillaPrefix, IF(LEFT(_xlpm.spell, 7)="Uvi_Wig", "", ";"),
  ";" &amp; IF(C1564="", B1564, C1564) &amp; IF(M1564="", "", " ("&amp;M1564&amp;")") &amp; CHAR(10) &amp;
  _xlpm.vanillaPrefix &amp; "Keyword = Uvi_Wig_Distr_KYWD|" &amp; B1564 &amp; CHAR(10) &amp;
  _xlpm.vanillaPrefix &amp; "Spell = " &amp; _xlpm.spell &amp; "|" &amp; B1564
  )
)</f>
        <v>;Thonnir
;Keyword = Uvi_Wig_Distr_KYWD|Thonnir
;Spell = No Spell for Hairstyle|Thonnir</v>
      </c>
    </row>
    <row r="1565" ht="12.75" customHeight="1">
      <c r="A1565" s="5" t="s">
        <v>5380</v>
      </c>
      <c r="B1565" s="5" t="s">
        <v>5381</v>
      </c>
      <c r="C1565" s="5" t="s">
        <v>5382</v>
      </c>
      <c r="D1565" s="5" t="s">
        <v>38</v>
      </c>
      <c r="E1565" s="5" t="s">
        <v>233</v>
      </c>
      <c r="F1565" s="5" t="s">
        <v>2694</v>
      </c>
      <c r="G1565" s="14" t="str">
        <f t="array" ref="G1565">IF(B1565="", "",
  LET(_xlpm.spell, IFERROR(IF(F1565="", "", INDEX(_xlws.FILTER(Hairstyles!$F:$F, ISNUMBER(SEARCH(F1565, Hairstyles!$B:$B))), 1)), "No Spell for Hairstyle"),
  _xlpm.vanillaPrefix, IF(LEFT(_xlpm.spell, 7)="Uvi_Wig", "", ";"),
  ";" &amp; IF(C1565="", B1565, C1565) &amp; IF(M1565="", "", " ("&amp;M1565&amp;")") &amp; CHAR(10) &amp;
  _xlpm.vanillaPrefix &amp; "Keyword = Uvi_Wig_Distr_KYWD|" &amp; B1565 &amp; CHAR(10) &amp;
  _xlpm.vanillaPrefix &amp; "Spell = " &amp; _xlpm.spell &amp; "|" &amp; B1565
  )
)</f>
        <v>;Thorald Gray-Mane
;Keyword = Uvi_Wig_Distr_KYWD|ThoraldGrayMane
;Spell = No Spell for Hairstyle|ThoraldGrayMane</v>
      </c>
    </row>
    <row r="1566" ht="12.75" customHeight="1">
      <c r="A1566" s="15" t="s">
        <v>5383</v>
      </c>
      <c r="B1566" s="5" t="s">
        <v>5384</v>
      </c>
      <c r="C1566" s="5" t="s">
        <v>5384</v>
      </c>
      <c r="D1566" s="5" t="s">
        <v>38</v>
      </c>
      <c r="E1566" s="5" t="s">
        <v>233</v>
      </c>
      <c r="F1566" s="5" t="s">
        <v>1622</v>
      </c>
      <c r="G1566" s="14" t="str">
        <f t="array" ref="G1566">IF(B1566="", "",
  LET(_xlpm.spell, IFERROR(IF(F1566="", "", INDEX(_xlws.FILTER(Hairstyles!$F:$F, ISNUMBER(SEARCH(F1566, Hairstyles!$B:$B))), 1)), "No Spell for Hairstyle"),
  _xlpm.vanillaPrefix, IF(LEFT(_xlpm.spell, 7)="Uvi_Wig", "", ";"),
  ";" &amp; IF(C1566="", B1566, C1566) &amp; IF(M1566="", "", " ("&amp;M1566&amp;")") &amp; CHAR(10) &amp;
  _xlpm.vanillaPrefix &amp; "Keyword = Uvi_Wig_Distr_KYWD|" &amp; B1566 &amp; CHAR(10) &amp;
  _xlpm.vanillaPrefix &amp; "Spell = " &amp; _xlpm.spell &amp; "|" &amp; B1566
  )
)</f>
        <v>;Thorek
;Keyword = Uvi_Wig_Distr_KYWD|Thorek
;Spell = No Spell for Hairstyle|Thorek</v>
      </c>
    </row>
    <row r="1567" ht="12.75" customHeight="1">
      <c r="A1567" s="5" t="s">
        <v>5385</v>
      </c>
      <c r="B1567" s="5" t="s">
        <v>5386</v>
      </c>
      <c r="C1567" s="5" t="s">
        <v>5384</v>
      </c>
      <c r="D1567" s="5" t="s">
        <v>38</v>
      </c>
      <c r="E1567" s="5" t="s">
        <v>233</v>
      </c>
      <c r="F1567" s="5" t="s">
        <v>1622</v>
      </c>
      <c r="G1567" s="14" t="str">
        <f t="array" ref="G1567">IF(B1567="", "",
  LET(_xlpm.spell, IFERROR(IF(F1567="", "", INDEX(_xlws.FILTER(Hairstyles!$F:$F, ISNUMBER(SEARCH(F1567, Hairstyles!$B:$B))), 1)), "No Spell for Hairstyle"),
  _xlpm.vanillaPrefix, IF(LEFT(_xlpm.spell, 7)="Uvi_Wig", "", ";"),
  ";" &amp; IF(C1567="", B1567, C1567) &amp; IF(M1567="", "", " ("&amp;M1567&amp;")") &amp; CHAR(10) &amp;
  _xlpm.vanillaPrefix &amp; "Keyword = Uvi_Wig_Distr_KYWD|" &amp; B1567 &amp; CHAR(10) &amp;
  _xlpm.vanillaPrefix &amp; "Spell = " &amp; _xlpm.spell &amp; "|" &amp; B1567
  )
)</f>
        <v>;Thorek
;Keyword = Uvi_Wig_Distr_KYWD|Thorek_Ambush
;Spell = No Spell for Hairstyle|Thorek_Ambush</v>
      </c>
    </row>
    <row r="1568" ht="12.75" customHeight="1">
      <c r="A1568" s="5" t="s">
        <v>5387</v>
      </c>
      <c r="B1568" s="5" t="s">
        <v>5388</v>
      </c>
      <c r="C1568" s="5" t="s">
        <v>5388</v>
      </c>
      <c r="D1568" s="5" t="s">
        <v>38</v>
      </c>
      <c r="E1568" s="5" t="s">
        <v>233</v>
      </c>
      <c r="F1568" s="5" t="s">
        <v>235</v>
      </c>
      <c r="G1568" s="14" t="str">
        <f t="array" ref="G1568">IF(B1568="", "",
  LET(_xlpm.spell, IFERROR(IF(F1568="", "", INDEX(_xlws.FILTER(Hairstyles!$F:$F, ISNUMBER(SEARCH(F1568, Hairstyles!$B:$B))), 1)), "No Spell for Hairstyle"),
  _xlpm.vanillaPrefix, IF(LEFT(_xlpm.spell, 7)="Uvi_Wig", "", ";"),
  ";" &amp; IF(C1568="", B1568, C1568) &amp; IF(M1568="", "", " ("&amp;M1568&amp;")") &amp; CHAR(10) &amp;
  _xlpm.vanillaPrefix &amp; "Keyword = Uvi_Wig_Distr_KYWD|" &amp; B1568 &amp; CHAR(10) &amp;
  _xlpm.vanillaPrefix &amp; "Spell = " &amp; _xlpm.spell &amp; "|" &amp; B1568
  )
)</f>
        <v>;Thorgar
;Keyword = Uvi_Wig_Distr_KYWD|Thorgar
;Spell = No Spell for Hairstyle|Thorgar</v>
      </c>
    </row>
    <row r="1569" ht="12.75" customHeight="1">
      <c r="A1569" s="15" t="s">
        <v>5389</v>
      </c>
      <c r="B1569" s="5" t="s">
        <v>5390</v>
      </c>
      <c r="C1569" s="5" t="s">
        <v>5390</v>
      </c>
      <c r="D1569" s="5" t="s">
        <v>38</v>
      </c>
      <c r="E1569" s="5" t="s">
        <v>233</v>
      </c>
      <c r="F1569" s="5" t="s">
        <v>521</v>
      </c>
      <c r="G1569" s="14" t="str">
        <f t="array" ref="G1569">IF(B1569="", "",
  LET(_xlpm.spell, IFERROR(IF(F1569="", "", INDEX(_xlws.FILTER(Hairstyles!$F:$F, ISNUMBER(SEARCH(F1569, Hairstyles!$B:$B))), 1)), "No Spell for Hairstyle"),
  _xlpm.vanillaPrefix, IF(LEFT(_xlpm.spell, 7)="Uvi_Wig", "", ";"),
  ";" &amp; IF(C1569="", B1569, C1569) &amp; IF(M1569="", "", " ("&amp;M1569&amp;")") &amp; CHAR(10) &amp;
  _xlpm.vanillaPrefix &amp; "Keyword = Uvi_Wig_Distr_KYWD|" &amp; B1569 &amp; CHAR(10) &amp;
  _xlpm.vanillaPrefix &amp; "Spell = " &amp; _xlpm.spell &amp; "|" &amp; B1569
  )
)</f>
        <v>;Thoring
;Keyword = Uvi_Wig_Distr_KYWD|Thoring
;Spell = No Spell for Hairstyle|Thoring</v>
      </c>
    </row>
    <row r="1570" ht="12.75" customHeight="1">
      <c r="A1570" s="5" t="s">
        <v>5391</v>
      </c>
      <c r="B1570" s="5" t="s">
        <v>5392</v>
      </c>
      <c r="C1570" s="5" t="s">
        <v>5393</v>
      </c>
      <c r="D1570" s="5" t="s">
        <v>38</v>
      </c>
      <c r="E1570" s="5" t="s">
        <v>233</v>
      </c>
      <c r="F1570" s="5" t="s">
        <v>695</v>
      </c>
      <c r="G1570" s="14" t="str">
        <f t="array" ref="G1570">IF(B1570="", "",
  LET(_xlpm.spell, IFERROR(IF(F1570="", "", INDEX(_xlws.FILTER(Hairstyles!$F:$F, ISNUMBER(SEARCH(F1570, Hairstyles!$B:$B))), 1)), "No Spell for Hairstyle"),
  _xlpm.vanillaPrefix, IF(LEFT(_xlpm.spell, 7)="Uvi_Wig", "", ";"),
  ";" &amp; IF(C1570="", B1570, C1570) &amp; IF(M1570="", "", " ("&amp;M1570&amp;")") &amp; CHAR(10) &amp;
  _xlpm.vanillaPrefix &amp; "Keyword = Uvi_Wig_Distr_KYWD|" &amp; B1570 &amp; CHAR(10) &amp;
  _xlpm.vanillaPrefix &amp; "Spell = " &amp; _xlpm.spell &amp; "|" &amp; B1570
  )
)</f>
        <v>;Thorygg Sun-Killer
;Keyword = Uvi_Wig_Distr_KYWD|CWFieldCOSonsFalkreath
;Spell = No Spell for Hairstyle|CWFieldCOSonsFalkreath</v>
      </c>
    </row>
    <row r="1571" ht="12.75" customHeight="1">
      <c r="A1571" s="15" t="s">
        <v>5394</v>
      </c>
      <c r="B1571" s="5" t="s">
        <v>5395</v>
      </c>
      <c r="C1571" s="5" t="s">
        <v>5396</v>
      </c>
      <c r="D1571" s="5" t="s">
        <v>38</v>
      </c>
      <c r="E1571" s="5" t="s">
        <v>41</v>
      </c>
      <c r="F1571" s="5" t="s">
        <v>42</v>
      </c>
      <c r="G1571" s="14" t="str">
        <f t="array" ref="G1571">IF(B1571="", "",
  LET(_xlpm.spell, IFERROR(IF(F1571="", "", INDEX(_xlws.FILTER(Hairstyles!$F:$F, ISNUMBER(SEARCH(F1571, Hairstyles!$B:$B))), 1)), "No Spell for Hairstyle"),
  _xlpm.vanillaPrefix, IF(LEFT(_xlpm.spell, 7)="Uvi_Wig", "", ";"),
  ";" &amp; IF(C1571="", B1571, C1571) &amp; IF(M1571="", "", " ("&amp;M1571&amp;")") &amp; CHAR(10) &amp;
  _xlpm.vanillaPrefix &amp; "Keyword = Uvi_Wig_Distr_KYWD|" &amp; B1571 &amp; CHAR(10) &amp;
  _xlpm.vanillaPrefix &amp; "Spell = " &amp; _xlpm.spell &amp; "|" &amp; B1571
  )
)</f>
        <v>;Threki the Innocent
;Keyword = Uvi_Wig_Distr_KYWD|Threki
;Spell = No Spell for Hairstyle|Threki</v>
      </c>
    </row>
    <row r="1572" ht="12.75" customHeight="1">
      <c r="A1572" s="5" t="s">
        <v>5397</v>
      </c>
      <c r="B1572" s="5" t="s">
        <v>5398</v>
      </c>
      <c r="C1572" s="5" t="s">
        <v>5398</v>
      </c>
      <c r="D1572" s="5" t="s">
        <v>38</v>
      </c>
      <c r="E1572" s="5" t="s">
        <v>233</v>
      </c>
      <c r="F1572" s="5" t="s">
        <v>234</v>
      </c>
      <c r="G1572" s="14" t="str">
        <f t="array" ref="G1572">IF(B1572="", "",
  LET(_xlpm.spell, IFERROR(IF(F1572="", "", INDEX(_xlws.FILTER(Hairstyles!$F:$F, ISNUMBER(SEARCH(F1572, Hairstyles!$B:$B))), 1)), "No Spell for Hairstyle"),
  _xlpm.vanillaPrefix, IF(LEFT(_xlpm.spell, 7)="Uvi_Wig", "", ";"),
  ";" &amp; IF(C1572="", B1572, C1572) &amp; IF(M1572="", "", " ("&amp;M1572&amp;")") &amp; CHAR(10) &amp;
  _xlpm.vanillaPrefix &amp; "Keyword = Uvi_Wig_Distr_KYWD|" &amp; B1572 &amp; CHAR(10) &amp;
  _xlpm.vanillaPrefix &amp; "Spell = " &amp; _xlpm.spell &amp; "|" &amp; B1572
  )
)</f>
        <v>;Thrynn
;Keyword = Uvi_Wig_Distr_KYWD|Thrynn
;Spell = No Spell for Hairstyle|Thrynn</v>
      </c>
    </row>
    <row r="1573" ht="12.75" customHeight="1">
      <c r="A1573" s="5" t="s">
        <v>5399</v>
      </c>
      <c r="B1573" s="5" t="s">
        <v>5400</v>
      </c>
      <c r="C1573" s="5" t="s">
        <v>5401</v>
      </c>
      <c r="D1573" s="5" t="s">
        <v>38</v>
      </c>
      <c r="E1573" s="5" t="s">
        <v>41</v>
      </c>
      <c r="F1573" s="5" t="s">
        <v>862</v>
      </c>
      <c r="G1573" s="14" t="str">
        <f t="array" ref="G1573">IF(B1573="", "",
  LET(_xlpm.spell, IFERROR(IF(F1573="", "", INDEX(_xlws.FILTER(Hairstyles!$F:$F, ISNUMBER(SEARCH(F1573, Hairstyles!$B:$B))), 1)), "No Spell for Hairstyle"),
  _xlpm.vanillaPrefix, IF(LEFT(_xlpm.spell, 7)="Uvi_Wig", "", ";"),
  ";" &amp; IF(C1573="", B1573, C1573) &amp; IF(M1573="", "", " ("&amp;M1573&amp;")") &amp; CHAR(10) &amp;
  _xlpm.vanillaPrefix &amp; "Keyword = Uvi_Wig_Distr_KYWD|" &amp; B1573 &amp; CHAR(10) &amp;
  _xlpm.vanillaPrefix &amp; "Spell = " &amp; _xlpm.spell &amp; "|" &amp; B1573
  )
)</f>
        <v>;Tilde
;Keyword = Uvi_Wig_Distr_KYWD|DLC1DawnguardExterior01
;Spell = No Spell for Hairstyle|DLC1DawnguardExterior01</v>
      </c>
    </row>
    <row r="1574" ht="12.75" customHeight="1">
      <c r="A1574" s="15" t="s">
        <v>5402</v>
      </c>
      <c r="B1574" s="5" t="s">
        <v>5403</v>
      </c>
      <c r="C1574" s="5" t="s">
        <v>5404</v>
      </c>
      <c r="D1574" s="5" t="s">
        <v>45</v>
      </c>
      <c r="E1574" s="5" t="s">
        <v>41</v>
      </c>
      <c r="F1574" s="5" t="s">
        <v>1854</v>
      </c>
      <c r="G1574" s="14" t="str">
        <f t="array" ref="G1574">IF(B1574="", "",
  LET(_xlpm.spell, IFERROR(IF(F1574="", "", INDEX(_xlws.FILTER(Hairstyles!$F:$F, ISNUMBER(SEARCH(F1574, Hairstyles!$B:$B))), 1)), "No Spell for Hairstyle"),
  _xlpm.vanillaPrefix, IF(LEFT(_xlpm.spell, 7)="Uvi_Wig", "", ";"),
  ";" &amp; IF(C1574="", B1574, C1574) &amp; IF(M1574="", "", " ("&amp;M1574&amp;")") &amp; CHAR(10) &amp;
  _xlpm.vanillaPrefix &amp; "Keyword = Uvi_Wig_Distr_KYWD|" &amp; B1574 &amp; CHAR(10) &amp;
  _xlpm.vanillaPrefix &amp; "Spell = " &amp; _xlpm.spell &amp; "|" &amp; B1574
  )
)</f>
        <v>;Tilisu Severin
;Keyword = Uvi_Wig_Distr_KYWD|DLC2RRTilisuSeverin
;Spell = No Spell for Hairstyle|DLC2RRTilisuSeverin</v>
      </c>
    </row>
    <row r="1575" ht="12.75" customHeight="1">
      <c r="A1575" s="5" t="s">
        <v>5405</v>
      </c>
      <c r="B1575" s="5" t="s">
        <v>5406</v>
      </c>
      <c r="C1575" s="5" t="s">
        <v>5407</v>
      </c>
      <c r="D1575" s="5" t="s">
        <v>51</v>
      </c>
      <c r="E1575" s="5" t="s">
        <v>41</v>
      </c>
      <c r="F1575" s="5" t="s">
        <v>1557</v>
      </c>
      <c r="G1575" s="14" t="str">
        <f t="array" ref="G1575">IF(B1575="", "",
  LET(_xlpm.spell, IFERROR(IF(F1575="", "", INDEX(_xlws.FILTER(Hairstyles!$F:$F, ISNUMBER(SEARCH(F1575, Hairstyles!$B:$B))), 1)), "No Spell for Hairstyle"),
  _xlpm.vanillaPrefix, IF(LEFT(_xlpm.spell, 7)="Uvi_Wig", "", ";"),
  ";" &amp; IF(C1575="", B1575, C1575) &amp; IF(M1575="", "", " ("&amp;M1575&amp;")") &amp; CHAR(10) &amp;
  _xlpm.vanillaPrefix &amp; "Keyword = Uvi_Wig_Distr_KYWD|" &amp; B1575 &amp; CHAR(10) &amp;
  _xlpm.vanillaPrefix &amp; "Spell = " &amp; _xlpm.spell &amp; "|" &amp; B1575
  )
)</f>
        <v>;Tilma the Haggard
;Keyword = Uvi_Wig_Distr_KYWD|Tilma
;Spell = No Spell for Hairstyle|Tilma</v>
      </c>
    </row>
    <row r="1576" ht="12.75" customHeight="1">
      <c r="A1576" s="5" t="s">
        <v>5408</v>
      </c>
      <c r="B1576" s="5" t="s">
        <v>5409</v>
      </c>
      <c r="C1576" s="5" t="s">
        <v>5410</v>
      </c>
      <c r="D1576" s="5" t="s">
        <v>45</v>
      </c>
      <c r="E1576" s="5" t="s">
        <v>233</v>
      </c>
      <c r="F1576" s="5" t="s">
        <v>2489</v>
      </c>
      <c r="G1576" s="14" t="str">
        <f t="array" ref="G1576">IF(B1576="", "",
  LET(_xlpm.spell, IFERROR(IF(F1576="", "", INDEX(_xlws.FILTER(Hairstyles!$F:$F, ISNUMBER(SEARCH(F1576, Hairstyles!$B:$B))), 1)), "No Spell for Hairstyle"),
  _xlpm.vanillaPrefix, IF(LEFT(_xlpm.spell, 7)="Uvi_Wig", "", ";"),
  ";" &amp; IF(C1576="", B1576, C1576) &amp; IF(M1576="", "", " ("&amp;M1576&amp;")") &amp; CHAR(10) &amp;
  _xlpm.vanillaPrefix &amp; "Keyword = Uvi_Wig_Distr_KYWD|" &amp; B1576 &amp; CHAR(10) &amp;
  _xlpm.vanillaPrefix &amp; "Spell = " &amp; _xlpm.spell &amp; "|" &amp; B1576
  )
)</f>
        <v>;Tolenos Omoren
;Keyword = Uvi_Wig_Distr_KYWD|DLC2RRMinerTolenos
;Spell = No Spell for Hairstyle|DLC2RRMinerTolenos</v>
      </c>
    </row>
    <row r="1577" ht="12.75" customHeight="1">
      <c r="A1577" s="5" t="s">
        <v>5411</v>
      </c>
      <c r="B1577" s="5" t="s">
        <v>5412</v>
      </c>
      <c r="C1577" s="5" t="s">
        <v>5412</v>
      </c>
      <c r="D1577" s="5" t="s">
        <v>51</v>
      </c>
      <c r="E1577" s="5" t="s">
        <v>233</v>
      </c>
      <c r="F1577" s="5" t="s">
        <v>762</v>
      </c>
      <c r="G1577" s="14" t="str">
        <f t="array" ref="G1577">IF(B1577="", "",
  LET(_xlpm.spell, IFERROR(IF(F1577="", "", INDEX(_xlws.FILTER(Hairstyles!$F:$F, ISNUMBER(SEARCH(F1577, Hairstyles!$B:$B))), 1)), "No Spell for Hairstyle"),
  _xlpm.vanillaPrefix, IF(LEFT(_xlpm.spell, 7)="Uvi_Wig", "", ";"),
  ";" &amp; IF(C1577="", B1577, C1577) &amp; IF(M1577="", "", " ("&amp;M1577&amp;")") &amp; CHAR(10) &amp;
  _xlpm.vanillaPrefix &amp; "Keyword = Uvi_Wig_Distr_KYWD|" &amp; B1577 &amp; CHAR(10) &amp;
  _xlpm.vanillaPrefix &amp; "Spell = " &amp; _xlpm.spell &amp; "|" &amp; B1577
  )
)</f>
        <v>;Tolfdir
;Keyword = Uvi_Wig_Distr_KYWD|Tolfdir
;Spell = No Spell for Hairstyle|Tolfdir</v>
      </c>
    </row>
    <row r="1578" ht="12.75" customHeight="1">
      <c r="A1578" s="5" t="s">
        <v>5413</v>
      </c>
      <c r="B1578" s="5" t="s">
        <v>5414</v>
      </c>
      <c r="C1578" s="5" t="s">
        <v>5414</v>
      </c>
      <c r="D1578" s="5" t="s">
        <v>83</v>
      </c>
      <c r="E1578" s="5" t="s">
        <v>41</v>
      </c>
      <c r="F1578" s="5" t="s">
        <v>85</v>
      </c>
      <c r="G1578" s="14" t="str">
        <f t="array" ref="G1578">IF(B1578="", "",
  LET(_xlpm.spell, IFERROR(IF(F1578="", "", INDEX(_xlws.FILTER(Hairstyles!$F:$F, ISNUMBER(SEARCH(F1578, Hairstyles!$B:$B))), 1)), "No Spell for Hairstyle"),
  _xlpm.vanillaPrefix, IF(LEFT(_xlpm.spell, 7)="Uvi_Wig", "", ";"),
  ";" &amp; IF(C1578="", B1578, C1578) &amp; IF(M1578="", "", " ("&amp;M1578&amp;")") &amp; CHAR(10) &amp;
  _xlpm.vanillaPrefix &amp; "Keyword = Uvi_Wig_Distr_KYWD|" &amp; B1578 &amp; CHAR(10) &amp;
  _xlpm.vanillaPrefix &amp; "Spell = " &amp; _xlpm.spell &amp; "|" &amp; B1578
  )
)</f>
        <v>;Tonilia
;Keyword = Uvi_Wig_Distr_KYWD|Tonilia
;Spell = No Spell for Hairstyle|Tonilia</v>
      </c>
    </row>
    <row r="1579" ht="12.75" customHeight="1">
      <c r="A1579" s="5" t="s">
        <v>5415</v>
      </c>
      <c r="B1579" s="5" t="s">
        <v>5416</v>
      </c>
      <c r="C1579" s="5" t="s">
        <v>5417</v>
      </c>
      <c r="D1579" s="5" t="s">
        <v>38</v>
      </c>
      <c r="E1579" s="5" t="s">
        <v>233</v>
      </c>
      <c r="F1579" s="5" t="s">
        <v>215</v>
      </c>
      <c r="G1579" s="14" t="str">
        <f t="array" ref="G1579">IF(B1579="", "",
  LET(_xlpm.spell, IFERROR(IF(F1579="", "", INDEX(_xlws.FILTER(Hairstyles!$F:$F, ISNUMBER(SEARCH(F1579, Hairstyles!$B:$B))), 1)), "No Spell for Hairstyle"),
  _xlpm.vanillaPrefix, IF(LEFT(_xlpm.spell, 7)="Uvi_Wig", "", ";"),
  ";" &amp; IF(C1579="", B1579, C1579) &amp; IF(M1579="", "", " ("&amp;M1579&amp;")") &amp; CHAR(10) &amp;
  _xlpm.vanillaPrefix &amp; "Keyword = Uvi_Wig_Distr_KYWD|" &amp; B1579 &amp; CHAR(10) &amp;
  _xlpm.vanillaPrefix &amp; "Spell = " &amp; _xlpm.spell &amp; "|" &amp; B1579
  )
)</f>
        <v>;Torbjorn Shatter-Shield
;Keyword = Uvi_Wig_Distr_KYWD|Torbjorn
;Spell = No Spell for Hairstyle|Torbjorn</v>
      </c>
    </row>
    <row r="1580" ht="12.75" customHeight="1">
      <c r="A1580" s="15" t="s">
        <v>5418</v>
      </c>
      <c r="B1580" s="5" t="s">
        <v>5419</v>
      </c>
      <c r="C1580" s="5" t="s">
        <v>5420</v>
      </c>
      <c r="D1580" s="5" t="s">
        <v>38</v>
      </c>
      <c r="E1580" s="5" t="s">
        <v>233</v>
      </c>
      <c r="F1580" s="5" t="s">
        <v>1088</v>
      </c>
      <c r="G1580" s="14" t="str">
        <f t="array" ref="G1580">IF(B1580="", "",
  LET(_xlpm.spell, IFERROR(IF(F1580="", "", INDEX(_xlws.FILTER(Hairstyles!$F:$F, ISNUMBER(SEARCH(F1580, Hairstyles!$B:$B))), 1)), "No Spell for Hairstyle"),
  _xlpm.vanillaPrefix, IF(LEFT(_xlpm.spell, 7)="Uvi_Wig", "", ";"),
  ";" &amp; IF(C1580="", B1580, C1580) &amp; IF(M1580="", "", " ("&amp;M1580&amp;")") &amp; CHAR(10) &amp;
  _xlpm.vanillaPrefix &amp; "Keyword = Uvi_Wig_Distr_KYWD|" &amp; B1580 &amp; CHAR(10) &amp;
  _xlpm.vanillaPrefix &amp; "Spell = " &amp; _xlpm.spell &amp; "|" &amp; B1580
  )
)</f>
        <v>;Torkild
;Keyword = Uvi_Wig_Distr_KYWD|DLC2WB01Torkild
;Spell = No Spell for Hairstyle|DLC2WB01Torkild</v>
      </c>
    </row>
    <row r="1581" ht="12.75" customHeight="1">
      <c r="A1581" s="5" t="s">
        <v>5421</v>
      </c>
      <c r="B1581" s="5" t="s">
        <v>5422</v>
      </c>
      <c r="C1581" s="5" t="s">
        <v>5423</v>
      </c>
      <c r="D1581" s="5" t="s">
        <v>38</v>
      </c>
      <c r="E1581" s="5" t="s">
        <v>233</v>
      </c>
      <c r="F1581" s="5" t="s">
        <v>234</v>
      </c>
      <c r="G1581" s="14" t="str">
        <f t="array" ref="G1581">IF(B1581="", "",
  LET(_xlpm.spell, IFERROR(IF(F1581="", "", INDEX(_xlws.FILTER(Hairstyles!$F:$F, ISNUMBER(SEARCH(F1581, Hairstyles!$B:$B))), 1)), "No Spell for Hairstyle"),
  _xlpm.vanillaPrefix, IF(LEFT(_xlpm.spell, 7)="Uvi_Wig", "", ";"),
  ";" &amp; IF(C1581="", B1581, C1581) &amp; IF(M1581="", "", " ("&amp;M1581&amp;")") &amp; CHAR(10) &amp;
  _xlpm.vanillaPrefix &amp; "Keyword = Uvi_Wig_Distr_KYWD|" &amp; B1581 &amp; CHAR(10) &amp;
  _xlpm.vanillaPrefix &amp; "Spell = " &amp; _xlpm.spell &amp; "|" &amp; B1581
  )
)</f>
        <v>;Torkild the Fearsome
;Keyword = Uvi_Wig_Distr_KYWD|DA05Hunter08_03Melee_Torkild
;Spell = No Spell for Hairstyle|DA05Hunter08_03Melee_Torkild</v>
      </c>
    </row>
    <row r="1582" ht="12.75" customHeight="1">
      <c r="A1582" s="5" t="s">
        <v>5424</v>
      </c>
      <c r="B1582" s="5" t="s">
        <v>5425</v>
      </c>
      <c r="C1582" s="5" t="s">
        <v>5425</v>
      </c>
      <c r="D1582" s="5" t="s">
        <v>38</v>
      </c>
      <c r="E1582" s="5" t="s">
        <v>41</v>
      </c>
      <c r="F1582" s="5" t="s">
        <v>905</v>
      </c>
      <c r="G1582" s="14" t="str">
        <f t="array" ref="G1582">IF(B1582="", "",
  LET(_xlpm.spell, IFERROR(IF(F1582="", "", INDEX(_xlws.FILTER(Hairstyles!$F:$F, ISNUMBER(SEARCH(F1582, Hairstyles!$B:$B))), 1)), "No Spell for Hairstyle"),
  _xlpm.vanillaPrefix, IF(LEFT(_xlpm.spell, 7)="Uvi_Wig", "", ";"),
  ";" &amp; IF(C1582="", B1582, C1582) &amp; IF(M1582="", "", " ("&amp;M1582&amp;")") &amp; CHAR(10) &amp;
  _xlpm.vanillaPrefix &amp; "Keyword = Uvi_Wig_Distr_KYWD|" &amp; B1582 &amp; CHAR(10) &amp;
  _xlpm.vanillaPrefix &amp; "Spell = " &amp; _xlpm.spell &amp; "|" &amp; B1582
  )
)</f>
        <v>;Tormir
;Keyword = Uvi_Wig_Distr_KYWD|Tormir
;Spell = No Spell for Hairstyle|Tormir</v>
      </c>
    </row>
    <row r="1583" ht="12.75" customHeight="1">
      <c r="A1583" s="15" t="s">
        <v>5426</v>
      </c>
      <c r="B1583" s="5" t="s">
        <v>5427</v>
      </c>
      <c r="C1583" s="5" t="s">
        <v>5427</v>
      </c>
      <c r="D1583" s="5" t="s">
        <v>38</v>
      </c>
      <c r="E1583" s="5" t="s">
        <v>233</v>
      </c>
      <c r="F1583" s="5" t="s">
        <v>40</v>
      </c>
      <c r="G1583" s="14" t="str">
        <f t="array" ref="G1583">IF(B1583="", "",
  LET(_xlpm.spell, IFERROR(IF(F1583="", "", INDEX(_xlws.FILTER(Hairstyles!$F:$F, ISNUMBER(SEARCH(F1583, Hairstyles!$B:$B))), 1)), "No Spell for Hairstyle"),
  _xlpm.vanillaPrefix, IF(LEFT(_xlpm.spell, 7)="Uvi_Wig", "", ";"),
  ";" &amp; IF(C1583="", B1583, C1583) &amp; IF(M1583="", "", " ("&amp;M1583&amp;")") &amp; CHAR(10) &amp;
  _xlpm.vanillaPrefix &amp; "Keyword = Uvi_Wig_Distr_KYWD|" &amp; B1583 &amp; CHAR(10) &amp;
  _xlpm.vanillaPrefix &amp; "Spell = " &amp; _xlpm.spell &amp; "|" &amp; B1583
  )
)</f>
        <v>;Torolf
;Keyword = Uvi_Wig_Distr_KYWD|Torolf
;Spell = No Spell for Hairstyle|Torolf</v>
      </c>
    </row>
    <row r="1584" ht="12.75" customHeight="1">
      <c r="A1584" s="15" t="s">
        <v>5428</v>
      </c>
      <c r="B1584" s="5" t="s">
        <v>5429</v>
      </c>
      <c r="C1584" s="5" t="s">
        <v>5430</v>
      </c>
      <c r="D1584" s="5" t="s">
        <v>38</v>
      </c>
      <c r="E1584" s="5" t="s">
        <v>233</v>
      </c>
      <c r="F1584" s="5" t="s">
        <v>346</v>
      </c>
      <c r="G1584" s="14" t="str">
        <f t="array" ref="G1584">IF(B1584="", "",
  LET(_xlpm.spell, IFERROR(IF(F1584="", "", INDEX(_xlws.FILTER(Hairstyles!$F:$F, ISNUMBER(SEARCH(F1584, Hairstyles!$B:$B))), 1)), "No Spell for Hairstyle"),
  _xlpm.vanillaPrefix, IF(LEFT(_xlpm.spell, 7)="Uvi_Wig", "", ";"),
  ";" &amp; IF(C1584="", B1584, C1584) &amp; IF(M1584="", "", " ("&amp;M1584&amp;")") &amp; CHAR(10) &amp;
  _xlpm.vanillaPrefix &amp; "Keyword = Uvi_Wig_Distr_KYWD|" &amp; B1584 &amp; CHAR(10) &amp;
  _xlpm.vanillaPrefix &amp; "Spell = " &amp; _xlpm.spell &amp; "|" &amp; B1584
  )
)</f>
        <v>;Torsten Cruel-Sea
;Keyword = Uvi_Wig_Distr_KYWD|Torsten
;Spell = No Spell for Hairstyle|Torsten</v>
      </c>
    </row>
    <row r="1585" ht="12.75" customHeight="1">
      <c r="A1585" s="5" t="s">
        <v>5431</v>
      </c>
      <c r="B1585" s="5" t="s">
        <v>5432</v>
      </c>
      <c r="C1585" s="5" t="s">
        <v>5433</v>
      </c>
      <c r="D1585" s="5" t="s">
        <v>38</v>
      </c>
      <c r="E1585" s="5" t="s">
        <v>233</v>
      </c>
      <c r="F1585" s="5" t="s">
        <v>1906</v>
      </c>
      <c r="G1585" s="14" t="str">
        <f t="array" ref="G1585">IF(B1585="", "",
  LET(_xlpm.spell, IFERROR(IF(F1585="", "", INDEX(_xlws.FILTER(Hairstyles!$F:$F, ISNUMBER(SEARCH(F1585, Hairstyles!$B:$B))), 1)), "No Spell for Hairstyle"),
  _xlpm.vanillaPrefix, IF(LEFT(_xlpm.spell, 7)="Uvi_Wig", "", ";"),
  ";" &amp; IF(C1585="", B1585, C1585) &amp; IF(M1585="", "", " ("&amp;M1585&amp;")") &amp; CHAR(10) &amp;
  _xlpm.vanillaPrefix &amp; "Keyword = Uvi_Wig_Distr_KYWD|" &amp; B1585 &amp; CHAR(10) &amp;
  _xlpm.vanillaPrefix &amp; "Spell = " &amp; _xlpm.spell &amp; "|" &amp; B1585
  )
)</f>
        <v>;Torture Victim
;Keyword = Uvi_Wig_Distr_KYWD|DBTortureVictim1
;Spell = No Spell for Hairstyle|DBTortureVictim1</v>
      </c>
    </row>
    <row r="1586" ht="12.75" customHeight="1">
      <c r="A1586" s="5" t="s">
        <v>5434</v>
      </c>
      <c r="B1586" s="5" t="s">
        <v>5435</v>
      </c>
      <c r="C1586" s="5" t="s">
        <v>5433</v>
      </c>
      <c r="D1586" s="5" t="s">
        <v>38</v>
      </c>
      <c r="E1586" s="5" t="s">
        <v>41</v>
      </c>
      <c r="F1586" s="5" t="s">
        <v>44</v>
      </c>
      <c r="G1586" s="14" t="str">
        <f t="array" ref="G1586">IF(B1586="", "",
  LET(_xlpm.spell, IFERROR(IF(F1586="", "", INDEX(_xlws.FILTER(Hairstyles!$F:$F, ISNUMBER(SEARCH(F1586, Hairstyles!$B:$B))), 1)), "No Spell for Hairstyle"),
  _xlpm.vanillaPrefix, IF(LEFT(_xlpm.spell, 7)="Uvi_Wig", "", ";"),
  ";" &amp; IF(C1586="", B1586, C1586) &amp; IF(M1586="", "", " ("&amp;M1586&amp;")") &amp; CHAR(10) &amp;
  _xlpm.vanillaPrefix &amp; "Keyword = Uvi_Wig_Distr_KYWD|" &amp; B1586 &amp; CHAR(10) &amp;
  _xlpm.vanillaPrefix &amp; "Spell = " &amp; _xlpm.spell &amp; "|" &amp; B1586
  )
)</f>
        <v>;Torture Victim
;Keyword = Uvi_Wig_Distr_KYWD|DBTortureVictim2
;Spell = No Spell for Hairstyle|DBTortureVictim2</v>
      </c>
    </row>
    <row r="1587" ht="12.75" customHeight="1">
      <c r="A1587" s="5" t="s">
        <v>5436</v>
      </c>
      <c r="B1587" s="5" t="s">
        <v>5437</v>
      </c>
      <c r="C1587" s="5" t="s">
        <v>5433</v>
      </c>
      <c r="D1587" s="5" t="s">
        <v>38</v>
      </c>
      <c r="E1587" s="5" t="s">
        <v>233</v>
      </c>
      <c r="F1587" s="5" t="s">
        <v>1566</v>
      </c>
      <c r="G1587" s="14" t="str">
        <f t="array" ref="G1587">IF(B1587="", "",
  LET(_xlpm.spell, IFERROR(IF(F1587="", "", INDEX(_xlws.FILTER(Hairstyles!$F:$F, ISNUMBER(SEARCH(F1587, Hairstyles!$B:$B))), 1)), "No Spell for Hairstyle"),
  _xlpm.vanillaPrefix, IF(LEFT(_xlpm.spell, 7)="Uvi_Wig", "", ";"),
  ";" &amp; IF(C1587="", B1587, C1587) &amp; IF(M1587="", "", " ("&amp;M1587&amp;")") &amp; CHAR(10) &amp;
  _xlpm.vanillaPrefix &amp; "Keyword = Uvi_Wig_Distr_KYWD|" &amp; B1587 &amp; CHAR(10) &amp;
  _xlpm.vanillaPrefix &amp; "Spell = " &amp; _xlpm.spell &amp; "|" &amp; B1587
  )
)</f>
        <v>;Torture Victim
;Keyword = Uvi_Wig_Distr_KYWD|DBTortureVictim3
;Spell = No Spell for Hairstyle|DBTortureVictim3</v>
      </c>
    </row>
    <row r="1588" ht="12.75" customHeight="1">
      <c r="A1588" s="5" t="s">
        <v>5438</v>
      </c>
      <c r="B1588" s="5" t="s">
        <v>5439</v>
      </c>
      <c r="C1588" s="5" t="s">
        <v>5433</v>
      </c>
      <c r="D1588" s="5" t="s">
        <v>51</v>
      </c>
      <c r="E1588" s="5" t="s">
        <v>41</v>
      </c>
      <c r="F1588" s="5" t="s">
        <v>371</v>
      </c>
      <c r="G1588" s="14" t="str">
        <f t="array" ref="G1588">IF(B1588="", "",
  LET(_xlpm.spell, IFERROR(IF(F1588="", "", INDEX(_xlws.FILTER(Hairstyles!$F:$F, ISNUMBER(SEARCH(F1588, Hairstyles!$B:$B))), 1)), "No Spell for Hairstyle"),
  _xlpm.vanillaPrefix, IF(LEFT(_xlpm.spell, 7)="Uvi_Wig", "", ";"),
  ";" &amp; IF(C1588="", B1588, C1588) &amp; IF(M1588="", "", " ("&amp;M1588&amp;")") &amp; CHAR(10) &amp;
  _xlpm.vanillaPrefix &amp; "Keyword = Uvi_Wig_Distr_KYWD|" &amp; B1588 &amp; CHAR(10) &amp;
  _xlpm.vanillaPrefix &amp; "Spell = " &amp; _xlpm.spell &amp; "|" &amp; B1588
  )
)</f>
        <v>;Torture Victim
;Keyword = Uvi_Wig_Distr_KYWD|DBTortureVictim4
;Spell = No Spell for Hairstyle|DBTortureVictim4</v>
      </c>
    </row>
    <row r="1589" ht="12.75" customHeight="1">
      <c r="A1589" s="5" t="s">
        <v>5440</v>
      </c>
      <c r="B1589" s="5" t="s">
        <v>5441</v>
      </c>
      <c r="C1589" s="5" t="s">
        <v>5442</v>
      </c>
      <c r="D1589" s="5" t="s">
        <v>51</v>
      </c>
      <c r="E1589" s="5" t="s">
        <v>233</v>
      </c>
      <c r="F1589" s="5" t="s">
        <v>1622</v>
      </c>
      <c r="G1589" s="14" t="str">
        <f t="array" ref="G1589">IF(B1589="", "",
  LET(_xlpm.spell, IFERROR(IF(F1589="", "", INDEX(_xlws.FILTER(Hairstyles!$F:$F, ISNUMBER(SEARCH(F1589, Hairstyles!$B:$B))), 1)), "No Spell for Hairstyle"),
  _xlpm.vanillaPrefix, IF(LEFT(_xlpm.spell, 7)="Uvi_Wig", "", ";"),
  ";" &amp; IF(C1589="", B1589, C1589) &amp; IF(M1589="", "", " ("&amp;M1589&amp;")") &amp; CHAR(10) &amp;
  _xlpm.vanillaPrefix &amp; "Keyword = Uvi_Wig_Distr_KYWD|" &amp; B1589 &amp; CHAR(10) &amp;
  _xlpm.vanillaPrefix &amp; "Spell = " &amp; _xlpm.spell &amp; "|" &amp; B1589
  )
)</f>
        <v>;Torturer
;Keyword = Uvi_Wig_Distr_KYWD|MQ101Torturer
;Spell = No Spell for Hairstyle|MQ101Torturer</v>
      </c>
    </row>
    <row r="1590" ht="12.75" customHeight="1">
      <c r="A1590" s="5" t="s">
        <v>5443</v>
      </c>
      <c r="B1590" s="5" t="s">
        <v>5444</v>
      </c>
      <c r="C1590" s="5" t="s">
        <v>5445</v>
      </c>
      <c r="D1590" s="5" t="s">
        <v>59</v>
      </c>
      <c r="E1590" s="5" t="s">
        <v>233</v>
      </c>
      <c r="F1590" s="5" t="s">
        <v>1700</v>
      </c>
      <c r="G1590" s="14" t="str">
        <f t="array" ref="G1590">IF(B1590="", "",
  LET(_xlpm.spell, IFERROR(IF(F1590="", "", INDEX(_xlws.FILTER(Hairstyles!$F:$F, ISNUMBER(SEARCH(F1590, Hairstyles!$B:$B))), 1)), "No Spell for Hairstyle"),
  _xlpm.vanillaPrefix, IF(LEFT(_xlpm.spell, 7)="Uvi_Wig", "", ";"),
  ";" &amp; IF(C1590="", B1590, C1590) &amp; IF(M1590="", "", " ("&amp;M1590&amp;")") &amp; CHAR(10) &amp;
  _xlpm.vanillaPrefix &amp; "Keyword = Uvi_Wig_Distr_KYWD|" &amp; B1590 &amp; CHAR(10) &amp;
  _xlpm.vanillaPrefix &amp; "Spell = " &amp; _xlpm.spell &amp; "|" &amp; B1590
  )
)</f>
        <v>;Torturer's Assistant
;Keyword = Uvi_Wig_Distr_KYWD|MQ101TorturerAssistant
;Spell = No Spell for Hairstyle|MQ101TorturerAssistant</v>
      </c>
    </row>
    <row r="1591" ht="12.75" customHeight="1">
      <c r="A1591" s="5" t="s">
        <v>5446</v>
      </c>
      <c r="B1591" s="5" t="s">
        <v>5447</v>
      </c>
      <c r="C1591" s="5" t="s">
        <v>5447</v>
      </c>
      <c r="D1591" s="5" t="s">
        <v>38</v>
      </c>
      <c r="E1591" s="5" t="s">
        <v>233</v>
      </c>
      <c r="F1591" s="5" t="s">
        <v>346</v>
      </c>
      <c r="G1591" s="14" t="str">
        <f t="array" ref="G1591">IF(B1591="", "",
  LET(_xlpm.spell, IFERROR(IF(F1591="", "", INDEX(_xlws.FILTER(Hairstyles!$F:$F, ISNUMBER(SEARCH(F1591, Hairstyles!$B:$B))), 1)), "No Spell for Hairstyle"),
  _xlpm.vanillaPrefix, IF(LEFT(_xlpm.spell, 7)="Uvi_Wig", "", ";"),
  ";" &amp; IF(C1591="", B1591, C1591) &amp; IF(M1591="", "", " ("&amp;M1591&amp;")") &amp; CHAR(10) &amp;
  _xlpm.vanillaPrefix &amp; "Keyword = Uvi_Wig_Distr_KYWD|" &amp; B1591 &amp; CHAR(10) &amp;
  _xlpm.vanillaPrefix &amp; "Spell = " &amp; _xlpm.spell &amp; "|" &amp; B1591
  )
)</f>
        <v>;Torvar
;Keyword = Uvi_Wig_Distr_KYWD|Torvar
;Spell = No Spell for Hairstyle|Torvar</v>
      </c>
    </row>
    <row r="1592" ht="12.75" customHeight="1">
      <c r="A1592" s="15" t="s">
        <v>5448</v>
      </c>
      <c r="B1592" s="5" t="s">
        <v>5449</v>
      </c>
      <c r="C1592" s="5" t="s">
        <v>5450</v>
      </c>
      <c r="D1592" s="5" t="s">
        <v>38</v>
      </c>
      <c r="E1592" s="5" t="s">
        <v>41</v>
      </c>
      <c r="F1592" s="5" t="s">
        <v>2118</v>
      </c>
      <c r="G1592" s="14" t="str">
        <f t="array" ref="G1592">IF(B1592="", "",
  LET(_xlpm.spell, IFERROR(IF(F1592="", "", INDEX(_xlws.FILTER(Hairstyles!$F:$F, ISNUMBER(SEARCH(F1592, Hairstyles!$B:$B))), 1)), "No Spell for Hairstyle"),
  _xlpm.vanillaPrefix, IF(LEFT(_xlpm.spell, 7)="Uvi_Wig", "", ";"),
  ";" &amp; IF(C1592="", B1592, C1592) &amp; IF(M1592="", "", " ("&amp;M1592&amp;")") &amp; CHAR(10) &amp;
  _xlpm.vanillaPrefix &amp; "Keyword = Uvi_Wig_Distr_KYWD|" &amp; B1592 &amp; CHAR(10) &amp;
  _xlpm.vanillaPrefix &amp; "Spell = " &amp; _xlpm.spell &amp; "|" &amp; B1592
  )
)</f>
        <v>;Tova Shatter-Shield
;Keyword = Uvi_Wig_Distr_KYWD|Tova
;Spell = No Spell for Hairstyle|Tova</v>
      </c>
    </row>
    <row r="1593" ht="12.75" customHeight="1">
      <c r="A1593" s="5" t="s">
        <v>5451</v>
      </c>
      <c r="B1593" s="5" t="s">
        <v>5452</v>
      </c>
      <c r="C1593" s="5" t="s">
        <v>5450</v>
      </c>
      <c r="D1593" s="5" t="s">
        <v>38</v>
      </c>
      <c r="E1593" s="5" t="s">
        <v>41</v>
      </c>
      <c r="F1593" s="5" t="s">
        <v>2118</v>
      </c>
      <c r="G1593" s="14" t="str">
        <f t="array" ref="G1593">IF(B1593="", "",
  LET(_xlpm.spell, IFERROR(IF(F1593="", "", INDEX(_xlws.FILTER(Hairstyles!$F:$F, ISNUMBER(SEARCH(F1593, Hairstyles!$B:$B))), 1)), "No Spell for Hairstyle"),
  _xlpm.vanillaPrefix, IF(LEFT(_xlpm.spell, 7)="Uvi_Wig", "", ";"),
  ";" &amp; IF(C1593="", B1593, C1593) &amp; IF(M1593="", "", " ("&amp;M1593&amp;")") &amp; CHAR(10) &amp;
  _xlpm.vanillaPrefix &amp; "Keyword = Uvi_Wig_Distr_KYWD|" &amp; B1593 &amp; CHAR(10) &amp;
  _xlpm.vanillaPrefix &amp; "Spell = " &amp; _xlpm.spell &amp; "|" &amp; B1593
  )
)</f>
        <v>;Tova Shatter-Shield
;Keyword = Uvi_Wig_Distr_KYWD|TovaDead
;Spell = No Spell for Hairstyle|TovaDead</v>
      </c>
    </row>
    <row r="1594" ht="12.75" customHeight="1">
      <c r="A1594" s="15" t="s">
        <v>5453</v>
      </c>
      <c r="B1594" s="5" t="s">
        <v>5454</v>
      </c>
      <c r="C1594" s="5" t="s">
        <v>5455</v>
      </c>
      <c r="D1594" s="5" t="s">
        <v>79</v>
      </c>
      <c r="E1594" s="5" t="s">
        <v>233</v>
      </c>
      <c r="F1594" s="5" t="s">
        <v>1906</v>
      </c>
      <c r="G1594" s="14" t="str">
        <f t="array" ref="G1594">IF(B1594="", "",
  LET(_xlpm.spell, IFERROR(IF(F1594="", "", INDEX(_xlws.FILTER(Hairstyles!$F:$F, ISNUMBER(SEARCH(F1594, Hairstyles!$B:$B))), 1)), "No Spell for Hairstyle"),
  _xlpm.vanillaPrefix, IF(LEFT(_xlpm.spell, 7)="Uvi_Wig", "", ";"),
  ";" &amp; IF(C1594="", B1594, C1594) &amp; IF(M1594="", "", " ("&amp;M1594&amp;")") &amp; CHAR(10) &amp;
  _xlpm.vanillaPrefix &amp; "Keyword = Uvi_Wig_Distr_KYWD|" &amp; B1594 &amp; CHAR(10) &amp;
  _xlpm.vanillaPrefix &amp; "Spell = " &amp; _xlpm.spell &amp; "|" &amp; B1594
  )
)</f>
        <v>;Traveler
;Keyword = Uvi_Wig_Distr_KYWD|DLC1RadiantDisguisedVampireLord
;Spell = No Spell for Hairstyle|DLC1RadiantDisguisedVampireLord</v>
      </c>
    </row>
    <row r="1595" ht="12.75" customHeight="1">
      <c r="A1595" s="5" t="s">
        <v>5456</v>
      </c>
      <c r="B1595" s="5" t="s">
        <v>5457</v>
      </c>
      <c r="C1595" s="5" t="s">
        <v>5458</v>
      </c>
      <c r="D1595" s="5" t="s">
        <v>38</v>
      </c>
      <c r="E1595" s="5" t="s">
        <v>233</v>
      </c>
      <c r="F1595" s="5" t="s">
        <v>1906</v>
      </c>
      <c r="G1595" s="14" t="str">
        <f t="array" ref="G1595">IF(B1595="", "",
  LET(_xlpm.spell, IFERROR(IF(F1595="", "", INDEX(_xlws.FILTER(Hairstyles!$F:$F, ISNUMBER(SEARCH(F1595, Hairstyles!$B:$B))), 1)), "No Spell for Hairstyle"),
  _xlpm.vanillaPrefix, IF(LEFT(_xlpm.spell, 7)="Uvi_Wig", "", ";"),
  ";" &amp; IF(C1595="", B1595, C1595) &amp; IF(M1595="", "", " ("&amp;M1595&amp;")") &amp; CHAR(10) &amp;
  _xlpm.vanillaPrefix &amp; "Keyword = Uvi_Wig_Distr_KYWD|" &amp; B1595 &amp; CHAR(10) &amp;
  _xlpm.vanillaPrefix &amp; "Spell = " &amp; _xlpm.spell &amp; "|" &amp; B1595
  )
)</f>
        <v>;Traveling Bard
;Keyword = Uvi_Wig_Distr_KYWD|DLC1RadiantDisguisedVampireBard
;Spell = No Spell for Hairstyle|DLC1RadiantDisguisedVampireBard</v>
      </c>
    </row>
    <row r="1596" ht="12.75" customHeight="1">
      <c r="A1596" s="5" t="s">
        <v>5459</v>
      </c>
      <c r="B1596" s="5" t="s">
        <v>5460</v>
      </c>
      <c r="C1596" s="5" t="s">
        <v>5461</v>
      </c>
      <c r="D1596" s="5" t="s">
        <v>38</v>
      </c>
      <c r="E1596" s="5" t="s">
        <v>41</v>
      </c>
      <c r="F1596" s="5" t="s">
        <v>1694</v>
      </c>
      <c r="G1596" s="14" t="str">
        <f t="array" ref="G1596">IF(B1596="", "",
  LET(_xlpm.spell, IFERROR(IF(F1596="", "", INDEX(_xlws.FILTER(Hairstyles!$F:$F, ISNUMBER(SEARCH(F1596, Hairstyles!$B:$B))), 1)), "No Spell for Hairstyle"),
  _xlpm.vanillaPrefix, IF(LEFT(_xlpm.spell, 7)="Uvi_Wig", "", ";"),
  ";" &amp; IF(C1596="", B1596, C1596) &amp; IF(M1596="", "", " ("&amp;M1596&amp;")") &amp; CHAR(10) &amp;
  _xlpm.vanillaPrefix &amp; "Keyword = Uvi_Wig_Distr_KYWD|" &amp; B1596 &amp; CHAR(10) &amp;
  _xlpm.vanillaPrefix &amp; "Spell = " &amp; _xlpm.spell &amp; "|" &amp; B1596
  )
)</f>
        <v>;Traveling Dignitary
;Keyword = Uvi_Wig_Distr_KYWD|DBRecurringTarget8Solitude
;Spell = No Spell for Hairstyle|DBRecurringTarget8Solitude</v>
      </c>
    </row>
    <row r="1597" ht="12.75" customHeight="1">
      <c r="A1597" s="5" t="s">
        <v>5462</v>
      </c>
      <c r="B1597" s="5" t="s">
        <v>5463</v>
      </c>
      <c r="C1597" s="5" t="s">
        <v>5464</v>
      </c>
      <c r="D1597" s="5" t="s">
        <v>38</v>
      </c>
      <c r="E1597" s="5" t="s">
        <v>233</v>
      </c>
      <c r="F1597" s="5" t="s">
        <v>224</v>
      </c>
      <c r="G1597" s="14" t="str">
        <f t="array" ref="G1597">IF(B1597="", "",
  LET(_xlpm.spell, IFERROR(IF(F1597="", "", INDEX(_xlws.FILTER(Hairstyles!$F:$F, ISNUMBER(SEARCH(F1597, Hairstyles!$B:$B))), 1)), "No Spell for Hairstyle"),
  _xlpm.vanillaPrefix, IF(LEFT(_xlpm.spell, 7)="Uvi_Wig", "", ";"),
  ";" &amp; IF(C1597="", B1597, C1597) &amp; IF(M1597="", "", " ("&amp;M1597&amp;")") &amp; CHAR(10) &amp;
  _xlpm.vanillaPrefix &amp; "Keyword = Uvi_Wig_Distr_KYWD|" &amp; B1597 &amp; CHAR(10) &amp;
  _xlpm.vanillaPrefix &amp; "Spell = " &amp; _xlpm.spell &amp; "|" &amp; B1597
  )
)</f>
        <v>;Traveling Merchant
;Keyword = Uvi_Wig_Distr_KYWD|DLC1RadiantDisguisedVampireMerchant
;Spell = No Spell for Hairstyle|DLC1RadiantDisguisedVampireMerchant</v>
      </c>
    </row>
    <row r="1598" ht="12.75" customHeight="1">
      <c r="A1598" s="5" t="s">
        <v>5465</v>
      </c>
      <c r="B1598" s="5" t="s">
        <v>5466</v>
      </c>
      <c r="C1598" s="5" t="s">
        <v>5467</v>
      </c>
      <c r="D1598" s="5" t="s">
        <v>38</v>
      </c>
      <c r="E1598" s="5" t="s">
        <v>233</v>
      </c>
      <c r="F1598" s="5" t="s">
        <v>2694</v>
      </c>
      <c r="G1598" s="14" t="str">
        <f t="array" ref="G1598">IF(B1598="", "",
  LET(_xlpm.spell, IFERROR(IF(F1598="", "", INDEX(_xlws.FILTER(Hairstyles!$F:$F, ISNUMBER(SEARCH(F1598, Hairstyles!$B:$B))), 1)), "No Spell for Hairstyle"),
  _xlpm.vanillaPrefix, IF(LEFT(_xlpm.spell, 7)="Uvi_Wig", "", ";"),
  ";" &amp; IF(C1598="", B1598, C1598) &amp; IF(M1598="", "", " ("&amp;M1598&amp;")") &amp; CHAR(10) &amp;
  _xlpm.vanillaPrefix &amp; "Keyword = Uvi_Wig_Distr_KYWD|" &amp; B1598 &amp; CHAR(10) &amp;
  _xlpm.vanillaPrefix &amp; "Spell = " &amp; _xlpm.spell &amp; "|" &amp; B1598
  )
)</f>
        <v>;Traveling Pilgrim
;Keyword = Uvi_Wig_Distr_KYWD|DLC1RadiantDisguisedVampirePilgrim
;Spell = No Spell for Hairstyle|DLC1RadiantDisguisedVampirePilgrim</v>
      </c>
    </row>
    <row r="1599" ht="12.75" customHeight="1">
      <c r="A1599" s="5" t="s">
        <v>5468</v>
      </c>
      <c r="B1599" s="5" t="s">
        <v>5469</v>
      </c>
      <c r="C1599" s="5" t="s">
        <v>5470</v>
      </c>
      <c r="D1599" s="5" t="s">
        <v>45</v>
      </c>
      <c r="E1599" s="5" t="s">
        <v>41</v>
      </c>
      <c r="F1599" s="5" t="s">
        <v>2096</v>
      </c>
      <c r="G1599" s="14" t="str">
        <f t="array" ref="G1599">IF(B1599="", "",
  LET(_xlpm.spell, IFERROR(IF(F1599="", "", INDEX(_xlws.FILTER(Hairstyles!$F:$F, ISNUMBER(SEARCH(F1599, Hairstyles!$B:$B))), 1)), "No Spell for Hairstyle"),
  _xlpm.vanillaPrefix, IF(LEFT(_xlpm.spell, 7)="Uvi_Wig", "", ";"),
  ";" &amp; IF(C1599="", B1599, C1599) &amp; IF(M1599="", "", " ("&amp;M1599&amp;")") &amp; CHAR(10) &amp;
  _xlpm.vanillaPrefix &amp; "Keyword = Uvi_Wig_Distr_KYWD|" &amp; B1599 &amp; CHAR(10) &amp;
  _xlpm.vanillaPrefix &amp; "Spell = " &amp; _xlpm.spell &amp; "|" &amp; B1599
  )
)</f>
        <v>;Treasure Hunter
;Keyword = Uvi_Wig_Distr_KYWD|DLC2dunHakinrsShoal_TreasureHunter01
;Spell = No Spell for Hairstyle|DLC2dunHakinrsShoal_TreasureHunter01</v>
      </c>
    </row>
    <row r="1600" ht="12.75" customHeight="1">
      <c r="A1600" s="5" t="s">
        <v>5471</v>
      </c>
      <c r="B1600" s="5" t="s">
        <v>5472</v>
      </c>
      <c r="C1600" s="5" t="s">
        <v>5470</v>
      </c>
      <c r="D1600" s="5" t="s">
        <v>45</v>
      </c>
      <c r="E1600" s="5" t="s">
        <v>233</v>
      </c>
      <c r="F1600" s="5" t="s">
        <v>2088</v>
      </c>
      <c r="G1600" s="14" t="str">
        <f t="array" ref="G1600">IF(B1600="", "",
  LET(_xlpm.spell, IFERROR(IF(F1600="", "", INDEX(_xlws.FILTER(Hairstyles!$F:$F, ISNUMBER(SEARCH(F1600, Hairstyles!$B:$B))), 1)), "No Spell for Hairstyle"),
  _xlpm.vanillaPrefix, IF(LEFT(_xlpm.spell, 7)="Uvi_Wig", "", ";"),
  ";" &amp; IF(C1600="", B1600, C1600) &amp; IF(M1600="", "", " ("&amp;M1600&amp;")") &amp; CHAR(10) &amp;
  _xlpm.vanillaPrefix &amp; "Keyword = Uvi_Wig_Distr_KYWD|" &amp; B1600 &amp; CHAR(10) &amp;
  _xlpm.vanillaPrefix &amp; "Spell = " &amp; _xlpm.spell &amp; "|" &amp; B1600
  )
)</f>
        <v>;Treasure Hunter
;Keyword = Uvi_Wig_Distr_KYWD|DLC2dunHakinrsShoal_TreasureHunter02
;Spell = No Spell for Hairstyle|DLC2dunHakinrsShoal_TreasureHunter02</v>
      </c>
    </row>
    <row r="1601" ht="12.75" customHeight="1">
      <c r="A1601" s="5" t="s">
        <v>5473</v>
      </c>
      <c r="B1601" s="5" t="s">
        <v>5474</v>
      </c>
      <c r="C1601" s="5" t="s">
        <v>5474</v>
      </c>
      <c r="D1601" s="5" t="s">
        <v>38</v>
      </c>
      <c r="E1601" s="5" t="s">
        <v>233</v>
      </c>
      <c r="F1601" s="5" t="s">
        <v>1622</v>
      </c>
      <c r="G1601" s="14" t="str">
        <f t="array" ref="G1601">IF(B1601="", "",
  LET(_xlpm.spell, IFERROR(IF(F1601="", "", INDEX(_xlws.FILTER(Hairstyles!$F:$F, ISNUMBER(SEARCH(F1601, Hairstyles!$B:$B))), 1)), "No Spell for Hairstyle"),
  _xlpm.vanillaPrefix, IF(LEFT(_xlpm.spell, 7)="Uvi_Wig", "", ";"),
  ";" &amp; IF(C1601="", B1601, C1601) &amp; IF(M1601="", "", " ("&amp;M1601&amp;")") &amp; CHAR(10) &amp;
  _xlpm.vanillaPrefix &amp; "Keyword = Uvi_Wig_Distr_KYWD|" &amp; B1601 &amp; CHAR(10) &amp;
  _xlpm.vanillaPrefix &amp; "Spell = " &amp; _xlpm.spell &amp; "|" &amp; B1601
  )
)</f>
        <v>;Trilf
;Keyword = Uvi_Wig_Distr_KYWD|Trilf
;Spell = No Spell for Hairstyle|Trilf</v>
      </c>
    </row>
    <row r="1602" ht="12.75" customHeight="1">
      <c r="A1602" s="5" t="s">
        <v>5475</v>
      </c>
      <c r="B1602" s="5" t="s">
        <v>5476</v>
      </c>
      <c r="C1602" s="5" t="s">
        <v>5476</v>
      </c>
      <c r="D1602" s="5" t="s">
        <v>65</v>
      </c>
      <c r="E1602" s="5" t="s">
        <v>41</v>
      </c>
      <c r="F1602" s="5" t="s">
        <v>4068</v>
      </c>
      <c r="G1602" s="14" t="str">
        <f t="array" ref="G1602">IF(B1602="", "",
  LET(_xlpm.spell, IFERROR(IF(F1602="", "", INDEX(_xlws.FILTER(Hairstyles!$F:$F, ISNUMBER(SEARCH(F1602, Hairstyles!$B:$B))), 1)), "No Spell for Hairstyle"),
  _xlpm.vanillaPrefix, IF(LEFT(_xlpm.spell, 7)="Uvi_Wig", "", ";"),
  ";" &amp; IF(C1602="", B1602, C1602) &amp; IF(M1602="", "", " ("&amp;M1602&amp;")") &amp; CHAR(10) &amp;
  _xlpm.vanillaPrefix &amp; "Keyword = Uvi_Wig_Distr_KYWD|" &amp; B1602 &amp; CHAR(10) &amp;
  _xlpm.vanillaPrefix &amp; "Spell = " &amp; _xlpm.spell &amp; "|" &amp; B1602
  )
)</f>
        <v>;Tsavani
;Keyword = Uvi_Wig_Distr_KYWD|Tsavani
;Spell = No Spell for Hairstyle|Tsavani</v>
      </c>
    </row>
    <row r="1603" ht="12.75" customHeight="1">
      <c r="A1603" s="5" t="s">
        <v>5477</v>
      </c>
      <c r="B1603" s="5" t="s">
        <v>5478</v>
      </c>
      <c r="C1603" s="5" t="s">
        <v>5479</v>
      </c>
      <c r="D1603" s="5" t="s">
        <v>65</v>
      </c>
      <c r="E1603" s="5" t="s">
        <v>41</v>
      </c>
      <c r="F1603" s="5" t="s">
        <v>5480</v>
      </c>
      <c r="G1603" s="14" t="str">
        <f t="array" ref="G1603">IF(B1603="", "",
  LET(_xlpm.spell, IFERROR(IF(F1603="", "", INDEX(_xlws.FILTER(Hairstyles!$F:$F, ISNUMBER(SEARCH(F1603, Hairstyles!$B:$B))), 1)), "No Spell for Hairstyle"),
  _xlpm.vanillaPrefix, IF(LEFT(_xlpm.spell, 7)="Uvi_Wig", "", ";"),
  ";" &amp; IF(C1603="", B1603, C1603) &amp; IF(M1603="", "", " ("&amp;M1603&amp;")") &amp; CHAR(10) &amp;
  _xlpm.vanillaPrefix &amp; "Keyword = Uvi_Wig_Distr_KYWD|" &amp; B1603 &amp; CHAR(10) &amp;
  _xlpm.vanillaPrefix &amp; "Spell = " &amp; _xlpm.spell &amp; "|" &amp; B1603
  )
)</f>
        <v>;Tsrasuna
;Keyword = Uvi_Wig_Distr_KYWD|DA05Hunter05_02Missile_Tsrasuna
;Spell = No Spell for Hairstyle|DA05Hunter05_02Missile_Tsrasuna</v>
      </c>
    </row>
    <row r="1604" ht="12.75" customHeight="1">
      <c r="A1604" s="5" t="s">
        <v>5481</v>
      </c>
      <c r="B1604" s="5" t="s">
        <v>5482</v>
      </c>
      <c r="C1604" s="5" t="s">
        <v>5482</v>
      </c>
      <c r="D1604" s="5" t="s">
        <v>38</v>
      </c>
      <c r="E1604" s="5" t="s">
        <v>233</v>
      </c>
      <c r="F1604" s="5" t="s">
        <v>762</v>
      </c>
      <c r="G1604" s="14" t="str">
        <f t="array" ref="G1604">IF(B1604="", "",
  LET(_xlpm.spell, IFERROR(IF(F1604="", "", INDEX(_xlws.FILTER(Hairstyles!$F:$F, ISNUMBER(SEARCH(F1604, Hairstyles!$B:$B))), 1)), "No Spell for Hairstyle"),
  _xlpm.vanillaPrefix, IF(LEFT(_xlpm.spell, 7)="Uvi_Wig", "", ";"),
  ";" &amp; IF(C1604="", B1604, C1604) &amp; IF(M1604="", "", " ("&amp;M1604&amp;")") &amp; CHAR(10) &amp;
  _xlpm.vanillaPrefix &amp; "Keyword = Uvi_Wig_Distr_KYWD|" &amp; B1604 &amp; CHAR(10) &amp;
  _xlpm.vanillaPrefix &amp; "Spell = " &amp; _xlpm.spell &amp; "|" &amp; B1604
  )
)</f>
        <v>;Tsun
;Keyword = Uvi_Wig_Distr_KYWD|Tsun
;Spell = No Spell for Hairstyle|Tsun</v>
      </c>
    </row>
    <row r="1605" ht="12.75" customHeight="1">
      <c r="A1605" s="15" t="s">
        <v>5483</v>
      </c>
      <c r="B1605" s="5" t="s">
        <v>5484</v>
      </c>
      <c r="C1605" s="5" t="s">
        <v>5484</v>
      </c>
      <c r="D1605" s="5" t="s">
        <v>38</v>
      </c>
      <c r="E1605" s="5" t="s">
        <v>233</v>
      </c>
      <c r="F1605" s="5" t="s">
        <v>762</v>
      </c>
      <c r="G1605" s="14" t="str">
        <f t="array" ref="G1605">IF(B1605="", "",
  LET(_xlpm.spell, IFERROR(IF(F1605="", "", INDEX(_xlws.FILTER(Hairstyles!$F:$F, ISNUMBER(SEARCH(F1605, Hairstyles!$B:$B))), 1)), "No Spell for Hairstyle"),
  _xlpm.vanillaPrefix, IF(LEFT(_xlpm.spell, 7)="Uvi_Wig", "", ";"),
  ";" &amp; IF(C1605="", B1605, C1605) &amp; IF(M1605="", "", " ("&amp;M1605&amp;")") &amp; CHAR(10) &amp;
  _xlpm.vanillaPrefix &amp; "Keyword = Uvi_Wig_Distr_KYWD|" &amp; B1605 &amp; CHAR(10) &amp;
  _xlpm.vanillaPrefix &amp; "Spell = " &amp; _xlpm.spell &amp; "|" &amp; B1605
  )
)</f>
        <v>;Tulvur
;Keyword = Uvi_Wig_Distr_KYWD|Tulvur
;Spell = No Spell for Hairstyle|Tulvur</v>
      </c>
    </row>
    <row r="1606" ht="12.75" customHeight="1">
      <c r="A1606" s="5" t="s">
        <v>5485</v>
      </c>
      <c r="B1606" s="5" t="s">
        <v>5486</v>
      </c>
      <c r="C1606" s="5" t="s">
        <v>5486</v>
      </c>
      <c r="D1606" s="5" t="s">
        <v>16</v>
      </c>
      <c r="E1606" s="5" t="s">
        <v>233</v>
      </c>
      <c r="F1606" s="5" t="s">
        <v>475</v>
      </c>
      <c r="G1606" s="14" t="str">
        <f t="array" ref="G1606">IF(B1606="", "",
  LET(_xlpm.spell, IFERROR(IF(F1606="", "", INDEX(_xlws.FILTER(Hairstyles!$F:$F, ISNUMBER(SEARCH(F1606, Hairstyles!$B:$B))), 1)), "No Spell for Hairstyle"),
  _xlpm.vanillaPrefix, IF(LEFT(_xlpm.spell, 7)="Uvi_Wig", "", ";"),
  ";" &amp; IF(C1606="", B1606, C1606) &amp; IF(M1606="", "", " ("&amp;M1606&amp;")") &amp; CHAR(10) &amp;
  _xlpm.vanillaPrefix &amp; "Keyword = Uvi_Wig_Distr_KYWD|" &amp; B1606 &amp; CHAR(10) &amp;
  _xlpm.vanillaPrefix &amp; "Spell = " &amp; _xlpm.spell &amp; "|" &amp; B1606
  )
)</f>
        <v>;Tuthul
;Keyword = Uvi_Wig_Distr_KYWD|Tuthul
;Spell = No Spell for Hairstyle|Tuthul</v>
      </c>
    </row>
    <row r="1607" ht="12.75" customHeight="1">
      <c r="A1607" s="5" t="s">
        <v>5487</v>
      </c>
      <c r="B1607" s="5" t="s">
        <v>5488</v>
      </c>
      <c r="C1607" s="5" t="s">
        <v>5488</v>
      </c>
      <c r="D1607" s="5" t="s">
        <v>16</v>
      </c>
      <c r="E1607" s="5" t="s">
        <v>233</v>
      </c>
      <c r="F1607" s="5" t="s">
        <v>1088</v>
      </c>
      <c r="G1607" s="14" t="str">
        <f t="array" ref="G1607">IF(B1607="", "",
  LET(_xlpm.spell, IFERROR(IF(F1607="", "", INDEX(_xlws.FILTER(Hairstyles!$F:$F, ISNUMBER(SEARCH(F1607, Hairstyles!$B:$B))), 1)), "No Spell for Hairstyle"),
  _xlpm.vanillaPrefix, IF(LEFT(_xlpm.spell, 7)="Uvi_Wig", "", ";"),
  ";" &amp; IF(C1607="", B1607, C1607) &amp; IF(M1607="", "", " ("&amp;M1607&amp;")") &amp; CHAR(10) &amp;
  _xlpm.vanillaPrefix &amp; "Keyword = Uvi_Wig_Distr_KYWD|" &amp; B1607 &amp; CHAR(10) &amp;
  _xlpm.vanillaPrefix &amp; "Spell = " &amp; _xlpm.spell &amp; "|" &amp; B1607
  )
)</f>
        <v>;Tynan
;Keyword = Uvi_Wig_Distr_KYWD|Tynan
;Spell = No Spell for Hairstyle|Tynan</v>
      </c>
    </row>
    <row r="1608" ht="12.75" customHeight="1">
      <c r="A1608" s="5" t="s">
        <v>5489</v>
      </c>
      <c r="B1608" s="5" t="s">
        <v>5490</v>
      </c>
      <c r="C1608" s="5" t="s">
        <v>5491</v>
      </c>
      <c r="D1608" s="5" t="s">
        <v>45</v>
      </c>
      <c r="E1608" s="5" t="s">
        <v>233</v>
      </c>
      <c r="F1608" s="5" t="s">
        <v>525</v>
      </c>
      <c r="G1608" s="14" t="str">
        <f t="array" ref="G1608">IF(B1608="", "",
  LET(_xlpm.spell, IFERROR(IF(F1608="", "", INDEX(_xlws.FILTER(Hairstyles!$F:$F, ISNUMBER(SEARCH(F1608, Hairstyles!$B:$B))), 1)), "No Spell for Hairstyle"),
  _xlpm.vanillaPrefix, IF(LEFT(_xlpm.spell, 7)="Uvi_Wig", "", ";"),
  ";" &amp; IF(C1608="", B1608, C1608) &amp; IF(M1608="", "", " ("&amp;M1608&amp;")") &amp; CHAR(10) &amp;
  _xlpm.vanillaPrefix &amp; "Keyword = Uvi_Wig_Distr_KYWD|" &amp; B1608 &amp; CHAR(10) &amp;
  _xlpm.vanillaPrefix &amp; "Spell = " &amp; _xlpm.spell &amp; "|" &amp; B1608
  )
)</f>
        <v>;Tythis Ulen
;Keyword = Uvi_Wig_Distr_KYWD|Tythis
;Spell = No Spell for Hairstyle|Tythis</v>
      </c>
    </row>
    <row r="1609" ht="12.75" customHeight="1">
      <c r="A1609" s="5" t="s">
        <v>5492</v>
      </c>
      <c r="B1609" s="5" t="s">
        <v>5493</v>
      </c>
      <c r="C1609" s="5" t="s">
        <v>5493</v>
      </c>
      <c r="D1609" s="5" t="s">
        <v>16</v>
      </c>
      <c r="E1609" s="5" t="s">
        <v>41</v>
      </c>
      <c r="F1609" s="5" t="s">
        <v>371</v>
      </c>
      <c r="G1609" s="14" t="str">
        <f t="array" ref="G1609">IF(B1609="", "",
  LET(_xlpm.spell, IFERROR(IF(F1609="", "", INDEX(_xlws.FILTER(Hairstyles!$F:$F, ISNUMBER(SEARCH(F1609, Hairstyles!$B:$B))), 1)), "No Spell for Hairstyle"),
  _xlpm.vanillaPrefix, IF(LEFT(_xlpm.spell, 7)="Uvi_Wig", "", ";"),
  ";" &amp; IF(C1609="", B1609, C1609) &amp; IF(M1609="", "", " ("&amp;M1609&amp;")") &amp; CHAR(10) &amp;
  _xlpm.vanillaPrefix &amp; "Keyword = Uvi_Wig_Distr_KYWD|" &amp; B1609 &amp; CHAR(10) &amp;
  _xlpm.vanillaPrefix &amp; "Spell = " &amp; _xlpm.spell &amp; "|" &amp; B1609
  )
)</f>
        <v>;Uaile
;Keyword = Uvi_Wig_Distr_KYWD|Uaile
;Spell = No Spell for Hairstyle|Uaile</v>
      </c>
    </row>
    <row r="1610" ht="12.75" customHeight="1">
      <c r="A1610" s="5" t="s">
        <v>5494</v>
      </c>
      <c r="B1610" s="5" t="s">
        <v>5495</v>
      </c>
      <c r="C1610" s="5" t="s">
        <v>5495</v>
      </c>
      <c r="D1610" s="5" t="s">
        <v>80</v>
      </c>
      <c r="E1610" s="5" t="s">
        <v>41</v>
      </c>
      <c r="F1610" s="5" t="s">
        <v>427</v>
      </c>
      <c r="G1610" s="14" t="str">
        <f t="array" ref="G1610">IF(B1610="", "",
  LET(_xlpm.spell, IFERROR(IF(F1610="", "", INDEX(_xlws.FILTER(Hairstyles!$F:$F, ISNUMBER(SEARCH(F1610, Hairstyles!$B:$B))), 1)), "No Spell for Hairstyle"),
  _xlpm.vanillaPrefix, IF(LEFT(_xlpm.spell, 7)="Uvi_Wig", "", ";"),
  ";" &amp; IF(C1610="", B1610, C1610) &amp; IF(M1610="", "", " ("&amp;M1610&amp;")") &amp; CHAR(10) &amp;
  _xlpm.vanillaPrefix &amp; "Keyword = Uvi_Wig_Distr_KYWD|" &amp; B1610 &amp; CHAR(10) &amp;
  _xlpm.vanillaPrefix &amp; "Spell = " &amp; _xlpm.spell &amp; "|" &amp; B1610
  )
)</f>
        <v>;Uglarz
;Keyword = Uvi_Wig_Distr_KYWD|Uglarz
;Spell = No Spell for Hairstyle|Uglarz</v>
      </c>
    </row>
    <row r="1611" ht="12.75" customHeight="1">
      <c r="A1611" s="5" t="s">
        <v>5496</v>
      </c>
      <c r="B1611" s="5" t="s">
        <v>5497</v>
      </c>
      <c r="C1611" s="5" t="s">
        <v>5497</v>
      </c>
      <c r="D1611" s="5" t="s">
        <v>80</v>
      </c>
      <c r="E1611" s="5" t="s">
        <v>41</v>
      </c>
      <c r="F1611" s="5" t="s">
        <v>3106</v>
      </c>
      <c r="G1611" s="14" t="str">
        <f t="array" ref="G1611">IF(B1611="", "",
  LET(_xlpm.spell, IFERROR(IF(F1611="", "", INDEX(_xlws.FILTER(Hairstyles!$F:$F, ISNUMBER(SEARCH(F1611, Hairstyles!$B:$B))), 1)), "No Spell for Hairstyle"),
  _xlpm.vanillaPrefix, IF(LEFT(_xlpm.spell, 7)="Uvi_Wig", "", ";"),
  ";" &amp; IF(C1611="", B1611, C1611) &amp; IF(M1611="", "", " ("&amp;M1611&amp;")") &amp; CHAR(10) &amp;
  _xlpm.vanillaPrefix &amp; "Keyword = Uvi_Wig_Distr_KYWD|" &amp; B1611 &amp; CHAR(10) &amp;
  _xlpm.vanillaPrefix &amp; "Spell = " &amp; _xlpm.spell &amp; "|" &amp; B1611
  )
)</f>
        <v>;Ugor
;Keyword = Uvi_Wig_Distr_KYWD|Ugor
;Spell = No Spell for Hairstyle|Ugor</v>
      </c>
    </row>
    <row r="1612" ht="12.75" customHeight="1">
      <c r="A1612" s="5" t="s">
        <v>5498</v>
      </c>
      <c r="B1612" s="5" t="s">
        <v>5499</v>
      </c>
      <c r="C1612" s="5" t="s">
        <v>5500</v>
      </c>
      <c r="D1612" s="5" t="s">
        <v>80</v>
      </c>
      <c r="E1612" s="5" t="s">
        <v>233</v>
      </c>
      <c r="F1612" s="5" t="s">
        <v>537</v>
      </c>
      <c r="G1612" s="14" t="str">
        <f t="array" ref="G1612">IF(B1612="", "",
  LET(_xlpm.spell, IFERROR(IF(F1612="", "", INDEX(_xlws.FILTER(Hairstyles!$F:$F, ISNUMBER(SEARCH(F1612, Hairstyles!$B:$B))), 1)), "No Spell for Hairstyle"),
  _xlpm.vanillaPrefix, IF(LEFT(_xlpm.spell, 7)="Uvi_Wig", "", ";"),
  ";" &amp; IF(C1612="", B1612, C1612) &amp; IF(M1612="", "", " ("&amp;M1612&amp;")") &amp; CHAR(10) &amp;
  _xlpm.vanillaPrefix &amp; "Keyword = Uvi_Wig_Distr_KYWD|" &amp; B1612 &amp; CHAR(10) &amp;
  _xlpm.vanillaPrefix &amp; "Spell = " &amp; _xlpm.spell &amp; "|" &amp; B1612
  )
)</f>
        <v>;Ulag
;Keyword = Uvi_Wig_Distr_KYWD|dunSleepingTreeCampBanditCorpse
;Spell = No Spell for Hairstyle|dunSleepingTreeCampBanditCorpse</v>
      </c>
    </row>
    <row r="1613" ht="12.75" customHeight="1">
      <c r="A1613" s="5" t="s">
        <v>5501</v>
      </c>
      <c r="B1613" s="5" t="s">
        <v>5502</v>
      </c>
      <c r="C1613" s="5" t="s">
        <v>5503</v>
      </c>
      <c r="D1613" s="5" t="s">
        <v>38</v>
      </c>
      <c r="E1613" s="5" t="s">
        <v>233</v>
      </c>
      <c r="F1613" s="5" t="s">
        <v>1906</v>
      </c>
      <c r="G1613" s="14" t="str">
        <f t="array" ref="G1613">IF(B1613="", "",
  LET(_xlpm.spell, IFERROR(IF(F1613="", "", INDEX(_xlws.FILTER(Hairstyles!$F:$F, ISNUMBER(SEARCH(F1613, Hairstyles!$B:$B))), 1)), "No Spell for Hairstyle"),
  _xlpm.vanillaPrefix, IF(LEFT(_xlpm.spell, 7)="Uvi_Wig", "", ";"),
  ";" &amp; IF(C1613="", B1613, C1613) &amp; IF(M1613="", "", " ("&amp;M1613&amp;")") &amp; CHAR(10) &amp;
  _xlpm.vanillaPrefix &amp; "Keyword = Uvi_Wig_Distr_KYWD|" &amp; B1613 &amp; CHAR(10) &amp;
  _xlpm.vanillaPrefix &amp; "Spell = " &amp; _xlpm.spell &amp; "|" &amp; B1613
  )
)</f>
        <v>;Ulfberth War-Bear
;Keyword = Uvi_Wig_Distr_KYWD|Ulfberth
;Spell = No Spell for Hairstyle|Ulfberth</v>
      </c>
    </row>
    <row r="1614" ht="12.75" customHeight="1">
      <c r="A1614" s="5" t="s">
        <v>5504</v>
      </c>
      <c r="B1614" s="5" t="s">
        <v>5505</v>
      </c>
      <c r="C1614" s="5" t="s">
        <v>5506</v>
      </c>
      <c r="D1614" s="5" t="s">
        <v>38</v>
      </c>
      <c r="E1614" s="5" t="s">
        <v>233</v>
      </c>
      <c r="F1614" s="5" t="s">
        <v>2694</v>
      </c>
      <c r="G1614" s="14" t="str">
        <f t="array" ref="G1614">IF(B1614="", "",
  LET(_xlpm.spell, IFERROR(IF(F1614="", "", INDEX(_xlws.FILTER(Hairstyles!$F:$F, ISNUMBER(SEARCH(F1614, Hairstyles!$B:$B))), 1)), "No Spell for Hairstyle"),
  _xlpm.vanillaPrefix, IF(LEFT(_xlpm.spell, 7)="Uvi_Wig", "", ";"),
  ";" &amp; IF(C1614="", B1614, C1614) &amp; IF(M1614="", "", " ("&amp;M1614&amp;")") &amp; CHAR(10) &amp;
  _xlpm.vanillaPrefix &amp; "Keyword = Uvi_Wig_Distr_KYWD|" &amp; B1614 &amp; CHAR(10) &amp;
  _xlpm.vanillaPrefix &amp; "Spell = " &amp; _xlpm.spell &amp; "|" &amp; B1614
  )
)</f>
        <v>;Ulfgar the Unending
;Keyword = Uvi_Wig_Distr_KYWD|MQ305Ulfgar
;Spell = No Spell for Hairstyle|MQ305Ulfgar</v>
      </c>
    </row>
    <row r="1615" ht="12.75" customHeight="1">
      <c r="A1615" s="5" t="s">
        <v>5507</v>
      </c>
      <c r="B1615" s="5" t="s">
        <v>5508</v>
      </c>
      <c r="C1615" s="5" t="s">
        <v>5509</v>
      </c>
      <c r="D1615" s="5" t="s">
        <v>38</v>
      </c>
      <c r="E1615" s="5" t="s">
        <v>233</v>
      </c>
      <c r="F1615" s="5" t="s">
        <v>224</v>
      </c>
      <c r="G1615" s="14" t="str">
        <f t="array" ref="G1615">IF(B1615="", "",
  LET(_xlpm.spell, IFERROR(IF(F1615="", "", INDEX(_xlws.FILTER(Hairstyles!$F:$F, ISNUMBER(SEARCH(F1615, Hairstyles!$B:$B))), 1)), "No Spell for Hairstyle"),
  _xlpm.vanillaPrefix, IF(LEFT(_xlpm.spell, 7)="Uvi_Wig", "", ";"),
  ";" &amp; IF(C1615="", B1615, C1615) &amp; IF(M1615="", "", " ("&amp;M1615&amp;")") &amp; CHAR(10) &amp;
  _xlpm.vanillaPrefix &amp; "Keyword = Uvi_Wig_Distr_KYWD|" &amp; B1615 &amp; CHAR(10) &amp;
  _xlpm.vanillaPrefix &amp; "Spell = " &amp; _xlpm.spell &amp; "|" &amp; B1615
  )
)</f>
        <v>;Ulfr the Blind
;Keyword = Uvi_Wig_Distr_KYWD|dunWhiteRiverWatch_BanditWatchman
;Spell = No Spell for Hairstyle|dunWhiteRiverWatch_BanditWatchman</v>
      </c>
    </row>
    <row r="1616" ht="12.75" customHeight="1">
      <c r="A1616" s="5" t="s">
        <v>5510</v>
      </c>
      <c r="B1616" s="5" t="s">
        <v>5511</v>
      </c>
      <c r="C1616" s="5" t="s">
        <v>5512</v>
      </c>
      <c r="D1616" s="5" t="s">
        <v>38</v>
      </c>
      <c r="E1616" s="5" t="s">
        <v>233</v>
      </c>
      <c r="F1616" s="5" t="s">
        <v>695</v>
      </c>
      <c r="G1616" s="14" t="str">
        <f t="array" ref="G1616">IF(B1616="", "",
  LET(_xlpm.spell, IFERROR(IF(F1616="", "", INDEX(_xlws.FILTER(Hairstyles!$F:$F, ISNUMBER(SEARCH(F1616, Hairstyles!$B:$B))), 1)), "No Spell for Hairstyle"),
  _xlpm.vanillaPrefix, IF(LEFT(_xlpm.spell, 7)="Uvi_Wig", "", ";"),
  ";" &amp; IF(C1616="", B1616, C1616) &amp; IF(M1616="", "", " ("&amp;M1616&amp;")") &amp; CHAR(10) &amp;
  _xlpm.vanillaPrefix &amp; "Keyword = Uvi_Wig_Distr_KYWD|" &amp; B1616 &amp; CHAR(10) &amp;
  _xlpm.vanillaPrefix &amp; "Spell = " &amp; _xlpm.spell &amp; "|" &amp; B1616
  )
)</f>
        <v>;Ulfric Stormcloak
;Keyword = Uvi_Wig_Distr_KYWD|CWBattleUlfric
;Spell = No Spell for Hairstyle|CWBattleUlfric</v>
      </c>
    </row>
    <row r="1617" ht="12.75" customHeight="1">
      <c r="A1617" s="5" t="s">
        <v>5513</v>
      </c>
      <c r="B1617" s="5" t="s">
        <v>5514</v>
      </c>
      <c r="C1617" s="5" t="s">
        <v>5512</v>
      </c>
      <c r="D1617" s="5" t="s">
        <v>38</v>
      </c>
      <c r="E1617" s="5" t="s">
        <v>233</v>
      </c>
      <c r="F1617" s="5" t="s">
        <v>695</v>
      </c>
      <c r="G1617" s="14" t="str">
        <f t="array" ref="G1617">IF(B1617="", "",
  LET(_xlpm.spell, IFERROR(IF(F1617="", "", INDEX(_xlws.FILTER(Hairstyles!$F:$F, ISNUMBER(SEARCH(F1617, Hairstyles!$B:$B))), 1)), "No Spell for Hairstyle"),
  _xlpm.vanillaPrefix, IF(LEFT(_xlpm.spell, 7)="Uvi_Wig", "", ";"),
  ";" &amp; IF(C1617="", B1617, C1617) &amp; IF(M1617="", "", " ("&amp;M1617&amp;")") &amp; CHAR(10) &amp;
  _xlpm.vanillaPrefix &amp; "Keyword = Uvi_Wig_Distr_KYWD|" &amp; B1617 &amp; CHAR(10) &amp;
  _xlpm.vanillaPrefix &amp; "Spell = " &amp; _xlpm.spell &amp; "|" &amp; B1617
  )
)</f>
        <v>;Ulfric Stormcloak
;Keyword = Uvi_Wig_Distr_KYWD|Ulfric
;Spell = No Spell for Hairstyle|Ulfric</v>
      </c>
    </row>
    <row r="1618" ht="12.75" customHeight="1">
      <c r="A1618" s="15" t="s">
        <v>5515</v>
      </c>
      <c r="B1618" s="5" t="s">
        <v>5516</v>
      </c>
      <c r="C1618" s="5" t="s">
        <v>5516</v>
      </c>
      <c r="D1618" s="5" t="s">
        <v>57</v>
      </c>
      <c r="E1618" s="5" t="s">
        <v>233</v>
      </c>
      <c r="F1618" s="5" t="s">
        <v>543</v>
      </c>
      <c r="G1618" s="14" t="str">
        <f t="array" ref="G1618">IF(B1618="", "",
  LET(_xlpm.spell, IFERROR(IF(F1618="", "", INDEX(_xlws.FILTER(Hairstyles!$F:$F, ISNUMBER(SEARCH(F1618, Hairstyles!$B:$B))), 1)), "No Spell for Hairstyle"),
  _xlpm.vanillaPrefix, IF(LEFT(_xlpm.spell, 7)="Uvi_Wig", "", ";"),
  ";" &amp; IF(C1618="", B1618, C1618) &amp; IF(M1618="", "", " ("&amp;M1618&amp;")") &amp; CHAR(10) &amp;
  _xlpm.vanillaPrefix &amp; "Keyword = Uvi_Wig_Distr_KYWD|" &amp; B1618 &amp; CHAR(10) &amp;
  _xlpm.vanillaPrefix &amp; "Spell = " &amp; _xlpm.spell &amp; "|" &amp; B1618
  )
)</f>
        <v>;Ulundil
;Keyword = Uvi_Wig_Distr_KYWD|Ulundil
;Spell = No Spell for Hairstyle|Ulundil</v>
      </c>
    </row>
    <row r="1619" ht="12.75" customHeight="1">
      <c r="A1619" s="5" t="s">
        <v>5517</v>
      </c>
      <c r="B1619" s="5" t="s">
        <v>5518</v>
      </c>
      <c r="C1619" s="5" t="s">
        <v>5519</v>
      </c>
      <c r="D1619" s="5" t="s">
        <v>45</v>
      </c>
      <c r="E1619" s="5" t="s">
        <v>233</v>
      </c>
      <c r="F1619" s="5" t="s">
        <v>4186</v>
      </c>
      <c r="G1619" s="14" t="str">
        <f t="array" ref="G1619">IF(B1619="", "",
  LET(_xlpm.spell, IFERROR(IF(F1619="", "", INDEX(_xlws.FILTER(Hairstyles!$F:$F, ISNUMBER(SEARCH(F1619, Hairstyles!$B:$B))), 1)), "No Spell for Hairstyle"),
  _xlpm.vanillaPrefix, IF(LEFT(_xlpm.spell, 7)="Uvi_Wig", "", ";"),
  ";" &amp; IF(C1619="", B1619, C1619) &amp; IF(M1619="", "", " ("&amp;M1619&amp;")") &amp; CHAR(10) &amp;
  _xlpm.vanillaPrefix &amp; "Keyword = Uvi_Wig_Distr_KYWD|" &amp; B1619 &amp; CHAR(10) &amp;
  _xlpm.vanillaPrefix &amp; "Spell = " &amp; _xlpm.spell &amp; "|" &amp; B1619
  )
)</f>
        <v>;Ulves Romoran
;Keyword = Uvi_Wig_Distr_KYWD|DLC2Ulves
;Spell = No Spell for Hairstyle|DLC2Ulves</v>
      </c>
    </row>
    <row r="1620" ht="12.75" customHeight="1">
      <c r="A1620" s="5" t="s">
        <v>5520</v>
      </c>
      <c r="B1620" s="5" t="s">
        <v>5521</v>
      </c>
      <c r="C1620" s="5" t="s">
        <v>5522</v>
      </c>
      <c r="D1620" s="5" t="s">
        <v>45</v>
      </c>
      <c r="E1620" s="5" t="s">
        <v>233</v>
      </c>
      <c r="F1620" s="5" t="s">
        <v>47</v>
      </c>
      <c r="G1620" s="14" t="str">
        <f t="array" ref="G1620">IF(B1620="", "",
  LET(_xlpm.spell, IFERROR(IF(F1620="", "", INDEX(_xlws.FILTER(Hairstyles!$F:$F, ISNUMBER(SEARCH(F1620, Hairstyles!$B:$B))), 1)), "No Spell for Hairstyle"),
  _xlpm.vanillaPrefix, IF(LEFT(_xlpm.spell, 7)="Uvi_Wig", "", ";"),
  ";" &amp; IF(C1620="", B1620, C1620) &amp; IF(M1620="", "", " ("&amp;M1620&amp;")") &amp; CHAR(10) &amp;
  _xlpm.vanillaPrefix &amp; "Keyword = Uvi_Wig_Distr_KYWD|" &amp; B1620 &amp; CHAR(10) &amp;
  _xlpm.vanillaPrefix &amp; "Spell = " &amp; _xlpm.spell &amp; "|" &amp; B1620
  )
)</f>
        <v>;Ulyn
;Keyword = Uvi_Wig_Distr_KYWD|DLC2dunFahlbtharzExplorerCorpse01
;Spell = No Spell for Hairstyle|DLC2dunFahlbtharzExplorerCorpse01</v>
      </c>
    </row>
    <row r="1621" ht="12.75" customHeight="1">
      <c r="A1621" s="5" t="s">
        <v>5523</v>
      </c>
      <c r="B1621" s="5" t="s">
        <v>5524</v>
      </c>
      <c r="C1621" s="5" t="s">
        <v>5525</v>
      </c>
      <c r="D1621" s="5" t="s">
        <v>83</v>
      </c>
      <c r="E1621" s="5" t="s">
        <v>41</v>
      </c>
      <c r="F1621" s="5" t="s">
        <v>281</v>
      </c>
      <c r="G1621" s="14" t="str">
        <f t="array" ref="G1621">IF(B1621="", "",
  LET(_xlpm.spell, IFERROR(IF(F1621="", "", INDEX(_xlws.FILTER(Hairstyles!$F:$F, ISNUMBER(SEARCH(F1621, Hairstyles!$B:$B))), 1)), "No Spell for Hairstyle"),
  _xlpm.vanillaPrefix, IF(LEFT(_xlpm.spell, 7)="Uvi_Wig", "", ";"),
  ";" &amp; IF(C1621="", B1621, C1621) &amp; IF(M1621="", "", " ("&amp;M1621&amp;")") &amp; CHAR(10) &amp;
  _xlpm.vanillaPrefix &amp; "Keyword = Uvi_Wig_Distr_KYWD|" &amp; B1621 &amp; CHAR(10) &amp;
  _xlpm.vanillaPrefix &amp; "Spell = " &amp; _xlpm.spell &amp; "|" &amp; B1621
  )
)</f>
        <v>;Umana
;Keyword = Uvi_Wig_Distr_KYWD|dunAlftandUmana
;Spell = No Spell for Hairstyle|dunAlftandUmana</v>
      </c>
    </row>
    <row r="1622" ht="12.75" customHeight="1">
      <c r="A1622" s="5" t="s">
        <v>5526</v>
      </c>
      <c r="B1622" s="5" t="s">
        <v>5527</v>
      </c>
      <c r="C1622" s="5" t="s">
        <v>5527</v>
      </c>
      <c r="D1622" s="5" t="s">
        <v>80</v>
      </c>
      <c r="E1622" s="5" t="s">
        <v>233</v>
      </c>
      <c r="F1622" s="5" t="s">
        <v>458</v>
      </c>
      <c r="G1622" s="14" t="str">
        <f t="array" ref="G1622">IF(B1622="", "",
  LET(_xlpm.spell, IFERROR(IF(F1622="", "", INDEX(_xlws.FILTER(Hairstyles!$F:$F, ISNUMBER(SEARCH(F1622, Hairstyles!$B:$B))), 1)), "No Spell for Hairstyle"),
  _xlpm.vanillaPrefix, IF(LEFT(_xlpm.spell, 7)="Uvi_Wig", "", ";"),
  ";" &amp; IF(C1622="", B1622, C1622) &amp; IF(M1622="", "", " ("&amp;M1622&amp;")") &amp; CHAR(10) &amp;
  _xlpm.vanillaPrefix &amp; "Keyword = Uvi_Wig_Distr_KYWD|" &amp; B1622 &amp; CHAR(10) &amp;
  _xlpm.vanillaPrefix &amp; "Spell = " &amp; _xlpm.spell &amp; "|" &amp; B1622
  )
)</f>
        <v>;Umurn
;Keyword = Uvi_Wig_Distr_KYWD|Umurn
;Spell = No Spell for Hairstyle|Umurn</v>
      </c>
    </row>
    <row r="1623" ht="12.75" customHeight="1">
      <c r="A1623" s="5" t="s">
        <v>5528</v>
      </c>
      <c r="B1623" s="5" t="s">
        <v>5529</v>
      </c>
      <c r="C1623" s="5" t="s">
        <v>5529</v>
      </c>
      <c r="D1623" s="5" t="s">
        <v>38</v>
      </c>
      <c r="E1623" s="5" t="s">
        <v>41</v>
      </c>
      <c r="F1623" s="5" t="s">
        <v>69</v>
      </c>
      <c r="G1623" s="14" t="str">
        <f t="array" ref="G1623">IF(B1623="", "",
  LET(_xlpm.spell, IFERROR(IF(F1623="", "", INDEX(_xlws.FILTER(Hairstyles!$F:$F, ISNUMBER(SEARCH(F1623, Hairstyles!$B:$B))), 1)), "No Spell for Hairstyle"),
  _xlpm.vanillaPrefix, IF(LEFT(_xlpm.spell, 7)="Uvi_Wig", "", ";"),
  ";" &amp; IF(C1623="", B1623, C1623) &amp; IF(M1623="", "", " ("&amp;M1623&amp;")") &amp; CHAR(10) &amp;
  _xlpm.vanillaPrefix &amp; "Keyword = Uvi_Wig_Distr_KYWD|" &amp; B1623 &amp; CHAR(10) &amp;
  _xlpm.vanillaPrefix &amp; "Spell = " &amp; _xlpm.spell &amp; "|" &amp; B1623
  )
)</f>
        <v>;Una
;Keyword = Uvi_Wig_Distr_KYWD|Una
;Spell = No Spell for Hairstyle|Una</v>
      </c>
    </row>
    <row r="1624" ht="12.75" customHeight="1">
      <c r="A1624" s="5" t="s">
        <v>5530</v>
      </c>
      <c r="B1624" s="5" t="s">
        <v>5531</v>
      </c>
      <c r="C1624" s="5" t="s">
        <v>5532</v>
      </c>
      <c r="D1624" s="5" t="s">
        <v>38</v>
      </c>
      <c r="E1624" s="5" t="s">
        <v>233</v>
      </c>
      <c r="F1624" s="5" t="s">
        <v>2694</v>
      </c>
      <c r="G1624" s="14" t="str">
        <f t="array" ref="G1624">IF(B1624="", "",
  LET(_xlpm.spell, IFERROR(IF(F1624="", "", INDEX(_xlws.FILTER(Hairstyles!$F:$F, ISNUMBER(SEARCH(F1624, Hairstyles!$B:$B))), 1)), "No Spell for Hairstyle"),
  _xlpm.vanillaPrefix, IF(LEFT(_xlpm.spell, 7)="Uvi_Wig", "", ";"),
  ";" &amp; IF(C1624="", B1624, C1624) &amp; IF(M1624="", "", " ("&amp;M1624&amp;")") &amp; CHAR(10) &amp;
  _xlpm.vanillaPrefix &amp; "Keyword = Uvi_Wig_Distr_KYWD|" &amp; B1624 &amp; CHAR(10) &amp;
  _xlpm.vanillaPrefix &amp; "Spell = " &amp; _xlpm.spell &amp; "|" &amp; B1624
  )
)</f>
        <v>;Unemployed Laborer
;Keyword = Uvi_Wig_Distr_KYWD|DBRecurringContact10Rorikstead
;Spell = No Spell for Hairstyle|DBRecurringContact10Rorikstead</v>
      </c>
    </row>
    <row r="1625" ht="12.75" customHeight="1">
      <c r="A1625" s="5" t="s">
        <v>5533</v>
      </c>
      <c r="B1625" s="5" t="s">
        <v>5534</v>
      </c>
      <c r="C1625" s="5" t="s">
        <v>5534</v>
      </c>
      <c r="D1625" s="5" t="s">
        <v>90</v>
      </c>
      <c r="E1625" s="5" t="s">
        <v>233</v>
      </c>
      <c r="F1625" s="5" t="s">
        <v>1541</v>
      </c>
      <c r="G1625" s="14" t="str">
        <f t="array" ref="G1625">IF(B1625="", "",
  LET(_xlpm.spell, IFERROR(IF(F1625="", "", INDEX(_xlws.FILTER(Hairstyles!$F:$F, ISNUMBER(SEARCH(F1625, Hairstyles!$B:$B))), 1)), "No Spell for Hairstyle"),
  _xlpm.vanillaPrefix, IF(LEFT(_xlpm.spell, 7)="Uvi_Wig", "", ";"),
  ";" &amp; IF(C1625="", B1625, C1625) &amp; IF(M1625="", "", " ("&amp;M1625&amp;")") &amp; CHAR(10) &amp;
  _xlpm.vanillaPrefix &amp; "Keyword = Uvi_Wig_Distr_KYWD|" &amp; B1625 &amp; CHAR(10) &amp;
  _xlpm.vanillaPrefix &amp; "Spell = " &amp; _xlpm.spell &amp; "|" &amp; B1625
  )
)</f>
        <v>;Ungrien
;Keyword = Uvi_Wig_Distr_KYWD|Ungrien
;Spell = No Spell for Hairstyle|Ungrien</v>
      </c>
    </row>
    <row r="1626" ht="12.75" customHeight="1">
      <c r="A1626" s="5" t="s">
        <v>5535</v>
      </c>
      <c r="B1626" s="5" t="s">
        <v>5536</v>
      </c>
      <c r="C1626" s="5" t="s">
        <v>5537</v>
      </c>
      <c r="D1626" s="5" t="s">
        <v>38</v>
      </c>
      <c r="E1626" s="5" t="s">
        <v>233</v>
      </c>
      <c r="F1626" s="5" t="s">
        <v>1553</v>
      </c>
      <c r="G1626" s="14" t="str">
        <f t="array" ref="G1626">IF(B1626="", "",
  LET(_xlpm.spell, IFERROR(IF(F1626="", "", INDEX(_xlws.FILTER(Hairstyles!$F:$F, ISNUMBER(SEARCH(F1626, Hairstyles!$B:$B))), 1)), "No Spell for Hairstyle"),
  _xlpm.vanillaPrefix, IF(LEFT(_xlpm.spell, 7)="Uvi_Wig", "", ";"),
  ";" &amp; IF(C1626="", B1626, C1626) &amp; IF(M1626="", "", " ("&amp;M1626&amp;")") &amp; CHAR(10) &amp;
  _xlpm.vanillaPrefix &amp; "Keyword = Uvi_Wig_Distr_KYWD|" &amp; B1626 &amp; CHAR(10) &amp;
  _xlpm.vanillaPrefix &amp; "Spell = " &amp; _xlpm.spell &amp; "|" &amp; B1626
  )
)</f>
        <v>;Unmid Snow-Shod
;Keyword = Uvi_Wig_Distr_KYWD|Unmid
;Spell = No Spell for Hairstyle|Unmid</v>
      </c>
    </row>
    <row r="1627" ht="12.75" customHeight="1">
      <c r="A1627" s="5" t="s">
        <v>5538</v>
      </c>
      <c r="B1627" s="5" t="s">
        <v>5539</v>
      </c>
      <c r="C1627" s="5" t="s">
        <v>5539</v>
      </c>
      <c r="D1627" s="5" t="s">
        <v>16</v>
      </c>
      <c r="E1627" s="5" t="s">
        <v>233</v>
      </c>
      <c r="F1627" s="5" t="s">
        <v>990</v>
      </c>
      <c r="G1627" s="14" t="str">
        <f t="array" ref="G1627">IF(B1627="", "",
  LET(_xlpm.spell, IFERROR(IF(F1627="", "", INDEX(_xlws.FILTER(Hairstyles!$F:$F, ISNUMBER(SEARCH(F1627, Hairstyles!$B:$B))), 1)), "No Spell for Hairstyle"),
  _xlpm.vanillaPrefix, IF(LEFT(_xlpm.spell, 7)="Uvi_Wig", "", ";"),
  ";" &amp; IF(C1627="", B1627, C1627) &amp; IF(M1627="", "", " ("&amp;M1627&amp;")") &amp; CHAR(10) &amp;
  _xlpm.vanillaPrefix &amp; "Keyword = Uvi_Wig_Distr_KYWD|" &amp; B1627 &amp; CHAR(10) &amp;
  _xlpm.vanillaPrefix &amp; "Spell = " &amp; _xlpm.spell &amp; "|" &amp; B1627
  )
)</f>
        <v>;Uraccen
;Keyword = Uvi_Wig_Distr_KYWD|Uraccen
;Spell = No Spell for Hairstyle|Uraccen</v>
      </c>
    </row>
    <row r="1628" ht="12.75" customHeight="1">
      <c r="A1628" s="5" t="s">
        <v>5540</v>
      </c>
      <c r="B1628" s="5" t="s">
        <v>5541</v>
      </c>
      <c r="C1628" s="5" t="s">
        <v>5542</v>
      </c>
      <c r="D1628" s="5" t="s">
        <v>80</v>
      </c>
      <c r="E1628" s="5" t="s">
        <v>233</v>
      </c>
      <c r="F1628" s="5" t="s">
        <v>177</v>
      </c>
      <c r="G1628" s="14" t="str">
        <f t="array" ref="G1628">IF(B1628="", "",
  LET(_xlpm.spell, IFERROR(IF(F1628="", "", INDEX(_xlws.FILTER(Hairstyles!$F:$F, ISNUMBER(SEARCH(F1628, Hairstyles!$B:$B))), 1)), "No Spell for Hairstyle"),
  _xlpm.vanillaPrefix, IF(LEFT(_xlpm.spell, 7)="Uvi_Wig", "", ";"),
  ";" &amp; IF(C1628="", B1628, C1628) &amp; IF(M1628="", "", " ("&amp;M1628&amp;")") &amp; CHAR(10) &amp;
  _xlpm.vanillaPrefix &amp; "Keyword = Uvi_Wig_Distr_KYWD|" &amp; B1628 &amp; CHAR(10) &amp;
  _xlpm.vanillaPrefix &amp; "Spell = " &amp; _xlpm.spell &amp; "|" &amp; B1628
  )
)</f>
        <v>;Urag gro-Shub
;Keyword = Uvi_Wig_Distr_KYWD|UraggroShub
;Spell = No Spell for Hairstyle|UraggroShub</v>
      </c>
    </row>
    <row r="1629" ht="12.75" customHeight="1">
      <c r="A1629" s="5" t="s">
        <v>5543</v>
      </c>
      <c r="B1629" s="5" t="s">
        <v>5544</v>
      </c>
      <c r="C1629" s="5" t="s">
        <v>5545</v>
      </c>
      <c r="D1629" s="5" t="s">
        <v>38</v>
      </c>
      <c r="E1629" s="5" t="s">
        <v>233</v>
      </c>
      <c r="F1629" s="5" t="s">
        <v>424</v>
      </c>
      <c r="G1629" s="14" t="str">
        <f t="array" ref="G1629">IF(B1629="", "",
  LET(_xlpm.spell, IFERROR(IF(F1629="", "", INDEX(_xlws.FILTER(Hairstyles!$F:$F, ISNUMBER(SEARCH(F1629, Hairstyles!$B:$B))), 1)), "No Spell for Hairstyle"),
  _xlpm.vanillaPrefix, IF(LEFT(_xlpm.spell, 7)="Uvi_Wig", "", ";"),
  ";" &amp; IF(C1629="", B1629, C1629) &amp; IF(M1629="", "", " ("&amp;M1629&amp;")") &amp; CHAR(10) &amp;
  _xlpm.vanillaPrefix &amp; "Keyword = Uvi_Wig_Distr_KYWD|" &amp; B1629 &amp; CHAR(10) &amp;
  _xlpm.vanillaPrefix &amp; "Spell = " &amp; _xlpm.spell &amp; "|" &amp; B1629
  )
)</f>
        <v>;Urchin
;Keyword = Uvi_Wig_Distr_KYWD|DBCourierUrchin
;Spell = No Spell for Hairstyle|DBCourierUrchin</v>
      </c>
    </row>
    <row r="1630" ht="12.75" customHeight="1">
      <c r="A1630" s="5" t="s">
        <v>5546</v>
      </c>
      <c r="B1630" s="5" t="s">
        <v>5547</v>
      </c>
      <c r="C1630" s="5" t="s">
        <v>5547</v>
      </c>
      <c r="D1630" s="5" t="s">
        <v>80</v>
      </c>
      <c r="E1630" s="5" t="s">
        <v>41</v>
      </c>
      <c r="F1630" s="5" t="s">
        <v>365</v>
      </c>
      <c r="G1630" s="14" t="str">
        <f t="array" ref="G1630">IF(B1630="", "",
  LET(_xlpm.spell, IFERROR(IF(F1630="", "", INDEX(_xlws.FILTER(Hairstyles!$F:$F, ISNUMBER(SEARCH(F1630, Hairstyles!$B:$B))), 1)), "No Spell for Hairstyle"),
  _xlpm.vanillaPrefix, IF(LEFT(_xlpm.spell, 7)="Uvi_Wig", "", ";"),
  ";" &amp; IF(C1630="", B1630, C1630) &amp; IF(M1630="", "", " ("&amp;M1630&amp;")") &amp; CHAR(10) &amp;
  _xlpm.vanillaPrefix &amp; "Keyword = Uvi_Wig_Distr_KYWD|" &amp; B1630 &amp; CHAR(10) &amp;
  _xlpm.vanillaPrefix &amp; "Spell = " &amp; _xlpm.spell &amp; "|" &amp; B1630
  )
)</f>
        <v>;Urog
;Keyword = Uvi_Wig_Distr_KYWD|Urog
;Spell = No Spell for Hairstyle|Urog</v>
      </c>
    </row>
    <row r="1631" ht="12.75" customHeight="1">
      <c r="A1631" s="5" t="s">
        <v>5548</v>
      </c>
      <c r="B1631" s="5" t="s">
        <v>5549</v>
      </c>
      <c r="C1631" s="5" t="s">
        <v>5550</v>
      </c>
      <c r="D1631" s="5" t="s">
        <v>80</v>
      </c>
      <c r="E1631" s="5" t="s">
        <v>41</v>
      </c>
      <c r="F1631" s="5" t="s">
        <v>522</v>
      </c>
      <c r="G1631" s="14" t="str">
        <f t="array" ref="G1631">IF(B1631="", "",
  LET(_xlpm.spell, IFERROR(IF(F1631="", "", INDEX(_xlws.FILTER(Hairstyles!$F:$F, ISNUMBER(SEARCH(F1631, Hairstyles!$B:$B))), 1)), "No Spell for Hairstyle"),
  _xlpm.vanillaPrefix, IF(LEFT(_xlpm.spell, 7)="Uvi_Wig", "", ";"),
  ";" &amp; IF(C1631="", B1631, C1631) &amp; IF(M1631="", "", " ("&amp;M1631&amp;")") &amp; CHAR(10) &amp;
  _xlpm.vanillaPrefix &amp; "Keyword = Uvi_Wig_Distr_KYWD|" &amp; B1631 &amp; CHAR(10) &amp;
  _xlpm.vanillaPrefix &amp; "Spell = " &amp; _xlpm.spell &amp; "|" &amp; B1631
  )
)</f>
        <v>;Urzoga gra-Shugurz
;Keyword = Uvi_Wig_Distr_KYWD|UrzogaGraShugurz
;Spell = No Spell for Hairstyle|UrzogaGraShugurz</v>
      </c>
    </row>
    <row r="1632" ht="12.75" customHeight="1">
      <c r="A1632" s="5" t="s">
        <v>5551</v>
      </c>
      <c r="B1632" s="5" t="s">
        <v>5552</v>
      </c>
      <c r="C1632" s="5" t="s">
        <v>5553</v>
      </c>
      <c r="D1632" s="5" t="s">
        <v>10</v>
      </c>
      <c r="E1632" s="5" t="s">
        <v>233</v>
      </c>
      <c r="F1632" s="5" t="s">
        <v>5110</v>
      </c>
      <c r="G1632" s="14" t="str">
        <f t="array" ref="G1632">IF(B1632="", "",
  LET(_xlpm.spell, IFERROR(IF(F1632="", "", INDEX(_xlws.FILTER(Hairstyles!$F:$F, ISNUMBER(SEARCH(F1632, Hairstyles!$B:$B))), 1)), "No Spell for Hairstyle"),
  _xlpm.vanillaPrefix, IF(LEFT(_xlpm.spell, 7)="Uvi_Wig", "", ";"),
  ";" &amp; IF(C1632="", B1632, C1632) &amp; IF(M1632="", "", " ("&amp;M1632&amp;")") &amp; CHAR(10) &amp;
  _xlpm.vanillaPrefix &amp; "Keyword = Uvi_Wig_Distr_KYWD|" &amp; B1632 &amp; CHAR(10) &amp;
  _xlpm.vanillaPrefix &amp; "Spell = " &amp; _xlpm.spell &amp; "|" &amp; B1632
  )
)</f>
        <v>;Usha
;Keyword = Uvi_Wig_Distr_KYWD|DLC2dunUshaTreasCorpse
;Spell = No Spell for Hairstyle|DLC2dunUshaTreasCorpse</v>
      </c>
    </row>
    <row r="1633" ht="12.75" customHeight="1">
      <c r="A1633" s="15" t="s">
        <v>5554</v>
      </c>
      <c r="B1633" s="5" t="s">
        <v>5555</v>
      </c>
      <c r="C1633" s="5" t="s">
        <v>5556</v>
      </c>
      <c r="D1633" s="5" t="s">
        <v>38</v>
      </c>
      <c r="E1633" s="5" t="s">
        <v>41</v>
      </c>
      <c r="F1633" s="5" t="s">
        <v>1596</v>
      </c>
      <c r="G1633" s="14" t="str">
        <f t="array" ref="G1633">IF(B1633="", "",
  LET(_xlpm.spell, IFERROR(IF(F1633="", "", INDEX(_xlws.FILTER(Hairstyles!$F:$F, ISNUMBER(SEARCH(F1633, Hairstyles!$B:$B))), 1)), "No Spell for Hairstyle"),
  _xlpm.vanillaPrefix, IF(LEFT(_xlpm.spell, 7)="Uvi_Wig", "", ";"),
  ";" &amp; IF(C1633="", B1633, C1633) &amp; IF(M1633="", "", " ("&amp;M1633&amp;")") &amp; CHAR(10) &amp;
  _xlpm.vanillaPrefix &amp; "Keyword = Uvi_Wig_Distr_KYWD|" &amp; B1633 &amp; CHAR(10) &amp;
  _xlpm.vanillaPrefix &amp; "Spell = " &amp; _xlpm.spell &amp; "|" &amp; B1633
  )
)</f>
        <v>;Uthgerd the Unbroken
;Keyword = Uvi_Wig_Distr_KYWD|Uthgerd
;Spell = No Spell for Hairstyle|Uthgerd</v>
      </c>
    </row>
    <row r="1634" ht="12.75" customHeight="1">
      <c r="A1634" s="5" t="s">
        <v>5557</v>
      </c>
      <c r="B1634" s="5" t="s">
        <v>5558</v>
      </c>
      <c r="C1634" s="5" t="s">
        <v>5558</v>
      </c>
      <c r="D1634" s="5" t="s">
        <v>59</v>
      </c>
      <c r="E1634" s="5" t="s">
        <v>41</v>
      </c>
      <c r="F1634" s="5" t="s">
        <v>2118</v>
      </c>
      <c r="G1634" s="14" t="str">
        <f t="array" ref="G1634">IF(B1634="", "",
  LET(_xlpm.spell, IFERROR(IF(F1634="", "", INDEX(_xlws.FILTER(Hairstyles!$F:$F, ISNUMBER(SEARCH(F1634, Hairstyles!$B:$B))), 1)), "No Spell for Hairstyle"),
  _xlpm.vanillaPrefix, IF(LEFT(_xlpm.spell, 7)="Uvi_Wig", "", ";"),
  ";" &amp; IF(C1634="", B1634, C1634) &amp; IF(M1634="", "", " ("&amp;M1634&amp;")") &amp; CHAR(10) &amp;
  _xlpm.vanillaPrefix &amp; "Keyword = Uvi_Wig_Distr_KYWD|" &amp; B1634 &amp; CHAR(10) &amp;
  _xlpm.vanillaPrefix &amp; "Spell = " &amp; _xlpm.spell &amp; "|" &amp; B1634
  )
)</f>
        <v>;Vaermina
;Keyword = Uvi_Wig_Distr_KYWD|Vaermina
;Spell = No Spell for Hairstyle|Vaermina</v>
      </c>
    </row>
    <row r="1635" ht="12.75" customHeight="1">
      <c r="A1635" s="5" t="s">
        <v>5559</v>
      </c>
      <c r="B1635" s="5" t="s">
        <v>5560</v>
      </c>
      <c r="C1635" s="5" t="s">
        <v>5561</v>
      </c>
      <c r="D1635" s="5" t="s">
        <v>57</v>
      </c>
      <c r="E1635" s="5" t="s">
        <v>233</v>
      </c>
      <c r="F1635" s="5" t="s">
        <v>525</v>
      </c>
      <c r="G1635" s="14" t="str">
        <f t="array" ref="G1635">IF(B1635="", "",
  LET(_xlpm.spell, IFERROR(IF(F1635="", "", INDEX(_xlws.FILTER(Hairstyles!$F:$F, ISNUMBER(SEARCH(F1635, Hairstyles!$B:$B))), 1)), "No Spell for Hairstyle"),
  _xlpm.vanillaPrefix, IF(LEFT(_xlpm.spell, 7)="Uvi_Wig", "", ";"),
  ";" &amp; IF(C1635="", B1635, C1635) &amp; IF(M1635="", "", " ("&amp;M1635&amp;")") &amp; CHAR(10) &amp;
  _xlpm.vanillaPrefix &amp; "Keyword = Uvi_Wig_Distr_KYWD|" &amp; B1635 &amp; CHAR(10) &amp;
  _xlpm.vanillaPrefix &amp; "Spell = " &amp; _xlpm.spell &amp; "|" &amp; B1635
  )
)</f>
        <v>;Vaermina Devotee
;Keyword = Uvi_Wig_Distr_KYWD|DA16LvlVaerminaDevoteeBarrier
;Spell = No Spell for Hairstyle|DA16LvlVaerminaDevoteeBarrier</v>
      </c>
    </row>
    <row r="1636" ht="12.75" customHeight="1">
      <c r="A1636" s="5" t="s">
        <v>5562</v>
      </c>
      <c r="B1636" s="5" t="s">
        <v>5563</v>
      </c>
      <c r="C1636" s="5" t="s">
        <v>5563</v>
      </c>
      <c r="D1636" s="5" t="s">
        <v>38</v>
      </c>
      <c r="E1636" s="5" t="s">
        <v>233</v>
      </c>
      <c r="F1636" s="5" t="s">
        <v>84</v>
      </c>
      <c r="G1636" s="14" t="str">
        <f t="array" ref="G1636">IF(B1636="", "",
  LET(_xlpm.spell, IFERROR(IF(F1636="", "", INDEX(_xlws.FILTER(Hairstyles!$F:$F, ISNUMBER(SEARCH(F1636, Hairstyles!$B:$B))), 1)), "No Spell for Hairstyle"),
  _xlpm.vanillaPrefix, IF(LEFT(_xlpm.spell, 7)="Uvi_Wig", "", ";"),
  ";" &amp; IF(C1636="", B1636, C1636) &amp; IF(M1636="", "", " ("&amp;M1636&amp;")") &amp; CHAR(10) &amp;
  _xlpm.vanillaPrefix &amp; "Keyword = Uvi_Wig_Distr_KYWD|" &amp; B1636 &amp; CHAR(10) &amp;
  _xlpm.vanillaPrefix &amp; "Spell = " &amp; _xlpm.spell &amp; "|" &amp; B1636
  )
)</f>
        <v>;Vald
;Keyword = Uvi_Wig_Distr_KYWD|Vald
;Spell = No Spell for Hairstyle|Vald</v>
      </c>
    </row>
    <row r="1637" ht="12.75" customHeight="1">
      <c r="A1637" s="5" t="s">
        <v>5564</v>
      </c>
      <c r="B1637" s="5" t="s">
        <v>5565</v>
      </c>
      <c r="C1637" s="5" t="s">
        <v>5566</v>
      </c>
      <c r="D1637" s="5" t="s">
        <v>38</v>
      </c>
      <c r="E1637" s="5" t="s">
        <v>233</v>
      </c>
      <c r="F1637" s="5" t="s">
        <v>1678</v>
      </c>
      <c r="G1637" s="14" t="str">
        <f t="array" ref="G1637">IF(B1637="", "",
  LET(_xlpm.spell, IFERROR(IF(F1637="", "", INDEX(_xlws.FILTER(Hairstyles!$F:$F, ISNUMBER(SEARCH(F1637, Hairstyles!$B:$B))), 1)), "No Spell for Hairstyle"),
  _xlpm.vanillaPrefix, IF(LEFT(_xlpm.spell, 7)="Uvi_Wig", "", ";"),
  ";" &amp; IF(C1637="", B1637, C1637) &amp; IF(M1637="", "", " ("&amp;M1637&amp;")") &amp; CHAR(10) &amp;
  _xlpm.vanillaPrefix &amp; "Keyword = Uvi_Wig_Distr_KYWD|" &amp; B1637 &amp; CHAR(10) &amp;
  _xlpm.vanillaPrefix &amp; "Spell = " &amp; _xlpm.spell &amp; "|" &amp; B1637
  )
)</f>
        <v>;Valdar
;Keyword = Uvi_Wig_Distr_KYWD|DunValthumeGhostValdar
;Spell = No Spell for Hairstyle|DunValthumeGhostValdar</v>
      </c>
    </row>
    <row r="1638" ht="12.75" customHeight="1">
      <c r="A1638" s="5" t="s">
        <v>5567</v>
      </c>
      <c r="B1638" s="5" t="s">
        <v>5568</v>
      </c>
      <c r="C1638" s="5" t="s">
        <v>5569</v>
      </c>
      <c r="D1638" s="5" t="s">
        <v>38</v>
      </c>
      <c r="E1638" s="5" t="s">
        <v>233</v>
      </c>
      <c r="F1638" s="5" t="s">
        <v>1622</v>
      </c>
      <c r="G1638" s="14" t="str">
        <f t="array" ref="G1638">IF(B1638="", "",
  LET(_xlpm.spell, IFERROR(IF(F1638="", "", INDEX(_xlws.FILTER(Hairstyles!$F:$F, ISNUMBER(SEARCH(F1638, Hairstyles!$B:$B))), 1)), "No Spell for Hairstyle"),
  _xlpm.vanillaPrefix, IF(LEFT(_xlpm.spell, 7)="Uvi_Wig", "", ";"),
  ";" &amp; IF(C1638="", B1638, C1638) &amp; IF(M1638="", "", " ("&amp;M1638&amp;")") &amp; CHAR(10) &amp;
  _xlpm.vanillaPrefix &amp; "Keyword = Uvi_Wig_Distr_KYWD|" &amp; B1638 &amp; CHAR(10) &amp;
  _xlpm.vanillaPrefix &amp; "Spell = " &amp; _xlpm.spell &amp; "|" &amp; B1638
  )
)</f>
        <v>;Valdimar
;Keyword = Uvi_Wig_Distr_KYWD|BYOHHousecarlHjaalmarch
;Spell = No Spell for Hairstyle|BYOHHousecarlHjaalmarch</v>
      </c>
    </row>
    <row r="1639" ht="12.75" customHeight="1">
      <c r="A1639" s="5" t="s">
        <v>5570</v>
      </c>
      <c r="B1639" s="5" t="s">
        <v>5571</v>
      </c>
      <c r="C1639" s="5" t="s">
        <v>5571</v>
      </c>
      <c r="D1639" s="5" t="s">
        <v>38</v>
      </c>
      <c r="E1639" s="5" t="s">
        <v>233</v>
      </c>
      <c r="F1639" s="5" t="s">
        <v>2030</v>
      </c>
      <c r="G1639" s="14" t="str">
        <f t="array" ref="G1639">IF(B1639="", "",
  LET(_xlpm.spell, IFERROR(IF(F1639="", "", INDEX(_xlws.FILTER(Hairstyles!$F:$F, ISNUMBER(SEARCH(F1639, Hairstyles!$B:$B))), 1)), "No Spell for Hairstyle"),
  _xlpm.vanillaPrefix, IF(LEFT(_xlpm.spell, 7)="Uvi_Wig", "", ";"),
  ";" &amp; IF(C1639="", B1639, C1639) &amp; IF(M1639="", "", " ("&amp;M1639&amp;")") &amp; CHAR(10) &amp;
  _xlpm.vanillaPrefix &amp; "Keyword = Uvi_Wig_Distr_KYWD|" &amp; B1639 &amp; CHAR(10) &amp;
  _xlpm.vanillaPrefix &amp; "Spell = " &amp; _xlpm.spell &amp; "|" &amp; B1639
  )
)</f>
        <v>;Valdr
;Keyword = Uvi_Wig_Distr_KYWD|Valdr
;Spell = No Spell for Hairstyle|Valdr</v>
      </c>
    </row>
    <row r="1640" ht="12.75" customHeight="1">
      <c r="A1640" s="5" t="s">
        <v>5572</v>
      </c>
      <c r="B1640" s="5" t="s">
        <v>5573</v>
      </c>
      <c r="C1640" s="5" t="s">
        <v>5574</v>
      </c>
      <c r="D1640" s="5" t="s">
        <v>38</v>
      </c>
      <c r="E1640" s="5" t="s">
        <v>41</v>
      </c>
      <c r="F1640" s="5" t="s">
        <v>5575</v>
      </c>
      <c r="G1640" s="14" t="str">
        <f t="array" ref="G1640">IF(B1640="", "",
  LET(_xlpm.spell, IFERROR(IF(F1640="", "", INDEX(_xlws.FILTER(Hairstyles!$F:$F, ISNUMBER(SEARCH(F1640, Hairstyles!$B:$B))), 1)), "No Spell for Hairstyle"),
  _xlpm.vanillaPrefix, IF(LEFT(_xlpm.spell, 7)="Uvi_Wig", "", ";"),
  ";" &amp; IF(C1640="", B1640, C1640) &amp; IF(M1640="", "", " ("&amp;M1640&amp;")") &amp; CHAR(10) &amp;
  _xlpm.vanillaPrefix &amp; "Keyword = Uvi_Wig_Distr_KYWD|" &amp; B1640 &amp; CHAR(10) &amp;
  _xlpm.vanillaPrefix &amp; "Spell = " &amp; _xlpm.spell &amp; "|" &amp; B1640
  )
)</f>
        <v>;Valerica
;Keyword = Uvi_Wig_Distr_KYWD|DLC1Valerica
;Spell = No Spell for Hairstyle|DLC1Valerica</v>
      </c>
    </row>
    <row r="1641" ht="12.75" customHeight="1">
      <c r="A1641" s="15" t="s">
        <v>5576</v>
      </c>
      <c r="B1641" s="5" t="s">
        <v>5577</v>
      </c>
      <c r="C1641" s="5" t="s">
        <v>5578</v>
      </c>
      <c r="D1641" s="5" t="s">
        <v>59</v>
      </c>
      <c r="E1641" s="5" t="s">
        <v>41</v>
      </c>
      <c r="F1641" s="5" t="s">
        <v>42</v>
      </c>
      <c r="G1641" s="14" t="str">
        <f t="array" ref="G1641">IF(B1641="", "",
  LET(_xlpm.spell, IFERROR(IF(F1641="", "", INDEX(_xlws.FILTER(Hairstyles!$F:$F, ISNUMBER(SEARCH(F1641, Hairstyles!$B:$B))), 1)), "No Spell for Hairstyle"),
  _xlpm.vanillaPrefix, IF(LEFT(_xlpm.spell, 7)="Uvi_Wig", "", ";"),
  ";" &amp; IF(C1641="", B1641, C1641) &amp; IF(M1641="", "", " ("&amp;M1641&amp;")") &amp; CHAR(10) &amp;
  _xlpm.vanillaPrefix &amp; "Keyword = Uvi_Wig_Distr_KYWD|" &amp; B1641 &amp; CHAR(10) &amp;
  _xlpm.vanillaPrefix &amp; "Spell = " &amp; _xlpm.spell &amp; "|" &amp; B1641
  )
)</f>
        <v>;Valga Vinicia
;Keyword = Uvi_Wig_Distr_KYWD|ValgaVinicia
;Spell = No Spell for Hairstyle|ValgaVinicia</v>
      </c>
    </row>
    <row r="1642" ht="12.75" customHeight="1">
      <c r="A1642" s="5" t="s">
        <v>5579</v>
      </c>
      <c r="B1642" s="5" t="s">
        <v>5580</v>
      </c>
      <c r="C1642" s="5" t="s">
        <v>5581</v>
      </c>
      <c r="D1642" s="5" t="s">
        <v>57</v>
      </c>
      <c r="E1642" s="5" t="s">
        <v>41</v>
      </c>
      <c r="F1642" s="5" t="s">
        <v>1656</v>
      </c>
      <c r="G1642" s="14" t="str">
        <f t="array" ref="G1642">IF(B1642="", "",
  LET(_xlpm.spell, IFERROR(IF(F1642="", "", INDEX(_xlws.FILTER(Hairstyles!$F:$F, ISNUMBER(SEARCH(F1642, Hairstyles!$B:$B))), 1)), "No Spell for Hairstyle"),
  _xlpm.vanillaPrefix, IF(LEFT(_xlpm.spell, 7)="Uvi_Wig", "", ";"),
  ";" &amp; IF(C1642="", B1642, C1642) &amp; IF(M1642="", "", " ("&amp;M1642&amp;")") &amp; CHAR(10) &amp;
  _xlpm.vanillaPrefix &amp; "Keyword = Uvi_Wig_Distr_KYWD|" &amp; B1642 &amp; CHAR(10) &amp;
  _xlpm.vanillaPrefix &amp; "Spell = " &amp; _xlpm.spell &amp; "|" &amp; B1642
  )
)</f>
        <v>;Valie
;Keyword = Uvi_Wig_Distr_KYWD|dunAlftandValie
;Spell = No Spell for Hairstyle|dunAlftandValie</v>
      </c>
    </row>
    <row r="1643" ht="12.75" customHeight="1">
      <c r="A1643" s="5" t="s">
        <v>5582</v>
      </c>
      <c r="B1643" s="5" t="s">
        <v>5583</v>
      </c>
      <c r="C1643" s="5" t="s">
        <v>5583</v>
      </c>
      <c r="D1643" s="5" t="s">
        <v>90</v>
      </c>
      <c r="E1643" s="5" t="s">
        <v>233</v>
      </c>
      <c r="F1643" s="5" t="s">
        <v>2469</v>
      </c>
      <c r="G1643" s="14" t="str">
        <f t="array" ref="G1643">IF(B1643="", "",
  LET(_xlpm.spell, IFERROR(IF(F1643="", "", INDEX(_xlws.FILTER(Hairstyles!$F:$F, ISNUMBER(SEARCH(F1643, Hairstyles!$B:$B))), 1)), "No Spell for Hairstyle"),
  _xlpm.vanillaPrefix, IF(LEFT(_xlpm.spell, 7)="Uvi_Wig", "", ";"),
  ";" &amp; IF(C1643="", B1643, C1643) &amp; IF(M1643="", "", " ("&amp;M1643&amp;")") &amp; CHAR(10) &amp;
  _xlpm.vanillaPrefix &amp; "Keyword = Uvi_Wig_Distr_KYWD|" &amp; B1643 &amp; CHAR(10) &amp;
  _xlpm.vanillaPrefix &amp; "Spell = " &amp; _xlpm.spell &amp; "|" &amp; B1643
  )
)</f>
        <v>;Valindor
;Keyword = Uvi_Wig_Distr_KYWD|Valindor
;Spell = No Spell for Hairstyle|Valindor</v>
      </c>
    </row>
    <row r="1644" ht="12.75" customHeight="1">
      <c r="A1644" s="5" t="s">
        <v>5584</v>
      </c>
      <c r="B1644" s="5" t="s">
        <v>5585</v>
      </c>
      <c r="C1644" s="5" t="s">
        <v>5586</v>
      </c>
      <c r="D1644" s="5" t="s">
        <v>45</v>
      </c>
      <c r="E1644" s="5" t="s">
        <v>233</v>
      </c>
      <c r="F1644" s="5" t="s">
        <v>91</v>
      </c>
      <c r="G1644" s="14" t="str">
        <f t="array" ref="G1644">IF(B1644="", "",
  LET(_xlpm.spell, IFERROR(IF(F1644="", "", INDEX(_xlws.FILTER(Hairstyles!$F:$F, ISNUMBER(SEARCH(F1644, Hairstyles!$B:$B))), 1)), "No Spell for Hairstyle"),
  _xlpm.vanillaPrefix, IF(LEFT(_xlpm.spell, 7)="Uvi_Wig", "", ";"),
  ";" &amp; IF(C1644="", B1644, C1644) &amp; IF(M1644="", "", " ("&amp;M1644&amp;")") &amp; CHAR(10) &amp;
  _xlpm.vanillaPrefix &amp; "Keyword = Uvi_Wig_Distr_KYWD|" &amp; B1644 &amp; CHAR(10) &amp;
  _xlpm.vanillaPrefix &amp; "Spell = " &amp; _xlpm.spell &amp; "|" &amp; B1644
  )
)</f>
        <v>;Vals Veran
;Keyword = Uvi_Wig_Distr_KYWD|ValsVeran
;Spell = No Spell for Hairstyle|ValsVeran</v>
      </c>
    </row>
    <row r="1645" ht="12.75" customHeight="1">
      <c r="A1645" s="5" t="s">
        <v>5587</v>
      </c>
      <c r="B1645" s="5" t="s">
        <v>5588</v>
      </c>
      <c r="C1645" s="5" t="s">
        <v>5589</v>
      </c>
      <c r="D1645" s="5" t="s">
        <v>79</v>
      </c>
      <c r="E1645" s="5" t="s">
        <v>233</v>
      </c>
      <c r="F1645" s="5" t="s">
        <v>1566</v>
      </c>
      <c r="G1645" s="14" t="str">
        <f t="array" ref="G1645">IF(B1645="", "",
  LET(_xlpm.spell, IFERROR(IF(F1645="", "", INDEX(_xlws.FILTER(Hairstyles!$F:$F, ISNUMBER(SEARCH(F1645, Hairstyles!$B:$B))), 1)), "No Spell for Hairstyle"),
  _xlpm.vanillaPrefix, IF(LEFT(_xlpm.spell, 7)="Uvi_Wig", "", ";"),
  ";" &amp; IF(C1645="", B1645, C1645) &amp; IF(M1645="", "", " ("&amp;M1645&amp;")") &amp; CHAR(10) &amp;
  _xlpm.vanillaPrefix &amp; "Keyword = Uvi_Wig_Distr_KYWD|" &amp; B1645 &amp; CHAR(10) &amp;
  _xlpm.vanillaPrefix &amp; "Spell = " &amp; _xlpm.spell &amp; "|" &amp; B1645
  )
)</f>
        <v>;Vampire
;Keyword = Uvi_Wig_Distr_KYWD|DLC1EncVampire00TemplateBoss
;Spell = No Spell for Hairstyle|DLC1EncVampire00TemplateBoss</v>
      </c>
    </row>
    <row r="1646" ht="12.75" customHeight="1">
      <c r="A1646" s="5" t="s">
        <v>5590</v>
      </c>
      <c r="B1646" s="5" t="s">
        <v>5591</v>
      </c>
      <c r="C1646" s="5" t="s">
        <v>5589</v>
      </c>
      <c r="D1646" s="5" t="s">
        <v>79</v>
      </c>
      <c r="E1646" s="5" t="s">
        <v>233</v>
      </c>
      <c r="F1646" s="5" t="s">
        <v>1709</v>
      </c>
      <c r="G1646" s="14" t="str">
        <f t="array" ref="G1646">IF(B1646="", "",
  LET(_xlpm.spell, IFERROR(IF(F1646="", "", INDEX(_xlws.FILTER(Hairstyles!$F:$F, ISNUMBER(SEARCH(F1646, Hairstyles!$B:$B))), 1)), "No Spell for Hairstyle"),
  _xlpm.vanillaPrefix, IF(LEFT(_xlpm.spell, 7)="Uvi_Wig", "", ";"),
  ";" &amp; IF(C1646="", B1646, C1646) &amp; IF(M1646="", "", " ("&amp;M1646&amp;")") &amp; CHAR(10) &amp;
  _xlpm.vanillaPrefix &amp; "Keyword = Uvi_Wig_Distr_KYWD|" &amp; B1646 &amp; CHAR(10) &amp;
  _xlpm.vanillaPrefix &amp; "Spell = " &amp; _xlpm.spell &amp; "|" &amp; B1646
  )
)</f>
        <v>;Vampire
;Keyword = Uvi_Wig_Distr_KYWD|DLC1EncVampire01TemplateBoss
;Spell = No Spell for Hairstyle|DLC1EncVampire01TemplateBoss</v>
      </c>
    </row>
    <row r="1647" ht="12.75" customHeight="1">
      <c r="A1647" s="5" t="s">
        <v>5592</v>
      </c>
      <c r="B1647" s="5" t="s">
        <v>5593</v>
      </c>
      <c r="C1647" s="5" t="s">
        <v>5589</v>
      </c>
      <c r="D1647" s="5" t="s">
        <v>79</v>
      </c>
      <c r="E1647" s="5" t="s">
        <v>41</v>
      </c>
      <c r="F1647" s="5" t="s">
        <v>1557</v>
      </c>
      <c r="G1647" s="14" t="str">
        <f t="array" ref="G1647">IF(B1647="", "",
  LET(_xlpm.spell, IFERROR(IF(F1647="", "", INDEX(_xlws.FILTER(Hairstyles!$F:$F, ISNUMBER(SEARCH(F1647, Hairstyles!$B:$B))), 1)), "No Spell for Hairstyle"),
  _xlpm.vanillaPrefix, IF(LEFT(_xlpm.spell, 7)="Uvi_Wig", "", ";"),
  ";" &amp; IF(C1647="", B1647, C1647) &amp; IF(M1647="", "", " ("&amp;M1647&amp;")") &amp; CHAR(10) &amp;
  _xlpm.vanillaPrefix &amp; "Keyword = Uvi_Wig_Distr_KYWD|" &amp; B1647 &amp; CHAR(10) &amp;
  _xlpm.vanillaPrefix &amp; "Spell = " &amp; _xlpm.spell &amp; "|" &amp; B1647
  )
)</f>
        <v>;Vampire
;Keyword = Uvi_Wig_Distr_KYWD|EncVampire01Template
;Spell = No Spell for Hairstyle|EncVampire01Template</v>
      </c>
    </row>
    <row r="1648" ht="12.75" customHeight="1">
      <c r="A1648" s="5" t="s">
        <v>5594</v>
      </c>
      <c r="B1648" s="5" t="s">
        <v>5595</v>
      </c>
      <c r="C1648" s="5" t="s">
        <v>5596</v>
      </c>
      <c r="D1648" s="5" t="s">
        <v>38</v>
      </c>
      <c r="E1648" s="5" t="s">
        <v>233</v>
      </c>
      <c r="F1648" s="5" t="s">
        <v>19</v>
      </c>
      <c r="G1648" s="14" t="str">
        <f t="array" ref="G1648">IF(B1648="", "",
  LET(_xlpm.spell, IFERROR(IF(F1648="", "", INDEX(_xlws.FILTER(Hairstyles!$F:$F, ISNUMBER(SEARCH(F1648, Hairstyles!$B:$B))), 1)), "No Spell for Hairstyle"),
  _xlpm.vanillaPrefix, IF(LEFT(_xlpm.spell, 7)="Uvi_Wig", "", ";"),
  ";" &amp; IF(C1648="", B1648, C1648) &amp; IF(M1648="", "", " ("&amp;M1648&amp;")") &amp; CHAR(10) &amp;
  _xlpm.vanillaPrefix &amp; "Keyword = Uvi_Wig_Distr_KYWD|" &amp; B1648 &amp; CHAR(10) &amp;
  _xlpm.vanillaPrefix &amp; "Spell = " &amp; _xlpm.spell &amp; "|" &amp; B1648
  )
)</f>
        <v>;Vampire Cattle
;Keyword = Uvi_Wig_Distr_KYWD|DLC1CastleThrallTemplate1
;Spell = No Spell for Hairstyle|DLC1CastleThrallTemplate1</v>
      </c>
    </row>
    <row r="1649" ht="12.75" customHeight="1">
      <c r="A1649" s="5" t="s">
        <v>5597</v>
      </c>
      <c r="B1649" s="5" t="s">
        <v>5598</v>
      </c>
      <c r="C1649" s="5" t="s">
        <v>5596</v>
      </c>
      <c r="D1649" s="5" t="s">
        <v>38</v>
      </c>
      <c r="E1649" s="5" t="s">
        <v>233</v>
      </c>
      <c r="F1649" s="5" t="s">
        <v>19</v>
      </c>
      <c r="G1649" s="14" t="str">
        <f t="array" ref="G1649">IF(B1649="", "",
  LET(_xlpm.spell, IFERROR(IF(F1649="", "", INDEX(_xlws.FILTER(Hairstyles!$F:$F, ISNUMBER(SEARCH(F1649, Hairstyles!$B:$B))), 1)), "No Spell for Hairstyle"),
  _xlpm.vanillaPrefix, IF(LEFT(_xlpm.spell, 7)="Uvi_Wig", "", ";"),
  ";" &amp; IF(C1649="", B1649, C1649) &amp; IF(M1649="", "", " ("&amp;M1649&amp;")") &amp; CHAR(10) &amp;
  _xlpm.vanillaPrefix &amp; "Keyword = Uvi_Wig_Distr_KYWD|" &amp; B1649 &amp; CHAR(10) &amp;
  _xlpm.vanillaPrefix &amp; "Spell = " &amp; _xlpm.spell &amp; "|" &amp; B1649
  )
)</f>
        <v>;Vampire Cattle
;Keyword = Uvi_Wig_Distr_KYWD|DLC1CastleThrallTemplateDead
;Spell = No Spell for Hairstyle|DLC1CastleThrallTemplateDead</v>
      </c>
    </row>
    <row r="1650" ht="12.75" customHeight="1">
      <c r="A1650" s="15" t="s">
        <v>5599</v>
      </c>
      <c r="B1650" s="5" t="s">
        <v>5600</v>
      </c>
      <c r="C1650" s="5" t="s">
        <v>5601</v>
      </c>
      <c r="D1650" s="5" t="s">
        <v>38</v>
      </c>
      <c r="E1650" s="5" t="s">
        <v>233</v>
      </c>
      <c r="F1650" s="5" t="s">
        <v>475</v>
      </c>
      <c r="G1650" s="14" t="str">
        <f t="array" ref="G1650">IF(B1650="", "",
  LET(_xlpm.spell, IFERROR(IF(F1650="", "", INDEX(_xlws.FILTER(Hairstyles!$F:$F, ISNUMBER(SEARCH(F1650, Hairstyles!$B:$B))), 1)), "No Spell for Hairstyle"),
  _xlpm.vanillaPrefix, IF(LEFT(_xlpm.spell, 7)="Uvi_Wig", "", ";"),
  ";" &amp; IF(C1650="", B1650, C1650) &amp; IF(M1650="", "", " ("&amp;M1650&amp;")") &amp; CHAR(10) &amp;
  _xlpm.vanillaPrefix &amp; "Keyword = Uvi_Wig_Distr_KYWD|" &amp; B1650 &amp; CHAR(10) &amp;
  _xlpm.vanillaPrefix &amp; "Spell = " &amp; _xlpm.spell &amp; "|" &amp; B1650
  )
)</f>
        <v>;Vampire Court Member
;Keyword = Uvi_Wig_Distr_KYWD|DLC1EncVampireTemplate
;Spell = No Spell for Hairstyle|DLC1EncVampireTemplate</v>
      </c>
    </row>
    <row r="1651" ht="12.75" customHeight="1">
      <c r="A1651" s="5" t="s">
        <v>5602</v>
      </c>
      <c r="B1651" s="5" t="s">
        <v>5603</v>
      </c>
      <c r="C1651" s="5" t="s">
        <v>5604</v>
      </c>
      <c r="D1651" s="5" t="s">
        <v>79</v>
      </c>
      <c r="E1651" s="5" t="s">
        <v>41</v>
      </c>
      <c r="F1651" s="5" t="s">
        <v>1557</v>
      </c>
      <c r="G1651" s="14" t="str">
        <f t="array" ref="G1651">IF(B1651="", "",
  LET(_xlpm.spell, IFERROR(IF(F1651="", "", INDEX(_xlws.FILTER(Hairstyles!$F:$F, ISNUMBER(SEARCH(F1651, Hairstyles!$B:$B))), 1)), "No Spell for Hairstyle"),
  _xlpm.vanillaPrefix, IF(LEFT(_xlpm.spell, 7)="Uvi_Wig", "", ";"),
  ";" &amp; IF(C1651="", B1651, C1651) &amp; IF(M1651="", "", " ("&amp;M1651&amp;")") &amp; CHAR(10) &amp;
  _xlpm.vanillaPrefix &amp; "Keyword = Uvi_Wig_Distr_KYWD|" &amp; B1651 &amp; CHAR(10) &amp;
  _xlpm.vanillaPrefix &amp; "Spell = " &amp; _xlpm.spell &amp; "|" &amp; B1651
  )
)</f>
        <v>;Vampire Fledgling
;Keyword = Uvi_Wig_Distr_KYWD|EncVampire00Template
;Spell = No Spell for Hairstyle|EncVampire00Template</v>
      </c>
    </row>
    <row r="1652" ht="12.75" customHeight="1">
      <c r="A1652" s="5" t="s">
        <v>5605</v>
      </c>
      <c r="B1652" s="5" t="s">
        <v>5606</v>
      </c>
      <c r="C1652" s="5" t="s">
        <v>5607</v>
      </c>
      <c r="D1652" s="5" t="s">
        <v>38</v>
      </c>
      <c r="E1652" s="5" t="s">
        <v>233</v>
      </c>
      <c r="F1652" s="5" t="s">
        <v>475</v>
      </c>
      <c r="G1652" s="14" t="str">
        <f t="array" ref="G1652">IF(B1652="", "",
  LET(_xlpm.spell, IFERROR(IF(F1652="", "", INDEX(_xlws.FILTER(Hairstyles!$F:$F, ISNUMBER(SEARCH(F1652, Hairstyles!$B:$B))), 1)), "No Spell for Hairstyle"),
  _xlpm.vanillaPrefix, IF(LEFT(_xlpm.spell, 7)="Uvi_Wig", "", ";"),
  ";" &amp; IF(C1652="", B1652, C1652) &amp; IF(M1652="", "", " ("&amp;M1652&amp;")") &amp; CHAR(10) &amp;
  _xlpm.vanillaPrefix &amp; "Keyword = Uvi_Wig_Distr_KYWD|" &amp; B1652 &amp; CHAR(10) &amp;
  _xlpm.vanillaPrefix &amp; "Spell = " &amp; _xlpm.spell &amp; "|" &amp; B1652
  )
)</f>
        <v>;Vampire Hunter
;Keyword = Uvi_Wig_Distr_KYWD|DLC1EncHunterTemplate
;Spell = No Spell for Hairstyle|DLC1EncHunterTemplate</v>
      </c>
    </row>
    <row r="1653" ht="12.75" customHeight="1">
      <c r="A1653" s="5" t="s">
        <v>5608</v>
      </c>
      <c r="B1653" s="5" t="s">
        <v>5609</v>
      </c>
      <c r="C1653" s="5" t="s">
        <v>5610</v>
      </c>
      <c r="D1653" s="5" t="s">
        <v>79</v>
      </c>
      <c r="E1653" s="5" t="s">
        <v>41</v>
      </c>
      <c r="F1653" s="5" t="s">
        <v>1557</v>
      </c>
      <c r="G1653" s="14" t="str">
        <f t="array" ref="G1653">IF(B1653="", "",
  LET(_xlpm.spell, IFERROR(IF(F1653="", "", INDEX(_xlws.FILTER(Hairstyles!$F:$F, ISNUMBER(SEARCH(F1653, Hairstyles!$B:$B))), 1)), "No Spell for Hairstyle"),
  _xlpm.vanillaPrefix, IF(LEFT(_xlpm.spell, 7)="Uvi_Wig", "", ";"),
  ";" &amp; IF(C1653="", B1653, C1653) &amp; IF(M1653="", "", " ("&amp;M1653&amp;")") &amp; CHAR(10) &amp;
  _xlpm.vanillaPrefix &amp; "Keyword = Uvi_Wig_Distr_KYWD|" &amp; B1653 &amp; CHAR(10) &amp;
  _xlpm.vanillaPrefix &amp; "Spell = " &amp; _xlpm.spell &amp; "|" &amp; B1653
  )
)</f>
        <v>;Vampire Mistwalker
;Keyword = Uvi_Wig_Distr_KYWD|EncVampire03Template
;Spell = No Spell for Hairstyle|EncVampire03Template</v>
      </c>
    </row>
    <row r="1654" ht="12.75" customHeight="1">
      <c r="A1654" s="15" t="s">
        <v>5611</v>
      </c>
      <c r="B1654" s="5" t="s">
        <v>5612</v>
      </c>
      <c r="C1654" s="5" t="s">
        <v>5613</v>
      </c>
      <c r="D1654" s="5" t="s">
        <v>79</v>
      </c>
      <c r="E1654" s="5" t="s">
        <v>41</v>
      </c>
      <c r="F1654" s="5" t="s">
        <v>1557</v>
      </c>
      <c r="G1654" s="14" t="str">
        <f t="array" ref="G1654">IF(B1654="", "",
  LET(_xlpm.spell, IFERROR(IF(F1654="", "", INDEX(_xlws.FILTER(Hairstyles!$F:$F, ISNUMBER(SEARCH(F1654, Hairstyles!$B:$B))), 1)), "No Spell for Hairstyle"),
  _xlpm.vanillaPrefix, IF(LEFT(_xlpm.spell, 7)="Uvi_Wig", "", ";"),
  ";" &amp; IF(C1654="", B1654, C1654) &amp; IF(M1654="", "", " ("&amp;M1654&amp;")") &amp; CHAR(10) &amp;
  _xlpm.vanillaPrefix &amp; "Keyword = Uvi_Wig_Distr_KYWD|" &amp; B1654 &amp; CHAR(10) &amp;
  _xlpm.vanillaPrefix &amp; "Spell = " &amp; _xlpm.spell &amp; "|" &amp; B1654
  )
)</f>
        <v>;Vampire Nightstalker
;Keyword = Uvi_Wig_Distr_KYWD|EncVampire04Template
;Spell = No Spell for Hairstyle|EncVampire04Template</v>
      </c>
    </row>
    <row r="1655" ht="12.75" customHeight="1">
      <c r="A1655" s="5" t="s">
        <v>5614</v>
      </c>
      <c r="B1655" s="5" t="s">
        <v>5615</v>
      </c>
      <c r="C1655" s="5" t="s">
        <v>5616</v>
      </c>
      <c r="D1655" s="5" t="s">
        <v>90</v>
      </c>
      <c r="E1655" s="5" t="s">
        <v>41</v>
      </c>
      <c r="F1655" s="5" t="s">
        <v>92</v>
      </c>
      <c r="G1655" s="14" t="str">
        <f t="array" ref="G1655">IF(B1655="", "",
  LET(_xlpm.spell, IFERROR(IF(F1655="", "", INDEX(_xlws.FILTER(Hairstyles!$F:$F, ISNUMBER(SEARCH(F1655, Hairstyles!$B:$B))), 1)), "No Spell for Hairstyle"),
  _xlpm.vanillaPrefix, IF(LEFT(_xlpm.spell, 7)="Uvi_Wig", "", ";"),
  ";" &amp; IF(C1655="", B1655, C1655) &amp; IF(M1655="", "", " ("&amp;M1655&amp;")") &amp; CHAR(10) &amp;
  _xlpm.vanillaPrefix &amp; "Keyword = Uvi_Wig_Distr_KYWD|" &amp; B1655 &amp; CHAR(10) &amp;
  _xlpm.vanillaPrefix &amp; "Spell = " &amp; _xlpm.spell &amp; "|" &amp; B1655
  )
)</f>
        <v>;Vampire's Thrall
;Keyword = Uvi_Wig_Distr_KYWD|DLC1dunRedwaterDenVampireThrallMissileEvenTonedF
;Spell = No Spell for Hairstyle|DLC1dunRedwaterDenVampireThrallMissileEvenTonedF</v>
      </c>
    </row>
    <row r="1656" ht="12.75" customHeight="1">
      <c r="A1656" s="15" t="s">
        <v>5617</v>
      </c>
      <c r="B1656" s="5" t="s">
        <v>5618</v>
      </c>
      <c r="C1656" s="5" t="s">
        <v>5616</v>
      </c>
      <c r="D1656" s="5" t="s">
        <v>38</v>
      </c>
      <c r="E1656" s="5" t="s">
        <v>233</v>
      </c>
      <c r="F1656" s="5" t="s">
        <v>68</v>
      </c>
      <c r="G1656" s="14" t="str">
        <f t="array" ref="G1656">IF(B1656="", "",
  LET(_xlpm.spell, IFERROR(IF(F1656="", "", INDEX(_xlws.FILTER(Hairstyles!$F:$F, ISNUMBER(SEARCH(F1656, Hairstyles!$B:$B))), 1)), "No Spell for Hairstyle"),
  _xlpm.vanillaPrefix, IF(LEFT(_xlpm.spell, 7)="Uvi_Wig", "", ";"),
  ";" &amp; IF(C1656="", B1656, C1656) &amp; IF(M1656="", "", " ("&amp;M1656&amp;")") &amp; CHAR(10) &amp;
  _xlpm.vanillaPrefix &amp; "Keyword = Uvi_Wig_Distr_KYWD|" &amp; B1656 &amp; CHAR(10) &amp;
  _xlpm.vanillaPrefix &amp; "Spell = " &amp; _xlpm.spell &amp; "|" &amp; B1656
  )
)</f>
        <v>;Vampire's Thrall
;Keyword = Uvi_Wig_Distr_KYWD|DLC1LvlRedwaterThrallMeleeCommonerAcMAggro1024
;Spell = No Spell for Hairstyle|DLC1LvlRedwaterThrallMeleeCommonerAcMAggro1024</v>
      </c>
    </row>
    <row r="1657" ht="12.75" customHeight="1">
      <c r="A1657" s="5" t="s">
        <v>5619</v>
      </c>
      <c r="B1657" s="5" t="s">
        <v>5620</v>
      </c>
      <c r="C1657" s="5" t="s">
        <v>5616</v>
      </c>
      <c r="D1657" s="5" t="s">
        <v>38</v>
      </c>
      <c r="E1657" s="5" t="s">
        <v>233</v>
      </c>
      <c r="F1657" s="5" t="s">
        <v>68</v>
      </c>
      <c r="G1657" s="14" t="str">
        <f t="array" ref="G1657">IF(B1657="", "",
  LET(_xlpm.spell, IFERROR(IF(F1657="", "", INDEX(_xlws.FILTER(Hairstyles!$F:$F, ISNUMBER(SEARCH(F1657, Hairstyles!$B:$B))), 1)), "No Spell for Hairstyle"),
  _xlpm.vanillaPrefix, IF(LEFT(_xlpm.spell, 7)="Uvi_Wig", "", ";"),
  ";" &amp; IF(C1657="", B1657, C1657) &amp; IF(M1657="", "", " ("&amp;M1657&amp;")") &amp; CHAR(10) &amp;
  _xlpm.vanillaPrefix &amp; "Keyword = Uvi_Wig_Distr_KYWD|" &amp; B1657 &amp; CHAR(10) &amp;
  _xlpm.vanillaPrefix &amp; "Spell = " &amp; _xlpm.spell &amp; "|" &amp; B1657
  )
)</f>
        <v>;Vampire's Thrall
;Keyword = Uvi_Wig_Distr_KYWD|DLC1LvlVampireThrallMeleeCommonerAcM
;Spell = No Spell for Hairstyle|DLC1LvlVampireThrallMeleeCommonerAcM</v>
      </c>
    </row>
    <row r="1658" ht="12.75" customHeight="1">
      <c r="A1658" s="5" t="s">
        <v>5621</v>
      </c>
      <c r="B1658" s="5" t="s">
        <v>5622</v>
      </c>
      <c r="C1658" s="5" t="s">
        <v>5623</v>
      </c>
      <c r="D1658" s="5" t="s">
        <v>38</v>
      </c>
      <c r="E1658" s="5" t="s">
        <v>233</v>
      </c>
      <c r="F1658" s="5" t="s">
        <v>1622</v>
      </c>
      <c r="G1658" s="14" t="str">
        <f t="array" ref="G1658">IF(B1658="", "",
  LET(_xlpm.spell, IFERROR(IF(F1658="", "", INDEX(_xlws.FILTER(Hairstyles!$F:$F, ISNUMBER(SEARCH(F1658, Hairstyles!$B:$B))), 1)), "No Spell for Hairstyle"),
  _xlpm.vanillaPrefix, IF(LEFT(_xlpm.spell, 7)="Uvi_Wig", "", ";"),
  ";" &amp; IF(C1658="", B1658, C1658) &amp; IF(M1658="", "", " ("&amp;M1658&amp;")") &amp; CHAR(10) &amp;
  _xlpm.vanillaPrefix &amp; "Keyword = Uvi_Wig_Distr_KYWD|" &amp; B1658 &amp; CHAR(10) &amp;
  _xlpm.vanillaPrefix &amp; "Spell = " &amp; _xlpm.spell &amp; "|" &amp; B1658
  )
)</f>
        <v>;Vanik
;Keyword = Uvi_Wig_Distr_KYWD|DLC1Vanik
;Spell = No Spell for Hairstyle|DLC1Vanik</v>
      </c>
    </row>
    <row r="1659" ht="12.75" customHeight="1">
      <c r="A1659" s="5" t="s">
        <v>5624</v>
      </c>
      <c r="B1659" s="5" t="s">
        <v>5625</v>
      </c>
      <c r="C1659" s="5" t="s">
        <v>5626</v>
      </c>
      <c r="D1659" s="5" t="s">
        <v>45</v>
      </c>
      <c r="E1659" s="5" t="s">
        <v>233</v>
      </c>
      <c r="F1659" s="5" t="s">
        <v>543</v>
      </c>
      <c r="G1659" s="14" t="str">
        <f t="array" ref="G1659">IF(B1659="", "",
  LET(_xlpm.spell, IFERROR(IF(F1659="", "", INDEX(_xlws.FILTER(Hairstyles!$F:$F, ISNUMBER(SEARCH(F1659, Hairstyles!$B:$B))), 1)), "No Spell for Hairstyle"),
  _xlpm.vanillaPrefix, IF(LEFT(_xlpm.spell, 7)="Uvi_Wig", "", ";"),
  ";" &amp; IF(C1659="", B1659, C1659) &amp; IF(M1659="", "", " ("&amp;M1659&amp;")") &amp; CHAR(10) &amp;
  _xlpm.vanillaPrefix &amp; "Keyword = Uvi_Wig_Distr_KYWD|" &amp; B1659 &amp; CHAR(10) &amp;
  _xlpm.vanillaPrefix &amp; "Spell = " &amp; _xlpm.spell &amp; "|" &amp; B1659
  )
)</f>
        <v>;Vanryth Gatharian
;Keyword = Uvi_Wig_Distr_KYWD|VanrythGatharian
;Spell = No Spell for Hairstyle|VanrythGatharian</v>
      </c>
    </row>
    <row r="1660" ht="12.75" customHeight="1">
      <c r="A1660" s="5" t="s">
        <v>5627</v>
      </c>
      <c r="B1660" s="5" t="s">
        <v>5628</v>
      </c>
      <c r="C1660" s="5" t="s">
        <v>5629</v>
      </c>
      <c r="D1660" s="5" t="s">
        <v>59</v>
      </c>
      <c r="E1660" s="5" t="s">
        <v>233</v>
      </c>
      <c r="F1660" s="5" t="s">
        <v>218</v>
      </c>
      <c r="G1660" s="14" t="str">
        <f t="array" ref="G1660">IF(B1660="", "",
  LET(_xlpm.spell, IFERROR(IF(F1660="", "", INDEX(_xlws.FILTER(Hairstyles!$F:$F, ISNUMBER(SEARCH(F1660, Hairstyles!$B:$B))), 1)), "No Spell for Hairstyle"),
  _xlpm.vanillaPrefix, IF(LEFT(_xlpm.spell, 7)="Uvi_Wig", "", ";"),
  ";" &amp; IF(C1660="", B1660, C1660) &amp; IF(M1660="", "", " ("&amp;M1660&amp;")") &amp; CHAR(10) &amp;
  _xlpm.vanillaPrefix &amp; "Keyword = Uvi_Wig_Distr_KYWD|" &amp; B1660 &amp; CHAR(10) &amp;
  _xlpm.vanillaPrefix &amp; "Spell = " &amp; _xlpm.spell &amp; "|" &amp; B1660
  )
)</f>
        <v>;Vantus Loreius
;Keyword = Uvi_Wig_Distr_KYWD|VantusLoreius
;Spell = No Spell for Hairstyle|VantusLoreius</v>
      </c>
    </row>
    <row r="1661" ht="12.75" customHeight="1">
      <c r="A1661" s="5" t="s">
        <v>5630</v>
      </c>
      <c r="B1661" s="5" t="s">
        <v>5631</v>
      </c>
      <c r="C1661" s="5" t="s">
        <v>5629</v>
      </c>
      <c r="D1661" s="5" t="s">
        <v>59</v>
      </c>
      <c r="E1661" s="5" t="s">
        <v>233</v>
      </c>
      <c r="F1661" s="5" t="s">
        <v>218</v>
      </c>
      <c r="G1661" s="14" t="str">
        <f t="array" ref="G1661">IF(B1661="", "",
  LET(_xlpm.spell, IFERROR(IF(F1661="", "", INDEX(_xlws.FILTER(Hairstyles!$F:$F, ISNUMBER(SEARCH(F1661, Hairstyles!$B:$B))), 1)), "No Spell for Hairstyle"),
  _xlpm.vanillaPrefix, IF(LEFT(_xlpm.spell, 7)="Uvi_Wig", "", ";"),
  ";" &amp; IF(C1661="", B1661, C1661) &amp; IF(M1661="", "", " ("&amp;M1661&amp;")") &amp; CHAR(10) &amp;
  _xlpm.vanillaPrefix &amp; "Keyword = Uvi_Wig_Distr_KYWD|" &amp; B1661 &amp; CHAR(10) &amp;
  _xlpm.vanillaPrefix &amp; "Spell = " &amp; _xlpm.spell &amp; "|" &amp; B1661
  )
)</f>
        <v>;Vantus Loreius
;Keyword = Uvi_Wig_Distr_KYWD|VantusLoreiusDead
;Spell = No Spell for Hairstyle|VantusLoreiusDead</v>
      </c>
    </row>
    <row r="1662" ht="12.75" customHeight="1">
      <c r="A1662" s="5" t="s">
        <v>5632</v>
      </c>
      <c r="B1662" s="5" t="s">
        <v>5633</v>
      </c>
      <c r="C1662" s="5" t="s">
        <v>5634</v>
      </c>
      <c r="D1662" s="5" t="s">
        <v>59</v>
      </c>
      <c r="E1662" s="5" t="s">
        <v>233</v>
      </c>
      <c r="F1662" s="5" t="s">
        <v>209</v>
      </c>
      <c r="G1662" s="14" t="str">
        <f t="array" ref="G1662">IF(B1662="", "",
  LET(_xlpm.spell, IFERROR(IF(F1662="", "", INDEX(_xlws.FILTER(Hairstyles!$F:$F, ISNUMBER(SEARCH(F1662, Hairstyles!$B:$B))), 1)), "No Spell for Hairstyle"),
  _xlpm.vanillaPrefix, IF(LEFT(_xlpm.spell, 7)="Uvi_Wig", "", ";"),
  ";" &amp; IF(C1662="", B1662, C1662) &amp; IF(M1662="", "", " ("&amp;M1662&amp;")") &amp; CHAR(10) &amp;
  _xlpm.vanillaPrefix &amp; "Keyword = Uvi_Wig_Distr_KYWD|" &amp; B1662 &amp; CHAR(10) &amp;
  _xlpm.vanillaPrefix &amp; "Spell = " &amp; _xlpm.spell &amp; "|" &amp; B1662
  )
)</f>
        <v>;Varnius Junius
;Keyword = Uvi_Wig_Distr_KYWD|VarniusJunius
;Spell = No Spell for Hairstyle|VarniusJunius</v>
      </c>
    </row>
    <row r="1663" ht="12.75" customHeight="1">
      <c r="A1663" s="5" t="s">
        <v>5635</v>
      </c>
      <c r="B1663" s="5" t="s">
        <v>5636</v>
      </c>
      <c r="C1663" s="5" t="s">
        <v>5637</v>
      </c>
      <c r="D1663" s="5" t="s">
        <v>45</v>
      </c>
      <c r="E1663" s="5" t="s">
        <v>41</v>
      </c>
      <c r="F1663" s="5" t="s">
        <v>1656</v>
      </c>
      <c r="G1663" s="14" t="str">
        <f t="array" ref="G1663">IF(B1663="", "",
  LET(_xlpm.spell, IFERROR(IF(F1663="", "", INDEX(_xlws.FILTER(Hairstyles!$F:$F, ISNUMBER(SEARCH(F1663, Hairstyles!$B:$B))), 1)), "No Spell for Hairstyle"),
  _xlpm.vanillaPrefix, IF(LEFT(_xlpm.spell, 7)="Uvi_Wig", "", ";"),
  ";" &amp; IF(C1663="", B1663, C1663) &amp; IF(M1663="", "", " ("&amp;M1663&amp;")") &amp; CHAR(10) &amp;
  _xlpm.vanillaPrefix &amp; "Keyword = Uvi_Wig_Distr_KYWD|" &amp; B1663 &amp; CHAR(10) &amp;
  _xlpm.vanillaPrefix &amp; "Spell = " &amp; _xlpm.spell &amp; "|" &amp; B1663
  )
)</f>
        <v>;Varona Nelas
;Keyword = Uvi_Wig_Distr_KYWD|DLC2Varona
;Spell = No Spell for Hairstyle|DLC2Varona</v>
      </c>
    </row>
    <row r="1664" ht="12.75" customHeight="1">
      <c r="A1664" s="5" t="s">
        <v>5638</v>
      </c>
      <c r="B1664" s="5" t="s">
        <v>5639</v>
      </c>
      <c r="C1664" s="5" t="s">
        <v>5640</v>
      </c>
      <c r="D1664" s="5" t="s">
        <v>65</v>
      </c>
      <c r="E1664" s="5" t="s">
        <v>233</v>
      </c>
      <c r="F1664" s="5" t="s">
        <v>3612</v>
      </c>
      <c r="G1664" s="14" t="str">
        <f t="array" ref="G1664">IF(B1664="", "",
  LET(_xlpm.spell, IFERROR(IF(F1664="", "", INDEX(_xlws.FILTER(Hairstyles!$F:$F, ISNUMBER(SEARCH(F1664, Hairstyles!$B:$B))), 1)), "No Spell for Hairstyle"),
  _xlpm.vanillaPrefix, IF(LEFT(_xlpm.spell, 7)="Uvi_Wig", "", ";"),
  ";" &amp; IF(C1664="", B1664, C1664) &amp; IF(M1664="", "", " ("&amp;M1664&amp;")") &amp; CHAR(10) &amp;
  _xlpm.vanillaPrefix &amp; "Keyword = Uvi_Wig_Distr_KYWD|" &amp; B1664 &amp; CHAR(10) &amp;
  _xlpm.vanillaPrefix &amp; "Spell = " &amp; _xlpm.spell &amp; "|" &amp; B1664
  )
)</f>
        <v>;Vasha
;Keyword = Uvi_Wig_Distr_KYWD|DB02Captive3
;Spell = No Spell for Hairstyle|DB02Captive3</v>
      </c>
    </row>
    <row r="1665" ht="12.75" customHeight="1">
      <c r="A1665" s="5" t="s">
        <v>5641</v>
      </c>
      <c r="B1665" s="5" t="s">
        <v>5642</v>
      </c>
      <c r="C1665" s="5" t="s">
        <v>5642</v>
      </c>
      <c r="D1665" s="5" t="s">
        <v>10</v>
      </c>
      <c r="E1665" s="5" t="s">
        <v>233</v>
      </c>
      <c r="F1665" s="5" t="s">
        <v>1755</v>
      </c>
      <c r="G1665" s="14" t="str">
        <f t="array" ref="G1665">IF(B1665="", "",
  LET(_xlpm.spell, IFERROR(IF(F1665="", "", INDEX(_xlws.FILTER(Hairstyles!$F:$F, ISNUMBER(SEARCH(F1665, Hairstyles!$B:$B))), 1)), "No Spell for Hairstyle"),
  _xlpm.vanillaPrefix, IF(LEFT(_xlpm.spell, 7)="Uvi_Wig", "", ";"),
  ";" &amp; IF(C1665="", B1665, C1665) &amp; IF(M1665="", "", " ("&amp;M1665&amp;")") &amp; CHAR(10) &amp;
  _xlpm.vanillaPrefix &amp; "Keyword = Uvi_Wig_Distr_KYWD|" &amp; B1665 &amp; CHAR(10) &amp;
  _xlpm.vanillaPrefix &amp; "Spell = " &amp; _xlpm.spell &amp; "|" &amp; B1665
  )
)</f>
        <v>;Veezara
;Keyword = Uvi_Wig_Distr_KYWD|Veezara
;Spell = No Spell for Hairstyle|Veezara</v>
      </c>
    </row>
    <row r="1666" ht="12.75" customHeight="1">
      <c r="A1666" s="5" t="s">
        <v>5643</v>
      </c>
      <c r="B1666" s="5" t="s">
        <v>5644</v>
      </c>
      <c r="C1666" s="5" t="s">
        <v>5642</v>
      </c>
      <c r="D1666" s="5" t="s">
        <v>10</v>
      </c>
      <c r="E1666" s="5" t="s">
        <v>233</v>
      </c>
      <c r="F1666" s="5" t="s">
        <v>1755</v>
      </c>
      <c r="G1666" s="14" t="str">
        <f t="array" ref="G1666">IF(B1666="", "",
  LET(_xlpm.spell, IFERROR(IF(F1666="", "", INDEX(_xlws.FILTER(Hairstyles!$F:$F, ISNUMBER(SEARCH(F1666, Hairstyles!$B:$B))), 1)), "No Spell for Hairstyle"),
  _xlpm.vanillaPrefix, IF(LEFT(_xlpm.spell, 7)="Uvi_Wig", "", ";"),
  ";" &amp; IF(C1666="", B1666, C1666) &amp; IF(M1666="", "", " ("&amp;M1666&amp;")") &amp; CHAR(10) &amp;
  _xlpm.vanillaPrefix &amp; "Keyword = Uvi_Wig_Distr_KYWD|" &amp; B1666 &amp; CHAR(10) &amp;
  _xlpm.vanillaPrefix &amp; "Spell = " &amp; _xlpm.spell &amp; "|" &amp; B1666
  )
)</f>
        <v>;Veezara
;Keyword = Uvi_Wig_Distr_KYWD|VeezaraDead
;Spell = No Spell for Hairstyle|VeezaraDead</v>
      </c>
    </row>
    <row r="1667" ht="12.75" customHeight="1">
      <c r="A1667" s="15" t="s">
        <v>5645</v>
      </c>
      <c r="B1667" s="5" t="s">
        <v>5646</v>
      </c>
      <c r="C1667" s="5" t="s">
        <v>5647</v>
      </c>
      <c r="D1667" s="5" t="s">
        <v>38</v>
      </c>
      <c r="E1667" s="5" t="s">
        <v>233</v>
      </c>
      <c r="F1667" s="5" t="s">
        <v>1088</v>
      </c>
      <c r="G1667" s="14" t="str">
        <f t="array" ref="G1667">IF(B1667="", "",
  LET(_xlpm.spell, IFERROR(IF(F1667="", "", INDEX(_xlws.FILTER(Hairstyles!$F:$F, ISNUMBER(SEARCH(F1667, Hairstyles!$B:$B))), 1)), "No Spell for Hairstyle"),
  _xlpm.vanillaPrefix, IF(LEFT(_xlpm.spell, 7)="Uvi_Wig", "", ";"),
  ";" &amp; IF(C1667="", B1667, C1667) &amp; IF(M1667="", "", " ("&amp;M1667&amp;")") &amp; CHAR(10) &amp;
  _xlpm.vanillaPrefix &amp; "Keyword = Uvi_Wig_Distr_KYWD|" &amp; B1667 &amp; CHAR(10) &amp;
  _xlpm.vanillaPrefix &amp; "Spell = " &amp; _xlpm.spell &amp; "|" &amp; B1667
  )
)</f>
        <v>;Vekel the Man
;Keyword = Uvi_Wig_Distr_KYWD|Vekel
;Spell = No Spell for Hairstyle|Vekel</v>
      </c>
    </row>
    <row r="1668" ht="12.75" customHeight="1">
      <c r="A1668" s="15" t="s">
        <v>5648</v>
      </c>
      <c r="B1668" s="5" t="s">
        <v>5649</v>
      </c>
      <c r="C1668" s="5" t="s">
        <v>5650</v>
      </c>
      <c r="D1668" s="5" t="s">
        <v>45</v>
      </c>
      <c r="E1668" s="5" t="s">
        <v>233</v>
      </c>
      <c r="F1668" s="5" t="s">
        <v>1787</v>
      </c>
      <c r="G1668" s="14" t="str">
        <f t="array" ref="G1668">IF(B1668="", "",
  LET(_xlpm.spell, IFERROR(IF(F1668="", "", INDEX(_xlws.FILTER(Hairstyles!$F:$F, ISNUMBER(SEARCH(F1668, Hairstyles!$B:$B))), 1)), "No Spell for Hairstyle"),
  _xlpm.vanillaPrefix, IF(LEFT(_xlpm.spell, 7)="Uvi_Wig", "", ";"),
  ";" &amp; IF(C1668="", B1668, C1668) &amp; IF(M1668="", "", " ("&amp;M1668&amp;")") &amp; CHAR(10) &amp;
  _xlpm.vanillaPrefix &amp; "Keyword = Uvi_Wig_Distr_KYWD|" &amp; B1668 &amp; CHAR(10) &amp;
  _xlpm.vanillaPrefix &amp; "Spell = " &amp; _xlpm.spell &amp; "|" &amp; B1668
  )
)</f>
        <v>;Vendil Severin
;Keyword = Uvi_Wig_Distr_KYWD|DLC2RRVendilSeverin
;Spell = No Spell for Hairstyle|DLC2RRVendilSeverin</v>
      </c>
    </row>
    <row r="1669" ht="12.75" customHeight="1">
      <c r="A1669" s="5" t="s">
        <v>5651</v>
      </c>
      <c r="B1669" s="5" t="s">
        <v>5652</v>
      </c>
      <c r="C1669" s="5" t="s">
        <v>5653</v>
      </c>
      <c r="D1669" s="5" t="s">
        <v>45</v>
      </c>
      <c r="E1669" s="5" t="s">
        <v>233</v>
      </c>
      <c r="F1669" s="5" t="s">
        <v>1667</v>
      </c>
      <c r="G1669" s="14" t="str">
        <f t="array" ref="G1669">IF(B1669="", "",
  LET(_xlpm.spell, IFERROR(IF(F1669="", "", INDEX(_xlws.FILTER(Hairstyles!$F:$F, ISNUMBER(SEARCH(F1669, Hairstyles!$B:$B))), 1)), "No Spell for Hairstyle"),
  _xlpm.vanillaPrefix, IF(LEFT(_xlpm.spell, 7)="Uvi_Wig", "", ";"),
  ";" &amp; IF(C1669="", B1669, C1669) &amp; IF(M1669="", "", " ("&amp;M1669&amp;")") &amp; CHAR(10) &amp;
  _xlpm.vanillaPrefix &amp; "Keyword = Uvi_Wig_Distr_KYWD|" &amp; B1669 &amp; CHAR(10) &amp;
  _xlpm.vanillaPrefix &amp; "Spell = " &amp; _xlpm.spell &amp; "|" &amp; B1669
  )
)</f>
        <v>;Veren Duleri
;Keyword = Uvi_Wig_Distr_KYWD|VerenDuleri
;Spell = No Spell for Hairstyle|VerenDuleri</v>
      </c>
    </row>
    <row r="1670" ht="12.75" customHeight="1">
      <c r="A1670" s="5" t="s">
        <v>5654</v>
      </c>
      <c r="B1670" s="5" t="s">
        <v>5655</v>
      </c>
      <c r="C1670" s="5" t="s">
        <v>5653</v>
      </c>
      <c r="D1670" s="5" t="s">
        <v>45</v>
      </c>
      <c r="E1670" s="5" t="s">
        <v>233</v>
      </c>
      <c r="F1670" s="5" t="s">
        <v>1667</v>
      </c>
      <c r="G1670" s="14" t="str">
        <f t="array" ref="G1670">IF(B1670="", "",
  LET(_xlpm.spell, IFERROR(IF(F1670="", "", INDEX(_xlws.FILTER(Hairstyles!$F:$F, ISNUMBER(SEARCH(F1670, Hairstyles!$B:$B))), 1)), "No Spell for Hairstyle"),
  _xlpm.vanillaPrefix, IF(LEFT(_xlpm.spell, 7)="Uvi_Wig", "", ";"),
  ";" &amp; IF(C1670="", B1670, C1670) &amp; IF(M1670="", "", " ("&amp;M1670&amp;")") &amp; CHAR(10) &amp;
  _xlpm.vanillaPrefix &amp; "Keyword = Uvi_Wig_Distr_KYWD|" &amp; B1670 &amp; CHAR(10) &amp;
  _xlpm.vanillaPrefix &amp; "Spell = " &amp; _xlpm.spell &amp; "|" &amp; B1670
  )
)</f>
        <v>;Veren Duleri
;Keyword = Uvi_Wig_Distr_KYWD|VerenDuleri_Ambush
;Spell = No Spell for Hairstyle|VerenDuleri_Ambush</v>
      </c>
    </row>
    <row r="1671" ht="12.75" customHeight="1">
      <c r="A1671" s="15" t="s">
        <v>5656</v>
      </c>
      <c r="B1671" s="5" t="s">
        <v>5657</v>
      </c>
      <c r="C1671" s="5" t="s">
        <v>5658</v>
      </c>
      <c r="D1671" s="5" t="s">
        <v>38</v>
      </c>
      <c r="E1671" s="5" t="s">
        <v>233</v>
      </c>
      <c r="F1671" s="5" t="s">
        <v>1622</v>
      </c>
      <c r="G1671" s="14" t="str">
        <f t="array" ref="G1671">IF(B1671="", "",
  LET(_xlpm.spell, IFERROR(IF(F1671="", "", INDEX(_xlws.FILTER(Hairstyles!$F:$F, ISNUMBER(SEARCH(F1671, Hairstyles!$B:$B))), 1)), "No Spell for Hairstyle"),
  _xlpm.vanillaPrefix, IF(LEFT(_xlpm.spell, 7)="Uvi_Wig", "", ";"),
  ";" &amp; IF(C1671="", B1671, C1671) &amp; IF(M1671="", "", " ("&amp;M1671&amp;")") &amp; CHAR(10) &amp;
  _xlpm.vanillaPrefix &amp; "Keyword = Uvi_Wig_Distr_KYWD|" &amp; B1671 &amp; CHAR(10) &amp;
  _xlpm.vanillaPrefix &amp; "Spell = " &amp; _xlpm.spell &amp; "|" &amp; B1671
  )
)</f>
        <v>;Verner Rock-Chucker
;Keyword = Uvi_Wig_Distr_KYWD|Verner
;Spell = No Spell for Hairstyle|Verner</v>
      </c>
    </row>
    <row r="1672" ht="12.75" customHeight="1">
      <c r="A1672" s="5" t="s">
        <v>5659</v>
      </c>
      <c r="B1672" s="5" t="s">
        <v>5660</v>
      </c>
      <c r="C1672" s="5" t="s">
        <v>5660</v>
      </c>
      <c r="D1672" s="5" t="s">
        <v>59</v>
      </c>
      <c r="E1672" s="5" t="s">
        <v>41</v>
      </c>
      <c r="F1672" s="5" t="s">
        <v>42</v>
      </c>
      <c r="G1672" s="14" t="str">
        <f t="array" ref="G1672">IF(B1672="", "",
  LET(_xlpm.spell, IFERROR(IF(F1672="", "", INDEX(_xlws.FILTER(Hairstyles!$F:$F, ISNUMBER(SEARCH(F1672, Hairstyles!$B:$B))), 1)), "No Spell for Hairstyle"),
  _xlpm.vanillaPrefix, IF(LEFT(_xlpm.spell, 7)="Uvi_Wig", "", ";"),
  ";" &amp; IF(C1672="", B1672, C1672) &amp; IF(M1672="", "", " ("&amp;M1672&amp;")") &amp; CHAR(10) &amp;
  _xlpm.vanillaPrefix &amp; "Keyword = Uvi_Wig_Distr_KYWD|" &amp; B1672 &amp; CHAR(10) &amp;
  _xlpm.vanillaPrefix &amp; "Spell = " &amp; _xlpm.spell &amp; "|" &amp; B1672
  )
)</f>
        <v>;Vex
;Keyword = Uvi_Wig_Distr_KYWD|Vex
;Spell = No Spell for Hairstyle|Vex</v>
      </c>
    </row>
    <row r="1673" ht="12.75" customHeight="1">
      <c r="A1673" s="5" t="s">
        <v>5661</v>
      </c>
      <c r="B1673" s="5" t="s">
        <v>5662</v>
      </c>
      <c r="C1673" s="5" t="s">
        <v>5662</v>
      </c>
      <c r="D1673" s="5" t="s">
        <v>57</v>
      </c>
      <c r="E1673" s="5" t="s">
        <v>233</v>
      </c>
      <c r="F1673" s="5" t="s">
        <v>91</v>
      </c>
      <c r="G1673" s="14" t="str">
        <f t="array" ref="G1673">IF(B1673="", "",
  LET(_xlpm.spell, IFERROR(IF(F1673="", "", INDEX(_xlws.FILTER(Hairstyles!$F:$F, ISNUMBER(SEARCH(F1673, Hairstyles!$B:$B))), 1)), "No Spell for Hairstyle"),
  _xlpm.vanillaPrefix, IF(LEFT(_xlpm.spell, 7)="Uvi_Wig", "", ";"),
  ";" &amp; IF(C1673="", B1673, C1673) &amp; IF(M1673="", "", " ("&amp;M1673&amp;")") &amp; CHAR(10) &amp;
  _xlpm.vanillaPrefix &amp; "Keyword = Uvi_Wig_Distr_KYWD|" &amp; B1673 &amp; CHAR(10) &amp;
  _xlpm.vanillaPrefix &amp; "Spell = " &amp; _xlpm.spell &amp; "|" &amp; B1673
  )
)</f>
        <v>;Viarmo
;Keyword = Uvi_Wig_Distr_KYWD|Viarmo
;Spell = No Spell for Hairstyle|Viarmo</v>
      </c>
    </row>
    <row r="1674" ht="12.75" customHeight="1">
      <c r="A1674" s="5" t="s">
        <v>5663</v>
      </c>
      <c r="B1674" s="5" t="s">
        <v>5664</v>
      </c>
      <c r="C1674" s="5" t="s">
        <v>5665</v>
      </c>
      <c r="D1674" s="5" t="s">
        <v>38</v>
      </c>
      <c r="E1674" s="5" t="s">
        <v>233</v>
      </c>
      <c r="F1674" s="5" t="s">
        <v>762</v>
      </c>
      <c r="G1674" s="14" t="str">
        <f t="array" ref="G1674">IF(B1674="", "",
  LET(_xlpm.spell, IFERROR(IF(F1674="", "", INDEX(_xlws.FILTER(Hairstyles!$F:$F, ISNUMBER(SEARCH(F1674, Hairstyles!$B:$B))), 1)), "No Spell for Hairstyle"),
  _xlpm.vanillaPrefix, IF(LEFT(_xlpm.spell, 7)="Uvi_Wig", "", ";"),
  ";" &amp; IF(C1674="", B1674, C1674) &amp; IF(M1674="", "", " ("&amp;M1674&amp;")") &amp; CHAR(10) &amp;
  _xlpm.vanillaPrefix &amp; "Keyword = Uvi_Wig_Distr_KYWD|" &amp; B1674 &amp; CHAR(10) &amp;
  _xlpm.vanillaPrefix &amp; "Spell = " &amp; _xlpm.spell &amp; "|" &amp; B1674
  )
)</f>
        <v>;Vidgrod
;Keyword = Uvi_Wig_Distr_KYWD|dunHalldirsDeadBandit01
;Spell = No Spell for Hairstyle|dunHalldirsDeadBandit01</v>
      </c>
    </row>
    <row r="1675" ht="12.75" customHeight="1">
      <c r="A1675" s="5" t="s">
        <v>5666</v>
      </c>
      <c r="B1675" s="5" t="s">
        <v>5667</v>
      </c>
      <c r="C1675" s="5" t="s">
        <v>5668</v>
      </c>
      <c r="D1675" s="5" t="s">
        <v>38</v>
      </c>
      <c r="E1675" s="5" t="s">
        <v>233</v>
      </c>
      <c r="F1675" s="5" t="s">
        <v>68</v>
      </c>
      <c r="G1675" s="14" t="str">
        <f t="array" ref="G1675">IF(B1675="", "",
  LET(_xlpm.spell, IFERROR(IF(F1675="", "", INDEX(_xlws.FILTER(Hairstyles!$F:$F, ISNUMBER(SEARCH(F1675, Hairstyles!$B:$B))), 1)), "No Spell for Hairstyle"),
  _xlpm.vanillaPrefix, IF(LEFT(_xlpm.spell, 7)="Uvi_Wig", "", ";"),
  ";" &amp; IF(C1675="", B1675, C1675) &amp; IF(M1675="", "", " ("&amp;M1675&amp;")") &amp; CHAR(10) &amp;
  _xlpm.vanillaPrefix &amp; "Keyword = Uvi_Wig_Distr_KYWD|" &amp; B1675 &amp; CHAR(10) &amp;
  _xlpm.vanillaPrefix &amp; "Spell = " &amp; _xlpm.spell &amp; "|" &amp; B1675
  )
)</f>
        <v>;Viding
;Keyword = Uvi_Wig_Distr_KYWD|DA05Hunter09_03Missile_Viding
;Spell = No Spell for Hairstyle|DA05Hunter09_03Missile_Viding</v>
      </c>
    </row>
    <row r="1676" ht="12.75" customHeight="1">
      <c r="A1676" s="5" t="s">
        <v>5669</v>
      </c>
      <c r="B1676" s="5" t="s">
        <v>5670</v>
      </c>
      <c r="C1676" s="5" t="s">
        <v>5671</v>
      </c>
      <c r="D1676" s="5" t="s">
        <v>38</v>
      </c>
      <c r="E1676" s="5" t="s">
        <v>233</v>
      </c>
      <c r="F1676" s="5" t="s">
        <v>84</v>
      </c>
      <c r="G1676" s="14" t="str">
        <f t="array" ref="G1676">IF(B1676="", "",
  LET(_xlpm.spell, IFERROR(IF(F1676="", "", INDEX(_xlws.FILTER(Hairstyles!$F:$F, ISNUMBER(SEARCH(F1676, Hairstyles!$B:$B))), 1)), "No Spell for Hairstyle"),
  _xlpm.vanillaPrefix, IF(LEFT(_xlpm.spell, 7)="Uvi_Wig", "", ";"),
  ";" &amp; IF(C1676="", B1676, C1676) &amp; IF(M1676="", "", " ("&amp;M1676&amp;")") &amp; CHAR(10) &amp;
  _xlpm.vanillaPrefix &amp; "Keyword = Uvi_Wig_Distr_KYWD|" &amp; B1676 &amp; CHAR(10) &amp;
  _xlpm.vanillaPrefix &amp; "Spell = " &amp; _xlpm.spell &amp; "|" &amp; B1676
  )
)</f>
        <v>;Vidrald
;Keyword = Uvi_Wig_Distr_KYWD|MS09Vidrald
;Spell = No Spell for Hairstyle|MS09Vidrald</v>
      </c>
    </row>
    <row r="1677" ht="12.75" customHeight="1">
      <c r="A1677" s="5" t="s">
        <v>5672</v>
      </c>
      <c r="B1677" s="5" t="s">
        <v>5673</v>
      </c>
      <c r="C1677" s="5" t="s">
        <v>5674</v>
      </c>
      <c r="D1677" s="5" t="s">
        <v>51</v>
      </c>
      <c r="E1677" s="5" t="s">
        <v>41</v>
      </c>
      <c r="F1677" s="5" t="s">
        <v>1640</v>
      </c>
      <c r="G1677" s="14" t="str">
        <f t="array" ref="G1677">IF(B1677="", "",
  LET(_xlpm.spell, IFERROR(IF(F1677="", "", INDEX(_xlws.FILTER(Hairstyles!$F:$F, ISNUMBER(SEARCH(F1677, Hairstyles!$B:$B))), 1)), "No Spell for Hairstyle"),
  _xlpm.vanillaPrefix, IF(LEFT(_xlpm.spell, 7)="Uvi_Wig", "", ";"),
  ";" &amp; IF(C1677="", B1677, C1677) &amp; IF(M1677="", "", " ("&amp;M1677&amp;")") &amp; CHAR(10) &amp;
  _xlpm.vanillaPrefix &amp; "Keyword = Uvi_Wig_Distr_KYWD|" &amp; B1677 &amp; CHAR(10) &amp;
  _xlpm.vanillaPrefix &amp; "Spell = " &amp; _xlpm.spell &amp; "|" &amp; B1677
  )
)</f>
        <v>;Vigdis Salvius
;Keyword = Uvi_Wig_Distr_KYWD|Vigdis
;Spell = No Spell for Hairstyle|Vigdis</v>
      </c>
    </row>
    <row r="1678" ht="12.75" customHeight="1">
      <c r="A1678" s="5" t="s">
        <v>5675</v>
      </c>
      <c r="B1678" s="5" t="s">
        <v>5676</v>
      </c>
      <c r="C1678" s="5" t="s">
        <v>5677</v>
      </c>
      <c r="D1678" s="5" t="s">
        <v>38</v>
      </c>
      <c r="E1678" s="5" t="s">
        <v>233</v>
      </c>
      <c r="F1678" s="5" t="s">
        <v>218</v>
      </c>
      <c r="G1678" s="14" t="str">
        <f t="array" ref="G1678">IF(B1678="", "",
  LET(_xlpm.spell, IFERROR(IF(F1678="", "", INDEX(_xlws.FILTER(Hairstyles!$F:$F, ISNUMBER(SEARCH(F1678, Hairstyles!$B:$B))), 1)), "No Spell for Hairstyle"),
  _xlpm.vanillaPrefix, IF(LEFT(_xlpm.spell, 7)="Uvi_Wig", "", ";"),
  ";" &amp; IF(C1678="", B1678, C1678) &amp; IF(M1678="", "", " ("&amp;M1678&amp;")") &amp; CHAR(10) &amp;
  _xlpm.vanillaPrefix &amp; "Keyword = Uvi_Wig_Distr_KYWD|" &amp; B1678 &amp; CHAR(10) &amp;
  _xlpm.vanillaPrefix &amp; "Spell = " &amp; _xlpm.spell &amp; "|" &amp; B1678
  )
)</f>
        <v>;Vigilant Adalvald
;Keyword = Uvi_Wig_Distr_KYWD|DLC1VigilantAdalvald
;Spell = No Spell for Hairstyle|DLC1VigilantAdalvald</v>
      </c>
    </row>
    <row r="1679" ht="12.75" customHeight="1">
      <c r="A1679" s="5" t="s">
        <v>5678</v>
      </c>
      <c r="B1679" s="5" t="s">
        <v>5679</v>
      </c>
      <c r="C1679" s="5" t="s">
        <v>5680</v>
      </c>
      <c r="D1679" s="5" t="s">
        <v>38</v>
      </c>
      <c r="E1679" s="5" t="s">
        <v>233</v>
      </c>
      <c r="F1679" s="5" t="s">
        <v>1622</v>
      </c>
      <c r="G1679" s="14" t="str">
        <f t="array" ref="G1679">IF(B1679="", "",
  LET(_xlpm.spell, IFERROR(IF(F1679="", "", INDEX(_xlws.FILTER(Hairstyles!$F:$F, ISNUMBER(SEARCH(F1679, Hairstyles!$B:$B))), 1)), "No Spell for Hairstyle"),
  _xlpm.vanillaPrefix, IF(LEFT(_xlpm.spell, 7)="Uvi_Wig", "", ";"),
  ";" &amp; IF(C1679="", B1679, C1679) &amp; IF(M1679="", "", " ("&amp;M1679&amp;")") &amp; CHAR(10) &amp;
  _xlpm.vanillaPrefix &amp; "Keyword = Uvi_Wig_Distr_KYWD|" &amp; B1679 &amp; CHAR(10) &amp;
  _xlpm.vanillaPrefix &amp; "Spell = " &amp; _xlpm.spell &amp; "|" &amp; B1679
  )
)</f>
        <v>;Vigilant of Stendarr
;Keyword = Uvi_Wig_Distr_KYWD|EncVigilantOfStendarr00Template
;Spell = No Spell for Hairstyle|EncVigilantOfStendarr00Template</v>
      </c>
    </row>
    <row r="1680" ht="12.75" customHeight="1">
      <c r="A1680" s="5" t="s">
        <v>5681</v>
      </c>
      <c r="B1680" s="5" t="s">
        <v>5682</v>
      </c>
      <c r="C1680" s="5" t="s">
        <v>5683</v>
      </c>
      <c r="D1680" s="5" t="s">
        <v>38</v>
      </c>
      <c r="E1680" s="5" t="s">
        <v>233</v>
      </c>
      <c r="F1680" s="5" t="s">
        <v>235</v>
      </c>
      <c r="G1680" s="14" t="str">
        <f t="array" ref="G1680">IF(B1680="", "",
  LET(_xlpm.spell, IFERROR(IF(F1680="", "", INDEX(_xlws.FILTER(Hairstyles!$F:$F, ISNUMBER(SEARCH(F1680, Hairstyles!$B:$B))), 1)), "No Spell for Hairstyle"),
  _xlpm.vanillaPrefix, IF(LEFT(_xlpm.spell, 7)="Uvi_Wig", "", ";"),
  ";" &amp; IF(C1680="", B1680, C1680) &amp; IF(M1680="", "", " ("&amp;M1680&amp;")") &amp; CHAR(10) &amp;
  _xlpm.vanillaPrefix &amp; "Keyword = Uvi_Wig_Distr_KYWD|" &amp; B1680 &amp; CHAR(10) &amp;
  _xlpm.vanillaPrefix &amp; "Spell = " &amp; _xlpm.spell &amp; "|" &amp; B1680
  )
)</f>
        <v>;Vigilant Tolan
;Keyword = Uvi_Wig_Distr_KYWD|DLC1VigilantTolan
;Spell = No Spell for Hairstyle|DLC1VigilantTolan</v>
      </c>
    </row>
    <row r="1681" ht="12.75" customHeight="1">
      <c r="A1681" s="5" t="s">
        <v>5684</v>
      </c>
      <c r="B1681" s="5" t="s">
        <v>5685</v>
      </c>
      <c r="C1681" s="5" t="s">
        <v>5686</v>
      </c>
      <c r="D1681" s="5" t="s">
        <v>59</v>
      </c>
      <c r="E1681" s="5" t="s">
        <v>233</v>
      </c>
      <c r="F1681" s="5" t="s">
        <v>19</v>
      </c>
      <c r="G1681" s="14" t="str">
        <f t="array" ref="G1681">IF(B1681="", "",
  LET(_xlpm.spell, IFERROR(IF(F1681="", "", INDEX(_xlws.FILTER(Hairstyles!$F:$F, ISNUMBER(SEARCH(F1681, Hairstyles!$B:$B))), 1)), "No Spell for Hairstyle"),
  _xlpm.vanillaPrefix, IF(LEFT(_xlpm.spell, 7)="Uvi_Wig", "", ";"),
  ";" &amp; IF(C1681="", B1681, C1681) &amp; IF(M1681="", "", " ("&amp;M1681&amp;")") &amp; CHAR(10) &amp;
  _xlpm.vanillaPrefix &amp; "Keyword = Uvi_Wig_Distr_KYWD|" &amp; B1681 &amp; CHAR(10) &amp;
  _xlpm.vanillaPrefix &amp; "Spell = " &amp; _xlpm.spell &amp; "|" &amp; B1681
  )
)</f>
        <v>;Vigilant Tyranus
;Keyword = Uvi_Wig_Distr_KYWD|Tyranus
;Spell = No Spell for Hairstyle|Tyranus</v>
      </c>
    </row>
    <row r="1682" ht="12.75" customHeight="1">
      <c r="A1682" s="5" t="s">
        <v>5687</v>
      </c>
      <c r="B1682" s="5" t="s">
        <v>5688</v>
      </c>
      <c r="C1682" s="5" t="s">
        <v>5689</v>
      </c>
      <c r="D1682" s="5" t="s">
        <v>51</v>
      </c>
      <c r="E1682" s="5" t="s">
        <v>233</v>
      </c>
      <c r="F1682" s="5" t="s">
        <v>762</v>
      </c>
      <c r="G1682" s="14" t="str">
        <f t="array" ref="G1682">IF(B1682="", "",
  LET(_xlpm.spell, IFERROR(IF(F1682="", "", INDEX(_xlws.FILTER(Hairstyles!$F:$F, ISNUMBER(SEARCH(F1682, Hairstyles!$B:$B))), 1)), "No Spell for Hairstyle"),
  _xlpm.vanillaPrefix, IF(LEFT(_xlpm.spell, 7)="Uvi_Wig", "", ";"),
  ";" &amp; IF(C1682="", B1682, C1682) &amp; IF(M1682="", "", " ("&amp;M1682&amp;")") &amp; CHAR(10) &amp;
  _xlpm.vanillaPrefix &amp; "Keyword = Uvi_Wig_Distr_KYWD|" &amp; B1682 &amp; CHAR(10) &amp;
  _xlpm.vanillaPrefix &amp; "Spell = " &amp; _xlpm.spell &amp; "|" &amp; B1682
  )
)</f>
        <v>;Vignar Gray-Mane
;Keyword = Uvi_Wig_Distr_KYWD|VignarGrayMane
;Spell = No Spell for Hairstyle|VignarGrayMane</v>
      </c>
    </row>
    <row r="1683" ht="12.75" customHeight="1">
      <c r="A1683" s="5" t="s">
        <v>5690</v>
      </c>
      <c r="B1683" s="5" t="s">
        <v>5691</v>
      </c>
      <c r="C1683" s="5" t="s">
        <v>5691</v>
      </c>
      <c r="D1683" s="5" t="s">
        <v>38</v>
      </c>
      <c r="E1683" s="5" t="s">
        <v>233</v>
      </c>
      <c r="F1683" s="5" t="s">
        <v>521</v>
      </c>
      <c r="G1683" s="14" t="str">
        <f t="array" ref="G1683">IF(B1683="", "",
  LET(_xlpm.spell, IFERROR(IF(F1683="", "", INDEX(_xlws.FILTER(Hairstyles!$F:$F, ISNUMBER(SEARCH(F1683, Hairstyles!$B:$B))), 1)), "No Spell for Hairstyle"),
  _xlpm.vanillaPrefix, IF(LEFT(_xlpm.spell, 7)="Uvi_Wig", "", ";"),
  ";" &amp; IF(C1683="", B1683, C1683) &amp; IF(M1683="", "", " ("&amp;M1683&amp;")") &amp; CHAR(10) &amp;
  _xlpm.vanillaPrefix &amp; "Keyword = Uvi_Wig_Distr_KYWD|" &amp; B1683 &amp; CHAR(10) &amp;
  _xlpm.vanillaPrefix &amp; "Spell = " &amp; _xlpm.spell &amp; "|" &amp; B1683
  )
)</f>
        <v>;Vilkas
;Keyword = Uvi_Wig_Distr_KYWD|Vilkas
;Spell = No Spell for Hairstyle|Vilkas</v>
      </c>
    </row>
    <row r="1684" ht="12.75" customHeight="1">
      <c r="A1684" s="5" t="s">
        <v>5692</v>
      </c>
      <c r="B1684" s="5" t="s">
        <v>5693</v>
      </c>
      <c r="C1684" s="5" t="s">
        <v>5693</v>
      </c>
      <c r="D1684" s="5" t="s">
        <v>38</v>
      </c>
      <c r="E1684" s="5" t="s">
        <v>233</v>
      </c>
      <c r="F1684" s="5" t="s">
        <v>1906</v>
      </c>
      <c r="G1684" s="14" t="str">
        <f t="array" ref="G1684">IF(B1684="", "",
  LET(_xlpm.spell, IFERROR(IF(F1684="", "", INDEX(_xlws.FILTER(Hairstyles!$F:$F, ISNUMBER(SEARCH(F1684, Hairstyles!$B:$B))), 1)), "No Spell for Hairstyle"),
  _xlpm.vanillaPrefix, IF(LEFT(_xlpm.spell, 7)="Uvi_Wig", "", ";"),
  ";" &amp; IF(C1684="", B1684, C1684) &amp; IF(M1684="", "", " ("&amp;M1684&amp;")") &amp; CHAR(10) &amp;
  _xlpm.vanillaPrefix &amp; "Keyword = Uvi_Wig_Distr_KYWD|" &amp; B1684 &amp; CHAR(10) &amp;
  _xlpm.vanillaPrefix &amp; "Spell = " &amp; _xlpm.spell &amp; "|" &amp; B1684
  )
)</f>
        <v>;Vilod
;Keyword = Uvi_Wig_Distr_KYWD|Vilod
;Spell = No Spell for Hairstyle|Vilod</v>
      </c>
    </row>
    <row r="1685" ht="12.75" customHeight="1">
      <c r="A1685" s="15" t="s">
        <v>5694</v>
      </c>
      <c r="B1685" s="5" t="s">
        <v>5695</v>
      </c>
      <c r="C1685" s="5" t="s">
        <v>5696</v>
      </c>
      <c r="D1685" s="5" t="s">
        <v>58</v>
      </c>
      <c r="E1685" s="5" t="s">
        <v>233</v>
      </c>
      <c r="F1685" s="5" t="s">
        <v>2489</v>
      </c>
      <c r="G1685" s="14" t="str">
        <f t="array" ref="G1685">IF(B1685="", "",
  LET(_xlpm.spell, IFERROR(IF(F1685="", "", INDEX(_xlws.FILTER(Hairstyles!$F:$F, ISNUMBER(SEARCH(F1685, Hairstyles!$B:$B))), 1)), "No Spell for Hairstyle"),
  _xlpm.vanillaPrefix, IF(LEFT(_xlpm.spell, 7)="Uvi_Wig", "", ";"),
  ";" &amp; IF(C1685="", B1685, C1685) &amp; IF(M1685="", "", " ("&amp;M1685&amp;")") &amp; CHAR(10) &amp;
  _xlpm.vanillaPrefix &amp; "Keyword = Uvi_Wig_Distr_KYWD|" &amp; B1685 &amp; CHAR(10) &amp;
  _xlpm.vanillaPrefix &amp; "Spell = " &amp; _xlpm.spell &amp; "|" &amp; B1685
  )
)</f>
        <v>;Vingalmo
;Keyword = Uvi_Wig_Distr_KYWD|DLC1Vingalmo
;Spell = No Spell for Hairstyle|DLC1Vingalmo</v>
      </c>
    </row>
    <row r="1686" ht="12.75" customHeight="1">
      <c r="A1686" s="15" t="s">
        <v>5697</v>
      </c>
      <c r="B1686" s="5" t="s">
        <v>5698</v>
      </c>
      <c r="C1686" s="5" t="s">
        <v>5699</v>
      </c>
      <c r="D1686" s="5" t="s">
        <v>59</v>
      </c>
      <c r="E1686" s="5" t="s">
        <v>41</v>
      </c>
      <c r="F1686" s="5" t="s">
        <v>1694</v>
      </c>
      <c r="G1686" s="14" t="str">
        <f t="array" ref="G1686">IF(B1686="", "",
  LET(_xlpm.spell, IFERROR(IF(F1686="", "", INDEX(_xlws.FILTER(Hairstyles!$F:$F, ISNUMBER(SEARCH(F1686, Hairstyles!$B:$B))), 1)), "No Spell for Hairstyle"),
  _xlpm.vanillaPrefix, IF(LEFT(_xlpm.spell, 7)="Uvi_Wig", "", ";"),
  ";" &amp; IF(C1686="", B1686, C1686) &amp; IF(M1686="", "", " ("&amp;M1686&amp;")") &amp; CHAR(10) &amp;
  _xlpm.vanillaPrefix &amp; "Keyword = Uvi_Wig_Distr_KYWD|" &amp; B1686 &amp; CHAR(10) &amp;
  _xlpm.vanillaPrefix &amp; "Spell = " &amp; _xlpm.spell &amp; "|" &amp; B1686
  )
)</f>
        <v>;Viola Giordano
;Keyword = Uvi_Wig_Distr_KYWD|ViolaGiordano
;Spell = No Spell for Hairstyle|ViolaGiordano</v>
      </c>
    </row>
    <row r="1687" ht="12.75" customHeight="1">
      <c r="A1687" s="5" t="s">
        <v>5700</v>
      </c>
      <c r="B1687" s="5" t="s">
        <v>5701</v>
      </c>
      <c r="C1687" s="5" t="s">
        <v>5702</v>
      </c>
      <c r="D1687" s="5" t="s">
        <v>38</v>
      </c>
      <c r="E1687" s="5" t="s">
        <v>233</v>
      </c>
      <c r="F1687" s="5" t="s">
        <v>40</v>
      </c>
      <c r="G1687" s="14" t="str">
        <f t="array" ref="G1687">IF(B1687="", "",
  LET(_xlpm.spell, IFERROR(IF(F1687="", "", INDEX(_xlws.FILTER(Hairstyles!$F:$F, ISNUMBER(SEARCH(F1687, Hairstyles!$B:$B))), 1)), "No Spell for Hairstyle"),
  _xlpm.vanillaPrefix, IF(LEFT(_xlpm.spell, 7)="Uvi_Wig", "", ";"),
  ";" &amp; IF(C1687="", B1687, C1687) &amp; IF(M1687="", "", " ("&amp;M1687&amp;")") &amp; CHAR(10) &amp;
  _xlpm.vanillaPrefix &amp; "Keyword = Uvi_Wig_Distr_KYWD|" &amp; B1687 &amp; CHAR(10) &amp;
  _xlpm.vanillaPrefix &amp; "Spell = " &amp; _xlpm.spell &amp; "|" &amp; B1687
  )
)</f>
        <v>;Vipir the Fleet
;Keyword = Uvi_Wig_Distr_KYWD|VipirtheFleet
;Spell = No Spell for Hairstyle|VipirtheFleet</v>
      </c>
    </row>
    <row r="1688" ht="12.75" customHeight="1">
      <c r="A1688" s="5" t="s">
        <v>5703</v>
      </c>
      <c r="B1688" s="5" t="s">
        <v>5704</v>
      </c>
      <c r="C1688" s="5" t="s">
        <v>5704</v>
      </c>
      <c r="D1688" s="5" t="s">
        <v>74</v>
      </c>
      <c r="E1688" s="5" t="s">
        <v>233</v>
      </c>
      <c r="F1688" s="5" t="s">
        <v>76</v>
      </c>
      <c r="G1688" s="14" t="str">
        <f t="array" ref="G1688">IF(B1688="", "",
  LET(_xlpm.spell, IFERROR(IF(F1688="", "", INDEX(_xlws.FILTER(Hairstyles!$F:$F, ISNUMBER(SEARCH(F1688, Hairstyles!$B:$B))), 1)), "No Spell for Hairstyle"),
  _xlpm.vanillaPrefix, IF(LEFT(_xlpm.spell, 7)="Uvi_Wig", "", ";"),
  ";" &amp; IF(C1688="", B1688, C1688) &amp; IF(M1688="", "", " ("&amp;M1688&amp;")") &amp; CHAR(10) &amp;
  _xlpm.vanillaPrefix &amp; "Keyword = Uvi_Wig_Distr_KYWD|" &amp; B1688 &amp; CHAR(10) &amp;
  _xlpm.vanillaPrefix &amp; "Spell = " &amp; _xlpm.spell &amp; "|" &amp; B1688
  )
)</f>
        <v>;Virkmund
;Keyword = Uvi_Wig_Distr_KYWD|Virkmund
;Spell = No Spell for Hairstyle|Virkmund</v>
      </c>
    </row>
    <row r="1689" ht="12.75" customHeight="1">
      <c r="A1689" s="5" t="s">
        <v>5705</v>
      </c>
      <c r="B1689" s="5" t="s">
        <v>5706</v>
      </c>
      <c r="C1689" s="5" t="s">
        <v>5707</v>
      </c>
      <c r="D1689" s="5" t="s">
        <v>38</v>
      </c>
      <c r="E1689" s="5" t="s">
        <v>233</v>
      </c>
      <c r="F1689" s="5" t="s">
        <v>1088</v>
      </c>
      <c r="G1689" s="14" t="str">
        <f t="array" ref="G1689">IF(B1689="", "",
  LET(_xlpm.spell, IFERROR(IF(F1689="", "", INDEX(_xlws.FILTER(Hairstyles!$F:$F, ISNUMBER(SEARCH(F1689, Hairstyles!$B:$B))), 1)), "No Spell for Hairstyle"),
  _xlpm.vanillaPrefix, IF(LEFT(_xlpm.spell, 7)="Uvi_Wig", "", ";"),
  ";" &amp; IF(C1689="", B1689, C1689) &amp; IF(M1689="", "", " ("&amp;M1689&amp;")") &amp; CHAR(10) &amp;
  _xlpm.vanillaPrefix &amp; "Keyword = Uvi_Wig_Distr_KYWD|" &amp; B1689 &amp; CHAR(10) &amp;
  _xlpm.vanillaPrefix &amp; "Spell = " &amp; _xlpm.spell &amp; "|" &amp; B1689
  )
)</f>
        <v>;Visiting Advisor
;Keyword = Uvi_Wig_Distr_KYWD|DLC1RadiantDisguisedVampireAdvisor
;Spell = No Spell for Hairstyle|DLC1RadiantDisguisedVampireAdvisor</v>
      </c>
    </row>
    <row r="1690" ht="12.75" customHeight="1">
      <c r="A1690" s="5" t="s">
        <v>5708</v>
      </c>
      <c r="B1690" s="5" t="s">
        <v>5709</v>
      </c>
      <c r="C1690" s="5" t="s">
        <v>5710</v>
      </c>
      <c r="D1690" s="5" t="s">
        <v>38</v>
      </c>
      <c r="E1690" s="5" t="s">
        <v>233</v>
      </c>
      <c r="F1690" s="5" t="s">
        <v>695</v>
      </c>
      <c r="G1690" s="14" t="str">
        <f t="array" ref="G1690">IF(B1690="", "",
  LET(_xlpm.spell, IFERROR(IF(F1690="", "", INDEX(_xlws.FILTER(Hairstyles!$F:$F, ISNUMBER(SEARCH(F1690, Hairstyles!$B:$B))), 1)), "No Spell for Hairstyle"),
  _xlpm.vanillaPrefix, IF(LEFT(_xlpm.spell, 7)="Uvi_Wig", "", ";"),
  ";" &amp; IF(C1690="", B1690, C1690) &amp; IF(M1690="", "", " ("&amp;M1690&amp;")") &amp; CHAR(10) &amp;
  _xlpm.vanillaPrefix &amp; "Keyword = Uvi_Wig_Distr_KYWD|" &amp; B1690 &amp; CHAR(10) &amp;
  _xlpm.vanillaPrefix &amp; "Spell = " &amp; _xlpm.spell &amp; "|" &amp; B1690
  )
)</f>
        <v>;Visiting Noble
;Keyword = Uvi_Wig_Distr_KYWD|DBRecurringTarget1Whiterun
;Spell = No Spell for Hairstyle|DBRecurringTarget1Whiterun</v>
      </c>
    </row>
    <row r="1691" ht="12.75" customHeight="1">
      <c r="A1691" s="5" t="s">
        <v>5711</v>
      </c>
      <c r="B1691" s="5" t="s">
        <v>5712</v>
      </c>
      <c r="C1691" s="5" t="s">
        <v>5713</v>
      </c>
      <c r="D1691" s="5" t="s">
        <v>59</v>
      </c>
      <c r="E1691" s="5" t="s">
        <v>41</v>
      </c>
      <c r="F1691" s="5" t="s">
        <v>1596</v>
      </c>
      <c r="G1691" s="14" t="str">
        <f t="array" ref="G1691">IF(B1691="", "",
  LET(_xlpm.spell, IFERROR(IF(F1691="", "", INDEX(_xlws.FILTER(Hairstyles!$F:$F, ISNUMBER(SEARCH(F1691, Hairstyles!$B:$B))), 1)), "No Spell for Hairstyle"),
  _xlpm.vanillaPrefix, IF(LEFT(_xlpm.spell, 7)="Uvi_Wig", "", ";"),
  ";" &amp; IF(C1691="", B1691, C1691) &amp; IF(M1691="", "", " ("&amp;M1691&amp;")") &amp; CHAR(10) &amp;
  _xlpm.vanillaPrefix &amp; "Keyword = Uvi_Wig_Distr_KYWD|" &amp; B1691 &amp; CHAR(10) &amp;
  _xlpm.vanillaPrefix &amp; "Spell = " &amp; _xlpm.spell &amp; "|" &amp; B1691
  )
)</f>
        <v>;Vittoria Vici
;Keyword = Uvi_Wig_Distr_KYWD|VittoriaVici
;Spell = No Spell for Hairstyle|VittoriaVici</v>
      </c>
    </row>
    <row r="1692" ht="12.75" customHeight="1">
      <c r="A1692" s="5" t="s">
        <v>5714</v>
      </c>
      <c r="B1692" s="5" t="s">
        <v>5715</v>
      </c>
      <c r="C1692" s="5" t="s">
        <v>5716</v>
      </c>
      <c r="D1692" s="5" t="s">
        <v>16</v>
      </c>
      <c r="E1692" s="5" t="s">
        <v>41</v>
      </c>
      <c r="F1692" s="5" t="s">
        <v>1041</v>
      </c>
      <c r="G1692" s="14" t="str">
        <f t="array" ref="G1692">IF(B1692="", "",
  LET(_xlpm.spell, IFERROR(IF(F1692="", "", INDEX(_xlws.FILTER(Hairstyles!$F:$F, ISNUMBER(SEARCH(F1692, Hairstyles!$B:$B))), 1)), "No Spell for Hairstyle"),
  _xlpm.vanillaPrefix, IF(LEFT(_xlpm.spell, 7)="Uvi_Wig", "", ";"),
  ";" &amp; IF(C1692="", B1692, C1692) &amp; IF(M1692="", "", " ("&amp;M1692&amp;")") &amp; CHAR(10) &amp;
  _xlpm.vanillaPrefix &amp; "Keyword = Uvi_Wig_Distr_KYWD|" &amp; B1692 &amp; CHAR(10) &amp;
  _xlpm.vanillaPrefix &amp; "Spell = " &amp; _xlpm.spell &amp; "|" &amp; B1692
  )
)</f>
        <v>;Vivienne Onis
;Keyword = Uvi_Wig_Distr_KYWD|VivienneOnis
;Spell = No Spell for Hairstyle|VivienneOnis</v>
      </c>
    </row>
    <row r="1693" ht="12.75" customHeight="1">
      <c r="A1693" s="5" t="s">
        <v>5717</v>
      </c>
      <c r="B1693" s="5" t="s">
        <v>5718</v>
      </c>
      <c r="C1693" s="5" t="s">
        <v>5718</v>
      </c>
      <c r="D1693" s="5" t="s">
        <v>16</v>
      </c>
      <c r="E1693" s="5" t="s">
        <v>41</v>
      </c>
      <c r="F1693" s="5" t="s">
        <v>2118</v>
      </c>
      <c r="G1693" s="14" t="str">
        <f t="array" ref="G1693">IF(B1693="", "",
  LET(_xlpm.spell, IFERROR(IF(F1693="", "", INDEX(_xlws.FILTER(Hairstyles!$F:$F, ISNUMBER(SEARCH(F1693, Hairstyles!$B:$B))), 1)), "No Spell for Hairstyle"),
  _xlpm.vanillaPrefix, IF(LEFT(_xlpm.spell, 7)="Uvi_Wig", "", ";"),
  ";" &amp; IF(C1693="", B1693, C1693) &amp; IF(M1693="", "", " ("&amp;M1693&amp;")") &amp; CHAR(10) &amp;
  _xlpm.vanillaPrefix &amp; "Keyword = Uvi_Wig_Distr_KYWD|" &amp; B1693 &amp; CHAR(10) &amp;
  _xlpm.vanillaPrefix &amp; "Spell = " &amp; _xlpm.spell &amp; "|" &amp; B1693
  )
)</f>
        <v>;Voada
;Keyword = Uvi_Wig_Distr_KYWD|Voada
;Spell = No Spell for Hairstyle|Voada</v>
      </c>
    </row>
    <row r="1694" ht="12.75" customHeight="1">
      <c r="A1694" s="5" t="s">
        <v>5719</v>
      </c>
      <c r="B1694" s="5" t="s">
        <v>5720</v>
      </c>
      <c r="C1694" s="5" t="s">
        <v>5721</v>
      </c>
      <c r="D1694" s="5" t="s">
        <v>45</v>
      </c>
      <c r="E1694" s="5" t="s">
        <v>41</v>
      </c>
      <c r="F1694" s="5" t="s">
        <v>2034</v>
      </c>
      <c r="G1694" s="14" t="str">
        <f t="array" ref="G1694">IF(B1694="", "",
  LET(_xlpm.spell, IFERROR(IF(F1694="", "", INDEX(_xlws.FILTER(Hairstyles!$F:$F, ISNUMBER(SEARCH(F1694, Hairstyles!$B:$B))), 1)), "No Spell for Hairstyle"),
  _xlpm.vanillaPrefix, IF(LEFT(_xlpm.spell, 7)="Uvi_Wig", "", ";"),
  ";" &amp; IF(C1694="", B1694, C1694) &amp; IF(M1694="", "", " ("&amp;M1694&amp;")") &amp; CHAR(10) &amp;
  _xlpm.vanillaPrefix &amp; "Keyword = Uvi_Wig_Distr_KYWD|" &amp; B1694 &amp; CHAR(10) &amp;
  _xlpm.vanillaPrefix &amp; "Spell = " &amp; _xlpm.spell &amp; "|" &amp; B1694
  )
)</f>
        <v>;Voice of Boethiah
;Keyword = Uvi_Wig_Distr_KYWD|DA02Boethiah
;Spell = No Spell for Hairstyle|DA02Boethiah</v>
      </c>
    </row>
    <row r="1695" ht="12.75" customHeight="1">
      <c r="A1695" s="5" t="s">
        <v>5722</v>
      </c>
      <c r="B1695" s="5" t="s">
        <v>5723</v>
      </c>
      <c r="C1695" s="5" t="s">
        <v>5724</v>
      </c>
      <c r="D1695" s="5" t="s">
        <v>90</v>
      </c>
      <c r="E1695" s="5" t="s">
        <v>41</v>
      </c>
      <c r="F1695" s="5" t="s">
        <v>92</v>
      </c>
      <c r="G1695" s="14" t="str">
        <f t="array" ref="G1695">IF(B1695="", "",
  LET(_xlpm.spell, IFERROR(IF(F1695="", "", INDEX(_xlws.FILTER(Hairstyles!$F:$F, ISNUMBER(SEARCH(F1695, Hairstyles!$B:$B))), 1)), "No Spell for Hairstyle"),
  _xlpm.vanillaPrefix, IF(LEFT(_xlpm.spell, 7)="Uvi_Wig", "", ";"),
  ";" &amp; IF(C1695="", B1695, C1695) &amp; IF(M1695="", "", " ("&amp;M1695&amp;")") &amp; CHAR(10) &amp;
  _xlpm.vanillaPrefix &amp; "Keyword = Uvi_Wig_Distr_KYWD|" &amp; B1695 &amp; CHAR(10) &amp;
  _xlpm.vanillaPrefix &amp; "Spell = " &amp; _xlpm.spell &amp; "|" &amp; B1695
  )
)</f>
        <v>;Voice of Namira
;Keyword = Uvi_Wig_Distr_KYWD|DA11VoiceofNamira
;Spell = No Spell for Hairstyle|DA11VoiceofNamira</v>
      </c>
    </row>
    <row r="1696" ht="12.75" customHeight="1">
      <c r="A1696" s="5" t="s">
        <v>5725</v>
      </c>
      <c r="B1696" s="5" t="s">
        <v>5726</v>
      </c>
      <c r="C1696" s="5" t="s">
        <v>5727</v>
      </c>
      <c r="D1696" s="5" t="s">
        <v>45</v>
      </c>
      <c r="E1696" s="5" t="s">
        <v>41</v>
      </c>
      <c r="F1696" s="5" t="s">
        <v>92</v>
      </c>
      <c r="G1696" s="14" t="str">
        <f t="array" ref="G1696">IF(B1696="", "",
  LET(_xlpm.spell, IFERROR(IF(F1696="", "", INDEX(_xlws.FILTER(Hairstyles!$F:$F, ISNUMBER(SEARCH(F1696, Hairstyles!$B:$B))), 1)), "No Spell for Hairstyle"),
  _xlpm.vanillaPrefix, IF(LEFT(_xlpm.spell, 7)="Uvi_Wig", "", ";"),
  ";" &amp; IF(C1696="", B1696, C1696) &amp; IF(M1696="", "", " ("&amp;M1696&amp;")") &amp; CHAR(10) &amp;
  _xlpm.vanillaPrefix &amp; "Keyword = Uvi_Wig_Distr_KYWD|" &amp; B1696 &amp; CHAR(10) &amp;
  _xlpm.vanillaPrefix &amp; "Spell = " &amp; _xlpm.spell &amp; "|" &amp; B1696
  )
)</f>
        <v>;Voldsea Giryon
;Keyword = Uvi_Wig_Distr_KYWD|VoldseaGiryon
;Spell = No Spell for Hairstyle|VoldseaGiryon</v>
      </c>
    </row>
    <row r="1697" ht="12.75" customHeight="1">
      <c r="A1697" s="15" t="s">
        <v>5728</v>
      </c>
      <c r="B1697" s="5" t="s">
        <v>5729</v>
      </c>
      <c r="C1697" s="5" t="s">
        <v>5730</v>
      </c>
      <c r="D1697" s="5" t="s">
        <v>38</v>
      </c>
      <c r="E1697" s="5" t="s">
        <v>233</v>
      </c>
      <c r="F1697" s="5" t="s">
        <v>68</v>
      </c>
      <c r="G1697" s="14" t="str">
        <f t="array" ref="G1697">IF(B1697="", "",
  LET(_xlpm.spell, IFERROR(IF(F1697="", "", INDEX(_xlws.FILTER(Hairstyles!$F:$F, ISNUMBER(SEARCH(F1697, Hairstyles!$B:$B))), 1)), "No Spell for Hairstyle"),
  _xlpm.vanillaPrefix, IF(LEFT(_xlpm.spell, 7)="Uvi_Wig", "", ";"),
  ";" &amp; IF(C1697="", B1697, C1697) &amp; IF(M1697="", "", " ("&amp;M1697&amp;")") &amp; CHAR(10) &amp;
  _xlpm.vanillaPrefix &amp; "Keyword = Uvi_Wig_Distr_KYWD|" &amp; B1697 &amp; CHAR(10) &amp;
  _xlpm.vanillaPrefix &amp; "Spell = " &amp; _xlpm.spell &amp; "|" &amp; B1697
  )
)</f>
        <v>;Volk
;Keyword = Uvi_Wig_Distr_KYWD|DLC1DunRuunvaldVolk
;Spell = No Spell for Hairstyle|DLC1DunRuunvaldVolk</v>
      </c>
    </row>
    <row r="1698" ht="12.75" customHeight="1">
      <c r="A1698" s="5" t="s">
        <v>5731</v>
      </c>
      <c r="B1698" s="5" t="s">
        <v>5732</v>
      </c>
      <c r="C1698" s="5" t="s">
        <v>5733</v>
      </c>
      <c r="D1698" s="5" t="s">
        <v>79</v>
      </c>
      <c r="E1698" s="5" t="s">
        <v>41</v>
      </c>
      <c r="F1698" s="5" t="s">
        <v>1557</v>
      </c>
      <c r="G1698" s="14" t="str">
        <f t="array" ref="G1698">IF(B1698="", "",
  LET(_xlpm.spell, IFERROR(IF(F1698="", "", INDEX(_xlws.FILTER(Hairstyles!$F:$F, ISNUMBER(SEARCH(F1698, Hairstyles!$B:$B))), 1)), "No Spell for Hairstyle"),
  _xlpm.vanillaPrefix, IF(LEFT(_xlpm.spell, 7)="Uvi_Wig", "", ";"),
  ";" &amp; IF(C1698="", B1698, C1698) &amp; IF(M1698="", "", " ("&amp;M1698&amp;")") &amp; CHAR(10) &amp;
  _xlpm.vanillaPrefix &amp; "Keyword = Uvi_Wig_Distr_KYWD|" &amp; B1698 &amp; CHAR(10) &amp;
  _xlpm.vanillaPrefix &amp; "Spell = " &amp; _xlpm.spell &amp; "|" &amp; B1698
  )
)</f>
        <v>;Volkihar Master Vampire
;Keyword = Uvi_Wig_Distr_KYWD|EncVampire06TemplateBoss
;Spell = No Spell for Hairstyle|EncVampire06TemplateBoss</v>
      </c>
    </row>
    <row r="1699" ht="12.75" customHeight="1">
      <c r="A1699" s="15" t="s">
        <v>5734</v>
      </c>
      <c r="B1699" s="5" t="s">
        <v>5735</v>
      </c>
      <c r="C1699" s="5" t="s">
        <v>5736</v>
      </c>
      <c r="D1699" s="5" t="s">
        <v>79</v>
      </c>
      <c r="E1699" s="5" t="s">
        <v>41</v>
      </c>
      <c r="F1699" s="5" t="s">
        <v>1557</v>
      </c>
      <c r="G1699" s="14" t="str">
        <f t="array" ref="G1699">IF(B1699="", "",
  LET(_xlpm.spell, IFERROR(IF(F1699="", "", INDEX(_xlws.FILTER(Hairstyles!$F:$F, ISNUMBER(SEARCH(F1699, Hairstyles!$B:$B))), 1)), "No Spell for Hairstyle"),
  _xlpm.vanillaPrefix, IF(LEFT(_xlpm.spell, 7)="Uvi_Wig", "", ";"),
  ";" &amp; IF(C1699="", B1699, C1699) &amp; IF(M1699="", "", " ("&amp;M1699&amp;")") &amp; CHAR(10) &amp;
  _xlpm.vanillaPrefix &amp; "Keyword = Uvi_Wig_Distr_KYWD|" &amp; B1699 &amp; CHAR(10) &amp;
  _xlpm.vanillaPrefix &amp; "Spell = " &amp; _xlpm.spell &amp; "|" &amp; B1699
  )
)</f>
        <v>;Volkihar Vampire
;Keyword = Uvi_Wig_Distr_KYWD|EncVampire06Template
;Spell = No Spell for Hairstyle|EncVampire06Template</v>
      </c>
    </row>
    <row r="1700" ht="12.75" customHeight="1">
      <c r="A1700" s="5" t="s">
        <v>5737</v>
      </c>
      <c r="B1700" s="5" t="s">
        <v>5738</v>
      </c>
      <c r="C1700" s="5" t="s">
        <v>5739</v>
      </c>
      <c r="D1700" s="5" t="s">
        <v>38</v>
      </c>
      <c r="E1700" s="5" t="s">
        <v>41</v>
      </c>
      <c r="F1700" s="5" t="s">
        <v>1694</v>
      </c>
      <c r="G1700" s="14" t="str">
        <f t="array" ref="G1700">IF(B1700="", "",
  LET(_xlpm.spell, IFERROR(IF(F1700="", "", INDEX(_xlws.FILTER(Hairstyles!$F:$F, ISNUMBER(SEARCH(F1700, Hairstyles!$B:$B))), 1)), "No Spell for Hairstyle"),
  _xlpm.vanillaPrefix, IF(LEFT(_xlpm.spell, 7)="Uvi_Wig", "", ";"),
  ";" &amp; IF(C1700="", B1700, C1700) &amp; IF(M1700="", "", " ("&amp;M1700&amp;")") &amp; CHAR(10) &amp;
  _xlpm.vanillaPrefix &amp; "Keyword = Uvi_Wig_Distr_KYWD|" &amp; B1700 &amp; CHAR(10) &amp;
  _xlpm.vanillaPrefix &amp; "Spell = " &amp; _xlpm.spell &amp; "|" &amp; B1700
  )
)</f>
        <v>;Vori
;Keyword = Uvi_Wig_Distr_KYWD|DLC1DawnguardExterior02
;Spell = No Spell for Hairstyle|DLC1DawnguardExterior02</v>
      </c>
    </row>
    <row r="1701" ht="12.75" customHeight="1">
      <c r="A1701" s="5" t="s">
        <v>5740</v>
      </c>
      <c r="B1701" s="5" t="s">
        <v>5741</v>
      </c>
      <c r="C1701" s="5" t="s">
        <v>5742</v>
      </c>
      <c r="D1701" s="5" t="s">
        <v>38</v>
      </c>
      <c r="E1701" s="5" t="s">
        <v>233</v>
      </c>
      <c r="F1701" s="5" t="s">
        <v>40</v>
      </c>
      <c r="G1701" s="14" t="str">
        <f t="array" ref="G1701">IF(B1701="", "",
  LET(_xlpm.spell, IFERROR(IF(F1701="", "", INDEX(_xlws.FILTER(Hairstyles!$F:$F, ISNUMBER(SEARCH(F1701, Hairstyles!$B:$B))), 1)), "No Spell for Hairstyle"),
  _xlpm.vanillaPrefix, IF(LEFT(_xlpm.spell, 7)="Uvi_Wig", "", ";"),
  ";" &amp; IF(C1701="", B1701, C1701) &amp; IF(M1701="", "", " ("&amp;M1701&amp;")") &amp; CHAR(10) &amp;
  _xlpm.vanillaPrefix &amp; "Keyword = Uvi_Wig_Distr_KYWD|" &amp; B1701 &amp; CHAR(10) &amp;
  _xlpm.vanillaPrefix &amp; "Spell = " &amp; _xlpm.spell &amp; "|" &amp; B1701
  )
)</f>
        <v>;Vorstag
;Keyword = Uvi_Wig_Distr_KYWD|HirelingVorstag
;Spell = No Spell for Hairstyle|HirelingVorstag</v>
      </c>
    </row>
    <row r="1702" ht="12.75" customHeight="1">
      <c r="A1702" s="15" t="s">
        <v>5743</v>
      </c>
      <c r="B1702" s="5" t="s">
        <v>5744</v>
      </c>
      <c r="C1702" s="5" t="s">
        <v>5745</v>
      </c>
      <c r="D1702" s="5" t="s">
        <v>38</v>
      </c>
      <c r="E1702" s="5" t="s">
        <v>233</v>
      </c>
      <c r="F1702" s="5" t="s">
        <v>1700</v>
      </c>
      <c r="G1702" s="14" t="str">
        <f t="array" ref="G1702">IF(B1702="", "",
  LET(_xlpm.spell, IFERROR(IF(F1702="", "", INDEX(_xlws.FILTER(Hairstyles!$F:$F, ISNUMBER(SEARCH(F1702, Hairstyles!$B:$B))), 1)), "No Spell for Hairstyle"),
  _xlpm.vanillaPrefix, IF(LEFT(_xlpm.spell, 7)="Uvi_Wig", "", ";"),
  ";" &amp; IF(C1702="", B1702, C1702) &amp; IF(M1702="", "", " ("&amp;M1702&amp;")") &amp; CHAR(10) &amp;
  _xlpm.vanillaPrefix &amp; "Keyword = Uvi_Wig_Distr_KYWD|" &amp; B1702 &amp; CHAR(10) &amp;
  _xlpm.vanillaPrefix &amp; "Spell = " &amp; _xlpm.spell &amp; "|" &amp; B1702
  )
)</f>
        <v>;Vulwulf Snow-Shod
;Keyword = Uvi_Wig_Distr_KYWD|Vulwulf
;Spell = No Spell for Hairstyle|Vulwulf</v>
      </c>
    </row>
    <row r="1703" ht="12.75" customHeight="1">
      <c r="A1703" s="5" t="s">
        <v>5746</v>
      </c>
      <c r="B1703" s="5" t="s">
        <v>5747</v>
      </c>
      <c r="C1703" s="5" t="s">
        <v>5748</v>
      </c>
      <c r="D1703" s="5" t="s">
        <v>10</v>
      </c>
      <c r="E1703" s="5" t="s">
        <v>233</v>
      </c>
      <c r="F1703" s="4" t="s">
        <v>1741</v>
      </c>
      <c r="G1703" s="14" t="str">
        <f t="array" ref="G1703">IF(B1703="", "",
  LET(_xlpm.spell, IFERROR(IF(F1703="", "", INDEX(_xlws.FILTER(Hairstyles!$F:$F, ISNUMBER(SEARCH(F1703, Hairstyles!$B:$B))), 1)), "No Spell for Hairstyle"),
  _xlpm.vanillaPrefix, IF(LEFT(_xlpm.spell, 7)="Uvi_Wig", "", ";"),
  ";" &amp; IF(C1703="", B1703, C1703) &amp; IF(M1703="", "", " ("&amp;M1703&amp;")") &amp; CHAR(10) &amp;
  _xlpm.vanillaPrefix &amp; "Keyword = Uvi_Wig_Distr_KYWD|" &amp; B1703 &amp; CHAR(10) &amp;
  _xlpm.vanillaPrefix &amp; "Spell = " &amp; _xlpm.spell &amp; "|" &amp; B1703
  )
)</f>
        <v>;Warehouse Traps Reset Test Guy
;Keyword = Uvi_Wig_Distr_KYWD|TestWarehouseTrapsReset
;Spell = No Spell for Hairstyle|TestWarehouseTrapsReset</v>
      </c>
    </row>
    <row r="1704" ht="12.75" customHeight="1">
      <c r="A1704" s="5" t="s">
        <v>5749</v>
      </c>
      <c r="B1704" s="5" t="s">
        <v>5750</v>
      </c>
      <c r="C1704" s="5" t="s">
        <v>5751</v>
      </c>
      <c r="D1704" s="5" t="s">
        <v>38</v>
      </c>
      <c r="E1704" s="5" t="s">
        <v>233</v>
      </c>
      <c r="F1704" s="5" t="s">
        <v>521</v>
      </c>
      <c r="G1704" s="14" t="str">
        <f t="array" ref="G1704">IF(B1704="", "",
  LET(_xlpm.spell, IFERROR(IF(F1704="", "", INDEX(_xlws.FILTER(Hairstyles!$F:$F, ISNUMBER(SEARCH(F1704, Hairstyles!$B:$B))), 1)), "No Spell for Hairstyle"),
  _xlpm.vanillaPrefix, IF(LEFT(_xlpm.spell, 7)="Uvi_Wig", "", ";"),
  ";" &amp; IF(C1704="", B1704, C1704) &amp; IF(M1704="", "", " ("&amp;M1704&amp;")") &amp; CHAR(10) &amp;
  _xlpm.vanillaPrefix &amp; "Keyword = Uvi_Wig_Distr_KYWD|" &amp; B1704 &amp; CHAR(10) &amp;
  _xlpm.vanillaPrefix &amp; "Spell = " &amp; _xlpm.spell &amp; "|" &amp; B1704
  )
)</f>
        <v>;Wary Outlaw
;Keyword = Uvi_Wig_Distr_KYWD|DBRecurringContact2Riften
;Spell = No Spell for Hairstyle|DBRecurringContact2Riften</v>
      </c>
    </row>
    <row r="1705" ht="12.75" customHeight="1">
      <c r="A1705" s="5" t="s">
        <v>5752</v>
      </c>
      <c r="B1705" s="5" t="s">
        <v>5753</v>
      </c>
      <c r="C1705" s="5" t="s">
        <v>5754</v>
      </c>
      <c r="D1705" s="5" t="s">
        <v>10</v>
      </c>
      <c r="E1705" s="5" t="s">
        <v>233</v>
      </c>
      <c r="F1705" s="5" t="s">
        <v>3618</v>
      </c>
      <c r="G1705" s="14" t="str">
        <f t="array" ref="G1705">IF(B1705="", "",
  LET(_xlpm.spell, IFERROR(IF(F1705="", "", INDEX(_xlws.FILTER(Hairstyles!$F:$F, ISNUMBER(SEARCH(F1705, Hairstyles!$B:$B))), 1)), "No Spell for Hairstyle"),
  _xlpm.vanillaPrefix, IF(LEFT(_xlpm.spell, 7)="Uvi_Wig", "", ";"),
  ";" &amp; IF(C1705="", B1705, C1705) &amp; IF(M1705="", "", " ("&amp;M1705&amp;")") &amp; CHAR(10) &amp;
  _xlpm.vanillaPrefix &amp; "Keyword = Uvi_Wig_Distr_KYWD|" &amp; B1705 &amp; CHAR(10) &amp;
  _xlpm.vanillaPrefix &amp; "Spell = " &amp; _xlpm.spell &amp; "|" &amp; B1705
  )
)</f>
        <v>;Watches-The-Roots
;Keyword = Uvi_Wig_Distr_KYWD|WatchesTheRoots
;Spell = No Spell for Hairstyle|WatchesTheRoots</v>
      </c>
    </row>
    <row r="1706" ht="12.75" customHeight="1">
      <c r="A1706" s="5" t="s">
        <v>5755</v>
      </c>
      <c r="B1706" s="5" t="s">
        <v>5756</v>
      </c>
      <c r="C1706" s="5" t="s">
        <v>5754</v>
      </c>
      <c r="D1706" s="5" t="s">
        <v>10</v>
      </c>
      <c r="E1706" s="5" t="s">
        <v>233</v>
      </c>
      <c r="F1706" s="5" t="s">
        <v>3618</v>
      </c>
      <c r="G1706" s="14" t="str">
        <f t="array" ref="G1706">IF(B1706="", "",
  LET(_xlpm.spell, IFERROR(IF(F1706="", "", INDEX(_xlws.FILTER(Hairstyles!$F:$F, ISNUMBER(SEARCH(F1706, Hairstyles!$B:$B))), 1)), "No Spell for Hairstyle"),
  _xlpm.vanillaPrefix, IF(LEFT(_xlpm.spell, 7)="Uvi_Wig", "", ";"),
  ";" &amp; IF(C1706="", B1706, C1706) &amp; IF(M1706="", "", " ("&amp;M1706&amp;")") &amp; CHAR(10) &amp;
  _xlpm.vanillaPrefix &amp; "Keyword = Uvi_Wig_Distr_KYWD|" &amp; B1706 &amp; CHAR(10) &amp;
  _xlpm.vanillaPrefix &amp; "Spell = " &amp; _xlpm.spell &amp; "|" &amp; B1706
  )
)</f>
        <v>;Watches-The-Roots
;Keyword = Uvi_Wig_Distr_KYWD|WatchesTheRootsCorpse
;Spell = No Spell for Hairstyle|WatchesTheRootsCorpse</v>
      </c>
    </row>
    <row r="1707" ht="12.75" customHeight="1">
      <c r="A1707" s="5" t="s">
        <v>5757</v>
      </c>
      <c r="B1707" s="5" t="s">
        <v>5758</v>
      </c>
      <c r="C1707" s="5" t="s">
        <v>5759</v>
      </c>
      <c r="D1707" s="5" t="s">
        <v>51</v>
      </c>
      <c r="E1707" s="5" t="s">
        <v>233</v>
      </c>
      <c r="F1707" s="5" t="s">
        <v>762</v>
      </c>
      <c r="G1707" s="14" t="str">
        <f t="array" ref="G1707">IF(B1707="", "",
  LET(_xlpm.spell, IFERROR(IF(F1707="", "", INDEX(_xlws.FILTER(Hairstyles!$F:$F, ISNUMBER(SEARCH(F1707, Hairstyles!$B:$B))), 1)), "No Spell for Hairstyle"),
  _xlpm.vanillaPrefix, IF(LEFT(_xlpm.spell, 7)="Uvi_Wig", "", ";"),
  ";" &amp; IF(C1707="", B1707, C1707) &amp; IF(M1707="", "", " ("&amp;M1707&amp;")") &amp; CHAR(10) &amp;
  _xlpm.vanillaPrefix &amp; "Keyword = Uvi_Wig_Distr_KYWD|" &amp; B1707 &amp; CHAR(10) &amp;
  _xlpm.vanillaPrefix &amp; "Spell = " &amp; _xlpm.spell &amp; "|" &amp; B1707
  )
)</f>
        <v>;Watchman
;Keyword = Uvi_Wig_Distr_KYWD|DLC1VampireCastleGuard
;Spell = No Spell for Hairstyle|DLC1VampireCastleGuard</v>
      </c>
    </row>
    <row r="1708" ht="12.75" customHeight="1">
      <c r="A1708" s="5" t="s">
        <v>5760</v>
      </c>
      <c r="B1708" s="5" t="s">
        <v>5761</v>
      </c>
      <c r="C1708" s="5" t="s">
        <v>5762</v>
      </c>
      <c r="D1708" s="5" t="s">
        <v>38</v>
      </c>
      <c r="E1708" s="5" t="s">
        <v>233</v>
      </c>
      <c r="F1708" s="5" t="s">
        <v>762</v>
      </c>
      <c r="G1708" s="14" t="str">
        <f t="array" ref="G1708">IF(B1708="", "",
  LET(_xlpm.spell, IFERROR(IF(F1708="", "", INDEX(_xlws.FILTER(Hairstyles!$F:$F, ISNUMBER(SEARCH(F1708, Hairstyles!$B:$B))), 1)), "No Spell for Hairstyle"),
  _xlpm.vanillaPrefix, IF(LEFT(_xlpm.spell, 7)="Uvi_Wig", "", ";"),
  ";" &amp; IF(C1708="", B1708, C1708) &amp; IF(M1708="", "", " ("&amp;M1708&amp;")") &amp; CHAR(10) &amp;
  _xlpm.vanillaPrefix &amp; "Keyword = Uvi_Wig_Distr_KYWD|" &amp; B1708 &amp; CHAR(10) &amp;
  _xlpm.vanillaPrefix &amp; "Spell = " &amp; _xlpm.spell &amp; "|" &amp; B1708
  )
)</f>
        <v>;Werebear
;Keyword = Uvi_Wig_Distr_KYWD|DLC2EncTribalWerebearA
;Spell = No Spell for Hairstyle|DLC2EncTribalWerebearA</v>
      </c>
    </row>
    <row r="1709" ht="12.75" customHeight="1">
      <c r="A1709" s="5" t="s">
        <v>5763</v>
      </c>
      <c r="B1709" s="5" t="s">
        <v>5764</v>
      </c>
      <c r="C1709" s="5" t="s">
        <v>5762</v>
      </c>
      <c r="D1709" s="5" t="s">
        <v>38</v>
      </c>
      <c r="E1709" s="5" t="s">
        <v>233</v>
      </c>
      <c r="F1709" s="5" t="s">
        <v>695</v>
      </c>
      <c r="G1709" s="14" t="str">
        <f t="array" ref="G1709">IF(B1709="", "",
  LET(_xlpm.spell, IFERROR(IF(F1709="", "", INDEX(_xlws.FILTER(Hairstyles!$F:$F, ISNUMBER(SEARCH(F1709, Hairstyles!$B:$B))), 1)), "No Spell for Hairstyle"),
  _xlpm.vanillaPrefix, IF(LEFT(_xlpm.spell, 7)="Uvi_Wig", "", ";"),
  ";" &amp; IF(C1709="", B1709, C1709) &amp; IF(M1709="", "", " ("&amp;M1709&amp;")") &amp; CHAR(10) &amp;
  _xlpm.vanillaPrefix &amp; "Keyword = Uvi_Wig_Distr_KYWD|" &amp; B1709 &amp; CHAR(10) &amp;
  _xlpm.vanillaPrefix &amp; "Spell = " &amp; _xlpm.spell &amp; "|" &amp; B1709
  )
)</f>
        <v>;Werebear
;Keyword = Uvi_Wig_Distr_KYWD|DLC2EncTribalWerebearB
;Spell = No Spell for Hairstyle|DLC2EncTribalWerebearB</v>
      </c>
    </row>
    <row r="1710" ht="12.75" customHeight="1">
      <c r="A1710" s="5" t="s">
        <v>5765</v>
      </c>
      <c r="B1710" s="5" t="s">
        <v>5766</v>
      </c>
      <c r="C1710" s="5" t="s">
        <v>5762</v>
      </c>
      <c r="D1710" s="5" t="s">
        <v>38</v>
      </c>
      <c r="E1710" s="5" t="s">
        <v>233</v>
      </c>
      <c r="F1710" s="5" t="s">
        <v>521</v>
      </c>
      <c r="G1710" s="14" t="str">
        <f t="array" ref="G1710">IF(B1710="", "",
  LET(_xlpm.spell, IFERROR(IF(F1710="", "", INDEX(_xlws.FILTER(Hairstyles!$F:$F, ISNUMBER(SEARCH(F1710, Hairstyles!$B:$B))), 1)), "No Spell for Hairstyle"),
  _xlpm.vanillaPrefix, IF(LEFT(_xlpm.spell, 7)="Uvi_Wig", "", ";"),
  ";" &amp; IF(C1710="", B1710, C1710) &amp; IF(M1710="", "", " ("&amp;M1710&amp;")") &amp; CHAR(10) &amp;
  _xlpm.vanillaPrefix &amp; "Keyword = Uvi_Wig_Distr_KYWD|" &amp; B1710 &amp; CHAR(10) &amp;
  _xlpm.vanillaPrefix &amp; "Spell = " &amp; _xlpm.spell &amp; "|" &amp; B1710
  )
)</f>
        <v>;Werebear
;Keyword = Uvi_Wig_Distr_KYWD|DLC2EncTribalWerebearC
;Spell = No Spell for Hairstyle|DLC2EncTribalWerebearC</v>
      </c>
    </row>
    <row r="1711" ht="12.75" customHeight="1">
      <c r="A1711" s="5" t="s">
        <v>5767</v>
      </c>
      <c r="B1711" s="5" t="s">
        <v>5768</v>
      </c>
      <c r="C1711" s="5" t="s">
        <v>5762</v>
      </c>
      <c r="D1711" s="5" t="s">
        <v>38</v>
      </c>
      <c r="E1711" s="5" t="s">
        <v>233</v>
      </c>
      <c r="F1711" s="5" t="s">
        <v>521</v>
      </c>
      <c r="G1711" s="14" t="str">
        <f t="array" ref="G1711">IF(B1711="", "",
  LET(_xlpm.spell, IFERROR(IF(F1711="", "", INDEX(_xlws.FILTER(Hairstyles!$F:$F, ISNUMBER(SEARCH(F1711, Hairstyles!$B:$B))), 1)), "No Spell for Hairstyle"),
  _xlpm.vanillaPrefix, IF(LEFT(_xlpm.spell, 7)="Uvi_Wig", "", ";"),
  ";" &amp; IF(C1711="", B1711, C1711) &amp; IF(M1711="", "", " ("&amp;M1711&amp;")") &amp; CHAR(10) &amp;
  _xlpm.vanillaPrefix &amp; "Keyword = Uvi_Wig_Distr_KYWD|" &amp; B1711 &amp; CHAR(10) &amp;
  _xlpm.vanillaPrefix &amp; "Spell = " &amp; _xlpm.spell &amp; "|" &amp; B1711
  )
)</f>
        <v>;Werebear
;Keyword = Uvi_Wig_Distr_KYWD|DLC2WE07EncTribalWerebearA
;Spell = No Spell for Hairstyle|DLC2WE07EncTribalWerebearA</v>
      </c>
    </row>
    <row r="1712" ht="12.75" customHeight="1">
      <c r="A1712" s="5" t="s">
        <v>5769</v>
      </c>
      <c r="B1712" s="5" t="s">
        <v>5770</v>
      </c>
      <c r="C1712" s="5" t="s">
        <v>5762</v>
      </c>
      <c r="D1712" s="5" t="s">
        <v>38</v>
      </c>
      <c r="E1712" s="5" t="s">
        <v>233</v>
      </c>
      <c r="F1712" s="5" t="s">
        <v>2694</v>
      </c>
      <c r="G1712" s="14" t="str">
        <f t="array" ref="G1712">IF(B1712="", "",
  LET(_xlpm.spell, IFERROR(IF(F1712="", "", INDEX(_xlws.FILTER(Hairstyles!$F:$F, ISNUMBER(SEARCH(F1712, Hairstyles!$B:$B))), 1)), "No Spell for Hairstyle"),
  _xlpm.vanillaPrefix, IF(LEFT(_xlpm.spell, 7)="Uvi_Wig", "", ";"),
  ";" &amp; IF(C1712="", B1712, C1712) &amp; IF(M1712="", "", " ("&amp;M1712&amp;")") &amp; CHAR(10) &amp;
  _xlpm.vanillaPrefix &amp; "Keyword = Uvi_Wig_Distr_KYWD|" &amp; B1712 &amp; CHAR(10) &amp;
  _xlpm.vanillaPrefix &amp; "Spell = " &amp; _xlpm.spell &amp; "|" &amp; B1712
  )
)</f>
        <v>;Werebear
;Keyword = Uvi_Wig_Distr_KYWD|DLC2WE07EncTribalWerebearB
;Spell = No Spell for Hairstyle|DLC2WE07EncTribalWerebearB</v>
      </c>
    </row>
    <row r="1713" ht="12.75" customHeight="1">
      <c r="A1713" s="5" t="s">
        <v>5771</v>
      </c>
      <c r="B1713" s="5" t="s">
        <v>5772</v>
      </c>
      <c r="C1713" s="5" t="s">
        <v>5762</v>
      </c>
      <c r="D1713" s="5" t="s">
        <v>38</v>
      </c>
      <c r="E1713" s="5" t="s">
        <v>233</v>
      </c>
      <c r="F1713" s="5" t="s">
        <v>1894</v>
      </c>
      <c r="G1713" s="14" t="str">
        <f t="array" ref="G1713">IF(B1713="", "",
  LET(_xlpm.spell, IFERROR(IF(F1713="", "", INDEX(_xlws.FILTER(Hairstyles!$F:$F, ISNUMBER(SEARCH(F1713, Hairstyles!$B:$B))), 1)), "No Spell for Hairstyle"),
  _xlpm.vanillaPrefix, IF(LEFT(_xlpm.spell, 7)="Uvi_Wig", "", ";"),
  ";" &amp; IF(C1713="", B1713, C1713) &amp; IF(M1713="", "", " ("&amp;M1713&amp;")") &amp; CHAR(10) &amp;
  _xlpm.vanillaPrefix &amp; "Keyword = Uvi_Wig_Distr_KYWD|" &amp; B1713 &amp; CHAR(10) &amp;
  _xlpm.vanillaPrefix &amp; "Spell = " &amp; _xlpm.spell &amp; "|" &amp; B1713
  )
)</f>
        <v>;Werebear
;Keyword = Uvi_Wig_Distr_KYWD|DLC2WE07EncTribalWerebearC
;Spell = No Spell for Hairstyle|DLC2WE07EncTribalWerebearC</v>
      </c>
    </row>
    <row r="1714" ht="12.75" customHeight="1">
      <c r="A1714" s="5" t="s">
        <v>5773</v>
      </c>
      <c r="B1714" s="5" t="s">
        <v>5774</v>
      </c>
      <c r="C1714" s="5" t="s">
        <v>5775</v>
      </c>
      <c r="D1714" s="5" t="s">
        <v>16</v>
      </c>
      <c r="E1714" s="5" t="s">
        <v>233</v>
      </c>
      <c r="F1714" s="5" t="s">
        <v>19</v>
      </c>
      <c r="G1714" s="14" t="str">
        <f t="array" ref="G1714">IF(B1714="", "",
  LET(_xlpm.spell, IFERROR(IF(F1714="", "", INDEX(_xlws.FILTER(Hairstyles!$F:$F, ISNUMBER(SEARCH(F1714, Hairstyles!$B:$B))), 1)), "No Spell for Hairstyle"),
  _xlpm.vanillaPrefix, IF(LEFT(_xlpm.spell, 7)="Uvi_Wig", "", ";"),
  ";" &amp; IF(C1714="", B1714, C1714) &amp; IF(M1714="", "", " ("&amp;M1714&amp;")") &amp; CHAR(10) &amp;
  _xlpm.vanillaPrefix &amp; "Keyword = Uvi_Wig_Distr_KYWD|" &amp; B1714 &amp; CHAR(10) &amp;
  _xlpm.vanillaPrefix &amp; "Spell = " &amp; _xlpm.spell &amp; "|" &amp; B1714
  )
)</f>
        <v>;Weylin
;Keyword = Uvi_Wig_Distr_KYWD|MS01Weylin
;Spell = No Spell for Hairstyle|MS01Weylin</v>
      </c>
    </row>
    <row r="1715" ht="12.75" customHeight="1">
      <c r="A1715" s="5" t="s">
        <v>5776</v>
      </c>
      <c r="B1715" s="5" t="s">
        <v>5777</v>
      </c>
      <c r="C1715" s="5" t="s">
        <v>5778</v>
      </c>
      <c r="D1715" s="5" t="s">
        <v>38</v>
      </c>
      <c r="E1715" s="5" t="s">
        <v>233</v>
      </c>
      <c r="F1715" s="5" t="s">
        <v>1894</v>
      </c>
      <c r="G1715" s="14" t="str">
        <f t="array" ref="G1715">IF(B1715="", "",
  LET(_xlpm.spell, IFERROR(IF(F1715="", "", INDEX(_xlws.FILTER(Hairstyles!$F:$F, ISNUMBER(SEARCH(F1715, Hairstyles!$B:$B))), 1)), "No Spell for Hairstyle"),
  _xlpm.vanillaPrefix, IF(LEFT(_xlpm.spell, 7)="Uvi_Wig", "", ";"),
  ";" &amp; IF(C1715="", B1715, C1715) &amp; IF(M1715="", "", " ("&amp;M1715&amp;")") &amp; CHAR(10) &amp;
  _xlpm.vanillaPrefix &amp; "Keyword = Uvi_Wig_Distr_KYWD|" &amp; B1715 &amp; CHAR(10) &amp;
  _xlpm.vanillaPrefix &amp; "Spell = " &amp; _xlpm.spell &amp; "|" &amp; B1715
  )
)</f>
        <v>;Whiterun Guard
;Keyword = Uvi_Wig_Distr_KYWD|E3DemoSoldier01
;Spell = No Spell for Hairstyle|E3DemoSoldier01</v>
      </c>
    </row>
    <row r="1716" ht="12.75" customHeight="1">
      <c r="A1716" s="5" t="s">
        <v>5779</v>
      </c>
      <c r="B1716" s="5" t="s">
        <v>5780</v>
      </c>
      <c r="C1716" s="5" t="s">
        <v>5778</v>
      </c>
      <c r="D1716" s="5" t="s">
        <v>38</v>
      </c>
      <c r="E1716" s="5" t="s">
        <v>233</v>
      </c>
      <c r="F1716" s="5" t="s">
        <v>521</v>
      </c>
      <c r="G1716" s="14" t="str">
        <f t="array" ref="G1716">IF(B1716="", "",
  LET(_xlpm.spell, IFERROR(IF(F1716="", "", INDEX(_xlws.FILTER(Hairstyles!$F:$F, ISNUMBER(SEARCH(F1716, Hairstyles!$B:$B))), 1)), "No Spell for Hairstyle"),
  _xlpm.vanillaPrefix, IF(LEFT(_xlpm.spell, 7)="Uvi_Wig", "", ";"),
  ";" &amp; IF(C1716="", B1716, C1716) &amp; IF(M1716="", "", " ("&amp;M1716&amp;")") &amp; CHAR(10) &amp;
  _xlpm.vanillaPrefix &amp; "Keyword = Uvi_Wig_Distr_KYWD|" &amp; B1716 &amp; CHAR(10) &amp;
  _xlpm.vanillaPrefix &amp; "Spell = " &amp; _xlpm.spell &amp; "|" &amp; B1716
  )
)</f>
        <v>;Whiterun Guard
;Keyword = Uvi_Wig_Distr_KYWD|MQ104Soldier01
;Spell = No Spell for Hairstyle|MQ104Soldier01</v>
      </c>
    </row>
    <row r="1717" ht="12.75" customHeight="1">
      <c r="A1717" s="5" t="s">
        <v>5781</v>
      </c>
      <c r="B1717" s="5" t="s">
        <v>5782</v>
      </c>
      <c r="C1717" s="5" t="s">
        <v>5778</v>
      </c>
      <c r="D1717" s="5" t="s">
        <v>38</v>
      </c>
      <c r="E1717" s="5" t="s">
        <v>233</v>
      </c>
      <c r="F1717" s="5" t="s">
        <v>218</v>
      </c>
      <c r="G1717" s="14" t="str">
        <f t="array" ref="G1717">IF(B1717="", "",
  LET(_xlpm.spell, IFERROR(IF(F1717="", "", INDEX(_xlws.FILTER(Hairstyles!$F:$F, ISNUMBER(SEARCH(F1717, Hairstyles!$B:$B))), 1)), "No Spell for Hairstyle"),
  _xlpm.vanillaPrefix, IF(LEFT(_xlpm.spell, 7)="Uvi_Wig", "", ";"),
  ";" &amp; IF(C1717="", B1717, C1717) &amp; IF(M1717="", "", " ("&amp;M1717&amp;")") &amp; CHAR(10) &amp;
  _xlpm.vanillaPrefix &amp; "Keyword = Uvi_Wig_Distr_KYWD|" &amp; B1717 &amp; CHAR(10) &amp;
  _xlpm.vanillaPrefix &amp; "Spell = " &amp; _xlpm.spell &amp; "|" &amp; B1717
  )
)</f>
        <v>;Whiterun Guard
;Keyword = Uvi_Wig_Distr_KYWD|MQ104Soldier02
;Spell = No Spell for Hairstyle|MQ104Soldier02</v>
      </c>
    </row>
    <row r="1718" ht="12.75" customHeight="1">
      <c r="A1718" s="15" t="s">
        <v>5783</v>
      </c>
      <c r="B1718" s="5" t="s">
        <v>5784</v>
      </c>
      <c r="C1718" s="5" t="s">
        <v>5778</v>
      </c>
      <c r="D1718" s="5" t="s">
        <v>38</v>
      </c>
      <c r="E1718" s="5" t="s">
        <v>233</v>
      </c>
      <c r="F1718" s="5" t="s">
        <v>990</v>
      </c>
      <c r="G1718" s="14" t="str">
        <f t="array" ref="G1718">IF(B1718="", "",
  LET(_xlpm.spell, IFERROR(IF(F1718="", "", INDEX(_xlws.FILTER(Hairstyles!$F:$F, ISNUMBER(SEARCH(F1718, Hairstyles!$B:$B))), 1)), "No Spell for Hairstyle"),
  _xlpm.vanillaPrefix, IF(LEFT(_xlpm.spell, 7)="Uvi_Wig", "", ";"),
  ";" &amp; IF(C1718="", B1718, C1718) &amp; IF(M1718="", "", " ("&amp;M1718&amp;")") &amp; CHAR(10) &amp;
  _xlpm.vanillaPrefix &amp; "Keyword = Uvi_Wig_Distr_KYWD|" &amp; B1718 &amp; CHAR(10) &amp;
  _xlpm.vanillaPrefix &amp; "Spell = " &amp; _xlpm.spell &amp; "|" &amp; B1718
  )
)</f>
        <v>;Whiterun Guard
;Keyword = Uvi_Wig_Distr_KYWD|MQ104Soldier03
;Spell = No Spell for Hairstyle|MQ104Soldier03</v>
      </c>
    </row>
    <row r="1719" ht="12.75" customHeight="1">
      <c r="A1719" s="15" t="s">
        <v>5785</v>
      </c>
      <c r="B1719" s="5" t="s">
        <v>5786</v>
      </c>
      <c r="C1719" s="5" t="s">
        <v>5778</v>
      </c>
      <c r="D1719" s="5" t="s">
        <v>38</v>
      </c>
      <c r="E1719" s="5" t="s">
        <v>233</v>
      </c>
      <c r="F1719" s="5" t="s">
        <v>19</v>
      </c>
      <c r="G1719" s="14" t="str">
        <f t="array" ref="G1719">IF(B1719="", "",
  LET(_xlpm.spell, IFERROR(IF(F1719="", "", INDEX(_xlws.FILTER(Hairstyles!$F:$F, ISNUMBER(SEARCH(F1719, Hairstyles!$B:$B))), 1)), "No Spell for Hairstyle"),
  _xlpm.vanillaPrefix, IF(LEFT(_xlpm.spell, 7)="Uvi_Wig", "", ";"),
  ";" &amp; IF(C1719="", B1719, C1719) &amp; IF(M1719="", "", " ("&amp;M1719&amp;")") &amp; CHAR(10) &amp;
  _xlpm.vanillaPrefix &amp; "Keyword = Uvi_Wig_Distr_KYWD|" &amp; B1719 &amp; CHAR(10) &amp;
  _xlpm.vanillaPrefix &amp; "Spell = " &amp; _xlpm.spell &amp; "|" &amp; B1719
  )
)</f>
        <v>;Whiterun Guard
;Keyword = Uvi_Wig_Distr_KYWD|MQ104Soldier04
;Spell = No Spell for Hairstyle|MQ104Soldier04</v>
      </c>
    </row>
    <row r="1720" ht="12.75" customHeight="1">
      <c r="A1720" s="5" t="s">
        <v>5787</v>
      </c>
      <c r="B1720" s="5" t="s">
        <v>5788</v>
      </c>
      <c r="C1720" s="5" t="s">
        <v>5778</v>
      </c>
      <c r="D1720" s="5" t="s">
        <v>83</v>
      </c>
      <c r="E1720" s="5" t="s">
        <v>233</v>
      </c>
      <c r="F1720" s="5" t="s">
        <v>167</v>
      </c>
      <c r="G1720" s="14" t="str">
        <f t="array" ref="G1720">IF(B1720="", "",
  LET(_xlpm.spell, IFERROR(IF(F1720="", "", INDEX(_xlws.FILTER(Hairstyles!$F:$F, ISNUMBER(SEARCH(F1720, Hairstyles!$B:$B))), 1)), "No Spell for Hairstyle"),
  _xlpm.vanillaPrefix, IF(LEFT(_xlpm.spell, 7)="Uvi_Wig", "", ";"),
  ";" &amp; IF(C1720="", B1720, C1720) &amp; IF(M1720="", "", " ("&amp;M1720&amp;")") &amp; CHAR(10) &amp;
  _xlpm.vanillaPrefix &amp; "Keyword = Uvi_Wig_Distr_KYWD|" &amp; B1720 &amp; CHAR(10) &amp;
  _xlpm.vanillaPrefix &amp; "Spell = " &amp; _xlpm.spell &amp; "|" &amp; B1720
  )
)</f>
        <v>;Whiterun Guard
;Keyword = Uvi_Wig_Distr_KYWD|MS08WhiterunGuard
;Spell = No Spell for Hairstyle|MS08WhiterunGuard</v>
      </c>
    </row>
    <row r="1721" ht="12.75" customHeight="1">
      <c r="A1721" s="5" t="s">
        <v>5789</v>
      </c>
      <c r="B1721" s="5" t="s">
        <v>5790</v>
      </c>
      <c r="C1721" s="5" t="s">
        <v>5790</v>
      </c>
      <c r="D1721" s="5" t="s">
        <v>38</v>
      </c>
      <c r="E1721" s="5" t="s">
        <v>233</v>
      </c>
      <c r="F1721" s="5" t="s">
        <v>209</v>
      </c>
      <c r="G1721" s="14" t="str">
        <f t="array" ref="G1721">IF(B1721="", "",
  LET(_xlpm.spell, IFERROR(IF(F1721="", "", INDEX(_xlws.FILTER(Hairstyles!$F:$F, ISNUMBER(SEARCH(F1721, Hairstyles!$B:$B))), 1)), "No Spell for Hairstyle"),
  _xlpm.vanillaPrefix, IF(LEFT(_xlpm.spell, 7)="Uvi_Wig", "", ";"),
  ";" &amp; IF(C1721="", B1721, C1721) &amp; IF(M1721="", "", " ("&amp;M1721&amp;")") &amp; CHAR(10) &amp;
  _xlpm.vanillaPrefix &amp; "Keyword = Uvi_Wig_Distr_KYWD|" &amp; B1721 &amp; CHAR(10) &amp;
  _xlpm.vanillaPrefix &amp; "Spell = " &amp; _xlpm.spell &amp; "|" &amp; B1721
  )
)</f>
        <v>;Wilhelm
;Keyword = Uvi_Wig_Distr_KYWD|Wilhelm
;Spell = No Spell for Hairstyle|Wilhelm</v>
      </c>
    </row>
    <row r="1722" ht="12.75" customHeight="1">
      <c r="A1722" s="5" t="s">
        <v>5791</v>
      </c>
      <c r="B1722" s="5" t="s">
        <v>5792</v>
      </c>
      <c r="C1722" s="5" t="s">
        <v>5792</v>
      </c>
      <c r="D1722" s="5" t="s">
        <v>16</v>
      </c>
      <c r="E1722" s="5" t="s">
        <v>233</v>
      </c>
      <c r="F1722" s="5" t="s">
        <v>19</v>
      </c>
      <c r="G1722" s="14" t="str">
        <f t="array" ref="G1722">IF(B1722="", "",
  LET(_xlpm.spell, IFERROR(IF(F1722="", "", INDEX(_xlws.FILTER(Hairstyles!$F:$F, ISNUMBER(SEARCH(F1722, Hairstyles!$B:$B))), 1)), "No Spell for Hairstyle"),
  _xlpm.vanillaPrefix, IF(LEFT(_xlpm.spell, 7)="Uvi_Wig", "", ";"),
  ";" &amp; IF(C1722="", B1722, C1722) &amp; IF(M1722="", "", " ("&amp;M1722&amp;")") &amp; CHAR(10) &amp;
  _xlpm.vanillaPrefix &amp; "Keyword = Uvi_Wig_Distr_KYWD|" &amp; B1722 &amp; CHAR(10) &amp;
  _xlpm.vanillaPrefix &amp; "Spell = " &amp; _xlpm.spell &amp; "|" &amp; B1722
  )
)</f>
        <v>;Willem
;Keyword = Uvi_Wig_Distr_KYWD|Willem
;Spell = No Spell for Hairstyle|Willem</v>
      </c>
    </row>
    <row r="1723" ht="12.75" customHeight="1">
      <c r="A1723" s="5" t="s">
        <v>5793</v>
      </c>
      <c r="B1723" s="5" t="s">
        <v>5794</v>
      </c>
      <c r="C1723" s="5" t="s">
        <v>5794</v>
      </c>
      <c r="D1723" s="5" t="s">
        <v>38</v>
      </c>
      <c r="E1723" s="5" t="s">
        <v>233</v>
      </c>
      <c r="F1723" s="5" t="s">
        <v>224</v>
      </c>
      <c r="G1723" s="14" t="str">
        <f t="array" ref="G1723">IF(B1723="", "",
  LET(_xlpm.spell, IFERROR(IF(F1723="", "", INDEX(_xlws.FILTER(Hairstyles!$F:$F, ISNUMBER(SEARCH(F1723, Hairstyles!$B:$B))), 1)), "No Spell for Hairstyle"),
  _xlpm.vanillaPrefix, IF(LEFT(_xlpm.spell, 7)="Uvi_Wig", "", ";"),
  ";" &amp; IF(C1723="", B1723, C1723) &amp; IF(M1723="", "", " ("&amp;M1723&amp;")") &amp; CHAR(10) &amp;
  _xlpm.vanillaPrefix &amp; "Keyword = Uvi_Wig_Distr_KYWD|" &amp; B1723 &amp; CHAR(10) &amp;
  _xlpm.vanillaPrefix &amp; "Spell = " &amp; _xlpm.spell &amp; "|" &amp; B1723
  )
)</f>
        <v>;Wilmuth
;Keyword = Uvi_Wig_Distr_KYWD|Wilmuth
;Spell = No Spell for Hairstyle|Wilmuth</v>
      </c>
    </row>
    <row r="1724" ht="12.75" customHeight="1">
      <c r="A1724" s="5" t="s">
        <v>5795</v>
      </c>
      <c r="B1724" s="5" t="s">
        <v>5796</v>
      </c>
      <c r="C1724" s="5" t="s">
        <v>5797</v>
      </c>
      <c r="D1724" s="5" t="s">
        <v>45</v>
      </c>
      <c r="E1724" s="5" t="s">
        <v>233</v>
      </c>
      <c r="F1724" s="5" t="s">
        <v>1723</v>
      </c>
      <c r="G1724" s="14" t="str">
        <f t="array" ref="G1724">IF(B1724="", "",
  LET(_xlpm.spell, IFERROR(IF(F1724="", "", INDEX(_xlws.FILTER(Hairstyles!$F:$F, ISNUMBER(SEARCH(F1724, Hairstyles!$B:$B))), 1)), "No Spell for Hairstyle"),
  _xlpm.vanillaPrefix, IF(LEFT(_xlpm.spell, 7)="Uvi_Wig", "", ";"),
  ";" &amp; IF(C1724="", B1724, C1724) &amp; IF(M1724="", "", " ("&amp;M1724&amp;")") &amp; CHAR(10) &amp;
  _xlpm.vanillaPrefix &amp; "Keyword = Uvi_Wig_Distr_KYWD|" &amp; B1724 &amp; CHAR(10) &amp;
  _xlpm.vanillaPrefix &amp; "Spell = " &amp; _xlpm.spell &amp; "|" &amp; B1724
  )
)</f>
        <v>;Witch
;Keyword = Uvi_Wig_Distr_KYWD|EncWitch01TemplateFire
;Spell = No Spell for Hairstyle|EncWitch01TemplateFire</v>
      </c>
    </row>
    <row r="1725" ht="12.75" customHeight="1">
      <c r="A1725" s="5" t="s">
        <v>5798</v>
      </c>
      <c r="B1725" s="5" t="s">
        <v>5799</v>
      </c>
      <c r="C1725" s="5" t="s">
        <v>5797</v>
      </c>
      <c r="D1725" s="5" t="s">
        <v>38</v>
      </c>
      <c r="E1725" s="5" t="s">
        <v>233</v>
      </c>
      <c r="F1725" s="5" t="s">
        <v>40</v>
      </c>
      <c r="G1725" s="14" t="str">
        <f t="array" ref="G1725">IF(B1725="", "",
  LET(_xlpm.spell, IFERROR(IF(F1725="", "", INDEX(_xlws.FILTER(Hairstyles!$F:$F, ISNUMBER(SEARCH(F1725, Hairstyles!$B:$B))), 1)), "No Spell for Hairstyle"),
  _xlpm.vanillaPrefix, IF(LEFT(_xlpm.spell, 7)="Uvi_Wig", "", ";"),
  ";" &amp; IF(C1725="", B1725, C1725) &amp; IF(M1725="", "", " ("&amp;M1725&amp;")") &amp; CHAR(10) &amp;
  _xlpm.vanillaPrefix &amp; "Keyword = Uvi_Wig_Distr_KYWD|" &amp; B1725 &amp; CHAR(10) &amp;
  _xlpm.vanillaPrefix &amp; "Spell = " &amp; _xlpm.spell &amp; "|" &amp; B1725
  )
)</f>
        <v>;Witch
;Keyword = Uvi_Wig_Distr_KYWD|EncWitch01TemplateIce
;Spell = No Spell for Hairstyle|EncWitch01TemplateIce</v>
      </c>
    </row>
    <row r="1726" ht="12.75" customHeight="1">
      <c r="A1726" s="5" t="s">
        <v>5800</v>
      </c>
      <c r="B1726" s="5" t="s">
        <v>5801</v>
      </c>
      <c r="C1726" s="5" t="s">
        <v>5797</v>
      </c>
      <c r="D1726" s="5" t="s">
        <v>57</v>
      </c>
      <c r="E1726" s="5" t="s">
        <v>233</v>
      </c>
      <c r="F1726" s="5" t="s">
        <v>543</v>
      </c>
      <c r="G1726" s="14" t="str">
        <f t="array" ref="G1726">IF(B1726="", "",
  LET(_xlpm.spell, IFERROR(IF(F1726="", "", INDEX(_xlws.FILTER(Hairstyles!$F:$F, ISNUMBER(SEARCH(F1726, Hairstyles!$B:$B))), 1)), "No Spell for Hairstyle"),
  _xlpm.vanillaPrefix, IF(LEFT(_xlpm.spell, 7)="Uvi_Wig", "", ";"),
  ";" &amp; IF(C1726="", B1726, C1726) &amp; IF(M1726="", "", " ("&amp;M1726&amp;")") &amp; CHAR(10) &amp;
  _xlpm.vanillaPrefix &amp; "Keyword = Uvi_Wig_Distr_KYWD|" &amp; B1726 &amp; CHAR(10) &amp;
  _xlpm.vanillaPrefix &amp; "Spell = " &amp; _xlpm.spell &amp; "|" &amp; B1726
  )
)</f>
        <v>;Witch
;Keyword = Uvi_Wig_Distr_KYWD|EncWitch01TemplateStorm
;Spell = No Spell for Hairstyle|EncWitch01TemplateStorm</v>
      </c>
    </row>
    <row r="1727" ht="12.75" customHeight="1">
      <c r="A1727" s="5" t="s">
        <v>5802</v>
      </c>
      <c r="B1727" s="5" t="s">
        <v>5803</v>
      </c>
      <c r="C1727" s="5" t="s">
        <v>5804</v>
      </c>
      <c r="D1727" s="5" t="s">
        <v>90</v>
      </c>
      <c r="E1727" s="5" t="s">
        <v>233</v>
      </c>
      <c r="F1727" s="5" t="s">
        <v>91</v>
      </c>
      <c r="G1727" s="14" t="str">
        <f t="array" ref="G1727">IF(B1727="", "",
  LET(_xlpm.spell, IFERROR(IF(F1727="", "", INDEX(_xlws.FILTER(Hairstyles!$F:$F, ISNUMBER(SEARCH(F1727, Hairstyles!$B:$B))), 1)), "No Spell for Hairstyle"),
  _xlpm.vanillaPrefix, IF(LEFT(_xlpm.spell, 7)="Uvi_Wig", "", ";"),
  ";" &amp; IF(C1727="", B1727, C1727) &amp; IF(M1727="", "", " ("&amp;M1727&amp;")") &amp; CHAR(10) &amp;
  _xlpm.vanillaPrefix &amp; "Keyword = Uvi_Wig_Distr_KYWD|" &amp; B1727 &amp; CHAR(10) &amp;
  _xlpm.vanillaPrefix &amp; "Spell = " &amp; _xlpm.spell &amp; "|" &amp; B1727
  )
)</f>
        <v>;Wizard
;Keyword = Uvi_Wig_Distr_KYWD|DLC2WE05Wizard
;Spell = No Spell for Hairstyle|DLC2WE05Wizard</v>
      </c>
    </row>
    <row r="1728" ht="12.75" customHeight="1">
      <c r="A1728" s="5" t="s">
        <v>5805</v>
      </c>
      <c r="B1728" s="5" t="s">
        <v>5806</v>
      </c>
      <c r="C1728" s="5" t="s">
        <v>5804</v>
      </c>
      <c r="D1728" s="5" t="s">
        <v>38</v>
      </c>
      <c r="E1728" s="5" t="s">
        <v>233</v>
      </c>
      <c r="F1728" s="5" t="s">
        <v>695</v>
      </c>
      <c r="G1728" s="14" t="str">
        <f t="array" ref="G1728">IF(B1728="", "",
  LET(_xlpm.spell, IFERROR(IF(F1728="", "", INDEX(_xlws.FILTER(Hairstyles!$F:$F, ISNUMBER(SEARCH(F1728, Hairstyles!$B:$B))), 1)), "No Spell for Hairstyle"),
  _xlpm.vanillaPrefix, IF(LEFT(_xlpm.spell, 7)="Uvi_Wig", "", ";"),
  ";" &amp; IF(C1728="", B1728, C1728) &amp; IF(M1728="", "", " ("&amp;M1728&amp;")") &amp; CHAR(10) &amp;
  _xlpm.vanillaPrefix &amp; "Keyword = Uvi_Wig_Distr_KYWD|" &amp; B1728 &amp; CHAR(10) &amp;
  _xlpm.vanillaPrefix &amp; "Spell = " &amp; _xlpm.spell &amp; "|" &amp; B1728
  )
)</f>
        <v>;Wizard
;Keyword = Uvi_Wig_Distr_KYWD|EncWarlock00Template
;Spell = No Spell for Hairstyle|EncWarlock00Template</v>
      </c>
    </row>
    <row r="1729" ht="12.75" customHeight="1">
      <c r="A1729" s="5" t="s">
        <v>5807</v>
      </c>
      <c r="B1729" s="5" t="s">
        <v>5808</v>
      </c>
      <c r="C1729" s="5" t="s">
        <v>5809</v>
      </c>
      <c r="D1729" s="5" t="s">
        <v>59</v>
      </c>
      <c r="E1729" s="5" t="s">
        <v>233</v>
      </c>
      <c r="F1729" s="5" t="s">
        <v>346</v>
      </c>
      <c r="G1729" s="14" t="str">
        <f t="array" ref="G1729">IF(B1729="", "",
  LET(_xlpm.spell, IFERROR(IF(F1729="", "", INDEX(_xlws.FILTER(Hairstyles!$F:$F, ISNUMBER(SEARCH(F1729, Hairstyles!$B:$B))), 1)), "No Spell for Hairstyle"),
  _xlpm.vanillaPrefix, IF(LEFT(_xlpm.spell, 7)="Uvi_Wig", "", ";"),
  ";" &amp; IF(C1729="", B1729, C1729) &amp; IF(M1729="", "", " ("&amp;M1729&amp;")") &amp; CHAR(10) &amp;
  _xlpm.vanillaPrefix &amp; "Keyword = Uvi_Wig_Distr_KYWD|" &amp; B1729 &amp; CHAR(10) &amp;
  _xlpm.vanillaPrefix &amp; "Spell = " &amp; _xlpm.spell &amp; "|" &amp; B1729
  )
)</f>
        <v>;Wood Cutter
;Keyword = Uvi_Wig_Distr_KYWD|dunPOITreasCorpseLumberjack
;Spell = No Spell for Hairstyle|dunPOITreasCorpseLumberjack</v>
      </c>
    </row>
    <row r="1730" ht="12.75" customHeight="1">
      <c r="A1730" s="5" t="s">
        <v>5810</v>
      </c>
      <c r="B1730" s="5" t="s">
        <v>5811</v>
      </c>
      <c r="C1730" s="5" t="s">
        <v>5809</v>
      </c>
      <c r="D1730" s="5" t="s">
        <v>16</v>
      </c>
      <c r="E1730" s="5" t="s">
        <v>233</v>
      </c>
      <c r="F1730" s="5" t="s">
        <v>235</v>
      </c>
      <c r="G1730" s="14" t="str">
        <f t="array" ref="G1730">IF(B1730="", "",
  LET(_xlpm.spell, IFERROR(IF(F1730="", "", INDEX(_xlws.FILTER(Hairstyles!$F:$F, ISNUMBER(SEARCH(F1730, Hairstyles!$B:$B))), 1)), "No Spell for Hairstyle"),
  _xlpm.vanillaPrefix, IF(LEFT(_xlpm.spell, 7)="Uvi_Wig", "", ";"),
  ";" &amp; IF(C1730="", B1730, C1730) &amp; IF(M1730="", "", " ("&amp;M1730&amp;")") &amp; CHAR(10) &amp;
  _xlpm.vanillaPrefix &amp; "Keyword = Uvi_Wig_Distr_KYWD|" &amp; B1730 &amp; CHAR(10) &amp;
  _xlpm.vanillaPrefix &amp; "Spell = " &amp; _xlpm.spell &amp; "|" &amp; B1730
  )
)</f>
        <v>;Wood Cutter
;Keyword = Uvi_Wig_Distr_KYWD|pinewoodGroveLumberjack
;Spell = No Spell for Hairstyle|pinewoodGroveLumberjack</v>
      </c>
    </row>
    <row r="1731" ht="12.75" customHeight="1">
      <c r="A1731" s="15" t="s">
        <v>5812</v>
      </c>
      <c r="B1731" s="5" t="s">
        <v>5813</v>
      </c>
      <c r="C1731" s="5" t="s">
        <v>5814</v>
      </c>
      <c r="D1731" s="5" t="s">
        <v>90</v>
      </c>
      <c r="E1731" s="5" t="s">
        <v>41</v>
      </c>
      <c r="F1731" s="5" t="s">
        <v>1732</v>
      </c>
      <c r="G1731" s="14" t="str">
        <f t="array" ref="G1731">IF(B1731="", "",
  LET(_xlpm.spell, IFERROR(IF(F1731="", "", INDEX(_xlws.FILTER(Hairstyles!$F:$F, ISNUMBER(SEARCH(F1731, Hairstyles!$B:$B))), 1)), "No Spell for Hairstyle"),
  _xlpm.vanillaPrefix, IF(LEFT(_xlpm.spell, 7)="Uvi_Wig", "", ";"),
  ";" &amp; IF(C1731="", B1731, C1731) &amp; IF(M1731="", "", " ("&amp;M1731&amp;")") &amp; CHAR(10) &amp;
  _xlpm.vanillaPrefix &amp; "Keyword = Uvi_Wig_Distr_KYWD|" &amp; B1731 &amp; CHAR(10) &amp;
  _xlpm.vanillaPrefix &amp; "Spell = " &amp; _xlpm.spell &amp; "|" &amp; B1731
  )
)</f>
        <v>;Wood Elf
;Keyword = Uvi_Wig_Distr_KYWD|TreasCorpseCommonerWoodElfFemale
;Spell = No Spell for Hairstyle|TreasCorpseCommonerWoodElfFemale</v>
      </c>
    </row>
    <row r="1732" ht="12.75" customHeight="1">
      <c r="A1732" s="5" t="s">
        <v>5815</v>
      </c>
      <c r="B1732" s="5" t="s">
        <v>5816</v>
      </c>
      <c r="C1732" s="5" t="s">
        <v>5814</v>
      </c>
      <c r="D1732" s="5" t="s">
        <v>90</v>
      </c>
      <c r="E1732" s="5" t="s">
        <v>233</v>
      </c>
      <c r="F1732" s="5" t="s">
        <v>47</v>
      </c>
      <c r="G1732" s="14" t="str">
        <f t="array" ref="G1732">IF(B1732="", "",
  LET(_xlpm.spell, IFERROR(IF(F1732="", "", INDEX(_xlws.FILTER(Hairstyles!$F:$F, ISNUMBER(SEARCH(F1732, Hairstyles!$B:$B))), 1)), "No Spell for Hairstyle"),
  _xlpm.vanillaPrefix, IF(LEFT(_xlpm.spell, 7)="Uvi_Wig", "", ";"),
  ";" &amp; IF(C1732="", B1732, C1732) &amp; IF(M1732="", "", " ("&amp;M1732&amp;")") &amp; CHAR(10) &amp;
  _xlpm.vanillaPrefix &amp; "Keyword = Uvi_Wig_Distr_KYWD|" &amp; B1732 &amp; CHAR(10) &amp;
  _xlpm.vanillaPrefix &amp; "Spell = " &amp; _xlpm.spell &amp; "|" &amp; B1732
  )
)</f>
        <v>;Wood Elf
;Keyword = Uvi_Wig_Distr_KYWD|TreasCorpseCommonerWoodElfMale
;Spell = No Spell for Hairstyle|TreasCorpseCommonerWoodElfMale</v>
      </c>
    </row>
    <row r="1733" ht="12.75" customHeight="1">
      <c r="A1733" s="15" t="s">
        <v>5817</v>
      </c>
      <c r="B1733" s="5" t="s">
        <v>5818</v>
      </c>
      <c r="C1733" s="5" t="s">
        <v>5814</v>
      </c>
      <c r="D1733" s="5" t="s">
        <v>90</v>
      </c>
      <c r="E1733" s="5" t="s">
        <v>233</v>
      </c>
      <c r="F1733" s="5" t="s">
        <v>1787</v>
      </c>
      <c r="G1733" s="14" t="str">
        <f t="array" ref="G1733">IF(B1733="", "",
  LET(_xlpm.spell, IFERROR(IF(F1733="", "", INDEX(_xlws.FILTER(Hairstyles!$F:$F, ISNUMBER(SEARCH(F1733, Hairstyles!$B:$B))), 1)), "No Spell for Hairstyle"),
  _xlpm.vanillaPrefix, IF(LEFT(_xlpm.spell, 7)="Uvi_Wig", "", ";"),
  ";" &amp; IF(C1733="", B1733, C1733) &amp; IF(M1733="", "", " ("&amp;M1733&amp;")") &amp; CHAR(10) &amp;
  _xlpm.vanillaPrefix &amp; "Keyword = Uvi_Wig_Distr_KYWD|" &amp; B1733 &amp; CHAR(10) &amp;
  _xlpm.vanillaPrefix &amp; "Spell = " &amp; _xlpm.spell &amp; "|" &amp; B1733
  )
)</f>
        <v>;Wood Elf
;Keyword = Uvi_Wig_Distr_KYWD|WEAdventurerBrawlerWoodElfM
;Spell = No Spell for Hairstyle|WEAdventurerBrawlerWoodElfM</v>
      </c>
    </row>
    <row r="1734" ht="12.75" customHeight="1">
      <c r="A1734" s="5" t="s">
        <v>5819</v>
      </c>
      <c r="B1734" s="5" t="s">
        <v>5820</v>
      </c>
      <c r="C1734" s="5" t="s">
        <v>5814</v>
      </c>
      <c r="D1734" s="5" t="s">
        <v>90</v>
      </c>
      <c r="E1734" s="5" t="s">
        <v>41</v>
      </c>
      <c r="F1734" s="5" t="s">
        <v>2245</v>
      </c>
      <c r="G1734" s="14" t="str">
        <f t="array" ref="G1734">IF(B1734="", "",
  LET(_xlpm.spell, IFERROR(IF(F1734="", "", INDEX(_xlws.FILTER(Hairstyles!$F:$F, ISNUMBER(SEARCH(F1734, Hairstyles!$B:$B))), 1)), "No Spell for Hairstyle"),
  _xlpm.vanillaPrefix, IF(LEFT(_xlpm.spell, 7)="Uvi_Wig", "", ";"),
  ";" &amp; IF(C1734="", B1734, C1734) &amp; IF(M1734="", "", " ("&amp;M1734&amp;")") &amp; CHAR(10) &amp;
  _xlpm.vanillaPrefix &amp; "Keyword = Uvi_Wig_Distr_KYWD|" &amp; B1734 &amp; CHAR(10) &amp;
  _xlpm.vanillaPrefix &amp; "Spell = " &amp; _xlpm.spell &amp; "|" &amp; B1734
  )
)</f>
        <v>;Wood Elf
;Keyword = Uvi_Wig_Distr_KYWD|WEAdventurerRangedConjurerWoodElfF
;Spell = No Spell for Hairstyle|WEAdventurerRangedConjurerWoodElfF</v>
      </c>
    </row>
    <row r="1735" ht="12.75" customHeight="1">
      <c r="A1735" s="15" t="s">
        <v>5821</v>
      </c>
      <c r="B1735" s="5" t="s">
        <v>5822</v>
      </c>
      <c r="C1735" s="5" t="s">
        <v>5814</v>
      </c>
      <c r="D1735" s="5" t="s">
        <v>90</v>
      </c>
      <c r="E1735" s="5" t="s">
        <v>233</v>
      </c>
      <c r="F1735" s="5" t="s">
        <v>47</v>
      </c>
      <c r="G1735" s="14" t="str">
        <f t="array" ref="G1735">IF(B1735="", "",
  LET(_xlpm.spell, IFERROR(IF(F1735="", "", INDEX(_xlws.FILTER(Hairstyles!$F:$F, ISNUMBER(SEARCH(F1735, Hairstyles!$B:$B))), 1)), "No Spell for Hairstyle"),
  _xlpm.vanillaPrefix, IF(LEFT(_xlpm.spell, 7)="Uvi_Wig", "", ";"),
  ";" &amp; IF(C1735="", B1735, C1735) &amp; IF(M1735="", "", " ("&amp;M1735&amp;")") &amp; CHAR(10) &amp;
  _xlpm.vanillaPrefix &amp; "Keyword = Uvi_Wig_Distr_KYWD|" &amp; B1735 &amp; CHAR(10) &amp;
  _xlpm.vanillaPrefix &amp; "Spell = " &amp; _xlpm.spell &amp; "|" &amp; B1735
  )
)</f>
        <v>;Wood Elf
;Keyword = Uvi_Wig_Distr_KYWD|WEAdventurerRangedConjurerWoodElfM
;Spell = No Spell for Hairstyle|WEAdventurerRangedConjurerWoodElfM</v>
      </c>
    </row>
    <row r="1736" ht="12.75" customHeight="1">
      <c r="A1736" s="5" t="s">
        <v>5823</v>
      </c>
      <c r="B1736" s="5" t="s">
        <v>5824</v>
      </c>
      <c r="C1736" s="5" t="s">
        <v>5825</v>
      </c>
      <c r="D1736" s="5" t="s">
        <v>59</v>
      </c>
      <c r="E1736" s="5" t="s">
        <v>233</v>
      </c>
      <c r="F1736" s="5" t="s">
        <v>1906</v>
      </c>
      <c r="G1736" s="14" t="str">
        <f t="array" ref="G1736">IF(B1736="", "",
  LET(_xlpm.spell, IFERROR(IF(F1736="", "", INDEX(_xlws.FILTER(Hairstyles!$F:$F, ISNUMBER(SEARCH(F1736, Hairstyles!$B:$B))), 1)), "No Spell for Hairstyle"),
  _xlpm.vanillaPrefix, IF(LEFT(_xlpm.spell, 7)="Uvi_Wig", "", ";"),
  ";" &amp; IF(C1736="", B1736, C1736) &amp; IF(M1736="", "", " ("&amp;M1736&amp;")") &amp; CHAR(10) &amp;
  _xlpm.vanillaPrefix &amp; "Keyword = Uvi_Wig_Distr_KYWD|" &amp; B1736 &amp; CHAR(10) &amp;
  _xlpm.vanillaPrefix &amp; "Spell = " &amp; _xlpm.spell &amp; "|" &amp; B1736
  )
)</f>
        <v>;Worshipper
;Keyword = Uvi_Wig_Distr_KYWD|dunPOITalosWorshipperCorpse01
;Spell = No Spell for Hairstyle|dunPOITalosWorshipperCorpse01</v>
      </c>
    </row>
    <row r="1737" ht="12.75" customHeight="1">
      <c r="A1737" s="5" t="s">
        <v>5826</v>
      </c>
      <c r="B1737" s="5" t="s">
        <v>5827</v>
      </c>
      <c r="C1737" s="5" t="s">
        <v>5825</v>
      </c>
      <c r="D1737" s="5" t="s">
        <v>38</v>
      </c>
      <c r="E1737" s="5" t="s">
        <v>41</v>
      </c>
      <c r="F1737" s="5" t="s">
        <v>862</v>
      </c>
      <c r="G1737" s="14" t="str">
        <f t="array" ref="G1737">IF(B1737="", "",
  LET(_xlpm.spell, IFERROR(IF(F1737="", "", INDEX(_xlws.FILTER(Hairstyles!$F:$F, ISNUMBER(SEARCH(F1737, Hairstyles!$B:$B))), 1)), "No Spell for Hairstyle"),
  _xlpm.vanillaPrefix, IF(LEFT(_xlpm.spell, 7)="Uvi_Wig", "", ";"),
  ";" &amp; IF(C1737="", B1737, C1737) &amp; IF(M1737="", "", " ("&amp;M1737&amp;")") &amp; CHAR(10) &amp;
  _xlpm.vanillaPrefix &amp; "Keyword = Uvi_Wig_Distr_KYWD|" &amp; B1737 &amp; CHAR(10) &amp;
  _xlpm.vanillaPrefix &amp; "Spell = " &amp; _xlpm.spell &amp; "|" &amp; B1737
  )
)</f>
        <v>;Worshipper
;Keyword = Uvi_Wig_Distr_KYWD|dunPOITalosWorshipperCorpse02
;Spell = No Spell for Hairstyle|dunPOITalosWorshipperCorpse02</v>
      </c>
    </row>
    <row r="1738" ht="12.75" customHeight="1">
      <c r="A1738" s="5" t="s">
        <v>5828</v>
      </c>
      <c r="B1738" s="5" t="s">
        <v>5829</v>
      </c>
      <c r="C1738" s="5" t="s">
        <v>5825</v>
      </c>
      <c r="D1738" s="5" t="s">
        <v>38</v>
      </c>
      <c r="E1738" s="5" t="s">
        <v>233</v>
      </c>
      <c r="F1738" s="5" t="s">
        <v>695</v>
      </c>
      <c r="G1738" s="14" t="str">
        <f t="array" ref="G1738">IF(B1738="", "",
  LET(_xlpm.spell, IFERROR(IF(F1738="", "", INDEX(_xlws.FILTER(Hairstyles!$F:$F, ISNUMBER(SEARCH(F1738, Hairstyles!$B:$B))), 1)), "No Spell for Hairstyle"),
  _xlpm.vanillaPrefix, IF(LEFT(_xlpm.spell, 7)="Uvi_Wig", "", ";"),
  ";" &amp; IF(C1738="", B1738, C1738) &amp; IF(M1738="", "", " ("&amp;M1738&amp;")") &amp; CHAR(10) &amp;
  _xlpm.vanillaPrefix &amp; "Keyword = Uvi_Wig_Distr_KYWD|" &amp; B1738 &amp; CHAR(10) &amp;
  _xlpm.vanillaPrefix &amp; "Spell = " &amp; _xlpm.spell &amp; "|" &amp; B1738
  )
)</f>
        <v>;Worshipper
;Keyword = Uvi_Wig_Distr_KYWD|dunPOITalosWorshipperCorpse03
;Spell = No Spell for Hairstyle|dunPOITalosWorshipperCorpse03</v>
      </c>
    </row>
    <row r="1739" ht="12.75" customHeight="1">
      <c r="A1739" s="5" t="s">
        <v>5830</v>
      </c>
      <c r="B1739" s="5" t="s">
        <v>5831</v>
      </c>
      <c r="C1739" s="5" t="s">
        <v>5832</v>
      </c>
      <c r="D1739" s="5" t="s">
        <v>38</v>
      </c>
      <c r="E1739" s="5" t="s">
        <v>233</v>
      </c>
      <c r="F1739" s="5" t="s">
        <v>424</v>
      </c>
      <c r="G1739" s="14" t="str">
        <f t="array" ref="G1739">IF(B1739="", "",
  LET(_xlpm.spell, IFERROR(IF(F1739="", "", INDEX(_xlws.FILTER(Hairstyles!$F:$F, ISNUMBER(SEARCH(F1739, Hairstyles!$B:$B))), 1)), "No Spell for Hairstyle"),
  _xlpm.vanillaPrefix, IF(LEFT(_xlpm.spell, 7)="Uvi_Wig", "", ";"),
  ";" &amp; IF(C1739="", B1739, C1739) &amp; IF(M1739="", "", " ("&amp;M1739&amp;")") &amp; CHAR(10) &amp;
  _xlpm.vanillaPrefix &amp; "Keyword = Uvi_Wig_Distr_KYWD|" &amp; B1739 &amp; CHAR(10) &amp;
  _xlpm.vanillaPrefix &amp; "Spell = " &amp; _xlpm.spell &amp; "|" &amp; B1739
  )
)</f>
        <v>;Wounded Soldier
;Keyword = Uvi_Wig_Distr_KYWD|WhiterunTempleWoundedSoldier
;Spell = No Spell for Hairstyle|WhiterunTempleWoundedSoldier</v>
      </c>
    </row>
    <row r="1740" ht="12.75" customHeight="1">
      <c r="A1740" s="15" t="s">
        <v>5833</v>
      </c>
      <c r="B1740" s="5" t="s">
        <v>5834</v>
      </c>
      <c r="C1740" s="5" t="s">
        <v>5834</v>
      </c>
      <c r="D1740" s="5" t="s">
        <v>10</v>
      </c>
      <c r="E1740" s="5" t="s">
        <v>41</v>
      </c>
      <c r="F1740" s="5" t="s">
        <v>5835</v>
      </c>
      <c r="G1740" s="14" t="str">
        <f t="array" ref="G1740">IF(B1740="", "",
  LET(_xlpm.spell, IFERROR(IF(F1740="", "", INDEX(_xlws.FILTER(Hairstyles!$F:$F, ISNUMBER(SEARCH(F1740, Hairstyles!$B:$B))), 1)), "No Spell for Hairstyle"),
  _xlpm.vanillaPrefix, IF(LEFT(_xlpm.spell, 7)="Uvi_Wig", "", ";"),
  ";" &amp; IF(C1740="", B1740, C1740) &amp; IF(M1740="", "", " ("&amp;M1740&amp;")") &amp; CHAR(10) &amp;
  _xlpm.vanillaPrefix &amp; "Keyword = Uvi_Wig_Distr_KYWD|" &amp; B1740 &amp; CHAR(10) &amp;
  _xlpm.vanillaPrefix &amp; "Spell = " &amp; _xlpm.spell &amp; "|" &amp; B1740
  )
)</f>
        <v>;Wujeeta
;Keyword = Uvi_Wig_Distr_KYWD|Wujeeta
;Spell = No Spell for Hairstyle|Wujeeta</v>
      </c>
    </row>
    <row r="1741" ht="12.75" customHeight="1">
      <c r="A1741" s="5" t="s">
        <v>5836</v>
      </c>
      <c r="B1741" s="5" t="s">
        <v>5837</v>
      </c>
      <c r="C1741" s="5" t="s">
        <v>5838</v>
      </c>
      <c r="D1741" s="5" t="s">
        <v>38</v>
      </c>
      <c r="E1741" s="5" t="s">
        <v>233</v>
      </c>
      <c r="F1741" s="5" t="s">
        <v>695</v>
      </c>
      <c r="G1741" s="14" t="str">
        <f t="array" ref="G1741">IF(B1741="", "",
  LET(_xlpm.spell, IFERROR(IF(F1741="", "", INDEX(_xlws.FILTER(Hairstyles!$F:$F, ISNUMBER(SEARCH(F1741, Hairstyles!$B:$B))), 1)), "No Spell for Hairstyle"),
  _xlpm.vanillaPrefix, IF(LEFT(_xlpm.spell, 7)="Uvi_Wig", "", ";"),
  ";" &amp; IF(C1741="", B1741, C1741) &amp; IF(M1741="", "", " ("&amp;M1741&amp;")") &amp; CHAR(10) &amp;
  _xlpm.vanillaPrefix &amp; "Keyword = Uvi_Wig_Distr_KYWD|" &amp; B1741 &amp; CHAR(10) &amp;
  _xlpm.vanillaPrefix &amp; "Spell = " &amp; _xlpm.spell &amp; "|" &amp; B1741
  )
)</f>
        <v>;Wulf Wild-Blood
;Keyword = Uvi_Wig_Distr_KYWD|DLC2SVWulfWildblood
;Spell = No Spell for Hairstyle|DLC2SVWulfWildblood</v>
      </c>
    </row>
    <row r="1742" ht="12.75" customHeight="1">
      <c r="A1742" s="5" t="s">
        <v>5839</v>
      </c>
      <c r="B1742" s="5" t="s">
        <v>5840</v>
      </c>
      <c r="C1742" s="5" t="s">
        <v>5840</v>
      </c>
      <c r="D1742" s="5" t="s">
        <v>51</v>
      </c>
      <c r="E1742" s="5" t="s">
        <v>233</v>
      </c>
      <c r="F1742" s="5" t="s">
        <v>762</v>
      </c>
      <c r="G1742" s="14" t="str">
        <f t="array" ref="G1742">IF(B1742="", "",
  LET(_xlpm.spell, IFERROR(IF(F1742="", "", INDEX(_xlws.FILTER(Hairstyles!$F:$F, ISNUMBER(SEARCH(F1742, Hairstyles!$B:$B))), 1)), "No Spell for Hairstyle"),
  _xlpm.vanillaPrefix, IF(LEFT(_xlpm.spell, 7)="Uvi_Wig", "", ";"),
  ";" &amp; IF(C1742="", B1742, C1742) &amp; IF(M1742="", "", " ("&amp;M1742&amp;")") &amp; CHAR(10) &amp;
  _xlpm.vanillaPrefix &amp; "Keyword = Uvi_Wig_Distr_KYWD|" &amp; B1742 &amp; CHAR(10) &amp;
  _xlpm.vanillaPrefix &amp; "Spell = " &amp; _xlpm.spell &amp; "|" &amp; B1742
  )
)</f>
        <v>;Wulfgar
;Keyword = Uvi_Wig_Distr_KYWD|Wulfgar
;Spell = No Spell for Hairstyle|Wulfgar</v>
      </c>
    </row>
    <row r="1743" ht="12.75" customHeight="1">
      <c r="A1743" s="15" t="s">
        <v>5841</v>
      </c>
      <c r="B1743" s="5" t="s">
        <v>5842</v>
      </c>
      <c r="C1743" s="5" t="s">
        <v>5843</v>
      </c>
      <c r="D1743" s="5" t="s">
        <v>51</v>
      </c>
      <c r="E1743" s="5" t="s">
        <v>233</v>
      </c>
      <c r="F1743" s="5" t="s">
        <v>1622</v>
      </c>
      <c r="G1743" s="14" t="str">
        <f t="array" ref="G1743">IF(B1743="", "",
  LET(_xlpm.spell, IFERROR(IF(F1743="", "", INDEX(_xlws.FILTER(Hairstyles!$F:$F, ISNUMBER(SEARCH(F1743, Hairstyles!$B:$B))), 1)), "No Spell for Hairstyle"),
  _xlpm.vanillaPrefix, IF(LEFT(_xlpm.spell, 7)="Uvi_Wig", "", ";"),
  ";" &amp; IF(C1743="", B1743, C1743) &amp; IF(M1743="", "", " ("&amp;M1743&amp;")") &amp; CHAR(10) &amp;
  _xlpm.vanillaPrefix &amp; "Keyword = Uvi_Wig_Distr_KYWD|" &amp; B1743 &amp; CHAR(10) &amp;
  _xlpm.vanillaPrefix &amp; "Spell = " &amp; _xlpm.spell &amp; "|" &amp; B1743
  )
)</f>
        <v>;Wuunferth the Unliving
;Keyword = Uvi_Wig_Distr_KYWD|Wuunferth
;Spell = No Spell for Hairstyle|Wuunferth</v>
      </c>
    </row>
    <row r="1744" ht="12.75" customHeight="1">
      <c r="A1744" s="5" t="s">
        <v>5844</v>
      </c>
      <c r="B1744" s="5" t="s">
        <v>5845</v>
      </c>
      <c r="C1744" s="5" t="s">
        <v>5845</v>
      </c>
      <c r="D1744" s="5" t="s">
        <v>90</v>
      </c>
      <c r="E1744" s="5" t="s">
        <v>41</v>
      </c>
      <c r="F1744" s="5" t="s">
        <v>4274</v>
      </c>
      <c r="G1744" s="14" t="str">
        <f t="array" ref="G1744">IF(B1744="", "",
  LET(_xlpm.spell, IFERROR(IF(F1744="", "", INDEX(_xlws.FILTER(Hairstyles!$F:$F, ISNUMBER(SEARCH(F1744, Hairstyles!$B:$B))), 1)), "No Spell for Hairstyle"),
  _xlpm.vanillaPrefix, IF(LEFT(_xlpm.spell, 7)="Uvi_Wig", "", ";"),
  ";" &amp; IF(C1744="", B1744, C1744) &amp; IF(M1744="", "", " ("&amp;M1744&amp;")") &amp; CHAR(10) &amp;
  _xlpm.vanillaPrefix &amp; "Keyword = Uvi_Wig_Distr_KYWD|" &amp; B1744 &amp; CHAR(10) &amp;
  _xlpm.vanillaPrefix &amp; "Spell = " &amp; _xlpm.spell &amp; "|" &amp; B1744
  )
)</f>
        <v>;Wylandriah
;Keyword = Uvi_Wig_Distr_KYWD|Wylandriah
;Spell = No Spell for Hairstyle|Wylandriah</v>
      </c>
    </row>
    <row r="1745" ht="12.75" customHeight="1">
      <c r="A1745" s="5" t="s">
        <v>5846</v>
      </c>
      <c r="B1745" s="5" t="s">
        <v>5847</v>
      </c>
      <c r="C1745" s="5" t="s">
        <v>5848</v>
      </c>
      <c r="D1745" s="5" t="s">
        <v>45</v>
      </c>
      <c r="E1745" s="5" t="s">
        <v>233</v>
      </c>
      <c r="F1745" s="5" t="s">
        <v>525</v>
      </c>
      <c r="G1745" s="14" t="str">
        <f t="array" ref="G1745">IF(B1745="", "",
  LET(_xlpm.spell, IFERROR(IF(F1745="", "", INDEX(_xlws.FILTER(Hairstyles!$F:$F, ISNUMBER(SEARCH(F1745, Hairstyles!$B:$B))), 1)), "No Spell for Hairstyle"),
  _xlpm.vanillaPrefix, IF(LEFT(_xlpm.spell, 7)="Uvi_Wig", "", ";"),
  ";" &amp; IF(C1745="", B1745, C1745) &amp; IF(M1745="", "", " ("&amp;M1745&amp;")") &amp; CHAR(10) &amp;
  _xlpm.vanillaPrefix &amp; "Keyword = Uvi_Wig_Distr_KYWD|" &amp; B1745 &amp; CHAR(10) &amp;
  _xlpm.vanillaPrefix &amp; "Spell = " &amp; _xlpm.spell &amp; "|" &amp; B1745
  )
)</f>
        <v>;Wyndelius Gatharian
;Keyword = Uvi_Wig_Distr_KYWD|WyndeliusGatharian
;Spell = No Spell for Hairstyle|WyndeliusGatharian</v>
      </c>
    </row>
    <row r="1746" ht="12.75" customHeight="1">
      <c r="A1746" s="5" t="s">
        <v>5849</v>
      </c>
      <c r="B1746" s="5" t="s">
        <v>5850</v>
      </c>
      <c r="C1746" s="5" t="s">
        <v>5851</v>
      </c>
      <c r="D1746" s="5" t="s">
        <v>59</v>
      </c>
      <c r="E1746" s="5" t="s">
        <v>233</v>
      </c>
      <c r="F1746" s="5" t="s">
        <v>1088</v>
      </c>
      <c r="G1746" s="14" t="str">
        <f t="array" ref="G1746">IF(B1746="", "",
  LET(_xlpm.spell, IFERROR(IF(F1746="", "", INDEX(_xlws.FILTER(Hairstyles!$F:$F, ISNUMBER(SEARCH(F1746, Hairstyles!$B:$B))), 1)), "No Spell for Hairstyle"),
  _xlpm.vanillaPrefix, IF(LEFT(_xlpm.spell, 7)="Uvi_Wig", "", ";"),
  ";" &amp; IF(C1746="", B1746, C1746) &amp; IF(M1746="", "", " ("&amp;M1746&amp;")") &amp; CHAR(10) &amp;
  _xlpm.vanillaPrefix &amp; "Keyword = Uvi_Wig_Distr_KYWD|" &amp; B1746 &amp; CHAR(10) &amp;
  _xlpm.vanillaPrefix &amp; "Spell = " &amp; _xlpm.spell &amp; "|" &amp; B1746
  )
)</f>
        <v>;Xander
;Keyword = Uvi_Wig_Distr_KYWD|SailorXander
;Spell = No Spell for Hairstyle|SailorXander</v>
      </c>
    </row>
    <row r="1747" ht="12.75" customHeight="1">
      <c r="A1747" s="5" t="s">
        <v>5852</v>
      </c>
      <c r="B1747" s="5" t="s">
        <v>5853</v>
      </c>
      <c r="C1747" s="5" t="s">
        <v>5854</v>
      </c>
      <c r="D1747" s="5" t="s">
        <v>80</v>
      </c>
      <c r="E1747" s="5" t="s">
        <v>41</v>
      </c>
      <c r="F1747" s="5" t="s">
        <v>5855</v>
      </c>
      <c r="G1747" s="14" t="str">
        <f t="array" ref="G1747">IF(B1747="", "",
  LET(_xlpm.spell, IFERROR(IF(F1747="", "", INDEX(_xlws.FILTER(Hairstyles!$F:$F, ISNUMBER(SEARCH(F1747, Hairstyles!$B:$B))), 1)), "No Spell for Hairstyle"),
  _xlpm.vanillaPrefix, IF(LEFT(_xlpm.spell, 7)="Uvi_Wig", "", ";"),
  ";" &amp; IF(C1747="", B1747, C1747) &amp; IF(M1747="", "", " ("&amp;M1747&amp;")") &amp; CHAR(10) &amp;
  _xlpm.vanillaPrefix &amp; "Keyword = Uvi_Wig_Distr_KYWD|" &amp; B1747 &amp; CHAR(10) &amp;
  _xlpm.vanillaPrefix &amp; "Spell = " &amp; _xlpm.spell &amp; "|" &amp; B1747
  )
)</f>
        <v>;Yag gra-Gortwog
;Keyword = Uvi_Wig_Distr_KYWD|dunAlftandYagGraGortwog
;Spell = No Spell for Hairstyle|dunAlftandYagGraGortwog</v>
      </c>
    </row>
    <row r="1748" ht="12.75" customHeight="1">
      <c r="A1748" s="5" t="s">
        <v>5856</v>
      </c>
      <c r="B1748" s="5" t="s">
        <v>5857</v>
      </c>
      <c r="C1748" s="5" t="s">
        <v>5858</v>
      </c>
      <c r="D1748" s="5" t="s">
        <v>80</v>
      </c>
      <c r="E1748" s="5" t="s">
        <v>233</v>
      </c>
      <c r="F1748" s="5" t="s">
        <v>411</v>
      </c>
      <c r="G1748" s="14" t="str">
        <f t="array" ref="G1748">IF(B1748="", "",
  LET(_xlpm.spell, IFERROR(IF(F1748="", "", INDEX(_xlws.FILTER(Hairstyles!$F:$F, ISNUMBER(SEARCH(F1748, Hairstyles!$B:$B))), 1)), "No Spell for Hairstyle"),
  _xlpm.vanillaPrefix, IF(LEFT(_xlpm.spell, 7)="Uvi_Wig", "", ";"),
  ";" &amp; IF(C1748="", B1748, C1748) &amp; IF(M1748="", "", " ("&amp;M1748&amp;")") &amp; CHAR(10) &amp;
  _xlpm.vanillaPrefix &amp; "Keyword = Uvi_Wig_Distr_KYWD|" &amp; B1748 &amp; CHAR(10) &amp;
  _xlpm.vanillaPrefix &amp; "Spell = " &amp; _xlpm.spell &amp; "|" &amp; B1748
  )
)</f>
        <v>;Yar gro-Gatuk
;Keyword = Uvi_Wig_Distr_KYWD|DA05Hunter10_03Missile_Yar
;Spell = No Spell for Hairstyle|DA05Hunter10_03Missile_Yar</v>
      </c>
    </row>
    <row r="1749" ht="12.75" customHeight="1">
      <c r="A1749" s="5" t="s">
        <v>5859</v>
      </c>
      <c r="B1749" s="5" t="s">
        <v>5860</v>
      </c>
      <c r="C1749" s="5" t="s">
        <v>5860</v>
      </c>
      <c r="D1749" s="5" t="s">
        <v>80</v>
      </c>
      <c r="E1749" s="5" t="s">
        <v>41</v>
      </c>
      <c r="F1749" s="5" t="s">
        <v>5855</v>
      </c>
      <c r="G1749" s="14" t="str">
        <f t="array" ref="G1749">IF(B1749="", "",
  LET(_xlpm.spell, IFERROR(IF(F1749="", "", INDEX(_xlws.FILTER(Hairstyles!$F:$F, ISNUMBER(SEARCH(F1749, Hairstyles!$B:$B))), 1)), "No Spell for Hairstyle"),
  _xlpm.vanillaPrefix, IF(LEFT(_xlpm.spell, 7)="Uvi_Wig", "", ";"),
  ";" &amp; IF(C1749="", B1749, C1749) &amp; IF(M1749="", "", " ("&amp;M1749&amp;")") &amp; CHAR(10) &amp;
  _xlpm.vanillaPrefix &amp; "Keyword = Uvi_Wig_Distr_KYWD|" &amp; B1749 &amp; CHAR(10) &amp;
  _xlpm.vanillaPrefix &amp; "Spell = " &amp; _xlpm.spell &amp; "|" &amp; B1749
  )
)</f>
        <v>;Yatul
;Keyword = Uvi_Wig_Distr_KYWD|Yatul
;Spell = No Spell for Hairstyle|Yatul</v>
      </c>
    </row>
    <row r="1750" ht="12.75" customHeight="1">
      <c r="A1750" s="5" t="s">
        <v>5861</v>
      </c>
      <c r="B1750" s="5" t="s">
        <v>5862</v>
      </c>
      <c r="C1750" s="5" t="s">
        <v>5863</v>
      </c>
      <c r="D1750" s="5" t="s">
        <v>83</v>
      </c>
      <c r="E1750" s="5" t="s">
        <v>41</v>
      </c>
      <c r="F1750" s="5" t="s">
        <v>85</v>
      </c>
      <c r="G1750" s="14" t="str">
        <f t="array" ref="G1750">IF(B1750="", "",
  LET(_xlpm.spell, IFERROR(IF(F1750="", "", INDEX(_xlws.FILTER(Hairstyles!$F:$F, ISNUMBER(SEARCH(F1750, Hairstyles!$B:$B))), 1)), "No Spell for Hairstyle"),
  _xlpm.vanillaPrefix, IF(LEFT(_xlpm.spell, 7)="Uvi_Wig", "", ";"),
  ";" &amp; IF(C1750="", B1750, C1750) &amp; IF(M1750="", "", " ("&amp;M1750&amp;")") &amp; CHAR(10) &amp;
  _xlpm.vanillaPrefix &amp; "Keyword = Uvi_Wig_Distr_KYWD|" &amp; B1750 &amp; CHAR(10) &amp;
  _xlpm.vanillaPrefix &amp; "Spell = " &amp; _xlpm.spell &amp; "|" &amp; B1750
  )
)</f>
        <v>;Yisra
;Keyword = Uvi_Wig_Distr_KYWD|POIMageYisra
;Spell = No Spell for Hairstyle|POIMageYisra</v>
      </c>
    </row>
    <row r="1751" ht="12.75" customHeight="1">
      <c r="A1751" s="5" t="s">
        <v>5864</v>
      </c>
      <c r="B1751" s="5" t="s">
        <v>5865</v>
      </c>
      <c r="C1751" s="5" t="s">
        <v>5866</v>
      </c>
      <c r="D1751" s="5" t="s">
        <v>38</v>
      </c>
      <c r="E1751" s="5" t="s">
        <v>233</v>
      </c>
      <c r="F1751" s="5" t="s">
        <v>762</v>
      </c>
      <c r="G1751" s="14" t="str">
        <f t="array" ref="G1751">IF(B1751="", "",
  LET(_xlpm.spell, IFERROR(IF(F1751="", "", INDEX(_xlws.FILTER(Hairstyles!$F:$F, ISNUMBER(SEARCH(F1751, Hairstyles!$B:$B))), 1)), "No Spell for Hairstyle"),
  _xlpm.vanillaPrefix, IF(LEFT(_xlpm.spell, 7)="Uvi_Wig", "", ";"),
  ";" &amp; IF(C1751="", B1751, C1751) &amp; IF(M1751="", "", " ("&amp;M1751&amp;")") &amp; CHAR(10) &amp;
  _xlpm.vanillaPrefix &amp; "Keyword = Uvi_Wig_Distr_KYWD|" &amp; B1751 &amp; CHAR(10) &amp;
  _xlpm.vanillaPrefix &amp; "Spell = " &amp; _xlpm.spell &amp; "|" &amp; B1751
  )
)</f>
        <v>;Yngvar the Singer
;Keyword = Uvi_Wig_Distr_KYWD|Yngvar
;Spell = No Spell for Hairstyle|Yngvar</v>
      </c>
    </row>
    <row r="1752" ht="12.75" customHeight="1">
      <c r="A1752" s="5" t="s">
        <v>5867</v>
      </c>
      <c r="B1752" s="5" t="s">
        <v>5868</v>
      </c>
      <c r="C1752" s="5" t="s">
        <v>5869</v>
      </c>
      <c r="D1752" s="5" t="s">
        <v>38</v>
      </c>
      <c r="E1752" s="5" t="s">
        <v>41</v>
      </c>
      <c r="F1752" s="5" t="s">
        <v>905</v>
      </c>
      <c r="G1752" s="14" t="str">
        <f t="array" ref="G1752">IF(B1752="", "",
  LET(_xlpm.spell, IFERROR(IF(F1752="", "", INDEX(_xlws.FILTER(Hairstyles!$F:$F, ISNUMBER(SEARCH(F1752, Hairstyles!$B:$B))), 1)), "No Spell for Hairstyle"),
  _xlpm.vanillaPrefix, IF(LEFT(_xlpm.spell, 7)="Uvi_Wig", "", ";"),
  ";" &amp; IF(C1752="", B1752, C1752) &amp; IF(M1752="", "", " ("&amp;M1752&amp;")") &amp; CHAR(10) &amp;
  _xlpm.vanillaPrefix &amp; "Keyword = Uvi_Wig_Distr_KYWD|" &amp; B1752 &amp; CHAR(10) &amp;
  _xlpm.vanillaPrefix &amp; "Spell = " &amp; _xlpm.spell &amp; "|" &amp; B1752
  )
)</f>
        <v>;Yrsa
;Keyword = Uvi_Wig_Distr_KYWD|DLC2SVYrsa
;Spell = No Spell for Hairstyle|DLC2SVYrsa</v>
      </c>
    </row>
    <row r="1753" ht="12.75" customHeight="1">
      <c r="A1753" s="15" t="s">
        <v>5870</v>
      </c>
      <c r="B1753" s="5" t="s">
        <v>5871</v>
      </c>
      <c r="C1753" s="5" t="s">
        <v>5872</v>
      </c>
      <c r="D1753" s="5" t="s">
        <v>38</v>
      </c>
      <c r="E1753" s="5" t="s">
        <v>233</v>
      </c>
      <c r="F1753" s="5" t="s">
        <v>521</v>
      </c>
      <c r="G1753" s="14" t="str">
        <f t="array" ref="G1753">IF(B1753="", "",
  LET(_xlpm.spell, IFERROR(IF(F1753="", "", INDEX(_xlws.FILTER(Hairstyles!$F:$F, ISNUMBER(SEARCH(F1753, Hairstyles!$B:$B))), 1)), "No Spell for Hairstyle"),
  _xlpm.vanillaPrefix, IF(LEFT(_xlpm.spell, 7)="Uvi_Wig", "", ";"),
  ";" &amp; IF(C1753="", B1753, C1753) &amp; IF(M1753="", "", " ("&amp;M1753&amp;")") &amp; CHAR(10) &amp;
  _xlpm.vanillaPrefix &amp; "Keyword = Uvi_Wig_Distr_KYWD|" &amp; B1753 &amp; CHAR(10) &amp;
  _xlpm.vanillaPrefix &amp; "Spell = " &amp; _xlpm.spell &amp; "|" &amp; B1753
  )
)</f>
        <v>;Yrsarald Thrice-Pierced
;Keyword = Uvi_Wig_Distr_KYWD|CWFieldCOSonsEastmarch
;Spell = No Spell for Hairstyle|CWFieldCOSonsEastmarch</v>
      </c>
    </row>
    <row r="1754" ht="12.75" customHeight="1">
      <c r="A1754" s="5" t="s">
        <v>5873</v>
      </c>
      <c r="B1754" s="5" t="s">
        <v>5874</v>
      </c>
      <c r="C1754" s="5" t="s">
        <v>5875</v>
      </c>
      <c r="D1754" s="5" t="s">
        <v>38</v>
      </c>
      <c r="E1754" s="5" t="s">
        <v>233</v>
      </c>
      <c r="F1754" s="5" t="s">
        <v>1566</v>
      </c>
      <c r="G1754" s="14" t="str">
        <f t="array" ref="G1754">IF(B1754="", "",
  LET(_xlpm.spell, IFERROR(IF(F1754="", "", INDEX(_xlws.FILTER(Hairstyles!$F:$F, ISNUMBER(SEARCH(F1754, Hairstyles!$B:$B))), 1)), "No Spell for Hairstyle"),
  _xlpm.vanillaPrefix, IF(LEFT(_xlpm.spell, 7)="Uvi_Wig", "", ";"),
  ";" &amp; IF(C1754="", B1754, C1754) &amp; IF(M1754="", "", " ("&amp;M1754&amp;")") &amp; CHAR(10) &amp;
  _xlpm.vanillaPrefix &amp; "Keyword = Uvi_Wig_Distr_KYWD|" &amp; B1754 &amp; CHAR(10) &amp;
  _xlpm.vanillaPrefix &amp; "Spell = " &amp; _xlpm.spell &amp; "|" &amp; B1754
  )
)</f>
        <v>;Ysgramor
;Keyword = Uvi_Wig_Distr_KYWD|MQ305Ysgramor
;Spell = No Spell for Hairstyle|MQ305Ysgramor</v>
      </c>
    </row>
    <row r="1755" ht="12.75" customHeight="1">
      <c r="A1755" s="5" t="s">
        <v>5876</v>
      </c>
      <c r="B1755" s="5" t="s">
        <v>5877</v>
      </c>
      <c r="C1755" s="5" t="s">
        <v>5877</v>
      </c>
      <c r="D1755" s="5" t="s">
        <v>38</v>
      </c>
      <c r="E1755" s="5" t="s">
        <v>41</v>
      </c>
      <c r="F1755" s="5" t="s">
        <v>1063</v>
      </c>
      <c r="G1755" s="14" t="str">
        <f t="array" ref="G1755">IF(B1755="", "",
  LET(_xlpm.spell, IFERROR(IF(F1755="", "", INDEX(_xlws.FILTER(Hairstyles!$F:$F, ISNUMBER(SEARCH(F1755, Hairstyles!$B:$B))), 1)), "No Spell for Hairstyle"),
  _xlpm.vanillaPrefix, IF(LEFT(_xlpm.spell, 7)="Uvi_Wig", "", ";"),
  ";" &amp; IF(C1755="", B1755, C1755) &amp; IF(M1755="", "", " ("&amp;M1755&amp;")") &amp; CHAR(10) &amp;
  _xlpm.vanillaPrefix &amp; "Keyword = Uvi_Wig_Distr_KYWD|" &amp; B1755 &amp; CHAR(10) &amp;
  _xlpm.vanillaPrefix &amp; "Spell = " &amp; _xlpm.spell &amp; "|" &amp; B1755
  )
)</f>
        <v>;Ysolda
;Keyword = Uvi_Wig_Distr_KYWD|Ysolda
;Spell = No Spell for Hairstyle|Ysolda</v>
      </c>
    </row>
    <row r="1756" ht="12.75" customHeight="1">
      <c r="A1756" s="5" t="s">
        <v>5878</v>
      </c>
      <c r="B1756" s="5" t="s">
        <v>5879</v>
      </c>
      <c r="C1756" s="5" t="s">
        <v>5879</v>
      </c>
      <c r="D1756" s="5" t="s">
        <v>83</v>
      </c>
      <c r="E1756" s="5" t="s">
        <v>41</v>
      </c>
      <c r="F1756" s="5" t="s">
        <v>85</v>
      </c>
      <c r="G1756" s="14" t="str">
        <f t="array" ref="G1756">IF(B1756="", "",
  LET(_xlpm.spell, IFERROR(IF(F1756="", "", INDEX(_xlws.FILTER(Hairstyles!$F:$F, ISNUMBER(SEARCH(F1756, Hairstyles!$B:$B))), 1)), "No Spell for Hairstyle"),
  _xlpm.vanillaPrefix, IF(LEFT(_xlpm.spell, 7)="Uvi_Wig", "", ";"),
  ";" &amp; IF(C1756="", B1756, C1756) &amp; IF(M1756="", "", " ("&amp;M1756&amp;")") &amp; CHAR(10) &amp;
  _xlpm.vanillaPrefix &amp; "Keyword = Uvi_Wig_Distr_KYWD|" &amp; B1756 &amp; CHAR(10) &amp;
  _xlpm.vanillaPrefix &amp; "Spell = " &amp; _xlpm.spell &amp; "|" &amp; B1756
  )
)</f>
        <v>;Zaria
;Keyword = Uvi_Wig_Distr_KYWD|Zaria
;Spell = No Spell for Hairstyle|Zaria</v>
      </c>
    </row>
    <row r="1757" ht="12.75" customHeight="1">
      <c r="A1757" s="5" t="s">
        <v>5880</v>
      </c>
      <c r="B1757" s="5" t="s">
        <v>5881</v>
      </c>
      <c r="C1757" s="5" t="s">
        <v>5881</v>
      </c>
      <c r="D1757" s="5" t="s">
        <v>65</v>
      </c>
      <c r="E1757" s="5" t="s">
        <v>41</v>
      </c>
      <c r="F1757" s="5" t="s">
        <v>334</v>
      </c>
      <c r="G1757" s="14" t="str">
        <f t="array" ref="G1757">IF(B1757="", "",
  LET(_xlpm.spell, IFERROR(IF(F1757="", "", INDEX(_xlws.FILTER(Hairstyles!$F:$F, ISNUMBER(SEARCH(F1757, Hairstyles!$B:$B))), 1)), "No Spell for Hairstyle"),
  _xlpm.vanillaPrefix, IF(LEFT(_xlpm.spell, 7)="Uvi_Wig", "", ";"),
  ";" &amp; IF(C1757="", B1757, C1757) &amp; IF(M1757="", "", " ("&amp;M1757&amp;")") &amp; CHAR(10) &amp;
  _xlpm.vanillaPrefix &amp; "Keyword = Uvi_Wig_Distr_KYWD|" &amp; B1757 &amp; CHAR(10) &amp;
  _xlpm.vanillaPrefix &amp; "Spell = " &amp; _xlpm.spell &amp; "|" &amp; B1757
  )
)</f>
        <v>;Zaynabi
;Keyword = Uvi_Wig_Distr_KYWD|Zaynabi
;Spell = No Spell for Hairstyle|Zaynabi</v>
      </c>
    </row>
    <row r="1758" ht="12.75" customHeight="1">
      <c r="A1758" s="5" t="s">
        <v>5882</v>
      </c>
      <c r="B1758" s="5" t="s">
        <v>5883</v>
      </c>
      <c r="D1758" s="5" t="s">
        <v>38</v>
      </c>
      <c r="E1758" s="5" t="s">
        <v>233</v>
      </c>
      <c r="F1758" s="5" t="s">
        <v>695</v>
      </c>
      <c r="G1758" s="14" t="str">
        <f t="array" ref="G1758">IF(B1758="", "",
  LET(_xlpm.spell, IFERROR(IF(F1758="", "", INDEX(_xlws.FILTER(Hairstyles!$F:$F, ISNUMBER(SEARCH(F1758, Hairstyles!$B:$B))), 1)), "No Spell for Hairstyle"),
  _xlpm.vanillaPrefix, IF(LEFT(_xlpm.spell, 7)="Uvi_Wig", "", ";"),
  ";" &amp; IF(C1758="", B1758, C1758) &amp; IF(M1758="", "", " ("&amp;M1758&amp;")") &amp; CHAR(10) &amp;
  _xlpm.vanillaPrefix &amp; "Keyword = Uvi_Wig_Distr_KYWD|" &amp; B1758 &amp; CHAR(10) &amp;
  _xlpm.vanillaPrefix &amp; "Spell = " &amp; _xlpm.spell &amp; "|" &amp; B1758
  )
)</f>
        <v>;C04DeadKodlak
;Keyword = Uvi_Wig_Distr_KYWD|C04DeadKodlak
;Spell = No Spell for Hairstyle|C04DeadKodlak</v>
      </c>
    </row>
    <row r="1759" ht="12.75" customHeight="1">
      <c r="A1759" s="5" t="s">
        <v>5884</v>
      </c>
      <c r="B1759" s="5" t="s">
        <v>5885</v>
      </c>
      <c r="D1759" s="5" t="s">
        <v>38</v>
      </c>
      <c r="E1759" s="5" t="s">
        <v>233</v>
      </c>
      <c r="F1759" s="5" t="s">
        <v>695</v>
      </c>
      <c r="G1759" s="14" t="str">
        <f t="array" ref="G1759">IF(B1759="", "",
  LET(_xlpm.spell, IFERROR(IF(F1759="", "", INDEX(_xlws.FILTER(Hairstyles!$F:$F, ISNUMBER(SEARCH(F1759, Hairstyles!$B:$B))), 1)), "No Spell for Hairstyle"),
  _xlpm.vanillaPrefix, IF(LEFT(_xlpm.spell, 7)="Uvi_Wig", "", ";"),
  ";" &amp; IF(C1759="", B1759, C1759) &amp; IF(M1759="", "", " ("&amp;M1759&amp;")") &amp; CHAR(10) &amp;
  _xlpm.vanillaPrefix &amp; "Keyword = Uvi_Wig_Distr_KYWD|" &amp; B1759 &amp; CHAR(10) &amp;
  _xlpm.vanillaPrefix &amp; "Spell = " &amp; _xlpm.spell &amp; "|" &amp; B1759
  )
)</f>
        <v>;C06DeadKodlak
;Keyword = Uvi_Wig_Distr_KYWD|C06DeadKodlak
;Spell = No Spell for Hairstyle|C06DeadKodlak</v>
      </c>
    </row>
    <row r="1760" ht="12.75" customHeight="1">
      <c r="A1760" s="5" t="s">
        <v>5886</v>
      </c>
      <c r="B1760" s="5" t="s">
        <v>5887</v>
      </c>
      <c r="D1760" s="5" t="s">
        <v>38</v>
      </c>
      <c r="E1760" s="5" t="s">
        <v>233</v>
      </c>
      <c r="F1760" s="5" t="s">
        <v>695</v>
      </c>
      <c r="G1760" s="14" t="str">
        <f t="array" ref="G1760">IF(B1760="", "",
  LET(_xlpm.spell, IFERROR(IF(F1760="", "", INDEX(_xlws.FILTER(Hairstyles!$F:$F, ISNUMBER(SEARCH(F1760, Hairstyles!$B:$B))), 1)), "No Spell for Hairstyle"),
  _xlpm.vanillaPrefix, IF(LEFT(_xlpm.spell, 7)="Uvi_Wig", "", ";"),
  ";" &amp; IF(C1760="", B1760, C1760) &amp; IF(M1760="", "", " ("&amp;M1760&amp;")") &amp; CHAR(10) &amp;
  _xlpm.vanillaPrefix &amp; "Keyword = Uvi_Wig_Distr_KYWD|" &amp; B1760 &amp; CHAR(10) &amp;
  _xlpm.vanillaPrefix &amp; "Spell = " &amp; _xlpm.spell &amp; "|" &amp; B1760
  )
)</f>
        <v>;C06KodlaksGhost
;Keyword = Uvi_Wig_Distr_KYWD|C06KodlaksGhost
;Spell = No Spell for Hairstyle|C06KodlaksGhost</v>
      </c>
    </row>
    <row r="1761" ht="12.75" customHeight="1">
      <c r="A1761" s="5" t="s">
        <v>5888</v>
      </c>
      <c r="B1761" s="5" t="s">
        <v>5889</v>
      </c>
      <c r="D1761" s="5" t="s">
        <v>38</v>
      </c>
      <c r="E1761" s="5" t="s">
        <v>233</v>
      </c>
      <c r="F1761" s="5" t="s">
        <v>762</v>
      </c>
      <c r="G1761" s="14" t="str">
        <f t="array" ref="G1761">IF(B1761="", "",
  LET(_xlpm.spell, IFERROR(IF(F1761="", "", INDEX(_xlws.FILTER(Hairstyles!$F:$F, ISNUMBER(SEARCH(F1761, Hairstyles!$B:$B))), 1)), "No Spell for Hairstyle"),
  _xlpm.vanillaPrefix, IF(LEFT(_xlpm.spell, 7)="Uvi_Wig", "", ";"),
  ";" &amp; IF(C1761="", B1761, C1761) &amp; IF(M1761="", "", " ("&amp;M1761&amp;")") &amp; CHAR(10) &amp;
  _xlpm.vanillaPrefix &amp; "Keyword = Uvi_Wig_Distr_KYWD|" &amp; B1761 &amp; CHAR(10) &amp;
  _xlpm.vanillaPrefix &amp; "Spell = " &amp; _xlpm.spell &amp; "|" &amp; B1761
  )
)</f>
        <v>;CorpsePrisonerNordMale
;Keyword = Uvi_Wig_Distr_KYWD|CorpsePrisonerNordMale
;Spell = No Spell for Hairstyle|CorpsePrisonerNordMale</v>
      </c>
    </row>
    <row r="1762" ht="12.75" customHeight="1">
      <c r="A1762" s="5" t="s">
        <v>5890</v>
      </c>
      <c r="B1762" s="5" t="s">
        <v>5891</v>
      </c>
      <c r="D1762" s="5" t="s">
        <v>59</v>
      </c>
      <c r="E1762" s="5" t="s">
        <v>233</v>
      </c>
      <c r="F1762" s="5" t="s">
        <v>424</v>
      </c>
      <c r="G1762" s="14" t="str">
        <f t="array" ref="G1762">IF(B1762="", "",
  LET(_xlpm.spell, IFERROR(IF(F1762="", "", INDEX(_xlws.FILTER(Hairstyles!$F:$F, ISNUMBER(SEARCH(F1762, Hairstyles!$B:$B))), 1)), "No Spell for Hairstyle"),
  _xlpm.vanillaPrefix, IF(LEFT(_xlpm.spell, 7)="Uvi_Wig", "", ";"),
  ";" &amp; IF(C1762="", B1762, C1762) &amp; IF(M1762="", "", " ("&amp;M1762&amp;")") &amp; CHAR(10) &amp;
  _xlpm.vanillaPrefix &amp; "Keyword = Uvi_Wig_Distr_KYWD|" &amp; B1762 &amp; CHAR(10) &amp;
  _xlpm.vanillaPrefix &amp; "Spell = " &amp; _xlpm.spell &amp; "|" &amp; B1762
  )
)</f>
        <v>;CW03ImperialScout
;Keyword = Uvi_Wig_Distr_KYWD|CW03ImperialScout
;Spell = No Spell for Hairstyle|CW03ImperialScout</v>
      </c>
    </row>
    <row r="1763" ht="12.75" customHeight="1">
      <c r="A1763" s="5" t="s">
        <v>5892</v>
      </c>
      <c r="B1763" s="5" t="s">
        <v>5893</v>
      </c>
      <c r="D1763" s="5" t="s">
        <v>59</v>
      </c>
      <c r="E1763" s="5" t="s">
        <v>233</v>
      </c>
      <c r="F1763" s="5" t="s">
        <v>346</v>
      </c>
      <c r="G1763" s="14" t="str">
        <f t="array" ref="G1763">IF(B1763="", "",
  LET(_xlpm.spell, IFERROR(IF(F1763="", "", INDEX(_xlws.FILTER(Hairstyles!$F:$F, ISNUMBER(SEARCH(F1763, Hairstyles!$B:$B))), 1)), "No Spell for Hairstyle"),
  _xlpm.vanillaPrefix, IF(LEFT(_xlpm.spell, 7)="Uvi_Wig", "", ";"),
  ";" &amp; IF(C1763="", B1763, C1763) &amp; IF(M1763="", "", " ("&amp;M1763&amp;")") &amp; CHAR(10) &amp;
  _xlpm.vanillaPrefix &amp; "Keyword = Uvi_Wig_Distr_KYWD|" &amp; B1763 &amp; CHAR(10) &amp;
  _xlpm.vanillaPrefix &amp; "Spell = " &amp; _xlpm.spell &amp; "|" &amp; B1763
  )
)</f>
        <v>;CWMission06DissaffectSoldierImperial1
;Keyword = Uvi_Wig_Distr_KYWD|CWMission06DissaffectSoldierImperial1
;Spell = No Spell for Hairstyle|CWMission06DissaffectSoldierImperial1</v>
      </c>
    </row>
    <row r="1764" ht="12.75" customHeight="1">
      <c r="A1764" s="5" t="s">
        <v>5894</v>
      </c>
      <c r="B1764" s="5" t="s">
        <v>5895</v>
      </c>
      <c r="D1764" s="5" t="s">
        <v>38</v>
      </c>
      <c r="E1764" s="5" t="s">
        <v>233</v>
      </c>
      <c r="F1764" s="5" t="s">
        <v>1088</v>
      </c>
      <c r="G1764" s="14" t="str">
        <f t="array" ref="G1764">IF(B1764="", "",
  LET(_xlpm.spell, IFERROR(IF(F1764="", "", INDEX(_xlws.FILTER(Hairstyles!$F:$F, ISNUMBER(SEARCH(F1764, Hairstyles!$B:$B))), 1)), "No Spell for Hairstyle"),
  _xlpm.vanillaPrefix, IF(LEFT(_xlpm.spell, 7)="Uvi_Wig", "", ";"),
  ";" &amp; IF(C1764="", B1764, C1764) &amp; IF(M1764="", "", " ("&amp;M1764&amp;")") &amp; CHAR(10) &amp;
  _xlpm.vanillaPrefix &amp; "Keyword = Uvi_Wig_Distr_KYWD|" &amp; B1764 &amp; CHAR(10) &amp;
  _xlpm.vanillaPrefix &amp; "Spell = " &amp; _xlpm.spell &amp; "|" &amp; B1764
  )
)</f>
        <v>;CWMission06DissaffectSoldierSons1
;Keyword = Uvi_Wig_Distr_KYWD|CWMission06DissaffectSoldierSons1
;Spell = No Spell for Hairstyle|CWMission06DissaffectSoldierSons1</v>
      </c>
    </row>
    <row r="1765" ht="12.75" customHeight="1">
      <c r="A1765" s="5" t="s">
        <v>5896</v>
      </c>
      <c r="B1765" s="5" t="s">
        <v>5897</v>
      </c>
      <c r="D1765" s="5" t="s">
        <v>59</v>
      </c>
      <c r="E1765" s="5" t="s">
        <v>233</v>
      </c>
      <c r="F1765" s="5" t="s">
        <v>1709</v>
      </c>
      <c r="G1765" s="14" t="str">
        <f t="array" ref="G1765">IF(B1765="", "",
  LET(_xlpm.spell, IFERROR(IF(F1765="", "", INDEX(_xlws.FILTER(Hairstyles!$F:$F, ISNUMBER(SEARCH(F1765, Hairstyles!$B:$B))), 1)), "No Spell for Hairstyle"),
  _xlpm.vanillaPrefix, IF(LEFT(_xlpm.spell, 7)="Uvi_Wig", "", ";"),
  ";" &amp; IF(C1765="", B1765, C1765) &amp; IF(M1765="", "", " ("&amp;M1765&amp;")") &amp; CHAR(10) &amp;
  _xlpm.vanillaPrefix &amp; "Keyword = Uvi_Wig_Distr_KYWD|" &amp; B1765 &amp; CHAR(10) &amp;
  _xlpm.vanillaPrefix &amp; "Spell = " &amp; _xlpm.spell &amp; "|" &amp; B1765
  )
)</f>
        <v>;CWMission06LoyalistLeaderImperial
;Keyword = Uvi_Wig_Distr_KYWD|CWMission06LoyalistLeaderImperial
;Spell = No Spell for Hairstyle|CWMission06LoyalistLeaderImperial</v>
      </c>
    </row>
    <row r="1766" ht="12.75" customHeight="1">
      <c r="A1766" s="5" t="s">
        <v>5898</v>
      </c>
      <c r="B1766" s="5" t="s">
        <v>5899</v>
      </c>
      <c r="D1766" s="5" t="s">
        <v>38</v>
      </c>
      <c r="E1766" s="5" t="s">
        <v>233</v>
      </c>
      <c r="F1766" s="5" t="s">
        <v>218</v>
      </c>
      <c r="G1766" s="14" t="str">
        <f t="array" ref="G1766">IF(B1766="", "",
  LET(_xlpm.spell, IFERROR(IF(F1766="", "", INDEX(_xlws.FILTER(Hairstyles!$F:$F, ISNUMBER(SEARCH(F1766, Hairstyles!$B:$B))), 1)), "No Spell for Hairstyle"),
  _xlpm.vanillaPrefix, IF(LEFT(_xlpm.spell, 7)="Uvi_Wig", "", ";"),
  ";" &amp; IF(C1766="", B1766, C1766) &amp; IF(M1766="", "", " ("&amp;M1766&amp;")") &amp; CHAR(10) &amp;
  _xlpm.vanillaPrefix &amp; "Keyword = Uvi_Wig_Distr_KYWD|" &amp; B1766 &amp; CHAR(10) &amp;
  _xlpm.vanillaPrefix &amp; "Spell = " &amp; _xlpm.spell &amp; "|" &amp; B1766
  )
)</f>
        <v>;CWMission06LoyalistLeaderSons
;Keyword = Uvi_Wig_Distr_KYWD|CWMission06LoyalistLeaderSons
;Spell = No Spell for Hairstyle|CWMission06LoyalistLeaderSons</v>
      </c>
    </row>
    <row r="1767" ht="12.75" customHeight="1">
      <c r="A1767" s="5" t="s">
        <v>5900</v>
      </c>
      <c r="B1767" s="5" t="s">
        <v>5901</v>
      </c>
      <c r="D1767" s="5" t="s">
        <v>59</v>
      </c>
      <c r="E1767" s="5" t="s">
        <v>233</v>
      </c>
      <c r="F1767" s="5" t="s">
        <v>40</v>
      </c>
      <c r="G1767" s="14" t="str">
        <f t="array" ref="G1767">IF(B1767="", "",
  LET(_xlpm.spell, IFERROR(IF(F1767="", "", INDEX(_xlws.FILTER(Hairstyles!$F:$F, ISNUMBER(SEARCH(F1767, Hairstyles!$B:$B))), 1)), "No Spell for Hairstyle"),
  _xlpm.vanillaPrefix, IF(LEFT(_xlpm.spell, 7)="Uvi_Wig", "", ";"),
  ";" &amp; IF(C1767="", B1767, C1767) &amp; IF(M1767="", "", " ("&amp;M1767&amp;")") &amp; CHAR(10) &amp;
  _xlpm.vanillaPrefix &amp; "Keyword = Uvi_Wig_Distr_KYWD|" &amp; B1767 &amp; CHAR(10) &amp;
  _xlpm.vanillaPrefix &amp; "Spell = " &amp; _xlpm.spell &amp; "|" &amp; B1767
  )
)</f>
        <v>;CWPrisonerImperial
;Keyword = Uvi_Wig_Distr_KYWD|CWPrisonerImperial
;Spell = No Spell for Hairstyle|CWPrisonerImperial</v>
      </c>
    </row>
    <row r="1768" ht="12.75" customHeight="1">
      <c r="A1768" s="5" t="s">
        <v>5902</v>
      </c>
      <c r="B1768" s="5" t="s">
        <v>5903</v>
      </c>
      <c r="D1768" s="5" t="s">
        <v>59</v>
      </c>
      <c r="E1768" s="5" t="s">
        <v>233</v>
      </c>
      <c r="F1768" s="5" t="s">
        <v>521</v>
      </c>
      <c r="G1768" s="14" t="str">
        <f t="array" ref="G1768">IF(B1768="", "",
  LET(_xlpm.spell, IFERROR(IF(F1768="", "", INDEX(_xlws.FILTER(Hairstyles!$F:$F, ISNUMBER(SEARCH(F1768, Hairstyles!$B:$B))), 1)), "No Spell for Hairstyle"),
  _xlpm.vanillaPrefix, IF(LEFT(_xlpm.spell, 7)="Uvi_Wig", "", ";"),
  ";" &amp; IF(C1768="", B1768, C1768) &amp; IF(M1768="", "", " ("&amp;M1768&amp;")") &amp; CHAR(10) &amp;
  _xlpm.vanillaPrefix &amp; "Keyword = Uvi_Wig_Distr_KYWD|" &amp; B1768 &amp; CHAR(10) &amp;
  _xlpm.vanillaPrefix &amp; "Spell = " &amp; _xlpm.spell &amp; "|" &amp; B1768
  )
)</f>
        <v>;CWPrisonerImperialA
;Keyword = Uvi_Wig_Distr_KYWD|CWPrisonerImperialA
;Spell = No Spell for Hairstyle|CWPrisonerImperialA</v>
      </c>
    </row>
    <row r="1769" ht="12.75" customHeight="1">
      <c r="A1769" s="5" t="s">
        <v>5904</v>
      </c>
      <c r="B1769" s="5" t="s">
        <v>5905</v>
      </c>
      <c r="D1769" s="5" t="s">
        <v>59</v>
      </c>
      <c r="E1769" s="5" t="s">
        <v>233</v>
      </c>
      <c r="F1769" s="5" t="s">
        <v>990</v>
      </c>
      <c r="G1769" s="14" t="str">
        <f t="array" ref="G1769">IF(B1769="", "",
  LET(_xlpm.spell, IFERROR(IF(F1769="", "", INDEX(_xlws.FILTER(Hairstyles!$F:$F, ISNUMBER(SEARCH(F1769, Hairstyles!$B:$B))), 1)), "No Spell for Hairstyle"),
  _xlpm.vanillaPrefix, IF(LEFT(_xlpm.spell, 7)="Uvi_Wig", "", ";"),
  ";" &amp; IF(C1769="", B1769, C1769) &amp; IF(M1769="", "", " ("&amp;M1769&amp;")") &amp; CHAR(10) &amp;
  _xlpm.vanillaPrefix &amp; "Keyword = Uvi_Wig_Distr_KYWD|" &amp; B1769 &amp; CHAR(10) &amp;
  _xlpm.vanillaPrefix &amp; "Spell = " &amp; _xlpm.spell &amp; "|" &amp; B1769
  )
)</f>
        <v>;CWPrisonerImperialB
;Keyword = Uvi_Wig_Distr_KYWD|CWPrisonerImperialB
;Spell = No Spell for Hairstyle|CWPrisonerImperialB</v>
      </c>
    </row>
    <row r="1770" ht="12.75" customHeight="1">
      <c r="A1770" s="5" t="s">
        <v>5906</v>
      </c>
      <c r="B1770" s="5" t="s">
        <v>5907</v>
      </c>
      <c r="D1770" s="5" t="s">
        <v>59</v>
      </c>
      <c r="E1770" s="5" t="s">
        <v>233</v>
      </c>
      <c r="F1770" s="5" t="s">
        <v>1906</v>
      </c>
      <c r="G1770" s="14" t="str">
        <f t="array" ref="G1770">IF(B1770="", "",
  LET(_xlpm.spell, IFERROR(IF(F1770="", "", INDEX(_xlws.FILTER(Hairstyles!$F:$F, ISNUMBER(SEARCH(F1770, Hairstyles!$B:$B))), 1)), "No Spell for Hairstyle"),
  _xlpm.vanillaPrefix, IF(LEFT(_xlpm.spell, 7)="Uvi_Wig", "", ";"),
  ";" &amp; IF(C1770="", B1770, C1770) &amp; IF(M1770="", "", " ("&amp;M1770&amp;")") &amp; CHAR(10) &amp;
  _xlpm.vanillaPrefix &amp; "Keyword = Uvi_Wig_Distr_KYWD|" &amp; B1770 &amp; CHAR(10) &amp;
  _xlpm.vanillaPrefix &amp; "Spell = " &amp; _xlpm.spell &amp; "|" &amp; B1770
  )
)</f>
        <v>;CWPrisonerImperialC
;Keyword = Uvi_Wig_Distr_KYWD|CWPrisonerImperialC
;Spell = No Spell for Hairstyle|CWPrisonerImperialC</v>
      </c>
    </row>
    <row r="1771" ht="12.75" customHeight="1">
      <c r="A1771" s="5" t="s">
        <v>5908</v>
      </c>
      <c r="B1771" s="5" t="s">
        <v>5909</v>
      </c>
      <c r="D1771" s="5" t="s">
        <v>59</v>
      </c>
      <c r="E1771" s="5" t="s">
        <v>233</v>
      </c>
      <c r="F1771" s="5" t="s">
        <v>1088</v>
      </c>
      <c r="G1771" s="14" t="str">
        <f t="array" ref="G1771">IF(B1771="", "",
  LET(_xlpm.spell, IFERROR(IF(F1771="", "", INDEX(_xlws.FILTER(Hairstyles!$F:$F, ISNUMBER(SEARCH(F1771, Hairstyles!$B:$B))), 1)), "No Spell for Hairstyle"),
  _xlpm.vanillaPrefix, IF(LEFT(_xlpm.spell, 7)="Uvi_Wig", "", ";"),
  ";" &amp; IF(C1771="", B1771, C1771) &amp; IF(M1771="", "", " ("&amp;M1771&amp;")") &amp; CHAR(10) &amp;
  _xlpm.vanillaPrefix &amp; "Keyword = Uvi_Wig_Distr_KYWD|" &amp; B1771 &amp; CHAR(10) &amp;
  _xlpm.vanillaPrefix &amp; "Spell = " &amp; _xlpm.spell &amp; "|" &amp; B1771
  )
)</f>
        <v>;CWPrisonerImperialD
;Keyword = Uvi_Wig_Distr_KYWD|CWPrisonerImperialD
;Spell = No Spell for Hairstyle|CWPrisonerImperialD</v>
      </c>
    </row>
    <row r="1772" ht="12.75" customHeight="1">
      <c r="A1772" s="5" t="s">
        <v>5910</v>
      </c>
      <c r="B1772" s="5" t="s">
        <v>5911</v>
      </c>
      <c r="D1772" s="5" t="s">
        <v>38</v>
      </c>
      <c r="E1772" s="5" t="s">
        <v>233</v>
      </c>
      <c r="F1772" s="5" t="s">
        <v>1894</v>
      </c>
      <c r="G1772" s="14" t="str">
        <f t="array" ref="G1772">IF(B1772="", "",
  LET(_xlpm.spell, IFERROR(IF(F1772="", "", INDEX(_xlws.FILTER(Hairstyles!$F:$F, ISNUMBER(SEARCH(F1772, Hairstyles!$B:$B))), 1)), "No Spell for Hairstyle"),
  _xlpm.vanillaPrefix, IF(LEFT(_xlpm.spell, 7)="Uvi_Wig", "", ";"),
  ";" &amp; IF(C1772="", B1772, C1772) &amp; IF(M1772="", "", " ("&amp;M1772&amp;")") &amp; CHAR(10) &amp;
  _xlpm.vanillaPrefix &amp; "Keyword = Uvi_Wig_Distr_KYWD|" &amp; B1772 &amp; CHAR(10) &amp;
  _xlpm.vanillaPrefix &amp; "Spell = " &amp; _xlpm.spell &amp; "|" &amp; B1772
  )
)</f>
        <v>;CWPrisonerSons
;Keyword = Uvi_Wig_Distr_KYWD|CWPrisonerSons
;Spell = No Spell for Hairstyle|CWPrisonerSons</v>
      </c>
    </row>
    <row r="1773" ht="12.75" customHeight="1">
      <c r="A1773" s="5" t="s">
        <v>5912</v>
      </c>
      <c r="B1773" s="5" t="s">
        <v>5913</v>
      </c>
      <c r="D1773" s="5" t="s">
        <v>38</v>
      </c>
      <c r="E1773" s="5" t="s">
        <v>233</v>
      </c>
      <c r="F1773" s="5" t="s">
        <v>235</v>
      </c>
      <c r="G1773" s="14" t="str">
        <f t="array" ref="G1773">IF(B1773="", "",
  LET(_xlpm.spell, IFERROR(IF(F1773="", "", INDEX(_xlws.FILTER(Hairstyles!$F:$F, ISNUMBER(SEARCH(F1773, Hairstyles!$B:$B))), 1)), "No Spell for Hairstyle"),
  _xlpm.vanillaPrefix, IF(LEFT(_xlpm.spell, 7)="Uvi_Wig", "", ";"),
  ";" &amp; IF(C1773="", B1773, C1773) &amp; IF(M1773="", "", " ("&amp;M1773&amp;")") &amp; CHAR(10) &amp;
  _xlpm.vanillaPrefix &amp; "Keyword = Uvi_Wig_Distr_KYWD|" &amp; B1773 &amp; CHAR(10) &amp;
  _xlpm.vanillaPrefix &amp; "Spell = " &amp; _xlpm.spell &amp; "|" &amp; B1773
  )
)</f>
        <v>;CWPrisonerSonsA
;Keyword = Uvi_Wig_Distr_KYWD|CWPrisonerSonsA
;Spell = No Spell for Hairstyle|CWPrisonerSonsA</v>
      </c>
    </row>
    <row r="1774" ht="12.75" customHeight="1">
      <c r="A1774" s="5" t="s">
        <v>5914</v>
      </c>
      <c r="B1774" s="5" t="s">
        <v>5915</v>
      </c>
      <c r="D1774" s="5" t="s">
        <v>38</v>
      </c>
      <c r="E1774" s="5" t="s">
        <v>233</v>
      </c>
      <c r="F1774" s="5" t="s">
        <v>40</v>
      </c>
      <c r="G1774" s="14" t="str">
        <f t="array" ref="G1774">IF(B1774="", "",
  LET(_xlpm.spell, IFERROR(IF(F1774="", "", INDEX(_xlws.FILTER(Hairstyles!$F:$F, ISNUMBER(SEARCH(F1774, Hairstyles!$B:$B))), 1)), "No Spell for Hairstyle"),
  _xlpm.vanillaPrefix, IF(LEFT(_xlpm.spell, 7)="Uvi_Wig", "", ";"),
  ";" &amp; IF(C1774="", B1774, C1774) &amp; IF(M1774="", "", " ("&amp;M1774&amp;")") &amp; CHAR(10) &amp;
  _xlpm.vanillaPrefix &amp; "Keyword = Uvi_Wig_Distr_KYWD|" &amp; B1774 &amp; CHAR(10) &amp;
  _xlpm.vanillaPrefix &amp; "Spell = " &amp; _xlpm.spell &amp; "|" &amp; B1774
  )
)</f>
        <v>;CWPrisonerSonsB
;Keyword = Uvi_Wig_Distr_KYWD|CWPrisonerSonsB
;Spell = No Spell for Hairstyle|CWPrisonerSonsB</v>
      </c>
    </row>
    <row r="1775" ht="12.75" customHeight="1">
      <c r="A1775" s="5" t="s">
        <v>5916</v>
      </c>
      <c r="B1775" s="5" t="s">
        <v>5917</v>
      </c>
      <c r="D1775" s="5" t="s">
        <v>38</v>
      </c>
      <c r="E1775" s="5" t="s">
        <v>233</v>
      </c>
      <c r="F1775" s="5" t="s">
        <v>521</v>
      </c>
      <c r="G1775" s="14" t="str">
        <f t="array" ref="G1775">IF(B1775="", "",
  LET(_xlpm.spell, IFERROR(IF(F1775="", "", INDEX(_xlws.FILTER(Hairstyles!$F:$F, ISNUMBER(SEARCH(F1775, Hairstyles!$B:$B))), 1)), "No Spell for Hairstyle"),
  _xlpm.vanillaPrefix, IF(LEFT(_xlpm.spell, 7)="Uvi_Wig", "", ";"),
  ";" &amp; IF(C1775="", B1775, C1775) &amp; IF(M1775="", "", " ("&amp;M1775&amp;")") &amp; CHAR(10) &amp;
  _xlpm.vanillaPrefix &amp; "Keyword = Uvi_Wig_Distr_KYWD|" &amp; B1775 &amp; CHAR(10) &amp;
  _xlpm.vanillaPrefix &amp; "Spell = " &amp; _xlpm.spell &amp; "|" &amp; B1775
  )
)</f>
        <v>;CWPrisonerSonsC
;Keyword = Uvi_Wig_Distr_KYWD|CWPrisonerSonsC
;Spell = No Spell for Hairstyle|CWPrisonerSonsC</v>
      </c>
    </row>
    <row r="1776" ht="12.75" customHeight="1">
      <c r="A1776" s="5" t="s">
        <v>5918</v>
      </c>
      <c r="B1776" s="5" t="s">
        <v>5919</v>
      </c>
      <c r="D1776" s="5" t="s">
        <v>38</v>
      </c>
      <c r="E1776" s="5" t="s">
        <v>233</v>
      </c>
      <c r="F1776" s="5" t="s">
        <v>762</v>
      </c>
      <c r="G1776" s="14" t="str">
        <f t="array" ref="G1776">IF(B1776="", "",
  LET(_xlpm.spell, IFERROR(IF(F1776="", "", INDEX(_xlws.FILTER(Hairstyles!$F:$F, ISNUMBER(SEARCH(F1776, Hairstyles!$B:$B))), 1)), "No Spell for Hairstyle"),
  _xlpm.vanillaPrefix, IF(LEFT(_xlpm.spell, 7)="Uvi_Wig", "", ";"),
  ";" &amp; IF(C1776="", B1776, C1776) &amp; IF(M1776="", "", " ("&amp;M1776&amp;")") &amp; CHAR(10) &amp;
  _xlpm.vanillaPrefix &amp; "Keyword = Uvi_Wig_Distr_KYWD|" &amp; B1776 &amp; CHAR(10) &amp;
  _xlpm.vanillaPrefix &amp; "Spell = " &amp; _xlpm.spell &amp; "|" &amp; B1776
  )
)</f>
        <v>;CWPrisonerSonsD
;Keyword = Uvi_Wig_Distr_KYWD|CWPrisonerSonsD
;Spell = No Spell for Hairstyle|CWPrisonerSonsD</v>
      </c>
    </row>
    <row r="1777" ht="12.75" customHeight="1">
      <c r="A1777" s="5" t="s">
        <v>5920</v>
      </c>
      <c r="B1777" s="5" t="s">
        <v>5921</v>
      </c>
      <c r="D1777" s="5" t="s">
        <v>59</v>
      </c>
      <c r="E1777" s="5" t="s">
        <v>233</v>
      </c>
      <c r="F1777" s="5" t="s">
        <v>19</v>
      </c>
      <c r="G1777" s="14" t="str">
        <f t="array" ref="G1777">IF(B1777="", "",
  LET(_xlpm.spell, IFERROR(IF(F1777="", "", INDEX(_xlws.FILTER(Hairstyles!$F:$F, ISNUMBER(SEARCH(F1777, Hairstyles!$B:$B))), 1)), "No Spell for Hairstyle"),
  _xlpm.vanillaPrefix, IF(LEFT(_xlpm.spell, 7)="Uvi_Wig", "", ";"),
  ";" &amp; IF(C1777="", B1777, C1777) &amp; IF(M1777="", "", " ("&amp;M1777&amp;")") &amp; CHAR(10) &amp;
  _xlpm.vanillaPrefix &amp; "Keyword = Uvi_Wig_Distr_KYWD|" &amp; B1777 &amp; CHAR(10) &amp;
  _xlpm.vanillaPrefix &amp; "Spell = " &amp; _xlpm.spell &amp; "|" &amp; B1777
  )
)</f>
        <v>;CWSiegeImperialArcher
;Keyword = Uvi_Wig_Distr_KYWD|CWSiegeImperialArcher
;Spell = No Spell for Hairstyle|CWSiegeImperialArcher</v>
      </c>
    </row>
    <row r="1778" ht="12.75" customHeight="1">
      <c r="A1778" s="5" t="s">
        <v>5922</v>
      </c>
      <c r="B1778" s="5" t="s">
        <v>5923</v>
      </c>
      <c r="D1778" s="5" t="s">
        <v>59</v>
      </c>
      <c r="E1778" s="5" t="s">
        <v>233</v>
      </c>
      <c r="F1778" s="5" t="s">
        <v>19</v>
      </c>
      <c r="G1778" s="14" t="str">
        <f t="array" ref="G1778">IF(B1778="", "",
  LET(_xlpm.spell, IFERROR(IF(F1778="", "", INDEX(_xlws.FILTER(Hairstyles!$F:$F, ISNUMBER(SEARCH(F1778, Hairstyles!$B:$B))), 1)), "No Spell for Hairstyle"),
  _xlpm.vanillaPrefix, IF(LEFT(_xlpm.spell, 7)="Uvi_Wig", "", ";"),
  ";" &amp; IF(C1778="", B1778, C1778) &amp; IF(M1778="", "", " ("&amp;M1778&amp;")") &amp; CHAR(10) &amp;
  _xlpm.vanillaPrefix &amp; "Keyword = Uvi_Wig_Distr_KYWD|" &amp; B1778 &amp; CHAR(10) &amp;
  _xlpm.vanillaPrefix &amp; "Spell = " &amp; _xlpm.spell &amp; "|" &amp; B1778
  )
)</f>
        <v>;CWSiegeImperialArcherHold
;Keyword = Uvi_Wig_Distr_KYWD|CWSiegeImperialArcherHold
;Spell = No Spell for Hairstyle|CWSiegeImperialArcherHold</v>
      </c>
    </row>
    <row r="1779" ht="12.75" customHeight="1">
      <c r="A1779" s="5" t="s">
        <v>5924</v>
      </c>
      <c r="B1779" s="5" t="s">
        <v>5925</v>
      </c>
      <c r="D1779" s="5" t="s">
        <v>59</v>
      </c>
      <c r="E1779" s="5" t="s">
        <v>233</v>
      </c>
      <c r="F1779" s="5" t="s">
        <v>19</v>
      </c>
      <c r="G1779" s="14" t="str">
        <f t="array" ref="G1779">IF(B1779="", "",
  LET(_xlpm.spell, IFERROR(IF(F1779="", "", INDEX(_xlws.FILTER(Hairstyles!$F:$F, ISNUMBER(SEARCH(F1779, Hairstyles!$B:$B))), 1)), "No Spell for Hairstyle"),
  _xlpm.vanillaPrefix, IF(LEFT(_xlpm.spell, 7)="Uvi_Wig", "", ";"),
  ";" &amp; IF(C1779="", B1779, C1779) &amp; IF(M1779="", "", " ("&amp;M1779&amp;")") &amp; CHAR(10) &amp;
  _xlpm.vanillaPrefix &amp; "Keyword = Uvi_Wig_Distr_KYWD|" &amp; B1779 &amp; CHAR(10) &amp;
  _xlpm.vanillaPrefix &amp; "Spell = " &amp; _xlpm.spell &amp; "|" &amp; B1779
  )
)</f>
        <v>;CWSiegeImperialSoldierHold
;Keyword = Uvi_Wig_Distr_KYWD|CWSiegeImperialSoldierHold
;Spell = No Spell for Hairstyle|CWSiegeImperialSoldierHold</v>
      </c>
    </row>
    <row r="1780" ht="12.75" customHeight="1">
      <c r="A1780" s="5" t="s">
        <v>5926</v>
      </c>
      <c r="B1780" s="5" t="s">
        <v>5927</v>
      </c>
      <c r="D1780" s="5" t="s">
        <v>38</v>
      </c>
      <c r="E1780" s="5" t="s">
        <v>233</v>
      </c>
      <c r="F1780" s="5" t="s">
        <v>84</v>
      </c>
      <c r="G1780" s="14" t="str">
        <f t="array" ref="G1780">IF(B1780="", "",
  LET(_xlpm.spell, IFERROR(IF(F1780="", "", INDEX(_xlws.FILTER(Hairstyles!$F:$F, ISNUMBER(SEARCH(F1780, Hairstyles!$B:$B))), 1)), "No Spell for Hairstyle"),
  _xlpm.vanillaPrefix, IF(LEFT(_xlpm.spell, 7)="Uvi_Wig", "", ";"),
  ";" &amp; IF(C1780="", B1780, C1780) &amp; IF(M1780="", "", " ("&amp;M1780&amp;")") &amp; CHAR(10) &amp;
  _xlpm.vanillaPrefix &amp; "Keyword = Uvi_Wig_Distr_KYWD|" &amp; B1780 &amp; CHAR(10) &amp;
  _xlpm.vanillaPrefix &amp; "Spell = " &amp; _xlpm.spell &amp; "|" &amp; B1780
  )
)</f>
        <v>;CWSiegeSonsArcher
;Keyword = Uvi_Wig_Distr_KYWD|CWSiegeSonsArcher
;Spell = No Spell for Hairstyle|CWSiegeSonsArcher</v>
      </c>
    </row>
    <row r="1781" ht="12.75" customHeight="1">
      <c r="A1781" s="5" t="s">
        <v>5928</v>
      </c>
      <c r="B1781" s="5" t="s">
        <v>5929</v>
      </c>
      <c r="D1781" s="5" t="s">
        <v>38</v>
      </c>
      <c r="E1781" s="5" t="s">
        <v>233</v>
      </c>
      <c r="F1781" s="5" t="s">
        <v>84</v>
      </c>
      <c r="G1781" s="14" t="str">
        <f t="array" ref="G1781">IF(B1781="", "",
  LET(_xlpm.spell, IFERROR(IF(F1781="", "", INDEX(_xlws.FILTER(Hairstyles!$F:$F, ISNUMBER(SEARCH(F1781, Hairstyles!$B:$B))), 1)), "No Spell for Hairstyle"),
  _xlpm.vanillaPrefix, IF(LEFT(_xlpm.spell, 7)="Uvi_Wig", "", ";"),
  ";" &amp; IF(C1781="", B1781, C1781) &amp; IF(M1781="", "", " ("&amp;M1781&amp;")") &amp; CHAR(10) &amp;
  _xlpm.vanillaPrefix &amp; "Keyword = Uvi_Wig_Distr_KYWD|" &amp; B1781 &amp; CHAR(10) &amp;
  _xlpm.vanillaPrefix &amp; "Spell = " &amp; _xlpm.spell &amp; "|" &amp; B1781
  )
)</f>
        <v>;CWSiegeSonsArcherHold
;Keyword = Uvi_Wig_Distr_KYWD|CWSiegeSonsArcherHold
;Spell = No Spell for Hairstyle|CWSiegeSonsArcherHold</v>
      </c>
    </row>
    <row r="1782" ht="12.75" customHeight="1">
      <c r="A1782" s="5" t="s">
        <v>5930</v>
      </c>
      <c r="B1782" s="5" t="s">
        <v>5931</v>
      </c>
      <c r="D1782" s="5" t="s">
        <v>38</v>
      </c>
      <c r="E1782" s="5" t="s">
        <v>233</v>
      </c>
      <c r="F1782" s="5" t="s">
        <v>84</v>
      </c>
      <c r="G1782" s="14" t="str">
        <f t="array" ref="G1782">IF(B1782="", "",
  LET(_xlpm.spell, IFERROR(IF(F1782="", "", INDEX(_xlws.FILTER(Hairstyles!$F:$F, ISNUMBER(SEARCH(F1782, Hairstyles!$B:$B))), 1)), "No Spell for Hairstyle"),
  _xlpm.vanillaPrefix, IF(LEFT(_xlpm.spell, 7)="Uvi_Wig", "", ";"),
  ";" &amp; IF(C1782="", B1782, C1782) &amp; IF(M1782="", "", " ("&amp;M1782&amp;")") &amp; CHAR(10) &amp;
  _xlpm.vanillaPrefix &amp; "Keyword = Uvi_Wig_Distr_KYWD|" &amp; B1782 &amp; CHAR(10) &amp;
  _xlpm.vanillaPrefix &amp; "Spell = " &amp; _xlpm.spell &amp; "|" &amp; B1782
  )
)</f>
        <v>;CWSiegeSonsArcherInvul
;Keyword = Uvi_Wig_Distr_KYWD|CWSiegeSonsArcherInvul
;Spell = No Spell for Hairstyle|CWSiegeSonsArcherInvul</v>
      </c>
    </row>
    <row r="1783" ht="12.75" customHeight="1">
      <c r="A1783" s="5" t="s">
        <v>5932</v>
      </c>
      <c r="B1783" s="5" t="s">
        <v>5933</v>
      </c>
      <c r="D1783" s="5" t="s">
        <v>38</v>
      </c>
      <c r="E1783" s="5" t="s">
        <v>233</v>
      </c>
      <c r="F1783" s="5" t="s">
        <v>1622</v>
      </c>
      <c r="G1783" s="14" t="str">
        <f t="array" ref="G1783">IF(B1783="", "",
  LET(_xlpm.spell, IFERROR(IF(F1783="", "", INDEX(_xlws.FILTER(Hairstyles!$F:$F, ISNUMBER(SEARCH(F1783, Hairstyles!$B:$B))), 1)), "No Spell for Hairstyle"),
  _xlpm.vanillaPrefix, IF(LEFT(_xlpm.spell, 7)="Uvi_Wig", "", ";"),
  ";" &amp; IF(C1783="", B1783, C1783) &amp; IF(M1783="", "", " ("&amp;M1783&amp;")") &amp; CHAR(10) &amp;
  _xlpm.vanillaPrefix &amp; "Keyword = Uvi_Wig_Distr_KYWD|" &amp; B1783 &amp; CHAR(10) &amp;
  _xlpm.vanillaPrefix &amp; "Spell = " &amp; _xlpm.spell &amp; "|" &amp; B1783
  )
)</f>
        <v>;CWSiegeSonsSoldierHold
;Keyword = Uvi_Wig_Distr_KYWD|CWSiegeSonsSoldierHold
;Spell = No Spell for Hairstyle|CWSiegeSonsSoldierHold</v>
      </c>
    </row>
    <row r="1784" ht="12.75" customHeight="1">
      <c r="A1784" s="5" t="s">
        <v>5934</v>
      </c>
      <c r="B1784" s="5" t="s">
        <v>5935</v>
      </c>
      <c r="D1784" s="5" t="s">
        <v>38</v>
      </c>
      <c r="E1784" s="5" t="s">
        <v>233</v>
      </c>
      <c r="F1784" s="5" t="s">
        <v>1700</v>
      </c>
      <c r="G1784" s="14" t="str">
        <f t="array" ref="G1784">IF(B1784="", "",
  LET(_xlpm.spell, IFERROR(IF(F1784="", "", INDEX(_xlws.FILTER(Hairstyles!$F:$F, ISNUMBER(SEARCH(F1784, Hairstyles!$B:$B))), 1)), "No Spell for Hairstyle"),
  _xlpm.vanillaPrefix, IF(LEFT(_xlpm.spell, 7)="Uvi_Wig", "", ";"),
  ";" &amp; IF(C1784="", B1784, C1784) &amp; IF(M1784="", "", " ("&amp;M1784&amp;")") &amp; CHAR(10) &amp;
  _xlpm.vanillaPrefix &amp; "Keyword = Uvi_Wig_Distr_KYWD|" &amp; B1784 &amp; CHAR(10) &amp;
  _xlpm.vanillaPrefix &amp; "Spell = " &amp; _xlpm.spell &amp; "|" &amp; B1784
  )
)</f>
        <v>;CWSiegeSonsWizardInvul
;Keyword = Uvi_Wig_Distr_KYWD|CWSiegeSonsWizardInvul
;Spell = No Spell for Hairstyle|CWSiegeSonsWizardInvul</v>
      </c>
    </row>
    <row r="1785" ht="12.75" customHeight="1">
      <c r="A1785" s="5" t="s">
        <v>5936</v>
      </c>
      <c r="B1785" s="5" t="s">
        <v>5937</v>
      </c>
      <c r="D1785" s="5" t="s">
        <v>16</v>
      </c>
      <c r="E1785" s="5" t="s">
        <v>233</v>
      </c>
      <c r="F1785" s="5" t="s">
        <v>1700</v>
      </c>
      <c r="G1785" s="14" t="str">
        <f t="array" ref="G1785">IF(B1785="", "",
  LET(_xlpm.spell, IFERROR(IF(F1785="", "", INDEX(_xlws.FILTER(Hairstyles!$F:$F, ISNUMBER(SEARCH(F1785, Hairstyles!$B:$B))), 1)), "No Spell for Hairstyle"),
  _xlpm.vanillaPrefix, IF(LEFT(_xlpm.spell, 7)="Uvi_Wig", "", ";"),
  ";" &amp; IF(C1785="", B1785, C1785) &amp; IF(M1785="", "", " ("&amp;M1785&amp;")") &amp; CHAR(10) &amp;
  _xlpm.vanillaPrefix &amp; "Keyword = Uvi_Wig_Distr_KYWD|" &amp; B1785 &amp; CHAR(10) &amp;
  _xlpm.vanillaPrefix &amp; "Spell = " &amp; _xlpm.spell &amp; "|" &amp; B1785
  )
)</f>
        <v>;DA03Wizard
;Keyword = Uvi_Wig_Distr_KYWD|DA03Wizard
;Spell = No Spell for Hairstyle|DA03Wizard</v>
      </c>
    </row>
    <row r="1786" ht="12.75" customHeight="1">
      <c r="A1786" s="5" t="s">
        <v>5938</v>
      </c>
      <c r="B1786" s="5" t="s">
        <v>5939</v>
      </c>
      <c r="D1786" s="5" t="s">
        <v>65</v>
      </c>
      <c r="E1786" s="5" t="s">
        <v>41</v>
      </c>
      <c r="F1786" s="4" t="s">
        <v>1741</v>
      </c>
      <c r="G1786" s="14" t="str">
        <f t="array" ref="G1786">IF(B1786="", "",
  LET(_xlpm.spell, IFERROR(IF(F1786="", "", INDEX(_xlws.FILTER(Hairstyles!$F:$F, ISNUMBER(SEARCH(F1786, Hairstyles!$B:$B))), 1)), "No Spell for Hairstyle"),
  _xlpm.vanillaPrefix, IF(LEFT(_xlpm.spell, 7)="Uvi_Wig", "", ";"),
  ";" &amp; IF(C1786="", B1786, C1786) &amp; IF(M1786="", "", " ("&amp;M1786&amp;")") &amp; CHAR(10) &amp;
  _xlpm.vanillaPrefix &amp; "Keyword = Uvi_Wig_Distr_KYWD|" &amp; B1786 &amp; CHAR(10) &amp;
  _xlpm.vanillaPrefix &amp; "Spell = " &amp; _xlpm.spell &amp; "|" &amp; B1786
  )
)</f>
        <v>;DA05_LvlHuntersOfHircine_KhajiitF
;Keyword = Uvi_Wig_Distr_KYWD|DA05_LvlHuntersOfHircine_KhajiitF
;Spell = No Spell for Hairstyle|DA05_LvlHuntersOfHircine_KhajiitF</v>
      </c>
    </row>
    <row r="1787" ht="12.75" customHeight="1">
      <c r="A1787" s="5" t="s">
        <v>5940</v>
      </c>
      <c r="B1787" s="5" t="s">
        <v>5941</v>
      </c>
      <c r="D1787" s="5" t="s">
        <v>65</v>
      </c>
      <c r="E1787" s="5" t="s">
        <v>233</v>
      </c>
      <c r="F1787" s="5" t="s">
        <v>321</v>
      </c>
      <c r="G1787" s="14" t="str">
        <f t="array" ref="G1787">IF(B1787="", "",
  LET(_xlpm.spell, IFERROR(IF(F1787="", "", INDEX(_xlws.FILTER(Hairstyles!$F:$F, ISNUMBER(SEARCH(F1787, Hairstyles!$B:$B))), 1)), "No Spell for Hairstyle"),
  _xlpm.vanillaPrefix, IF(LEFT(_xlpm.spell, 7)="Uvi_Wig", "", ";"),
  ";" &amp; IF(C1787="", B1787, C1787) &amp; IF(M1787="", "", " ("&amp;M1787&amp;")") &amp; CHAR(10) &amp;
  _xlpm.vanillaPrefix &amp; "Keyword = Uvi_Wig_Distr_KYWD|" &amp; B1787 &amp; CHAR(10) &amp;
  _xlpm.vanillaPrefix &amp; "Spell = " &amp; _xlpm.spell &amp; "|" &amp; B1787
  )
)</f>
        <v>;DA05_LvlHuntersOfHircine_KhajiitM
;Keyword = Uvi_Wig_Distr_KYWD|DA05_LvlHuntersOfHircine_KhajiitM
;Spell = No Spell for Hairstyle|DA05_LvlHuntersOfHircine_KhajiitM</v>
      </c>
    </row>
    <row r="1788" ht="12.75" customHeight="1">
      <c r="A1788" s="5" t="s">
        <v>5942</v>
      </c>
      <c r="B1788" s="5" t="s">
        <v>5943</v>
      </c>
      <c r="D1788" s="5" t="s">
        <v>38</v>
      </c>
      <c r="E1788" s="5" t="s">
        <v>41</v>
      </c>
      <c r="F1788" s="5" t="s">
        <v>270</v>
      </c>
      <c r="G1788" s="14" t="str">
        <f t="array" ref="G1788">IF(B1788="", "",
  LET(_xlpm.spell, IFERROR(IF(F1788="", "", INDEX(_xlws.FILTER(Hairstyles!$F:$F, ISNUMBER(SEARCH(F1788, Hairstyles!$B:$B))), 1)), "No Spell for Hairstyle"),
  _xlpm.vanillaPrefix, IF(LEFT(_xlpm.spell, 7)="Uvi_Wig", "", ";"),
  ";" &amp; IF(C1788="", B1788, C1788) &amp; IF(M1788="", "", " ("&amp;M1788&amp;")") &amp; CHAR(10) &amp;
  _xlpm.vanillaPrefix &amp; "Keyword = Uvi_Wig_Distr_KYWD|" &amp; B1788 &amp; CHAR(10) &amp;
  _xlpm.vanillaPrefix &amp; "Spell = " &amp; _xlpm.spell &amp; "|" &amp; B1788
  )
)</f>
        <v>;DA05_LvlHuntersOfHircine_NordF
;Keyword = Uvi_Wig_Distr_KYWD|DA05_LvlHuntersOfHircine_NordF
;Spell = No Spell for Hairstyle|DA05_LvlHuntersOfHircine_NordF</v>
      </c>
    </row>
    <row r="1789" ht="12.75" customHeight="1">
      <c r="A1789" s="5" t="s">
        <v>5944</v>
      </c>
      <c r="B1789" s="5" t="s">
        <v>5945</v>
      </c>
      <c r="D1789" s="5" t="s">
        <v>38</v>
      </c>
      <c r="E1789" s="5" t="s">
        <v>233</v>
      </c>
      <c r="F1789" s="5" t="s">
        <v>234</v>
      </c>
      <c r="G1789" s="14" t="str">
        <f t="array" ref="G1789">IF(B1789="", "",
  LET(_xlpm.spell, IFERROR(IF(F1789="", "", INDEX(_xlws.FILTER(Hairstyles!$F:$F, ISNUMBER(SEARCH(F1789, Hairstyles!$B:$B))), 1)), "No Spell for Hairstyle"),
  _xlpm.vanillaPrefix, IF(LEFT(_xlpm.spell, 7)="Uvi_Wig", "", ";"),
  ";" &amp; IF(C1789="", B1789, C1789) &amp; IF(M1789="", "", " ("&amp;M1789&amp;")") &amp; CHAR(10) &amp;
  _xlpm.vanillaPrefix &amp; "Keyword = Uvi_Wig_Distr_KYWD|" &amp; B1789 &amp; CHAR(10) &amp;
  _xlpm.vanillaPrefix &amp; "Spell = " &amp; _xlpm.spell &amp; "|" &amp; B1789
  )
)</f>
        <v>;DA05_LvlHuntersOfHircine_NordM
;Keyword = Uvi_Wig_Distr_KYWD|DA05_LvlHuntersOfHircine_NordM
;Spell = No Spell for Hairstyle|DA05_LvlHuntersOfHircine_NordM</v>
      </c>
    </row>
    <row r="1790" ht="12.75" customHeight="1">
      <c r="A1790" s="5" t="s">
        <v>5946</v>
      </c>
      <c r="B1790" s="5" t="s">
        <v>5947</v>
      </c>
      <c r="D1790" s="5" t="s">
        <v>80</v>
      </c>
      <c r="E1790" s="5" t="s">
        <v>41</v>
      </c>
      <c r="F1790" s="4" t="s">
        <v>1741</v>
      </c>
      <c r="G1790" s="14" t="str">
        <f t="array" ref="G1790">IF(B1790="", "",
  LET(_xlpm.spell, IFERROR(IF(F1790="", "", INDEX(_xlws.FILTER(Hairstyles!$F:$F, ISNUMBER(SEARCH(F1790, Hairstyles!$B:$B))), 1)), "No Spell for Hairstyle"),
  _xlpm.vanillaPrefix, IF(LEFT(_xlpm.spell, 7)="Uvi_Wig", "", ";"),
  ";" &amp; IF(C1790="", B1790, C1790) &amp; IF(M1790="", "", " ("&amp;M1790&amp;")") &amp; CHAR(10) &amp;
  _xlpm.vanillaPrefix &amp; "Keyword = Uvi_Wig_Distr_KYWD|" &amp; B1790 &amp; CHAR(10) &amp;
  _xlpm.vanillaPrefix &amp; "Spell = " &amp; _xlpm.spell &amp; "|" &amp; B1790
  )
)</f>
        <v>;DA05_LvlHuntersOfHircine_OrcF
;Keyword = Uvi_Wig_Distr_KYWD|DA05_LvlHuntersOfHircine_OrcF
;Spell = No Spell for Hairstyle|DA05_LvlHuntersOfHircine_OrcF</v>
      </c>
    </row>
    <row r="1791" ht="12.75" customHeight="1">
      <c r="A1791" s="5" t="s">
        <v>5948</v>
      </c>
      <c r="B1791" s="5" t="s">
        <v>5949</v>
      </c>
      <c r="D1791" s="5" t="s">
        <v>80</v>
      </c>
      <c r="E1791" s="5" t="s">
        <v>233</v>
      </c>
      <c r="F1791" s="5" t="s">
        <v>411</v>
      </c>
      <c r="G1791" s="14" t="str">
        <f t="array" ref="G1791">IF(B1791="", "",
  LET(_xlpm.spell, IFERROR(IF(F1791="", "", INDEX(_xlws.FILTER(Hairstyles!$F:$F, ISNUMBER(SEARCH(F1791, Hairstyles!$B:$B))), 1)), "No Spell for Hairstyle"),
  _xlpm.vanillaPrefix, IF(LEFT(_xlpm.spell, 7)="Uvi_Wig", "", ";"),
  ";" &amp; IF(C1791="", B1791, C1791) &amp; IF(M1791="", "", " ("&amp;M1791&amp;")") &amp; CHAR(10) &amp;
  _xlpm.vanillaPrefix &amp; "Keyword = Uvi_Wig_Distr_KYWD|" &amp; B1791 &amp; CHAR(10) &amp;
  _xlpm.vanillaPrefix &amp; "Spell = " &amp; _xlpm.spell &amp; "|" &amp; B1791
  )
)</f>
        <v>;DA05_LvlHuntersOfHircine_OrcM
;Keyword = Uvi_Wig_Distr_KYWD|DA05_LvlHuntersOfHircine_OrcM
;Spell = No Spell for Hairstyle|DA05_LvlHuntersOfHircine_OrcM</v>
      </c>
    </row>
    <row r="1792" ht="12.75" customHeight="1">
      <c r="A1792" s="5" t="s">
        <v>5950</v>
      </c>
      <c r="B1792" s="5" t="s">
        <v>5951</v>
      </c>
      <c r="D1792" s="5" t="s">
        <v>38</v>
      </c>
      <c r="E1792" s="5" t="s">
        <v>233</v>
      </c>
      <c r="F1792" s="5" t="s">
        <v>1906</v>
      </c>
      <c r="G1792" s="14" t="str">
        <f t="array" ref="G1792">IF(B1792="", "",
  LET(_xlpm.spell, IFERROR(IF(F1792="", "", INDEX(_xlws.FILTER(Hairstyles!$F:$F, ISNUMBER(SEARCH(F1792, Hairstyles!$B:$B))), 1)), "No Spell for Hairstyle"),
  _xlpm.vanillaPrefix, IF(LEFT(_xlpm.spell, 7)="Uvi_Wig", "", ";"),
  ";" &amp; IF(C1792="", B1792, C1792) &amp; IF(M1792="", "", " ("&amp;M1792&amp;")") &amp; CHAR(10) &amp;
  _xlpm.vanillaPrefix &amp; "Keyword = Uvi_Wig_Distr_KYWD|" &amp; B1792 &amp; CHAR(10) &amp;
  _xlpm.vanillaPrefix &amp; "Spell = " &amp; _xlpm.spell &amp; "|" &amp; B1792
  )
)</f>
        <v>;DA05SindingGhost
;Keyword = Uvi_Wig_Distr_KYWD|DA05SindingGhost
;Spell = No Spell for Hairstyle|DA05SindingGhost</v>
      </c>
    </row>
    <row r="1793" ht="12.75" customHeight="1">
      <c r="A1793" s="5" t="s">
        <v>5952</v>
      </c>
      <c r="B1793" s="5" t="s">
        <v>5953</v>
      </c>
      <c r="D1793" s="5" t="s">
        <v>37</v>
      </c>
      <c r="E1793" s="5" t="s">
        <v>41</v>
      </c>
      <c r="F1793" s="5" t="s">
        <v>42</v>
      </c>
      <c r="G1793" s="14" t="str">
        <f t="array" ref="G1793">IF(B1793="", "",
  LET(_xlpm.spell, IFERROR(IF(F1793="", "", INDEX(_xlws.FILTER(Hairstyles!$F:$F, ISNUMBER(SEARCH(F1793, Hairstyles!$B:$B))), 1)), "No Spell for Hairstyle"),
  _xlpm.vanillaPrefix, IF(LEFT(_xlpm.spell, 7)="Uvi_Wig", "", ";"),
  ";" &amp; IF(C1793="", B1793, C1793) &amp; IF(M1793="", "", " ("&amp;M1793&amp;")") &amp; CHAR(10) &amp;
  _xlpm.vanillaPrefix &amp; "Keyword = Uvi_Wig_Distr_KYWD|" &amp; B1793 &amp; CHAR(10) &amp;
  _xlpm.vanillaPrefix &amp; "Spell = " &amp; _xlpm.spell &amp; "|" &amp; B1793
  )
)</f>
        <v>;DA13EncAfflicted01MagicCondF
;Keyword = Uvi_Wig_Distr_KYWD|DA13EncAfflicted01MagicCondF
;Spell = No Spell for Hairstyle|DA13EncAfflicted01MagicCondF</v>
      </c>
    </row>
    <row r="1794" ht="12.75" customHeight="1">
      <c r="A1794" s="5" t="s">
        <v>5954</v>
      </c>
      <c r="B1794" s="5" t="s">
        <v>5955</v>
      </c>
      <c r="D1794" s="5" t="s">
        <v>37</v>
      </c>
      <c r="E1794" s="5" t="s">
        <v>233</v>
      </c>
      <c r="F1794" s="5" t="s">
        <v>40</v>
      </c>
      <c r="G1794" s="14" t="str">
        <f t="array" ref="G1794">IF(B1794="", "",
  LET(_xlpm.spell, IFERROR(IF(F1794="", "", INDEX(_xlws.FILTER(Hairstyles!$F:$F, ISNUMBER(SEARCH(F1794, Hairstyles!$B:$B))), 1)), "No Spell for Hairstyle"),
  _xlpm.vanillaPrefix, IF(LEFT(_xlpm.spell, 7)="Uvi_Wig", "", ";"),
  ";" &amp; IF(C1794="", B1794, C1794) &amp; IF(M1794="", "", " ("&amp;M1794&amp;")") &amp; CHAR(10) &amp;
  _xlpm.vanillaPrefix &amp; "Keyword = Uvi_Wig_Distr_KYWD|" &amp; B1794 &amp; CHAR(10) &amp;
  _xlpm.vanillaPrefix &amp; "Spell = " &amp; _xlpm.spell &amp; "|" &amp; B1794
  )
)</f>
        <v>;DA13EncAfflicted01MagicCondM
;Keyword = Uvi_Wig_Distr_KYWD|DA13EncAfflicted01MagicCondM
;Spell = No Spell for Hairstyle|DA13EncAfflicted01MagicCondM</v>
      </c>
    </row>
    <row r="1795" ht="12.75" customHeight="1">
      <c r="A1795" s="5" t="s">
        <v>5956</v>
      </c>
      <c r="B1795" s="5" t="s">
        <v>5957</v>
      </c>
      <c r="D1795" s="5" t="s">
        <v>37</v>
      </c>
      <c r="E1795" s="5" t="s">
        <v>41</v>
      </c>
      <c r="F1795" s="5" t="s">
        <v>42</v>
      </c>
      <c r="G1795" s="14" t="str">
        <f t="array" ref="G1795">IF(B1795="", "",
  LET(_xlpm.spell, IFERROR(IF(F1795="", "", INDEX(_xlws.FILTER(Hairstyles!$F:$F, ISNUMBER(SEARCH(F1795, Hairstyles!$B:$B))), 1)), "No Spell for Hairstyle"),
  _xlpm.vanillaPrefix, IF(LEFT(_xlpm.spell, 7)="Uvi_Wig", "", ";"),
  ";" &amp; IF(C1795="", B1795, C1795) &amp; IF(M1795="", "", " ("&amp;M1795&amp;")") &amp; CHAR(10) &amp;
  _xlpm.vanillaPrefix &amp; "Keyword = Uvi_Wig_Distr_KYWD|" &amp; B1795 &amp; CHAR(10) &amp;
  _xlpm.vanillaPrefix &amp; "Spell = " &amp; _xlpm.spell &amp; "|" &amp; B1795
  )
)</f>
        <v>;DA13EncAfflicted01MagicEvenTonedF
;Keyword = Uvi_Wig_Distr_KYWD|DA13EncAfflicted01MagicEvenTonedF
;Spell = No Spell for Hairstyle|DA13EncAfflicted01MagicEvenTonedF</v>
      </c>
    </row>
    <row r="1796" ht="12.75" customHeight="1">
      <c r="A1796" s="5" t="s">
        <v>5958</v>
      </c>
      <c r="B1796" s="5" t="s">
        <v>5959</v>
      </c>
      <c r="D1796" s="5" t="s">
        <v>37</v>
      </c>
      <c r="E1796" s="5" t="s">
        <v>233</v>
      </c>
      <c r="F1796" s="5" t="s">
        <v>40</v>
      </c>
      <c r="G1796" s="14" t="str">
        <f t="array" ref="G1796">IF(B1796="", "",
  LET(_xlpm.spell, IFERROR(IF(F1796="", "", INDEX(_xlws.FILTER(Hairstyles!$F:$F, ISNUMBER(SEARCH(F1796, Hairstyles!$B:$B))), 1)), "No Spell for Hairstyle"),
  _xlpm.vanillaPrefix, IF(LEFT(_xlpm.spell, 7)="Uvi_Wig", "", ";"),
  ";" &amp; IF(C1796="", B1796, C1796) &amp; IF(M1796="", "", " ("&amp;M1796&amp;")") &amp; CHAR(10) &amp;
  _xlpm.vanillaPrefix &amp; "Keyword = Uvi_Wig_Distr_KYWD|" &amp; B1796 &amp; CHAR(10) &amp;
  _xlpm.vanillaPrefix &amp; "Spell = " &amp; _xlpm.spell &amp; "|" &amp; B1796
  )
)</f>
        <v>;DA13EncAfflicted01MagicEvenTonedM
;Keyword = Uvi_Wig_Distr_KYWD|DA13EncAfflicted01MagicEvenTonedM
;Spell = No Spell for Hairstyle|DA13EncAfflicted01MagicEvenTonedM</v>
      </c>
    </row>
    <row r="1797" ht="12.75" customHeight="1">
      <c r="A1797" s="5" t="s">
        <v>5960</v>
      </c>
      <c r="B1797" s="5" t="s">
        <v>5961</v>
      </c>
      <c r="D1797" s="5" t="s">
        <v>37</v>
      </c>
      <c r="E1797" s="5" t="s">
        <v>41</v>
      </c>
      <c r="F1797" s="5" t="s">
        <v>42</v>
      </c>
      <c r="G1797" s="14" t="str">
        <f t="array" ref="G1797">IF(B1797="", "",
  LET(_xlpm.spell, IFERROR(IF(F1797="", "", INDEX(_xlws.FILTER(Hairstyles!$F:$F, ISNUMBER(SEARCH(F1797, Hairstyles!$B:$B))), 1)), "No Spell for Hairstyle"),
  _xlpm.vanillaPrefix, IF(LEFT(_xlpm.spell, 7)="Uvi_Wig", "", ";"),
  ";" &amp; IF(C1797="", B1797, C1797) &amp; IF(M1797="", "", " ("&amp;M1797&amp;")") &amp; CHAR(10) &amp;
  _xlpm.vanillaPrefix &amp; "Keyword = Uvi_Wig_Distr_KYWD|" &amp; B1797 &amp; CHAR(10) &amp;
  _xlpm.vanillaPrefix &amp; "Spell = " &amp; _xlpm.spell &amp; "|" &amp; B1797
  )
)</f>
        <v>;DA13EncAfflicted01Melee1HCondF
;Keyword = Uvi_Wig_Distr_KYWD|DA13EncAfflicted01Melee1HCondF
;Spell = No Spell for Hairstyle|DA13EncAfflicted01Melee1HCondF</v>
      </c>
    </row>
    <row r="1798" ht="12.75" customHeight="1">
      <c r="A1798" s="5" t="s">
        <v>5962</v>
      </c>
      <c r="B1798" s="5" t="s">
        <v>5963</v>
      </c>
      <c r="D1798" s="5" t="s">
        <v>37</v>
      </c>
      <c r="E1798" s="5" t="s">
        <v>233</v>
      </c>
      <c r="F1798" s="5" t="s">
        <v>40</v>
      </c>
      <c r="G1798" s="14" t="str">
        <f t="array" ref="G1798">IF(B1798="", "",
  LET(_xlpm.spell, IFERROR(IF(F1798="", "", INDEX(_xlws.FILTER(Hairstyles!$F:$F, ISNUMBER(SEARCH(F1798, Hairstyles!$B:$B))), 1)), "No Spell for Hairstyle"),
  _xlpm.vanillaPrefix, IF(LEFT(_xlpm.spell, 7)="Uvi_Wig", "", ";"),
  ";" &amp; IF(C1798="", B1798, C1798) &amp; IF(M1798="", "", " ("&amp;M1798&amp;")") &amp; CHAR(10) &amp;
  _xlpm.vanillaPrefix &amp; "Keyword = Uvi_Wig_Distr_KYWD|" &amp; B1798 &amp; CHAR(10) &amp;
  _xlpm.vanillaPrefix &amp; "Spell = " &amp; _xlpm.spell &amp; "|" &amp; B1798
  )
)</f>
        <v>;DA13EncAfflicted01Melee1HCondM
;Keyword = Uvi_Wig_Distr_KYWD|DA13EncAfflicted01Melee1HCondM
;Spell = No Spell for Hairstyle|DA13EncAfflicted01Melee1HCondM</v>
      </c>
    </row>
    <row r="1799" ht="12.75" customHeight="1">
      <c r="A1799" s="5" t="s">
        <v>5964</v>
      </c>
      <c r="B1799" s="5" t="s">
        <v>5965</v>
      </c>
      <c r="D1799" s="5" t="s">
        <v>37</v>
      </c>
      <c r="E1799" s="5" t="s">
        <v>41</v>
      </c>
      <c r="F1799" s="5" t="s">
        <v>42</v>
      </c>
      <c r="G1799" s="14" t="str">
        <f t="array" ref="G1799">IF(B1799="", "",
  LET(_xlpm.spell, IFERROR(IF(F1799="", "", INDEX(_xlws.FILTER(Hairstyles!$F:$F, ISNUMBER(SEARCH(F1799, Hairstyles!$B:$B))), 1)), "No Spell for Hairstyle"),
  _xlpm.vanillaPrefix, IF(LEFT(_xlpm.spell, 7)="Uvi_Wig", "", ";"),
  ";" &amp; IF(C1799="", B1799, C1799) &amp; IF(M1799="", "", " ("&amp;M1799&amp;")") &amp; CHAR(10) &amp;
  _xlpm.vanillaPrefix &amp; "Keyword = Uvi_Wig_Distr_KYWD|" &amp; B1799 &amp; CHAR(10) &amp;
  _xlpm.vanillaPrefix &amp; "Spell = " &amp; _xlpm.spell &amp; "|" &amp; B1799
  )
)</f>
        <v>;DA13EncAfflicted01Melee1HEvenTonedF
;Keyword = Uvi_Wig_Distr_KYWD|DA13EncAfflicted01Melee1HEvenTonedF
;Spell = No Spell for Hairstyle|DA13EncAfflicted01Melee1HEvenTonedF</v>
      </c>
    </row>
    <row r="1800" ht="12.75" customHeight="1">
      <c r="A1800" s="5" t="s">
        <v>5966</v>
      </c>
      <c r="B1800" s="5" t="s">
        <v>5967</v>
      </c>
      <c r="D1800" s="5" t="s">
        <v>37</v>
      </c>
      <c r="E1800" s="5" t="s">
        <v>233</v>
      </c>
      <c r="F1800" s="5" t="s">
        <v>40</v>
      </c>
      <c r="G1800" s="14" t="str">
        <f t="array" ref="G1800">IF(B1800="", "",
  LET(_xlpm.spell, IFERROR(IF(F1800="", "", INDEX(_xlws.FILTER(Hairstyles!$F:$F, ISNUMBER(SEARCH(F1800, Hairstyles!$B:$B))), 1)), "No Spell for Hairstyle"),
  _xlpm.vanillaPrefix, IF(LEFT(_xlpm.spell, 7)="Uvi_Wig", "", ";"),
  ";" &amp; IF(C1800="", B1800, C1800) &amp; IF(M1800="", "", " ("&amp;M1800&amp;")") &amp; CHAR(10) &amp;
  _xlpm.vanillaPrefix &amp; "Keyword = Uvi_Wig_Distr_KYWD|" &amp; B1800 &amp; CHAR(10) &amp;
  _xlpm.vanillaPrefix &amp; "Spell = " &amp; _xlpm.spell &amp; "|" &amp; B1800
  )
)</f>
        <v>;DA13EncAfflicted01Melee1HEvenTonedM
;Keyword = Uvi_Wig_Distr_KYWD|DA13EncAfflicted01Melee1HEvenTonedM
;Spell = No Spell for Hairstyle|DA13EncAfflicted01Melee1HEvenTonedM</v>
      </c>
    </row>
    <row r="1801" ht="12.75" customHeight="1">
      <c r="A1801" s="5" t="s">
        <v>5968</v>
      </c>
      <c r="B1801" s="5" t="s">
        <v>5969</v>
      </c>
      <c r="D1801" s="5" t="s">
        <v>37</v>
      </c>
      <c r="E1801" s="5" t="s">
        <v>41</v>
      </c>
      <c r="F1801" s="5" t="s">
        <v>42</v>
      </c>
      <c r="G1801" s="14" t="str">
        <f t="array" ref="G1801">IF(B1801="", "",
  LET(_xlpm.spell, IFERROR(IF(F1801="", "", INDEX(_xlws.FILTER(Hairstyles!$F:$F, ISNUMBER(SEARCH(F1801, Hairstyles!$B:$B))), 1)), "No Spell for Hairstyle"),
  _xlpm.vanillaPrefix, IF(LEFT(_xlpm.spell, 7)="Uvi_Wig", "", ";"),
  ";" &amp; IF(C1801="", B1801, C1801) &amp; IF(M1801="", "", " ("&amp;M1801&amp;")") &amp; CHAR(10) &amp;
  _xlpm.vanillaPrefix &amp; "Keyword = Uvi_Wig_Distr_KYWD|" &amp; B1801 &amp; CHAR(10) &amp;
  _xlpm.vanillaPrefix &amp; "Spell = " &amp; _xlpm.spell &amp; "|" &amp; B1801
  )
)</f>
        <v>;DA13EncAfflicted01Melee1HTankCondF
;Keyword = Uvi_Wig_Distr_KYWD|DA13EncAfflicted01Melee1HTankCondF
;Spell = No Spell for Hairstyle|DA13EncAfflicted01Melee1HTankCondF</v>
      </c>
    </row>
    <row r="1802" ht="12.75" customHeight="1">
      <c r="A1802" s="5" t="s">
        <v>5970</v>
      </c>
      <c r="B1802" s="5" t="s">
        <v>5971</v>
      </c>
      <c r="D1802" s="5" t="s">
        <v>37</v>
      </c>
      <c r="E1802" s="5" t="s">
        <v>233</v>
      </c>
      <c r="F1802" s="5" t="s">
        <v>40</v>
      </c>
      <c r="G1802" s="14" t="str">
        <f t="array" ref="G1802">IF(B1802="", "",
  LET(_xlpm.spell, IFERROR(IF(F1802="", "", INDEX(_xlws.FILTER(Hairstyles!$F:$F, ISNUMBER(SEARCH(F1802, Hairstyles!$B:$B))), 1)), "No Spell for Hairstyle"),
  _xlpm.vanillaPrefix, IF(LEFT(_xlpm.spell, 7)="Uvi_Wig", "", ";"),
  ";" &amp; IF(C1802="", B1802, C1802) &amp; IF(M1802="", "", " ("&amp;M1802&amp;")") &amp; CHAR(10) &amp;
  _xlpm.vanillaPrefix &amp; "Keyword = Uvi_Wig_Distr_KYWD|" &amp; B1802 &amp; CHAR(10) &amp;
  _xlpm.vanillaPrefix &amp; "Spell = " &amp; _xlpm.spell &amp; "|" &amp; B1802
  )
)</f>
        <v>;DA13EncAfflicted01Melee1HTankCondM
;Keyword = Uvi_Wig_Distr_KYWD|DA13EncAfflicted01Melee1HTankCondM
;Spell = No Spell for Hairstyle|DA13EncAfflicted01Melee1HTankCondM</v>
      </c>
    </row>
    <row r="1803" ht="12.75" customHeight="1">
      <c r="A1803" s="5" t="s">
        <v>5972</v>
      </c>
      <c r="B1803" s="5" t="s">
        <v>5973</v>
      </c>
      <c r="D1803" s="5" t="s">
        <v>37</v>
      </c>
      <c r="E1803" s="5" t="s">
        <v>41</v>
      </c>
      <c r="F1803" s="5" t="s">
        <v>42</v>
      </c>
      <c r="G1803" s="14" t="str">
        <f t="array" ref="G1803">IF(B1803="", "",
  LET(_xlpm.spell, IFERROR(IF(F1803="", "", INDEX(_xlws.FILTER(Hairstyles!$F:$F, ISNUMBER(SEARCH(F1803, Hairstyles!$B:$B))), 1)), "No Spell for Hairstyle"),
  _xlpm.vanillaPrefix, IF(LEFT(_xlpm.spell, 7)="Uvi_Wig", "", ";"),
  ";" &amp; IF(C1803="", B1803, C1803) &amp; IF(M1803="", "", " ("&amp;M1803&amp;")") &amp; CHAR(10) &amp;
  _xlpm.vanillaPrefix &amp; "Keyword = Uvi_Wig_Distr_KYWD|" &amp; B1803 &amp; CHAR(10) &amp;
  _xlpm.vanillaPrefix &amp; "Spell = " &amp; _xlpm.spell &amp; "|" &amp; B1803
  )
)</f>
        <v>;DA13EncAfflicted01Melee1HTankEvenTonedF
;Keyword = Uvi_Wig_Distr_KYWD|DA13EncAfflicted01Melee1HTankEvenTonedF
;Spell = No Spell for Hairstyle|DA13EncAfflicted01Melee1HTankEvenTonedF</v>
      </c>
    </row>
    <row r="1804" ht="12.75" customHeight="1">
      <c r="A1804" s="5" t="s">
        <v>5974</v>
      </c>
      <c r="B1804" s="5" t="s">
        <v>5975</v>
      </c>
      <c r="D1804" s="5" t="s">
        <v>37</v>
      </c>
      <c r="E1804" s="5" t="s">
        <v>233</v>
      </c>
      <c r="F1804" s="5" t="s">
        <v>40</v>
      </c>
      <c r="G1804" s="14" t="str">
        <f t="array" ref="G1804">IF(B1804="", "",
  LET(_xlpm.spell, IFERROR(IF(F1804="", "", INDEX(_xlws.FILTER(Hairstyles!$F:$F, ISNUMBER(SEARCH(F1804, Hairstyles!$B:$B))), 1)), "No Spell for Hairstyle"),
  _xlpm.vanillaPrefix, IF(LEFT(_xlpm.spell, 7)="Uvi_Wig", "", ";"),
  ";" &amp; IF(C1804="", B1804, C1804) &amp; IF(M1804="", "", " ("&amp;M1804&amp;")") &amp; CHAR(10) &amp;
  _xlpm.vanillaPrefix &amp; "Keyword = Uvi_Wig_Distr_KYWD|" &amp; B1804 &amp; CHAR(10) &amp;
  _xlpm.vanillaPrefix &amp; "Spell = " &amp; _xlpm.spell &amp; "|" &amp; B1804
  )
)</f>
        <v>;DA13EncAfflicted01Melee1HTankEvenTonedM
;Keyword = Uvi_Wig_Distr_KYWD|DA13EncAfflicted01Melee1HTankEvenTonedM
;Spell = No Spell for Hairstyle|DA13EncAfflicted01Melee1HTankEvenTonedM</v>
      </c>
    </row>
    <row r="1805" ht="12.75" customHeight="1">
      <c r="A1805" s="5" t="s">
        <v>5976</v>
      </c>
      <c r="B1805" s="5" t="s">
        <v>5977</v>
      </c>
      <c r="D1805" s="5" t="s">
        <v>16</v>
      </c>
      <c r="E1805" s="5" t="s">
        <v>41</v>
      </c>
      <c r="F1805" s="5" t="s">
        <v>42</v>
      </c>
      <c r="G1805" s="14" t="str">
        <f t="array" ref="G1805">IF(B1805="", "",
  LET(_xlpm.spell, IFERROR(IF(F1805="", "", INDEX(_xlws.FILTER(Hairstyles!$F:$F, ISNUMBER(SEARCH(F1805, Hairstyles!$B:$B))), 1)), "No Spell for Hairstyle"),
  _xlpm.vanillaPrefix, IF(LEFT(_xlpm.spell, 7)="Uvi_Wig", "", ";"),
  ";" &amp; IF(C1805="", B1805, C1805) &amp; IF(M1805="", "", " ("&amp;M1805&amp;")") &amp; CHAR(10) &amp;
  _xlpm.vanillaPrefix &amp; "Keyword = Uvi_Wig_Distr_KYWD|" &amp; B1805 &amp; CHAR(10) &amp;
  _xlpm.vanillaPrefix &amp; "Spell = " &amp; _xlpm.spell &amp; "|" &amp; B1805
  )
)</f>
        <v>;DA13EncAfflicted01MissileCondF
;Keyword = Uvi_Wig_Distr_KYWD|DA13EncAfflicted01MissileCondF
;Spell = No Spell for Hairstyle|DA13EncAfflicted01MissileCondF</v>
      </c>
    </row>
    <row r="1806" ht="12.75" customHeight="1">
      <c r="A1806" s="5" t="s">
        <v>5978</v>
      </c>
      <c r="B1806" s="5" t="s">
        <v>5979</v>
      </c>
      <c r="D1806" s="5" t="s">
        <v>16</v>
      </c>
      <c r="E1806" s="5" t="s">
        <v>233</v>
      </c>
      <c r="F1806" s="5" t="s">
        <v>1700</v>
      </c>
      <c r="G1806" s="14" t="str">
        <f t="array" ref="G1806">IF(B1806="", "",
  LET(_xlpm.spell, IFERROR(IF(F1806="", "", INDEX(_xlws.FILTER(Hairstyles!$F:$F, ISNUMBER(SEARCH(F1806, Hairstyles!$B:$B))), 1)), "No Spell for Hairstyle"),
  _xlpm.vanillaPrefix, IF(LEFT(_xlpm.spell, 7)="Uvi_Wig", "", ";"),
  ";" &amp; IF(C1806="", B1806, C1806) &amp; IF(M1806="", "", " ("&amp;M1806&amp;")") &amp; CHAR(10) &amp;
  _xlpm.vanillaPrefix &amp; "Keyword = Uvi_Wig_Distr_KYWD|" &amp; B1806 &amp; CHAR(10) &amp;
  _xlpm.vanillaPrefix &amp; "Spell = " &amp; _xlpm.spell &amp; "|" &amp; B1806
  )
)</f>
        <v>;DA13EncAfflicted01MissileCondM
;Keyword = Uvi_Wig_Distr_KYWD|DA13EncAfflicted01MissileCondM
;Spell = No Spell for Hairstyle|DA13EncAfflicted01MissileCondM</v>
      </c>
    </row>
    <row r="1807" ht="12.75" customHeight="1">
      <c r="A1807" s="5" t="s">
        <v>5980</v>
      </c>
      <c r="B1807" s="5" t="s">
        <v>5981</v>
      </c>
      <c r="D1807" s="5" t="s">
        <v>16</v>
      </c>
      <c r="E1807" s="5" t="s">
        <v>41</v>
      </c>
      <c r="F1807" s="5" t="s">
        <v>5982</v>
      </c>
      <c r="G1807" s="14" t="str">
        <f t="array" ref="G1807">IF(B1807="", "",
  LET(_xlpm.spell, IFERROR(IF(F1807="", "", INDEX(_xlws.FILTER(Hairstyles!$F:$F, ISNUMBER(SEARCH(F1807, Hairstyles!$B:$B))), 1)), "No Spell for Hairstyle"),
  _xlpm.vanillaPrefix, IF(LEFT(_xlpm.spell, 7)="Uvi_Wig", "", ";"),
  ";" &amp; IF(C1807="", B1807, C1807) &amp; IF(M1807="", "", " ("&amp;M1807&amp;")") &amp; CHAR(10) &amp;
  _xlpm.vanillaPrefix &amp; "Keyword = Uvi_Wig_Distr_KYWD|" &amp; B1807 &amp; CHAR(10) &amp;
  _xlpm.vanillaPrefix &amp; "Spell = " &amp; _xlpm.spell &amp; "|" &amp; B1807
  )
)</f>
        <v>;DA13EncAfflicted01MissileEvenTonedF
;Keyword = Uvi_Wig_Distr_KYWD|DA13EncAfflicted01MissileEvenTonedF
;Spell = No Spell for Hairstyle|DA13EncAfflicted01MissileEvenTonedF</v>
      </c>
    </row>
    <row r="1808" ht="12.75" customHeight="1">
      <c r="A1808" s="5" t="s">
        <v>5983</v>
      </c>
      <c r="B1808" s="5" t="s">
        <v>5984</v>
      </c>
      <c r="D1808" s="5" t="s">
        <v>37</v>
      </c>
      <c r="E1808" s="5" t="s">
        <v>233</v>
      </c>
      <c r="F1808" s="5" t="s">
        <v>40</v>
      </c>
      <c r="G1808" s="14" t="str">
        <f t="array" ref="G1808">IF(B1808="", "",
  LET(_xlpm.spell, IFERROR(IF(F1808="", "", INDEX(_xlws.FILTER(Hairstyles!$F:$F, ISNUMBER(SEARCH(F1808, Hairstyles!$B:$B))), 1)), "No Spell for Hairstyle"),
  _xlpm.vanillaPrefix, IF(LEFT(_xlpm.spell, 7)="Uvi_Wig", "", ";"),
  ";" &amp; IF(C1808="", B1808, C1808) &amp; IF(M1808="", "", " ("&amp;M1808&amp;")") &amp; CHAR(10) &amp;
  _xlpm.vanillaPrefix &amp; "Keyword = Uvi_Wig_Distr_KYWD|" &amp; B1808 &amp; CHAR(10) &amp;
  _xlpm.vanillaPrefix &amp; "Spell = " &amp; _xlpm.spell &amp; "|" &amp; B1808
  )
)</f>
        <v>;DA13EncAfflicted01MissileEvenTonedM
;Keyword = Uvi_Wig_Distr_KYWD|DA13EncAfflicted01MissileEvenTonedM
;Spell = No Spell for Hairstyle|DA13EncAfflicted01MissileEvenTonedM</v>
      </c>
    </row>
    <row r="1809" ht="12.75" customHeight="1">
      <c r="A1809" s="5" t="s">
        <v>5985</v>
      </c>
      <c r="B1809" s="5" t="s">
        <v>5986</v>
      </c>
      <c r="D1809" s="5" t="s">
        <v>37</v>
      </c>
      <c r="E1809" s="5" t="s">
        <v>41</v>
      </c>
      <c r="F1809" s="5" t="s">
        <v>42</v>
      </c>
      <c r="G1809" s="14" t="str">
        <f t="array" ref="G1809">IF(B1809="", "",
  LET(_xlpm.spell, IFERROR(IF(F1809="", "", INDEX(_xlws.FILTER(Hairstyles!$F:$F, ISNUMBER(SEARCH(F1809, Hairstyles!$B:$B))), 1)), "No Spell for Hairstyle"),
  _xlpm.vanillaPrefix, IF(LEFT(_xlpm.spell, 7)="Uvi_Wig", "", ";"),
  ";" &amp; IF(C1809="", B1809, C1809) &amp; IF(M1809="", "", " ("&amp;M1809&amp;")") &amp; CHAR(10) &amp;
  _xlpm.vanillaPrefix &amp; "Keyword = Uvi_Wig_Distr_KYWD|" &amp; B1809 &amp; CHAR(10) &amp;
  _xlpm.vanillaPrefix &amp; "Spell = " &amp; _xlpm.spell &amp; "|" &amp; B1809
  )
)</f>
        <v>;DA13EncAfflicted02MagicCondF
;Keyword = Uvi_Wig_Distr_KYWD|DA13EncAfflicted02MagicCondF
;Spell = No Spell for Hairstyle|DA13EncAfflicted02MagicCondF</v>
      </c>
    </row>
    <row r="1810" ht="12.75" customHeight="1">
      <c r="A1810" s="5" t="s">
        <v>5987</v>
      </c>
      <c r="B1810" s="5" t="s">
        <v>5988</v>
      </c>
      <c r="D1810" s="5" t="s">
        <v>37</v>
      </c>
      <c r="E1810" s="5" t="s">
        <v>233</v>
      </c>
      <c r="F1810" s="5" t="s">
        <v>40</v>
      </c>
      <c r="G1810" s="14" t="str">
        <f t="array" ref="G1810">IF(B1810="", "",
  LET(_xlpm.spell, IFERROR(IF(F1810="", "", INDEX(_xlws.FILTER(Hairstyles!$F:$F, ISNUMBER(SEARCH(F1810, Hairstyles!$B:$B))), 1)), "No Spell for Hairstyle"),
  _xlpm.vanillaPrefix, IF(LEFT(_xlpm.spell, 7)="Uvi_Wig", "", ";"),
  ";" &amp; IF(C1810="", B1810, C1810) &amp; IF(M1810="", "", " ("&amp;M1810&amp;")") &amp; CHAR(10) &amp;
  _xlpm.vanillaPrefix &amp; "Keyword = Uvi_Wig_Distr_KYWD|" &amp; B1810 &amp; CHAR(10) &amp;
  _xlpm.vanillaPrefix &amp; "Spell = " &amp; _xlpm.spell &amp; "|" &amp; B1810
  )
)</f>
        <v>;DA13EncAfflicted02MagicCondM
;Keyword = Uvi_Wig_Distr_KYWD|DA13EncAfflicted02MagicCondM
;Spell = No Spell for Hairstyle|DA13EncAfflicted02MagicCondM</v>
      </c>
    </row>
    <row r="1811" ht="12.75" customHeight="1">
      <c r="A1811" s="5" t="s">
        <v>5989</v>
      </c>
      <c r="B1811" s="5" t="s">
        <v>5990</v>
      </c>
      <c r="D1811" s="5" t="s">
        <v>37</v>
      </c>
      <c r="E1811" s="5" t="s">
        <v>41</v>
      </c>
      <c r="F1811" s="5" t="s">
        <v>42</v>
      </c>
      <c r="G1811" s="14" t="str">
        <f t="array" ref="G1811">IF(B1811="", "",
  LET(_xlpm.spell, IFERROR(IF(F1811="", "", INDEX(_xlws.FILTER(Hairstyles!$F:$F, ISNUMBER(SEARCH(F1811, Hairstyles!$B:$B))), 1)), "No Spell for Hairstyle"),
  _xlpm.vanillaPrefix, IF(LEFT(_xlpm.spell, 7)="Uvi_Wig", "", ";"),
  ";" &amp; IF(C1811="", B1811, C1811) &amp; IF(M1811="", "", " ("&amp;M1811&amp;")") &amp; CHAR(10) &amp;
  _xlpm.vanillaPrefix &amp; "Keyword = Uvi_Wig_Distr_KYWD|" &amp; B1811 &amp; CHAR(10) &amp;
  _xlpm.vanillaPrefix &amp; "Spell = " &amp; _xlpm.spell &amp; "|" &amp; B1811
  )
)</f>
        <v>;DA13EncAfflicted02MagicEvenTonedF
;Keyword = Uvi_Wig_Distr_KYWD|DA13EncAfflicted02MagicEvenTonedF
;Spell = No Spell for Hairstyle|DA13EncAfflicted02MagicEvenTonedF</v>
      </c>
    </row>
    <row r="1812" ht="12.75" customHeight="1">
      <c r="A1812" s="5" t="s">
        <v>5991</v>
      </c>
      <c r="B1812" s="5" t="s">
        <v>5992</v>
      </c>
      <c r="D1812" s="5" t="s">
        <v>37</v>
      </c>
      <c r="E1812" s="5" t="s">
        <v>233</v>
      </c>
      <c r="F1812" s="5" t="s">
        <v>40</v>
      </c>
      <c r="G1812" s="14" t="str">
        <f t="array" ref="G1812">IF(B1812="", "",
  LET(_xlpm.spell, IFERROR(IF(F1812="", "", INDEX(_xlws.FILTER(Hairstyles!$F:$F, ISNUMBER(SEARCH(F1812, Hairstyles!$B:$B))), 1)), "No Spell for Hairstyle"),
  _xlpm.vanillaPrefix, IF(LEFT(_xlpm.spell, 7)="Uvi_Wig", "", ";"),
  ";" &amp; IF(C1812="", B1812, C1812) &amp; IF(M1812="", "", " ("&amp;M1812&amp;")") &amp; CHAR(10) &amp;
  _xlpm.vanillaPrefix &amp; "Keyword = Uvi_Wig_Distr_KYWD|" &amp; B1812 &amp; CHAR(10) &amp;
  _xlpm.vanillaPrefix &amp; "Spell = " &amp; _xlpm.spell &amp; "|" &amp; B1812
  )
)</f>
        <v>;DA13EncAfflicted02MagicEvenTonedM
;Keyword = Uvi_Wig_Distr_KYWD|DA13EncAfflicted02MagicEvenTonedM
;Spell = No Spell for Hairstyle|DA13EncAfflicted02MagicEvenTonedM</v>
      </c>
    </row>
    <row r="1813" ht="12.75" customHeight="1">
      <c r="A1813" s="5" t="s">
        <v>5993</v>
      </c>
      <c r="B1813" s="5" t="s">
        <v>5994</v>
      </c>
      <c r="D1813" s="5" t="s">
        <v>37</v>
      </c>
      <c r="E1813" s="5" t="s">
        <v>41</v>
      </c>
      <c r="F1813" s="5" t="s">
        <v>42</v>
      </c>
      <c r="G1813" s="14" t="str">
        <f t="array" ref="G1813">IF(B1813="", "",
  LET(_xlpm.spell, IFERROR(IF(F1813="", "", INDEX(_xlws.FILTER(Hairstyles!$F:$F, ISNUMBER(SEARCH(F1813, Hairstyles!$B:$B))), 1)), "No Spell for Hairstyle"),
  _xlpm.vanillaPrefix, IF(LEFT(_xlpm.spell, 7)="Uvi_Wig", "", ";"),
  ";" &amp; IF(C1813="", B1813, C1813) &amp; IF(M1813="", "", " ("&amp;M1813&amp;")") &amp; CHAR(10) &amp;
  _xlpm.vanillaPrefix &amp; "Keyword = Uvi_Wig_Distr_KYWD|" &amp; B1813 &amp; CHAR(10) &amp;
  _xlpm.vanillaPrefix &amp; "Spell = " &amp; _xlpm.spell &amp; "|" &amp; B1813
  )
)</f>
        <v>;DA13EncAfflicted02Melee1HCondF
;Keyword = Uvi_Wig_Distr_KYWD|DA13EncAfflicted02Melee1HCondF
;Spell = No Spell for Hairstyle|DA13EncAfflicted02Melee1HCondF</v>
      </c>
    </row>
    <row r="1814" ht="12.75" customHeight="1">
      <c r="A1814" s="5" t="s">
        <v>5995</v>
      </c>
      <c r="B1814" s="5" t="s">
        <v>5996</v>
      </c>
      <c r="D1814" s="5" t="s">
        <v>37</v>
      </c>
      <c r="E1814" s="5" t="s">
        <v>233</v>
      </c>
      <c r="F1814" s="5" t="s">
        <v>40</v>
      </c>
      <c r="G1814" s="14" t="str">
        <f t="array" ref="G1814">IF(B1814="", "",
  LET(_xlpm.spell, IFERROR(IF(F1814="", "", INDEX(_xlws.FILTER(Hairstyles!$F:$F, ISNUMBER(SEARCH(F1814, Hairstyles!$B:$B))), 1)), "No Spell for Hairstyle"),
  _xlpm.vanillaPrefix, IF(LEFT(_xlpm.spell, 7)="Uvi_Wig", "", ";"),
  ";" &amp; IF(C1814="", B1814, C1814) &amp; IF(M1814="", "", " ("&amp;M1814&amp;")") &amp; CHAR(10) &amp;
  _xlpm.vanillaPrefix &amp; "Keyword = Uvi_Wig_Distr_KYWD|" &amp; B1814 &amp; CHAR(10) &amp;
  _xlpm.vanillaPrefix &amp; "Spell = " &amp; _xlpm.spell &amp; "|" &amp; B1814
  )
)</f>
        <v>;DA13EncAfflicted02Melee1HCondM
;Keyword = Uvi_Wig_Distr_KYWD|DA13EncAfflicted02Melee1HCondM
;Spell = No Spell for Hairstyle|DA13EncAfflicted02Melee1HCondM</v>
      </c>
    </row>
    <row r="1815" ht="12.75" customHeight="1">
      <c r="A1815" s="5" t="s">
        <v>5997</v>
      </c>
      <c r="B1815" s="5" t="s">
        <v>5998</v>
      </c>
      <c r="D1815" s="5" t="s">
        <v>37</v>
      </c>
      <c r="E1815" s="5" t="s">
        <v>41</v>
      </c>
      <c r="F1815" s="5" t="s">
        <v>42</v>
      </c>
      <c r="G1815" s="14" t="str">
        <f t="array" ref="G1815">IF(B1815="", "",
  LET(_xlpm.spell, IFERROR(IF(F1815="", "", INDEX(_xlws.FILTER(Hairstyles!$F:$F, ISNUMBER(SEARCH(F1815, Hairstyles!$B:$B))), 1)), "No Spell for Hairstyle"),
  _xlpm.vanillaPrefix, IF(LEFT(_xlpm.spell, 7)="Uvi_Wig", "", ";"),
  ";" &amp; IF(C1815="", B1815, C1815) &amp; IF(M1815="", "", " ("&amp;M1815&amp;")") &amp; CHAR(10) &amp;
  _xlpm.vanillaPrefix &amp; "Keyword = Uvi_Wig_Distr_KYWD|" &amp; B1815 &amp; CHAR(10) &amp;
  _xlpm.vanillaPrefix &amp; "Spell = " &amp; _xlpm.spell &amp; "|" &amp; B1815
  )
)</f>
        <v>;DA13EncAfflicted02Melee1HEvenTonedF
;Keyword = Uvi_Wig_Distr_KYWD|DA13EncAfflicted02Melee1HEvenTonedF
;Spell = No Spell for Hairstyle|DA13EncAfflicted02Melee1HEvenTonedF</v>
      </c>
    </row>
    <row r="1816" ht="12.75" customHeight="1">
      <c r="A1816" s="5" t="s">
        <v>5999</v>
      </c>
      <c r="B1816" s="5" t="s">
        <v>6000</v>
      </c>
      <c r="D1816" s="5" t="s">
        <v>37</v>
      </c>
      <c r="E1816" s="5" t="s">
        <v>233</v>
      </c>
      <c r="F1816" s="5" t="s">
        <v>40</v>
      </c>
      <c r="G1816" s="14" t="str">
        <f t="array" ref="G1816">IF(B1816="", "",
  LET(_xlpm.spell, IFERROR(IF(F1816="", "", INDEX(_xlws.FILTER(Hairstyles!$F:$F, ISNUMBER(SEARCH(F1816, Hairstyles!$B:$B))), 1)), "No Spell for Hairstyle"),
  _xlpm.vanillaPrefix, IF(LEFT(_xlpm.spell, 7)="Uvi_Wig", "", ";"),
  ";" &amp; IF(C1816="", B1816, C1816) &amp; IF(M1816="", "", " ("&amp;M1816&amp;")") &amp; CHAR(10) &amp;
  _xlpm.vanillaPrefix &amp; "Keyword = Uvi_Wig_Distr_KYWD|" &amp; B1816 &amp; CHAR(10) &amp;
  _xlpm.vanillaPrefix &amp; "Spell = " &amp; _xlpm.spell &amp; "|" &amp; B1816
  )
)</f>
        <v>;DA13EncAfflicted02Melee1HEvenTonedM
;Keyword = Uvi_Wig_Distr_KYWD|DA13EncAfflicted02Melee1HEvenTonedM
;Spell = No Spell for Hairstyle|DA13EncAfflicted02Melee1HEvenTonedM</v>
      </c>
    </row>
    <row r="1817" ht="12.75" customHeight="1">
      <c r="A1817" s="5" t="s">
        <v>6001</v>
      </c>
      <c r="B1817" s="5" t="s">
        <v>6002</v>
      </c>
      <c r="D1817" s="5" t="s">
        <v>37</v>
      </c>
      <c r="E1817" s="5" t="s">
        <v>41</v>
      </c>
      <c r="F1817" s="5" t="s">
        <v>42</v>
      </c>
      <c r="G1817" s="14" t="str">
        <f t="array" ref="G1817">IF(B1817="", "",
  LET(_xlpm.spell, IFERROR(IF(F1817="", "", INDEX(_xlws.FILTER(Hairstyles!$F:$F, ISNUMBER(SEARCH(F1817, Hairstyles!$B:$B))), 1)), "No Spell for Hairstyle"),
  _xlpm.vanillaPrefix, IF(LEFT(_xlpm.spell, 7)="Uvi_Wig", "", ";"),
  ";" &amp; IF(C1817="", B1817, C1817) &amp; IF(M1817="", "", " ("&amp;M1817&amp;")") &amp; CHAR(10) &amp;
  _xlpm.vanillaPrefix &amp; "Keyword = Uvi_Wig_Distr_KYWD|" &amp; B1817 &amp; CHAR(10) &amp;
  _xlpm.vanillaPrefix &amp; "Spell = " &amp; _xlpm.spell &amp; "|" &amp; B1817
  )
)</f>
        <v>;DA13EncAfflicted02Melee1HTankCondF
;Keyword = Uvi_Wig_Distr_KYWD|DA13EncAfflicted02Melee1HTankCondF
;Spell = No Spell for Hairstyle|DA13EncAfflicted02Melee1HTankCondF</v>
      </c>
    </row>
    <row r="1818" ht="12.75" customHeight="1">
      <c r="A1818" s="5" t="s">
        <v>6003</v>
      </c>
      <c r="B1818" s="5" t="s">
        <v>6004</v>
      </c>
      <c r="D1818" s="5" t="s">
        <v>37</v>
      </c>
      <c r="E1818" s="5" t="s">
        <v>233</v>
      </c>
      <c r="F1818" s="5" t="s">
        <v>40</v>
      </c>
      <c r="G1818" s="14" t="str">
        <f t="array" ref="G1818">IF(B1818="", "",
  LET(_xlpm.spell, IFERROR(IF(F1818="", "", INDEX(_xlws.FILTER(Hairstyles!$F:$F, ISNUMBER(SEARCH(F1818, Hairstyles!$B:$B))), 1)), "No Spell for Hairstyle"),
  _xlpm.vanillaPrefix, IF(LEFT(_xlpm.spell, 7)="Uvi_Wig", "", ";"),
  ";" &amp; IF(C1818="", B1818, C1818) &amp; IF(M1818="", "", " ("&amp;M1818&amp;")") &amp; CHAR(10) &amp;
  _xlpm.vanillaPrefix &amp; "Keyword = Uvi_Wig_Distr_KYWD|" &amp; B1818 &amp; CHAR(10) &amp;
  _xlpm.vanillaPrefix &amp; "Spell = " &amp; _xlpm.spell &amp; "|" &amp; B1818
  )
)</f>
        <v>;DA13EncAfflicted02Melee1HTankCondM
;Keyword = Uvi_Wig_Distr_KYWD|DA13EncAfflicted02Melee1HTankCondM
;Spell = No Spell for Hairstyle|DA13EncAfflicted02Melee1HTankCondM</v>
      </c>
    </row>
    <row r="1819" ht="12.75" customHeight="1">
      <c r="A1819" s="5" t="s">
        <v>6005</v>
      </c>
      <c r="B1819" s="5" t="s">
        <v>6006</v>
      </c>
      <c r="D1819" s="5" t="s">
        <v>37</v>
      </c>
      <c r="E1819" s="5" t="s">
        <v>41</v>
      </c>
      <c r="F1819" s="5" t="s">
        <v>42</v>
      </c>
      <c r="G1819" s="14" t="str">
        <f t="array" ref="G1819">IF(B1819="", "",
  LET(_xlpm.spell, IFERROR(IF(F1819="", "", INDEX(_xlws.FILTER(Hairstyles!$F:$F, ISNUMBER(SEARCH(F1819, Hairstyles!$B:$B))), 1)), "No Spell for Hairstyle"),
  _xlpm.vanillaPrefix, IF(LEFT(_xlpm.spell, 7)="Uvi_Wig", "", ";"),
  ";" &amp; IF(C1819="", B1819, C1819) &amp; IF(M1819="", "", " ("&amp;M1819&amp;")") &amp; CHAR(10) &amp;
  _xlpm.vanillaPrefix &amp; "Keyword = Uvi_Wig_Distr_KYWD|" &amp; B1819 &amp; CHAR(10) &amp;
  _xlpm.vanillaPrefix &amp; "Spell = " &amp; _xlpm.spell &amp; "|" &amp; B1819
  )
)</f>
        <v>;DA13EncAfflicted02Melee1HTankEvenTonedF
;Keyword = Uvi_Wig_Distr_KYWD|DA13EncAfflicted02Melee1HTankEvenTonedF
;Spell = No Spell for Hairstyle|DA13EncAfflicted02Melee1HTankEvenTonedF</v>
      </c>
    </row>
    <row r="1820" ht="12.75" customHeight="1">
      <c r="A1820" s="5" t="s">
        <v>6007</v>
      </c>
      <c r="B1820" s="5" t="s">
        <v>6008</v>
      </c>
      <c r="D1820" s="5" t="s">
        <v>37</v>
      </c>
      <c r="E1820" s="5" t="s">
        <v>233</v>
      </c>
      <c r="F1820" s="5" t="s">
        <v>40</v>
      </c>
      <c r="G1820" s="14" t="str">
        <f t="array" ref="G1820">IF(B1820="", "",
  LET(_xlpm.spell, IFERROR(IF(F1820="", "", INDEX(_xlws.FILTER(Hairstyles!$F:$F, ISNUMBER(SEARCH(F1820, Hairstyles!$B:$B))), 1)), "No Spell for Hairstyle"),
  _xlpm.vanillaPrefix, IF(LEFT(_xlpm.spell, 7)="Uvi_Wig", "", ";"),
  ";" &amp; IF(C1820="", B1820, C1820) &amp; IF(M1820="", "", " ("&amp;M1820&amp;")") &amp; CHAR(10) &amp;
  _xlpm.vanillaPrefix &amp; "Keyword = Uvi_Wig_Distr_KYWD|" &amp; B1820 &amp; CHAR(10) &amp;
  _xlpm.vanillaPrefix &amp; "Spell = " &amp; _xlpm.spell &amp; "|" &amp; B1820
  )
)</f>
        <v>;DA13EncAfflicted02Melee1HTankEvenTonedM
;Keyword = Uvi_Wig_Distr_KYWD|DA13EncAfflicted02Melee1HTankEvenTonedM
;Spell = No Spell for Hairstyle|DA13EncAfflicted02Melee1HTankEvenTonedM</v>
      </c>
    </row>
    <row r="1821" ht="12.75" customHeight="1">
      <c r="A1821" s="5" t="s">
        <v>6009</v>
      </c>
      <c r="B1821" s="5" t="s">
        <v>6010</v>
      </c>
      <c r="D1821" s="5" t="s">
        <v>37</v>
      </c>
      <c r="E1821" s="5" t="s">
        <v>41</v>
      </c>
      <c r="F1821" s="5" t="s">
        <v>42</v>
      </c>
      <c r="G1821" s="14" t="str">
        <f t="array" ref="G1821">IF(B1821="", "",
  LET(_xlpm.spell, IFERROR(IF(F1821="", "", INDEX(_xlws.FILTER(Hairstyles!$F:$F, ISNUMBER(SEARCH(F1821, Hairstyles!$B:$B))), 1)), "No Spell for Hairstyle"),
  _xlpm.vanillaPrefix, IF(LEFT(_xlpm.spell, 7)="Uvi_Wig", "", ";"),
  ";" &amp; IF(C1821="", B1821, C1821) &amp; IF(M1821="", "", " ("&amp;M1821&amp;")") &amp; CHAR(10) &amp;
  _xlpm.vanillaPrefix &amp; "Keyword = Uvi_Wig_Distr_KYWD|" &amp; B1821 &amp; CHAR(10) &amp;
  _xlpm.vanillaPrefix &amp; "Spell = " &amp; _xlpm.spell &amp; "|" &amp; B1821
  )
)</f>
        <v>;DA13EncAfflicted02MissileCondF
;Keyword = Uvi_Wig_Distr_KYWD|DA13EncAfflicted02MissileCondF
;Spell = No Spell for Hairstyle|DA13EncAfflicted02MissileCondF</v>
      </c>
    </row>
    <row r="1822" ht="12.75" customHeight="1">
      <c r="A1822" s="5" t="s">
        <v>6011</v>
      </c>
      <c r="B1822" s="5" t="s">
        <v>6012</v>
      </c>
      <c r="D1822" s="5" t="s">
        <v>37</v>
      </c>
      <c r="E1822" s="5" t="s">
        <v>233</v>
      </c>
      <c r="F1822" s="5" t="s">
        <v>40</v>
      </c>
      <c r="G1822" s="14" t="str">
        <f t="array" ref="G1822">IF(B1822="", "",
  LET(_xlpm.spell, IFERROR(IF(F1822="", "", INDEX(_xlws.FILTER(Hairstyles!$F:$F, ISNUMBER(SEARCH(F1822, Hairstyles!$B:$B))), 1)), "No Spell for Hairstyle"),
  _xlpm.vanillaPrefix, IF(LEFT(_xlpm.spell, 7)="Uvi_Wig", "", ";"),
  ";" &amp; IF(C1822="", B1822, C1822) &amp; IF(M1822="", "", " ("&amp;M1822&amp;")") &amp; CHAR(10) &amp;
  _xlpm.vanillaPrefix &amp; "Keyword = Uvi_Wig_Distr_KYWD|" &amp; B1822 &amp; CHAR(10) &amp;
  _xlpm.vanillaPrefix &amp; "Spell = " &amp; _xlpm.spell &amp; "|" &amp; B1822
  )
)</f>
        <v>;DA13EncAfflicted02MissileCondM
;Keyword = Uvi_Wig_Distr_KYWD|DA13EncAfflicted02MissileCondM
;Spell = No Spell for Hairstyle|DA13EncAfflicted02MissileCondM</v>
      </c>
    </row>
    <row r="1823" ht="12.75" customHeight="1">
      <c r="A1823" s="5" t="s">
        <v>6013</v>
      </c>
      <c r="B1823" s="5" t="s">
        <v>6014</v>
      </c>
      <c r="D1823" s="5" t="s">
        <v>37</v>
      </c>
      <c r="E1823" s="5" t="s">
        <v>41</v>
      </c>
      <c r="F1823" s="5" t="s">
        <v>42</v>
      </c>
      <c r="G1823" s="14" t="str">
        <f t="array" ref="G1823">IF(B1823="", "",
  LET(_xlpm.spell, IFERROR(IF(F1823="", "", INDEX(_xlws.FILTER(Hairstyles!$F:$F, ISNUMBER(SEARCH(F1823, Hairstyles!$B:$B))), 1)), "No Spell for Hairstyle"),
  _xlpm.vanillaPrefix, IF(LEFT(_xlpm.spell, 7)="Uvi_Wig", "", ";"),
  ";" &amp; IF(C1823="", B1823, C1823) &amp; IF(M1823="", "", " ("&amp;M1823&amp;")") &amp; CHAR(10) &amp;
  _xlpm.vanillaPrefix &amp; "Keyword = Uvi_Wig_Distr_KYWD|" &amp; B1823 &amp; CHAR(10) &amp;
  _xlpm.vanillaPrefix &amp; "Spell = " &amp; _xlpm.spell &amp; "|" &amp; B1823
  )
)</f>
        <v>;DA13EncAfflicted02MissileEvenTonedF
;Keyword = Uvi_Wig_Distr_KYWD|DA13EncAfflicted02MissileEvenTonedF
;Spell = No Spell for Hairstyle|DA13EncAfflicted02MissileEvenTonedF</v>
      </c>
    </row>
    <row r="1824" ht="12.75" customHeight="1">
      <c r="A1824" s="5" t="s">
        <v>6015</v>
      </c>
      <c r="B1824" s="5" t="s">
        <v>6016</v>
      </c>
      <c r="D1824" s="5" t="s">
        <v>37</v>
      </c>
      <c r="E1824" s="5" t="s">
        <v>233</v>
      </c>
      <c r="F1824" s="5" t="s">
        <v>40</v>
      </c>
      <c r="G1824" s="14" t="str">
        <f t="array" ref="G1824">IF(B1824="", "",
  LET(_xlpm.spell, IFERROR(IF(F1824="", "", INDEX(_xlws.FILTER(Hairstyles!$F:$F, ISNUMBER(SEARCH(F1824, Hairstyles!$B:$B))), 1)), "No Spell for Hairstyle"),
  _xlpm.vanillaPrefix, IF(LEFT(_xlpm.spell, 7)="Uvi_Wig", "", ";"),
  ";" &amp; IF(C1824="", B1824, C1824) &amp; IF(M1824="", "", " ("&amp;M1824&amp;")") &amp; CHAR(10) &amp;
  _xlpm.vanillaPrefix &amp; "Keyword = Uvi_Wig_Distr_KYWD|" &amp; B1824 &amp; CHAR(10) &amp;
  _xlpm.vanillaPrefix &amp; "Spell = " &amp; _xlpm.spell &amp; "|" &amp; B1824
  )
)</f>
        <v>;DA13EncAfflicted02MissileEvenTonedM
;Keyword = Uvi_Wig_Distr_KYWD|DA13EncAfflicted02MissileEvenTonedM
;Spell = No Spell for Hairstyle|DA13EncAfflicted02MissileEvenTonedM</v>
      </c>
    </row>
    <row r="1825" ht="12.75" customHeight="1">
      <c r="A1825" s="5" t="s">
        <v>6017</v>
      </c>
      <c r="B1825" s="5" t="s">
        <v>6018</v>
      </c>
      <c r="D1825" s="5" t="s">
        <v>37</v>
      </c>
      <c r="E1825" s="5" t="s">
        <v>41</v>
      </c>
      <c r="F1825" s="5" t="s">
        <v>42</v>
      </c>
      <c r="G1825" s="14" t="str">
        <f t="array" ref="G1825">IF(B1825="", "",
  LET(_xlpm.spell, IFERROR(IF(F1825="", "", INDEX(_xlws.FILTER(Hairstyles!$F:$F, ISNUMBER(SEARCH(F1825, Hairstyles!$B:$B))), 1)), "No Spell for Hairstyle"),
  _xlpm.vanillaPrefix, IF(LEFT(_xlpm.spell, 7)="Uvi_Wig", "", ";"),
  ";" &amp; IF(C1825="", B1825, C1825) &amp; IF(M1825="", "", " ("&amp;M1825&amp;")") &amp; CHAR(10) &amp;
  _xlpm.vanillaPrefix &amp; "Keyword = Uvi_Wig_Distr_KYWD|" &amp; B1825 &amp; CHAR(10) &amp;
  _xlpm.vanillaPrefix &amp; "Spell = " &amp; _xlpm.spell &amp; "|" &amp; B1825
  )
)</f>
        <v>;DA13EncAfflicted03MagicCondF
;Keyword = Uvi_Wig_Distr_KYWD|DA13EncAfflicted03MagicCondF
;Spell = No Spell for Hairstyle|DA13EncAfflicted03MagicCondF</v>
      </c>
    </row>
    <row r="1826" ht="12.75" customHeight="1">
      <c r="A1826" s="5" t="s">
        <v>6019</v>
      </c>
      <c r="B1826" s="5" t="s">
        <v>6020</v>
      </c>
      <c r="D1826" s="5" t="s">
        <v>37</v>
      </c>
      <c r="E1826" s="5" t="s">
        <v>233</v>
      </c>
      <c r="F1826" s="5" t="s">
        <v>40</v>
      </c>
      <c r="G1826" s="14" t="str">
        <f t="array" ref="G1826">IF(B1826="", "",
  LET(_xlpm.spell, IFERROR(IF(F1826="", "", INDEX(_xlws.FILTER(Hairstyles!$F:$F, ISNUMBER(SEARCH(F1826, Hairstyles!$B:$B))), 1)), "No Spell for Hairstyle"),
  _xlpm.vanillaPrefix, IF(LEFT(_xlpm.spell, 7)="Uvi_Wig", "", ";"),
  ";" &amp; IF(C1826="", B1826, C1826) &amp; IF(M1826="", "", " ("&amp;M1826&amp;")") &amp; CHAR(10) &amp;
  _xlpm.vanillaPrefix &amp; "Keyword = Uvi_Wig_Distr_KYWD|" &amp; B1826 &amp; CHAR(10) &amp;
  _xlpm.vanillaPrefix &amp; "Spell = " &amp; _xlpm.spell &amp; "|" &amp; B1826
  )
)</f>
        <v>;DA13EncAfflicted03MagicCondM
;Keyword = Uvi_Wig_Distr_KYWD|DA13EncAfflicted03MagicCondM
;Spell = No Spell for Hairstyle|DA13EncAfflicted03MagicCondM</v>
      </c>
    </row>
    <row r="1827" ht="12.75" customHeight="1">
      <c r="A1827" s="5" t="s">
        <v>6021</v>
      </c>
      <c r="B1827" s="5" t="s">
        <v>6022</v>
      </c>
      <c r="D1827" s="5" t="s">
        <v>37</v>
      </c>
      <c r="E1827" s="5" t="s">
        <v>41</v>
      </c>
      <c r="F1827" s="5" t="s">
        <v>42</v>
      </c>
      <c r="G1827" s="14" t="str">
        <f t="array" ref="G1827">IF(B1827="", "",
  LET(_xlpm.spell, IFERROR(IF(F1827="", "", INDEX(_xlws.FILTER(Hairstyles!$F:$F, ISNUMBER(SEARCH(F1827, Hairstyles!$B:$B))), 1)), "No Spell for Hairstyle"),
  _xlpm.vanillaPrefix, IF(LEFT(_xlpm.spell, 7)="Uvi_Wig", "", ";"),
  ";" &amp; IF(C1827="", B1827, C1827) &amp; IF(M1827="", "", " ("&amp;M1827&amp;")") &amp; CHAR(10) &amp;
  _xlpm.vanillaPrefix &amp; "Keyword = Uvi_Wig_Distr_KYWD|" &amp; B1827 &amp; CHAR(10) &amp;
  _xlpm.vanillaPrefix &amp; "Spell = " &amp; _xlpm.spell &amp; "|" &amp; B1827
  )
)</f>
        <v>;DA13EncAfflicted03MagicEvenTonedF
;Keyword = Uvi_Wig_Distr_KYWD|DA13EncAfflicted03MagicEvenTonedF
;Spell = No Spell for Hairstyle|DA13EncAfflicted03MagicEvenTonedF</v>
      </c>
    </row>
    <row r="1828" ht="12.75" customHeight="1">
      <c r="A1828" s="5" t="s">
        <v>6023</v>
      </c>
      <c r="B1828" s="5" t="s">
        <v>6024</v>
      </c>
      <c r="D1828" s="5" t="s">
        <v>37</v>
      </c>
      <c r="E1828" s="5" t="s">
        <v>233</v>
      </c>
      <c r="F1828" s="5" t="s">
        <v>40</v>
      </c>
      <c r="G1828" s="14" t="str">
        <f t="array" ref="G1828">IF(B1828="", "",
  LET(_xlpm.spell, IFERROR(IF(F1828="", "", INDEX(_xlws.FILTER(Hairstyles!$F:$F, ISNUMBER(SEARCH(F1828, Hairstyles!$B:$B))), 1)), "No Spell for Hairstyle"),
  _xlpm.vanillaPrefix, IF(LEFT(_xlpm.spell, 7)="Uvi_Wig", "", ";"),
  ";" &amp; IF(C1828="", B1828, C1828) &amp; IF(M1828="", "", " ("&amp;M1828&amp;")") &amp; CHAR(10) &amp;
  _xlpm.vanillaPrefix &amp; "Keyword = Uvi_Wig_Distr_KYWD|" &amp; B1828 &amp; CHAR(10) &amp;
  _xlpm.vanillaPrefix &amp; "Spell = " &amp; _xlpm.spell &amp; "|" &amp; B1828
  )
)</f>
        <v>;DA13EncAfflicted03MagicEvenTonedM
;Keyword = Uvi_Wig_Distr_KYWD|DA13EncAfflicted03MagicEvenTonedM
;Spell = No Spell for Hairstyle|DA13EncAfflicted03MagicEvenTonedM</v>
      </c>
    </row>
    <row r="1829" ht="12.75" customHeight="1">
      <c r="A1829" s="5" t="s">
        <v>6025</v>
      </c>
      <c r="B1829" s="5" t="s">
        <v>6026</v>
      </c>
      <c r="D1829" s="5" t="s">
        <v>37</v>
      </c>
      <c r="E1829" s="5" t="s">
        <v>41</v>
      </c>
      <c r="F1829" s="5" t="s">
        <v>42</v>
      </c>
      <c r="G1829" s="14" t="str">
        <f t="array" ref="G1829">IF(B1829="", "",
  LET(_xlpm.spell, IFERROR(IF(F1829="", "", INDEX(_xlws.FILTER(Hairstyles!$F:$F, ISNUMBER(SEARCH(F1829, Hairstyles!$B:$B))), 1)), "No Spell for Hairstyle"),
  _xlpm.vanillaPrefix, IF(LEFT(_xlpm.spell, 7)="Uvi_Wig", "", ";"),
  ";" &amp; IF(C1829="", B1829, C1829) &amp; IF(M1829="", "", " ("&amp;M1829&amp;")") &amp; CHAR(10) &amp;
  _xlpm.vanillaPrefix &amp; "Keyword = Uvi_Wig_Distr_KYWD|" &amp; B1829 &amp; CHAR(10) &amp;
  _xlpm.vanillaPrefix &amp; "Spell = " &amp; _xlpm.spell &amp; "|" &amp; B1829
  )
)</f>
        <v>;DA13EncAfflicted03Melee1HCondF
;Keyword = Uvi_Wig_Distr_KYWD|DA13EncAfflicted03Melee1HCondF
;Spell = No Spell for Hairstyle|DA13EncAfflicted03Melee1HCondF</v>
      </c>
    </row>
    <row r="1830" ht="12.75" customHeight="1">
      <c r="A1830" s="5" t="s">
        <v>6027</v>
      </c>
      <c r="B1830" s="5" t="s">
        <v>6028</v>
      </c>
      <c r="D1830" s="5" t="s">
        <v>37</v>
      </c>
      <c r="E1830" s="5" t="s">
        <v>233</v>
      </c>
      <c r="F1830" s="5" t="s">
        <v>40</v>
      </c>
      <c r="G1830" s="14" t="str">
        <f t="array" ref="G1830">IF(B1830="", "",
  LET(_xlpm.spell, IFERROR(IF(F1830="", "", INDEX(_xlws.FILTER(Hairstyles!$F:$F, ISNUMBER(SEARCH(F1830, Hairstyles!$B:$B))), 1)), "No Spell for Hairstyle"),
  _xlpm.vanillaPrefix, IF(LEFT(_xlpm.spell, 7)="Uvi_Wig", "", ";"),
  ";" &amp; IF(C1830="", B1830, C1830) &amp; IF(M1830="", "", " ("&amp;M1830&amp;")") &amp; CHAR(10) &amp;
  _xlpm.vanillaPrefix &amp; "Keyword = Uvi_Wig_Distr_KYWD|" &amp; B1830 &amp; CHAR(10) &amp;
  _xlpm.vanillaPrefix &amp; "Spell = " &amp; _xlpm.spell &amp; "|" &amp; B1830
  )
)</f>
        <v>;DA13EncAfflicted03Melee1HCondM
;Keyword = Uvi_Wig_Distr_KYWD|DA13EncAfflicted03Melee1HCondM
;Spell = No Spell for Hairstyle|DA13EncAfflicted03Melee1HCondM</v>
      </c>
    </row>
    <row r="1831" ht="12.75" customHeight="1">
      <c r="A1831" s="5" t="s">
        <v>6029</v>
      </c>
      <c r="B1831" s="5" t="s">
        <v>6030</v>
      </c>
      <c r="D1831" s="5" t="s">
        <v>37</v>
      </c>
      <c r="E1831" s="5" t="s">
        <v>41</v>
      </c>
      <c r="F1831" s="5" t="s">
        <v>42</v>
      </c>
      <c r="G1831" s="14" t="str">
        <f t="array" ref="G1831">IF(B1831="", "",
  LET(_xlpm.spell, IFERROR(IF(F1831="", "", INDEX(_xlws.FILTER(Hairstyles!$F:$F, ISNUMBER(SEARCH(F1831, Hairstyles!$B:$B))), 1)), "No Spell for Hairstyle"),
  _xlpm.vanillaPrefix, IF(LEFT(_xlpm.spell, 7)="Uvi_Wig", "", ";"),
  ";" &amp; IF(C1831="", B1831, C1831) &amp; IF(M1831="", "", " ("&amp;M1831&amp;")") &amp; CHAR(10) &amp;
  _xlpm.vanillaPrefix &amp; "Keyword = Uvi_Wig_Distr_KYWD|" &amp; B1831 &amp; CHAR(10) &amp;
  _xlpm.vanillaPrefix &amp; "Spell = " &amp; _xlpm.spell &amp; "|" &amp; B1831
  )
)</f>
        <v>;DA13EncAfflicted03Melee1HEvenTonedF
;Keyword = Uvi_Wig_Distr_KYWD|DA13EncAfflicted03Melee1HEvenTonedF
;Spell = No Spell for Hairstyle|DA13EncAfflicted03Melee1HEvenTonedF</v>
      </c>
    </row>
    <row r="1832" ht="12.75" customHeight="1">
      <c r="A1832" s="5" t="s">
        <v>6031</v>
      </c>
      <c r="B1832" s="5" t="s">
        <v>6032</v>
      </c>
      <c r="D1832" s="5" t="s">
        <v>37</v>
      </c>
      <c r="E1832" s="5" t="s">
        <v>233</v>
      </c>
      <c r="F1832" s="5" t="s">
        <v>40</v>
      </c>
      <c r="G1832" s="14" t="str">
        <f t="array" ref="G1832">IF(B1832="", "",
  LET(_xlpm.spell, IFERROR(IF(F1832="", "", INDEX(_xlws.FILTER(Hairstyles!$F:$F, ISNUMBER(SEARCH(F1832, Hairstyles!$B:$B))), 1)), "No Spell for Hairstyle"),
  _xlpm.vanillaPrefix, IF(LEFT(_xlpm.spell, 7)="Uvi_Wig", "", ";"),
  ";" &amp; IF(C1832="", B1832, C1832) &amp; IF(M1832="", "", " ("&amp;M1832&amp;")") &amp; CHAR(10) &amp;
  _xlpm.vanillaPrefix &amp; "Keyword = Uvi_Wig_Distr_KYWD|" &amp; B1832 &amp; CHAR(10) &amp;
  _xlpm.vanillaPrefix &amp; "Spell = " &amp; _xlpm.spell &amp; "|" &amp; B1832
  )
)</f>
        <v>;DA13EncAfflicted03Melee1HEvenTonedM
;Keyword = Uvi_Wig_Distr_KYWD|DA13EncAfflicted03Melee1HEvenTonedM
;Spell = No Spell for Hairstyle|DA13EncAfflicted03Melee1HEvenTonedM</v>
      </c>
    </row>
    <row r="1833" ht="12.75" customHeight="1">
      <c r="A1833" s="5" t="s">
        <v>6033</v>
      </c>
      <c r="B1833" s="5" t="s">
        <v>6034</v>
      </c>
      <c r="D1833" s="5" t="s">
        <v>37</v>
      </c>
      <c r="E1833" s="5" t="s">
        <v>41</v>
      </c>
      <c r="F1833" s="5" t="s">
        <v>42</v>
      </c>
      <c r="G1833" s="14" t="str">
        <f t="array" ref="G1833">IF(B1833="", "",
  LET(_xlpm.spell, IFERROR(IF(F1833="", "", INDEX(_xlws.FILTER(Hairstyles!$F:$F, ISNUMBER(SEARCH(F1833, Hairstyles!$B:$B))), 1)), "No Spell for Hairstyle"),
  _xlpm.vanillaPrefix, IF(LEFT(_xlpm.spell, 7)="Uvi_Wig", "", ";"),
  ";" &amp; IF(C1833="", B1833, C1833) &amp; IF(M1833="", "", " ("&amp;M1833&amp;")") &amp; CHAR(10) &amp;
  _xlpm.vanillaPrefix &amp; "Keyword = Uvi_Wig_Distr_KYWD|" &amp; B1833 &amp; CHAR(10) &amp;
  _xlpm.vanillaPrefix &amp; "Spell = " &amp; _xlpm.spell &amp; "|" &amp; B1833
  )
)</f>
        <v>;DA13EncAfflicted03Melee1HTankCondF
;Keyword = Uvi_Wig_Distr_KYWD|DA13EncAfflicted03Melee1HTankCondF
;Spell = No Spell for Hairstyle|DA13EncAfflicted03Melee1HTankCondF</v>
      </c>
    </row>
    <row r="1834" ht="12.75" customHeight="1">
      <c r="A1834" s="5" t="s">
        <v>6035</v>
      </c>
      <c r="B1834" s="5" t="s">
        <v>6036</v>
      </c>
      <c r="D1834" s="5" t="s">
        <v>37</v>
      </c>
      <c r="E1834" s="5" t="s">
        <v>233</v>
      </c>
      <c r="F1834" s="5" t="s">
        <v>40</v>
      </c>
      <c r="G1834" s="14" t="str">
        <f t="array" ref="G1834">IF(B1834="", "",
  LET(_xlpm.spell, IFERROR(IF(F1834="", "", INDEX(_xlws.FILTER(Hairstyles!$F:$F, ISNUMBER(SEARCH(F1834, Hairstyles!$B:$B))), 1)), "No Spell for Hairstyle"),
  _xlpm.vanillaPrefix, IF(LEFT(_xlpm.spell, 7)="Uvi_Wig", "", ";"),
  ";" &amp; IF(C1834="", B1834, C1834) &amp; IF(M1834="", "", " ("&amp;M1834&amp;")") &amp; CHAR(10) &amp;
  _xlpm.vanillaPrefix &amp; "Keyword = Uvi_Wig_Distr_KYWD|" &amp; B1834 &amp; CHAR(10) &amp;
  _xlpm.vanillaPrefix &amp; "Spell = " &amp; _xlpm.spell &amp; "|" &amp; B1834
  )
)</f>
        <v>;DA13EncAfflicted03Melee1HTankCondM
;Keyword = Uvi_Wig_Distr_KYWD|DA13EncAfflicted03Melee1HTankCondM
;Spell = No Spell for Hairstyle|DA13EncAfflicted03Melee1HTankCondM</v>
      </c>
    </row>
    <row r="1835" ht="12.75" customHeight="1">
      <c r="A1835" s="5" t="s">
        <v>6037</v>
      </c>
      <c r="B1835" s="5" t="s">
        <v>6038</v>
      </c>
      <c r="D1835" s="5" t="s">
        <v>37</v>
      </c>
      <c r="E1835" s="5" t="s">
        <v>41</v>
      </c>
      <c r="F1835" s="5" t="s">
        <v>42</v>
      </c>
      <c r="G1835" s="14" t="str">
        <f t="array" ref="G1835">IF(B1835="", "",
  LET(_xlpm.spell, IFERROR(IF(F1835="", "", INDEX(_xlws.FILTER(Hairstyles!$F:$F, ISNUMBER(SEARCH(F1835, Hairstyles!$B:$B))), 1)), "No Spell for Hairstyle"),
  _xlpm.vanillaPrefix, IF(LEFT(_xlpm.spell, 7)="Uvi_Wig", "", ";"),
  ";" &amp; IF(C1835="", B1835, C1835) &amp; IF(M1835="", "", " ("&amp;M1835&amp;")") &amp; CHAR(10) &amp;
  _xlpm.vanillaPrefix &amp; "Keyword = Uvi_Wig_Distr_KYWD|" &amp; B1835 &amp; CHAR(10) &amp;
  _xlpm.vanillaPrefix &amp; "Spell = " &amp; _xlpm.spell &amp; "|" &amp; B1835
  )
)</f>
        <v>;DA13EncAfflicted03Melee1HTankEvenTonedF
;Keyword = Uvi_Wig_Distr_KYWD|DA13EncAfflicted03Melee1HTankEvenTonedF
;Spell = No Spell for Hairstyle|DA13EncAfflicted03Melee1HTankEvenTonedF</v>
      </c>
    </row>
    <row r="1836" ht="12.75" customHeight="1">
      <c r="A1836" s="5" t="s">
        <v>6039</v>
      </c>
      <c r="B1836" s="5" t="s">
        <v>6040</v>
      </c>
      <c r="D1836" s="5" t="s">
        <v>37</v>
      </c>
      <c r="E1836" s="5" t="s">
        <v>233</v>
      </c>
      <c r="F1836" s="5" t="s">
        <v>40</v>
      </c>
      <c r="G1836" s="14" t="str">
        <f t="array" ref="G1836">IF(B1836="", "",
  LET(_xlpm.spell, IFERROR(IF(F1836="", "", INDEX(_xlws.FILTER(Hairstyles!$F:$F, ISNUMBER(SEARCH(F1836, Hairstyles!$B:$B))), 1)), "No Spell for Hairstyle"),
  _xlpm.vanillaPrefix, IF(LEFT(_xlpm.spell, 7)="Uvi_Wig", "", ";"),
  ";" &amp; IF(C1836="", B1836, C1836) &amp; IF(M1836="", "", " ("&amp;M1836&amp;")") &amp; CHAR(10) &amp;
  _xlpm.vanillaPrefix &amp; "Keyword = Uvi_Wig_Distr_KYWD|" &amp; B1836 &amp; CHAR(10) &amp;
  _xlpm.vanillaPrefix &amp; "Spell = " &amp; _xlpm.spell &amp; "|" &amp; B1836
  )
)</f>
        <v>;DA13EncAfflicted03Melee1HTankEvenTonedM
;Keyword = Uvi_Wig_Distr_KYWD|DA13EncAfflicted03Melee1HTankEvenTonedM
;Spell = No Spell for Hairstyle|DA13EncAfflicted03Melee1HTankEvenTonedM</v>
      </c>
    </row>
    <row r="1837" ht="12.75" customHeight="1">
      <c r="A1837" s="5" t="s">
        <v>6041</v>
      </c>
      <c r="B1837" s="5" t="s">
        <v>6042</v>
      </c>
      <c r="D1837" s="5" t="s">
        <v>37</v>
      </c>
      <c r="E1837" s="5" t="s">
        <v>41</v>
      </c>
      <c r="F1837" s="5" t="s">
        <v>42</v>
      </c>
      <c r="G1837" s="14" t="str">
        <f t="array" ref="G1837">IF(B1837="", "",
  LET(_xlpm.spell, IFERROR(IF(F1837="", "", INDEX(_xlws.FILTER(Hairstyles!$F:$F, ISNUMBER(SEARCH(F1837, Hairstyles!$B:$B))), 1)), "No Spell for Hairstyle"),
  _xlpm.vanillaPrefix, IF(LEFT(_xlpm.spell, 7)="Uvi_Wig", "", ";"),
  ";" &amp; IF(C1837="", B1837, C1837) &amp; IF(M1837="", "", " ("&amp;M1837&amp;")") &amp; CHAR(10) &amp;
  _xlpm.vanillaPrefix &amp; "Keyword = Uvi_Wig_Distr_KYWD|" &amp; B1837 &amp; CHAR(10) &amp;
  _xlpm.vanillaPrefix &amp; "Spell = " &amp; _xlpm.spell &amp; "|" &amp; B1837
  )
)</f>
        <v>;DA13EncAfflicted03MissileCondF
;Keyword = Uvi_Wig_Distr_KYWD|DA13EncAfflicted03MissileCondF
;Spell = No Spell for Hairstyle|DA13EncAfflicted03MissileCondF</v>
      </c>
    </row>
    <row r="1838" ht="12.75" customHeight="1">
      <c r="A1838" s="5" t="s">
        <v>6043</v>
      </c>
      <c r="B1838" s="5" t="s">
        <v>6044</v>
      </c>
      <c r="D1838" s="5" t="s">
        <v>37</v>
      </c>
      <c r="E1838" s="5" t="s">
        <v>233</v>
      </c>
      <c r="F1838" s="5" t="s">
        <v>40</v>
      </c>
      <c r="G1838" s="14" t="str">
        <f t="array" ref="G1838">IF(B1838="", "",
  LET(_xlpm.spell, IFERROR(IF(F1838="", "", INDEX(_xlws.FILTER(Hairstyles!$F:$F, ISNUMBER(SEARCH(F1838, Hairstyles!$B:$B))), 1)), "No Spell for Hairstyle"),
  _xlpm.vanillaPrefix, IF(LEFT(_xlpm.spell, 7)="Uvi_Wig", "", ";"),
  ";" &amp; IF(C1838="", B1838, C1838) &amp; IF(M1838="", "", " ("&amp;M1838&amp;")") &amp; CHAR(10) &amp;
  _xlpm.vanillaPrefix &amp; "Keyword = Uvi_Wig_Distr_KYWD|" &amp; B1838 &amp; CHAR(10) &amp;
  _xlpm.vanillaPrefix &amp; "Spell = " &amp; _xlpm.spell &amp; "|" &amp; B1838
  )
)</f>
        <v>;DA13EncAfflicted03MissileCondM
;Keyword = Uvi_Wig_Distr_KYWD|DA13EncAfflicted03MissileCondM
;Spell = No Spell for Hairstyle|DA13EncAfflicted03MissileCondM</v>
      </c>
    </row>
    <row r="1839" ht="12.75" customHeight="1">
      <c r="A1839" s="5" t="s">
        <v>6045</v>
      </c>
      <c r="B1839" s="5" t="s">
        <v>6046</v>
      </c>
      <c r="D1839" s="5" t="s">
        <v>37</v>
      </c>
      <c r="E1839" s="5" t="s">
        <v>41</v>
      </c>
      <c r="F1839" s="5" t="s">
        <v>42</v>
      </c>
      <c r="G1839" s="14" t="str">
        <f t="array" ref="G1839">IF(B1839="", "",
  LET(_xlpm.spell, IFERROR(IF(F1839="", "", INDEX(_xlws.FILTER(Hairstyles!$F:$F, ISNUMBER(SEARCH(F1839, Hairstyles!$B:$B))), 1)), "No Spell for Hairstyle"),
  _xlpm.vanillaPrefix, IF(LEFT(_xlpm.spell, 7)="Uvi_Wig", "", ";"),
  ";" &amp; IF(C1839="", B1839, C1839) &amp; IF(M1839="", "", " ("&amp;M1839&amp;")") &amp; CHAR(10) &amp;
  _xlpm.vanillaPrefix &amp; "Keyword = Uvi_Wig_Distr_KYWD|" &amp; B1839 &amp; CHAR(10) &amp;
  _xlpm.vanillaPrefix &amp; "Spell = " &amp; _xlpm.spell &amp; "|" &amp; B1839
  )
)</f>
        <v>;DA13EncAfflicted03MissileEvenTonedF
;Keyword = Uvi_Wig_Distr_KYWD|DA13EncAfflicted03MissileEvenTonedF
;Spell = No Spell for Hairstyle|DA13EncAfflicted03MissileEvenTonedF</v>
      </c>
    </row>
    <row r="1840" ht="12.75" customHeight="1">
      <c r="A1840" s="5" t="s">
        <v>6047</v>
      </c>
      <c r="B1840" s="5" t="s">
        <v>6048</v>
      </c>
      <c r="D1840" s="5" t="s">
        <v>37</v>
      </c>
      <c r="E1840" s="5" t="s">
        <v>233</v>
      </c>
      <c r="F1840" s="5" t="s">
        <v>40</v>
      </c>
      <c r="G1840" s="14" t="str">
        <f t="array" ref="G1840">IF(B1840="", "",
  LET(_xlpm.spell, IFERROR(IF(F1840="", "", INDEX(_xlws.FILTER(Hairstyles!$F:$F, ISNUMBER(SEARCH(F1840, Hairstyles!$B:$B))), 1)), "No Spell for Hairstyle"),
  _xlpm.vanillaPrefix, IF(LEFT(_xlpm.spell, 7)="Uvi_Wig", "", ";"),
  ";" &amp; IF(C1840="", B1840, C1840) &amp; IF(M1840="", "", " ("&amp;M1840&amp;")") &amp; CHAR(10) &amp;
  _xlpm.vanillaPrefix &amp; "Keyword = Uvi_Wig_Distr_KYWD|" &amp; B1840 &amp; CHAR(10) &amp;
  _xlpm.vanillaPrefix &amp; "Spell = " &amp; _xlpm.spell &amp; "|" &amp; B1840
  )
)</f>
        <v>;DA13EncAfflicted03MissileEvenTonedM
;Keyword = Uvi_Wig_Distr_KYWD|DA13EncAfflicted03MissileEvenTonedM
;Spell = No Spell for Hairstyle|DA13EncAfflicted03MissileEvenTonedM</v>
      </c>
    </row>
    <row r="1841" ht="12.75" customHeight="1">
      <c r="A1841" s="5" t="s">
        <v>6049</v>
      </c>
      <c r="B1841" s="5" t="s">
        <v>6050</v>
      </c>
      <c r="D1841" s="5" t="s">
        <v>37</v>
      </c>
      <c r="E1841" s="5" t="s">
        <v>41</v>
      </c>
      <c r="F1841" s="5" t="s">
        <v>42</v>
      </c>
      <c r="G1841" s="14" t="str">
        <f t="array" ref="G1841">IF(B1841="", "",
  LET(_xlpm.spell, IFERROR(IF(F1841="", "", INDEX(_xlws.FILTER(Hairstyles!$F:$F, ISNUMBER(SEARCH(F1841, Hairstyles!$B:$B))), 1)), "No Spell for Hairstyle"),
  _xlpm.vanillaPrefix, IF(LEFT(_xlpm.spell, 7)="Uvi_Wig", "", ";"),
  ";" &amp; IF(C1841="", B1841, C1841) &amp; IF(M1841="", "", " ("&amp;M1841&amp;")") &amp; CHAR(10) &amp;
  _xlpm.vanillaPrefix &amp; "Keyword = Uvi_Wig_Distr_KYWD|" &amp; B1841 &amp; CHAR(10) &amp;
  _xlpm.vanillaPrefix &amp; "Spell = " &amp; _xlpm.spell &amp; "|" &amp; B1841
  )
)</f>
        <v>;DA13EncAfflicted04MagicCondF
;Keyword = Uvi_Wig_Distr_KYWD|DA13EncAfflicted04MagicCondF
;Spell = No Spell for Hairstyle|DA13EncAfflicted04MagicCondF</v>
      </c>
    </row>
    <row r="1842" ht="12.75" customHeight="1">
      <c r="A1842" s="5" t="s">
        <v>6051</v>
      </c>
      <c r="B1842" s="5" t="s">
        <v>6052</v>
      </c>
      <c r="D1842" s="5" t="s">
        <v>37</v>
      </c>
      <c r="E1842" s="5" t="s">
        <v>233</v>
      </c>
      <c r="F1842" s="5" t="s">
        <v>40</v>
      </c>
      <c r="G1842" s="14" t="str">
        <f t="array" ref="G1842">IF(B1842="", "",
  LET(_xlpm.spell, IFERROR(IF(F1842="", "", INDEX(_xlws.FILTER(Hairstyles!$F:$F, ISNUMBER(SEARCH(F1842, Hairstyles!$B:$B))), 1)), "No Spell for Hairstyle"),
  _xlpm.vanillaPrefix, IF(LEFT(_xlpm.spell, 7)="Uvi_Wig", "", ";"),
  ";" &amp; IF(C1842="", B1842, C1842) &amp; IF(M1842="", "", " ("&amp;M1842&amp;")") &amp; CHAR(10) &amp;
  _xlpm.vanillaPrefix &amp; "Keyword = Uvi_Wig_Distr_KYWD|" &amp; B1842 &amp; CHAR(10) &amp;
  _xlpm.vanillaPrefix &amp; "Spell = " &amp; _xlpm.spell &amp; "|" &amp; B1842
  )
)</f>
        <v>;DA13EncAfflicted04MagicCondM
;Keyword = Uvi_Wig_Distr_KYWD|DA13EncAfflicted04MagicCondM
;Spell = No Spell for Hairstyle|DA13EncAfflicted04MagicCondM</v>
      </c>
    </row>
    <row r="1843" ht="12.75" customHeight="1">
      <c r="A1843" s="5" t="s">
        <v>6053</v>
      </c>
      <c r="B1843" s="5" t="s">
        <v>6054</v>
      </c>
      <c r="D1843" s="5" t="s">
        <v>37</v>
      </c>
      <c r="E1843" s="5" t="s">
        <v>41</v>
      </c>
      <c r="F1843" s="5" t="s">
        <v>42</v>
      </c>
      <c r="G1843" s="14" t="str">
        <f t="array" ref="G1843">IF(B1843="", "",
  LET(_xlpm.spell, IFERROR(IF(F1843="", "", INDEX(_xlws.FILTER(Hairstyles!$F:$F, ISNUMBER(SEARCH(F1843, Hairstyles!$B:$B))), 1)), "No Spell for Hairstyle"),
  _xlpm.vanillaPrefix, IF(LEFT(_xlpm.spell, 7)="Uvi_Wig", "", ";"),
  ";" &amp; IF(C1843="", B1843, C1843) &amp; IF(M1843="", "", " ("&amp;M1843&amp;")") &amp; CHAR(10) &amp;
  _xlpm.vanillaPrefix &amp; "Keyword = Uvi_Wig_Distr_KYWD|" &amp; B1843 &amp; CHAR(10) &amp;
  _xlpm.vanillaPrefix &amp; "Spell = " &amp; _xlpm.spell &amp; "|" &amp; B1843
  )
)</f>
        <v>;DA13EncAfflicted04MagicEvenTonedF
;Keyword = Uvi_Wig_Distr_KYWD|DA13EncAfflicted04MagicEvenTonedF
;Spell = No Spell for Hairstyle|DA13EncAfflicted04MagicEvenTonedF</v>
      </c>
    </row>
    <row r="1844" ht="12.75" customHeight="1">
      <c r="A1844" s="5" t="s">
        <v>6055</v>
      </c>
      <c r="B1844" s="5" t="s">
        <v>6056</v>
      </c>
      <c r="D1844" s="5" t="s">
        <v>37</v>
      </c>
      <c r="E1844" s="5" t="s">
        <v>233</v>
      </c>
      <c r="F1844" s="5" t="s">
        <v>40</v>
      </c>
      <c r="G1844" s="14" t="str">
        <f t="array" ref="G1844">IF(B1844="", "",
  LET(_xlpm.spell, IFERROR(IF(F1844="", "", INDEX(_xlws.FILTER(Hairstyles!$F:$F, ISNUMBER(SEARCH(F1844, Hairstyles!$B:$B))), 1)), "No Spell for Hairstyle"),
  _xlpm.vanillaPrefix, IF(LEFT(_xlpm.spell, 7)="Uvi_Wig", "", ";"),
  ";" &amp; IF(C1844="", B1844, C1844) &amp; IF(M1844="", "", " ("&amp;M1844&amp;")") &amp; CHAR(10) &amp;
  _xlpm.vanillaPrefix &amp; "Keyword = Uvi_Wig_Distr_KYWD|" &amp; B1844 &amp; CHAR(10) &amp;
  _xlpm.vanillaPrefix &amp; "Spell = " &amp; _xlpm.spell &amp; "|" &amp; B1844
  )
)</f>
        <v>;DA13EncAfflicted04MagicEvenTonedM
;Keyword = Uvi_Wig_Distr_KYWD|DA13EncAfflicted04MagicEvenTonedM
;Spell = No Spell for Hairstyle|DA13EncAfflicted04MagicEvenTonedM</v>
      </c>
    </row>
    <row r="1845" ht="12.75" customHeight="1">
      <c r="A1845" s="5" t="s">
        <v>6057</v>
      </c>
      <c r="B1845" s="5" t="s">
        <v>6058</v>
      </c>
      <c r="D1845" s="5" t="s">
        <v>37</v>
      </c>
      <c r="E1845" s="5" t="s">
        <v>41</v>
      </c>
      <c r="F1845" s="5" t="s">
        <v>42</v>
      </c>
      <c r="G1845" s="14" t="str">
        <f t="array" ref="G1845">IF(B1845="", "",
  LET(_xlpm.spell, IFERROR(IF(F1845="", "", INDEX(_xlws.FILTER(Hairstyles!$F:$F, ISNUMBER(SEARCH(F1845, Hairstyles!$B:$B))), 1)), "No Spell for Hairstyle"),
  _xlpm.vanillaPrefix, IF(LEFT(_xlpm.spell, 7)="Uvi_Wig", "", ";"),
  ";" &amp; IF(C1845="", B1845, C1845) &amp; IF(M1845="", "", " ("&amp;M1845&amp;")") &amp; CHAR(10) &amp;
  _xlpm.vanillaPrefix &amp; "Keyword = Uvi_Wig_Distr_KYWD|" &amp; B1845 &amp; CHAR(10) &amp;
  _xlpm.vanillaPrefix &amp; "Spell = " &amp; _xlpm.spell &amp; "|" &amp; B1845
  )
)</f>
        <v>;Da13EncAfflicted04Melee1HCondF
;Keyword = Uvi_Wig_Distr_KYWD|Da13EncAfflicted04Melee1HCondF
;Spell = No Spell for Hairstyle|Da13EncAfflicted04Melee1HCondF</v>
      </c>
    </row>
    <row r="1846" ht="12.75" customHeight="1">
      <c r="A1846" s="5" t="s">
        <v>6059</v>
      </c>
      <c r="B1846" s="5" t="s">
        <v>6060</v>
      </c>
      <c r="D1846" s="5" t="s">
        <v>37</v>
      </c>
      <c r="E1846" s="5" t="s">
        <v>233</v>
      </c>
      <c r="F1846" s="5" t="s">
        <v>40</v>
      </c>
      <c r="G1846" s="14" t="str">
        <f t="array" ref="G1846">IF(B1846="", "",
  LET(_xlpm.spell, IFERROR(IF(F1846="", "", INDEX(_xlws.FILTER(Hairstyles!$F:$F, ISNUMBER(SEARCH(F1846, Hairstyles!$B:$B))), 1)), "No Spell for Hairstyle"),
  _xlpm.vanillaPrefix, IF(LEFT(_xlpm.spell, 7)="Uvi_Wig", "", ";"),
  ";" &amp; IF(C1846="", B1846, C1846) &amp; IF(M1846="", "", " ("&amp;M1846&amp;")") &amp; CHAR(10) &amp;
  _xlpm.vanillaPrefix &amp; "Keyword = Uvi_Wig_Distr_KYWD|" &amp; B1846 &amp; CHAR(10) &amp;
  _xlpm.vanillaPrefix &amp; "Spell = " &amp; _xlpm.spell &amp; "|" &amp; B1846
  )
)</f>
        <v>;DA13EncAfflicted04Melee1HCondM
;Keyword = Uvi_Wig_Distr_KYWD|DA13EncAfflicted04Melee1HCondM
;Spell = No Spell for Hairstyle|DA13EncAfflicted04Melee1HCondM</v>
      </c>
    </row>
    <row r="1847" ht="12.75" customHeight="1">
      <c r="A1847" s="5" t="s">
        <v>6061</v>
      </c>
      <c r="B1847" s="5" t="s">
        <v>6062</v>
      </c>
      <c r="D1847" s="5" t="s">
        <v>37</v>
      </c>
      <c r="E1847" s="5" t="s">
        <v>41</v>
      </c>
      <c r="F1847" s="5" t="s">
        <v>42</v>
      </c>
      <c r="G1847" s="14" t="str">
        <f t="array" ref="G1847">IF(B1847="", "",
  LET(_xlpm.spell, IFERROR(IF(F1847="", "", INDEX(_xlws.FILTER(Hairstyles!$F:$F, ISNUMBER(SEARCH(F1847, Hairstyles!$B:$B))), 1)), "No Spell for Hairstyle"),
  _xlpm.vanillaPrefix, IF(LEFT(_xlpm.spell, 7)="Uvi_Wig", "", ";"),
  ";" &amp; IF(C1847="", B1847, C1847) &amp; IF(M1847="", "", " ("&amp;M1847&amp;")") &amp; CHAR(10) &amp;
  _xlpm.vanillaPrefix &amp; "Keyword = Uvi_Wig_Distr_KYWD|" &amp; B1847 &amp; CHAR(10) &amp;
  _xlpm.vanillaPrefix &amp; "Spell = " &amp; _xlpm.spell &amp; "|" &amp; B1847
  )
)</f>
        <v>;DA13EncAfflicted04Melee1HEvenTonedF
;Keyword = Uvi_Wig_Distr_KYWD|DA13EncAfflicted04Melee1HEvenTonedF
;Spell = No Spell for Hairstyle|DA13EncAfflicted04Melee1HEvenTonedF</v>
      </c>
    </row>
    <row r="1848" ht="12.75" customHeight="1">
      <c r="A1848" s="5" t="s">
        <v>6063</v>
      </c>
      <c r="B1848" s="5" t="s">
        <v>6064</v>
      </c>
      <c r="D1848" s="5" t="s">
        <v>37</v>
      </c>
      <c r="E1848" s="5" t="s">
        <v>233</v>
      </c>
      <c r="F1848" s="5" t="s">
        <v>40</v>
      </c>
      <c r="G1848" s="14" t="str">
        <f t="array" ref="G1848">IF(B1848="", "",
  LET(_xlpm.spell, IFERROR(IF(F1848="", "", INDEX(_xlws.FILTER(Hairstyles!$F:$F, ISNUMBER(SEARCH(F1848, Hairstyles!$B:$B))), 1)), "No Spell for Hairstyle"),
  _xlpm.vanillaPrefix, IF(LEFT(_xlpm.spell, 7)="Uvi_Wig", "", ";"),
  ";" &amp; IF(C1848="", B1848, C1848) &amp; IF(M1848="", "", " ("&amp;M1848&amp;")") &amp; CHAR(10) &amp;
  _xlpm.vanillaPrefix &amp; "Keyword = Uvi_Wig_Distr_KYWD|" &amp; B1848 &amp; CHAR(10) &amp;
  _xlpm.vanillaPrefix &amp; "Spell = " &amp; _xlpm.spell &amp; "|" &amp; B1848
  )
)</f>
        <v>;Da13EncAfflicted04Melee1HEvenTonedM
;Keyword = Uvi_Wig_Distr_KYWD|Da13EncAfflicted04Melee1HEvenTonedM
;Spell = No Spell for Hairstyle|Da13EncAfflicted04Melee1HEvenTonedM</v>
      </c>
    </row>
    <row r="1849" ht="12.75" customHeight="1">
      <c r="A1849" s="5" t="s">
        <v>6065</v>
      </c>
      <c r="B1849" s="5" t="s">
        <v>6066</v>
      </c>
      <c r="D1849" s="5" t="s">
        <v>37</v>
      </c>
      <c r="E1849" s="5" t="s">
        <v>41</v>
      </c>
      <c r="F1849" s="5" t="s">
        <v>42</v>
      </c>
      <c r="G1849" s="14" t="str">
        <f t="array" ref="G1849">IF(B1849="", "",
  LET(_xlpm.spell, IFERROR(IF(F1849="", "", INDEX(_xlws.FILTER(Hairstyles!$F:$F, ISNUMBER(SEARCH(F1849, Hairstyles!$B:$B))), 1)), "No Spell for Hairstyle"),
  _xlpm.vanillaPrefix, IF(LEFT(_xlpm.spell, 7)="Uvi_Wig", "", ";"),
  ";" &amp; IF(C1849="", B1849, C1849) &amp; IF(M1849="", "", " ("&amp;M1849&amp;")") &amp; CHAR(10) &amp;
  _xlpm.vanillaPrefix &amp; "Keyword = Uvi_Wig_Distr_KYWD|" &amp; B1849 &amp; CHAR(10) &amp;
  _xlpm.vanillaPrefix &amp; "Spell = " &amp; _xlpm.spell &amp; "|" &amp; B1849
  )
)</f>
        <v>;DA13EncAfflicted04Melee1HTankCondF
;Keyword = Uvi_Wig_Distr_KYWD|DA13EncAfflicted04Melee1HTankCondF
;Spell = No Spell for Hairstyle|DA13EncAfflicted04Melee1HTankCondF</v>
      </c>
    </row>
    <row r="1850" ht="12.75" customHeight="1">
      <c r="A1850" s="5" t="s">
        <v>6067</v>
      </c>
      <c r="B1850" s="5" t="s">
        <v>6068</v>
      </c>
      <c r="D1850" s="5" t="s">
        <v>37</v>
      </c>
      <c r="E1850" s="5" t="s">
        <v>233</v>
      </c>
      <c r="F1850" s="5" t="s">
        <v>40</v>
      </c>
      <c r="G1850" s="14" t="str">
        <f t="array" ref="G1850">IF(B1850="", "",
  LET(_xlpm.spell, IFERROR(IF(F1850="", "", INDEX(_xlws.FILTER(Hairstyles!$F:$F, ISNUMBER(SEARCH(F1850, Hairstyles!$B:$B))), 1)), "No Spell for Hairstyle"),
  _xlpm.vanillaPrefix, IF(LEFT(_xlpm.spell, 7)="Uvi_Wig", "", ";"),
  ";" &amp; IF(C1850="", B1850, C1850) &amp; IF(M1850="", "", " ("&amp;M1850&amp;")") &amp; CHAR(10) &amp;
  _xlpm.vanillaPrefix &amp; "Keyword = Uvi_Wig_Distr_KYWD|" &amp; B1850 &amp; CHAR(10) &amp;
  _xlpm.vanillaPrefix &amp; "Spell = " &amp; _xlpm.spell &amp; "|" &amp; B1850
  )
)</f>
        <v>;DA13EncAfflicted04Melee1HTankCondM
;Keyword = Uvi_Wig_Distr_KYWD|DA13EncAfflicted04Melee1HTankCondM
;Spell = No Spell for Hairstyle|DA13EncAfflicted04Melee1HTankCondM</v>
      </c>
    </row>
    <row r="1851" ht="12.75" customHeight="1">
      <c r="A1851" s="5" t="s">
        <v>6069</v>
      </c>
      <c r="B1851" s="5" t="s">
        <v>6070</v>
      </c>
      <c r="D1851" s="5" t="s">
        <v>37</v>
      </c>
      <c r="E1851" s="5" t="s">
        <v>41</v>
      </c>
      <c r="F1851" s="5" t="s">
        <v>42</v>
      </c>
      <c r="G1851" s="14" t="str">
        <f t="array" ref="G1851">IF(B1851="", "",
  LET(_xlpm.spell, IFERROR(IF(F1851="", "", INDEX(_xlws.FILTER(Hairstyles!$F:$F, ISNUMBER(SEARCH(F1851, Hairstyles!$B:$B))), 1)), "No Spell for Hairstyle"),
  _xlpm.vanillaPrefix, IF(LEFT(_xlpm.spell, 7)="Uvi_Wig", "", ";"),
  ";" &amp; IF(C1851="", B1851, C1851) &amp; IF(M1851="", "", " ("&amp;M1851&amp;")") &amp; CHAR(10) &amp;
  _xlpm.vanillaPrefix &amp; "Keyword = Uvi_Wig_Distr_KYWD|" &amp; B1851 &amp; CHAR(10) &amp;
  _xlpm.vanillaPrefix &amp; "Spell = " &amp; _xlpm.spell &amp; "|" &amp; B1851
  )
)</f>
        <v>;DA13EncAfflicted04Melee1HTankEvenTonedF
;Keyword = Uvi_Wig_Distr_KYWD|DA13EncAfflicted04Melee1HTankEvenTonedF
;Spell = No Spell for Hairstyle|DA13EncAfflicted04Melee1HTankEvenTonedF</v>
      </c>
    </row>
    <row r="1852" ht="12.75" customHeight="1">
      <c r="A1852" s="5" t="s">
        <v>6071</v>
      </c>
      <c r="B1852" s="5" t="s">
        <v>6072</v>
      </c>
      <c r="D1852" s="5" t="s">
        <v>37</v>
      </c>
      <c r="E1852" s="5" t="s">
        <v>233</v>
      </c>
      <c r="F1852" s="5" t="s">
        <v>40</v>
      </c>
      <c r="G1852" s="14" t="str">
        <f t="array" ref="G1852">IF(B1852="", "",
  LET(_xlpm.spell, IFERROR(IF(F1852="", "", INDEX(_xlws.FILTER(Hairstyles!$F:$F, ISNUMBER(SEARCH(F1852, Hairstyles!$B:$B))), 1)), "No Spell for Hairstyle"),
  _xlpm.vanillaPrefix, IF(LEFT(_xlpm.spell, 7)="Uvi_Wig", "", ";"),
  ";" &amp; IF(C1852="", B1852, C1852) &amp; IF(M1852="", "", " ("&amp;M1852&amp;")") &amp; CHAR(10) &amp;
  _xlpm.vanillaPrefix &amp; "Keyword = Uvi_Wig_Distr_KYWD|" &amp; B1852 &amp; CHAR(10) &amp;
  _xlpm.vanillaPrefix &amp; "Spell = " &amp; _xlpm.spell &amp; "|" &amp; B1852
  )
)</f>
        <v>;DA13EncAfflicted04Melee1HTankEvenTonedM
;Keyword = Uvi_Wig_Distr_KYWD|DA13EncAfflicted04Melee1HTankEvenTonedM
;Spell = No Spell for Hairstyle|DA13EncAfflicted04Melee1HTankEvenTonedM</v>
      </c>
    </row>
    <row r="1853" ht="12.75" customHeight="1">
      <c r="A1853" s="5" t="s">
        <v>6073</v>
      </c>
      <c r="B1853" s="5" t="s">
        <v>6074</v>
      </c>
      <c r="D1853" s="5" t="s">
        <v>37</v>
      </c>
      <c r="E1853" s="5" t="s">
        <v>41</v>
      </c>
      <c r="F1853" s="5" t="s">
        <v>42</v>
      </c>
      <c r="G1853" s="14" t="str">
        <f t="array" ref="G1853">IF(B1853="", "",
  LET(_xlpm.spell, IFERROR(IF(F1853="", "", INDEX(_xlws.FILTER(Hairstyles!$F:$F, ISNUMBER(SEARCH(F1853, Hairstyles!$B:$B))), 1)), "No Spell for Hairstyle"),
  _xlpm.vanillaPrefix, IF(LEFT(_xlpm.spell, 7)="Uvi_Wig", "", ";"),
  ";" &amp; IF(C1853="", B1853, C1853) &amp; IF(M1853="", "", " ("&amp;M1853&amp;")") &amp; CHAR(10) &amp;
  _xlpm.vanillaPrefix &amp; "Keyword = Uvi_Wig_Distr_KYWD|" &amp; B1853 &amp; CHAR(10) &amp;
  _xlpm.vanillaPrefix &amp; "Spell = " &amp; _xlpm.spell &amp; "|" &amp; B1853
  )
)</f>
        <v>;DA13EncAfflicted04MissileCondF
;Keyword = Uvi_Wig_Distr_KYWD|DA13EncAfflicted04MissileCondF
;Spell = No Spell for Hairstyle|DA13EncAfflicted04MissileCondF</v>
      </c>
    </row>
    <row r="1854" ht="12.75" customHeight="1">
      <c r="A1854" s="5" t="s">
        <v>6075</v>
      </c>
      <c r="B1854" s="5" t="s">
        <v>6076</v>
      </c>
      <c r="D1854" s="5" t="s">
        <v>37</v>
      </c>
      <c r="E1854" s="5" t="s">
        <v>233</v>
      </c>
      <c r="F1854" s="5" t="s">
        <v>40</v>
      </c>
      <c r="G1854" s="14" t="str">
        <f t="array" ref="G1854">IF(B1854="", "",
  LET(_xlpm.spell, IFERROR(IF(F1854="", "", INDEX(_xlws.FILTER(Hairstyles!$F:$F, ISNUMBER(SEARCH(F1854, Hairstyles!$B:$B))), 1)), "No Spell for Hairstyle"),
  _xlpm.vanillaPrefix, IF(LEFT(_xlpm.spell, 7)="Uvi_Wig", "", ";"),
  ";" &amp; IF(C1854="", B1854, C1854) &amp; IF(M1854="", "", " ("&amp;M1854&amp;")") &amp; CHAR(10) &amp;
  _xlpm.vanillaPrefix &amp; "Keyword = Uvi_Wig_Distr_KYWD|" &amp; B1854 &amp; CHAR(10) &amp;
  _xlpm.vanillaPrefix &amp; "Spell = " &amp; _xlpm.spell &amp; "|" &amp; B1854
  )
)</f>
        <v>;DA13EncAfflicted04MissileCondM
;Keyword = Uvi_Wig_Distr_KYWD|DA13EncAfflicted04MissileCondM
;Spell = No Spell for Hairstyle|DA13EncAfflicted04MissileCondM</v>
      </c>
    </row>
    <row r="1855" ht="12.75" customHeight="1">
      <c r="A1855" s="5" t="s">
        <v>6077</v>
      </c>
      <c r="B1855" s="5" t="s">
        <v>6078</v>
      </c>
      <c r="D1855" s="5" t="s">
        <v>37</v>
      </c>
      <c r="E1855" s="5" t="s">
        <v>41</v>
      </c>
      <c r="F1855" s="5" t="s">
        <v>42</v>
      </c>
      <c r="G1855" s="14" t="str">
        <f t="array" ref="G1855">IF(B1855="", "",
  LET(_xlpm.spell, IFERROR(IF(F1855="", "", INDEX(_xlws.FILTER(Hairstyles!$F:$F, ISNUMBER(SEARCH(F1855, Hairstyles!$B:$B))), 1)), "No Spell for Hairstyle"),
  _xlpm.vanillaPrefix, IF(LEFT(_xlpm.spell, 7)="Uvi_Wig", "", ";"),
  ";" &amp; IF(C1855="", B1855, C1855) &amp; IF(M1855="", "", " ("&amp;M1855&amp;")") &amp; CHAR(10) &amp;
  _xlpm.vanillaPrefix &amp; "Keyword = Uvi_Wig_Distr_KYWD|" &amp; B1855 &amp; CHAR(10) &amp;
  _xlpm.vanillaPrefix &amp; "Spell = " &amp; _xlpm.spell &amp; "|" &amp; B1855
  )
)</f>
        <v>;DA13EncAfflicted04MissileEvenTonedF
;Keyword = Uvi_Wig_Distr_KYWD|DA13EncAfflicted04MissileEvenTonedF
;Spell = No Spell for Hairstyle|DA13EncAfflicted04MissileEvenTonedF</v>
      </c>
    </row>
    <row r="1856" ht="12.75" customHeight="1">
      <c r="A1856" s="5" t="s">
        <v>6079</v>
      </c>
      <c r="B1856" s="5" t="s">
        <v>6080</v>
      </c>
      <c r="D1856" s="5" t="s">
        <v>37</v>
      </c>
      <c r="E1856" s="5" t="s">
        <v>233</v>
      </c>
      <c r="F1856" s="5" t="s">
        <v>40</v>
      </c>
      <c r="G1856" s="14" t="str">
        <f t="array" ref="G1856">IF(B1856="", "",
  LET(_xlpm.spell, IFERROR(IF(F1856="", "", INDEX(_xlws.FILTER(Hairstyles!$F:$F, ISNUMBER(SEARCH(F1856, Hairstyles!$B:$B))), 1)), "No Spell for Hairstyle"),
  _xlpm.vanillaPrefix, IF(LEFT(_xlpm.spell, 7)="Uvi_Wig", "", ";"),
  ";" &amp; IF(C1856="", B1856, C1856) &amp; IF(M1856="", "", " ("&amp;M1856&amp;")") &amp; CHAR(10) &amp;
  _xlpm.vanillaPrefix &amp; "Keyword = Uvi_Wig_Distr_KYWD|" &amp; B1856 &amp; CHAR(10) &amp;
  _xlpm.vanillaPrefix &amp; "Spell = " &amp; _xlpm.spell &amp; "|" &amp; B1856
  )
)</f>
        <v>;DA13EncAfflicted04MissileEvenTonedM
;Keyword = Uvi_Wig_Distr_KYWD|DA13EncAfflicted04MissileEvenTonedM
;Spell = No Spell for Hairstyle|DA13EncAfflicted04MissileEvenTonedM</v>
      </c>
    </row>
    <row r="1857" ht="12.75" customHeight="1">
      <c r="A1857" s="5" t="s">
        <v>6081</v>
      </c>
      <c r="B1857" s="5" t="s">
        <v>6082</v>
      </c>
      <c r="D1857" s="5" t="s">
        <v>37</v>
      </c>
      <c r="E1857" s="5" t="s">
        <v>41</v>
      </c>
      <c r="F1857" s="5" t="s">
        <v>42</v>
      </c>
      <c r="G1857" s="14" t="str">
        <f t="array" ref="G1857">IF(B1857="", "",
  LET(_xlpm.spell, IFERROR(IF(F1857="", "", INDEX(_xlws.FILTER(Hairstyles!$F:$F, ISNUMBER(SEARCH(F1857, Hairstyles!$B:$B))), 1)), "No Spell for Hairstyle"),
  _xlpm.vanillaPrefix, IF(LEFT(_xlpm.spell, 7)="Uvi_Wig", "", ";"),
  ";" &amp; IF(C1857="", B1857, C1857) &amp; IF(M1857="", "", " ("&amp;M1857&amp;")") &amp; CHAR(10) &amp;
  _xlpm.vanillaPrefix &amp; "Keyword = Uvi_Wig_Distr_KYWD|" &amp; B1857 &amp; CHAR(10) &amp;
  _xlpm.vanillaPrefix &amp; "Spell = " &amp; _xlpm.spell &amp; "|" &amp; B1857
  )
)</f>
        <v>;DA13EncAfflicted05MagicCondF
;Keyword = Uvi_Wig_Distr_KYWD|DA13EncAfflicted05MagicCondF
;Spell = No Spell for Hairstyle|DA13EncAfflicted05MagicCondF</v>
      </c>
    </row>
    <row r="1858" ht="12.75" customHeight="1">
      <c r="A1858" s="5" t="s">
        <v>6083</v>
      </c>
      <c r="B1858" s="5" t="s">
        <v>6084</v>
      </c>
      <c r="D1858" s="5" t="s">
        <v>37</v>
      </c>
      <c r="E1858" s="5" t="s">
        <v>41</v>
      </c>
      <c r="F1858" s="5" t="s">
        <v>42</v>
      </c>
      <c r="G1858" s="14" t="str">
        <f t="array" ref="G1858">IF(B1858="", "",
  LET(_xlpm.spell, IFERROR(IF(F1858="", "", INDEX(_xlws.FILTER(Hairstyles!$F:$F, ISNUMBER(SEARCH(F1858, Hairstyles!$B:$B))), 1)), "No Spell for Hairstyle"),
  _xlpm.vanillaPrefix, IF(LEFT(_xlpm.spell, 7)="Uvi_Wig", "", ";"),
  ";" &amp; IF(C1858="", B1858, C1858) &amp; IF(M1858="", "", " ("&amp;M1858&amp;")") &amp; CHAR(10) &amp;
  _xlpm.vanillaPrefix &amp; "Keyword = Uvi_Wig_Distr_KYWD|" &amp; B1858 &amp; CHAR(10) &amp;
  _xlpm.vanillaPrefix &amp; "Spell = " &amp; _xlpm.spell &amp; "|" &amp; B1858
  )
)</f>
        <v>;DA13EncAfflicted05MagicEvenTonedF
;Keyword = Uvi_Wig_Distr_KYWD|DA13EncAfflicted05MagicEvenTonedF
;Spell = No Spell for Hairstyle|DA13EncAfflicted05MagicEvenTonedF</v>
      </c>
    </row>
    <row r="1859" ht="12.75" customHeight="1">
      <c r="A1859" s="5" t="s">
        <v>6085</v>
      </c>
      <c r="B1859" s="5" t="s">
        <v>6086</v>
      </c>
      <c r="D1859" s="5" t="s">
        <v>37</v>
      </c>
      <c r="E1859" s="5" t="s">
        <v>233</v>
      </c>
      <c r="F1859" s="5" t="s">
        <v>40</v>
      </c>
      <c r="G1859" s="14" t="str">
        <f t="array" ref="G1859">IF(B1859="", "",
  LET(_xlpm.spell, IFERROR(IF(F1859="", "", INDEX(_xlws.FILTER(Hairstyles!$F:$F, ISNUMBER(SEARCH(F1859, Hairstyles!$B:$B))), 1)), "No Spell for Hairstyle"),
  _xlpm.vanillaPrefix, IF(LEFT(_xlpm.spell, 7)="Uvi_Wig", "", ";"),
  ";" &amp; IF(C1859="", B1859, C1859) &amp; IF(M1859="", "", " ("&amp;M1859&amp;")") &amp; CHAR(10) &amp;
  _xlpm.vanillaPrefix &amp; "Keyword = Uvi_Wig_Distr_KYWD|" &amp; B1859 &amp; CHAR(10) &amp;
  _xlpm.vanillaPrefix &amp; "Spell = " &amp; _xlpm.spell &amp; "|" &amp; B1859
  )
)</f>
        <v>;DA13EncAfflicted05MagicEvenTonedM
;Keyword = Uvi_Wig_Distr_KYWD|DA13EncAfflicted05MagicEvenTonedM
;Spell = No Spell for Hairstyle|DA13EncAfflicted05MagicEvenTonedM</v>
      </c>
    </row>
    <row r="1860" ht="12.75" customHeight="1">
      <c r="A1860" s="5" t="s">
        <v>6087</v>
      </c>
      <c r="B1860" s="5" t="s">
        <v>6088</v>
      </c>
      <c r="D1860" s="5" t="s">
        <v>37</v>
      </c>
      <c r="E1860" s="5" t="s">
        <v>41</v>
      </c>
      <c r="F1860" s="5" t="s">
        <v>42</v>
      </c>
      <c r="G1860" s="14" t="str">
        <f t="array" ref="G1860">IF(B1860="", "",
  LET(_xlpm.spell, IFERROR(IF(F1860="", "", INDEX(_xlws.FILTER(Hairstyles!$F:$F, ISNUMBER(SEARCH(F1860, Hairstyles!$B:$B))), 1)), "No Spell for Hairstyle"),
  _xlpm.vanillaPrefix, IF(LEFT(_xlpm.spell, 7)="Uvi_Wig", "", ";"),
  ";" &amp; IF(C1860="", B1860, C1860) &amp; IF(M1860="", "", " ("&amp;M1860&amp;")") &amp; CHAR(10) &amp;
  _xlpm.vanillaPrefix &amp; "Keyword = Uvi_Wig_Distr_KYWD|" &amp; B1860 &amp; CHAR(10) &amp;
  _xlpm.vanillaPrefix &amp; "Spell = " &amp; _xlpm.spell &amp; "|" &amp; B1860
  )
)</f>
        <v>;DA13EncAfflicted05Melee1HCondF
;Keyword = Uvi_Wig_Distr_KYWD|DA13EncAfflicted05Melee1HCondF
;Spell = No Spell for Hairstyle|DA13EncAfflicted05Melee1HCondF</v>
      </c>
    </row>
    <row r="1861" ht="12.75" customHeight="1">
      <c r="A1861" s="5" t="s">
        <v>6089</v>
      </c>
      <c r="B1861" s="5" t="s">
        <v>6090</v>
      </c>
      <c r="D1861" s="5" t="s">
        <v>37</v>
      </c>
      <c r="E1861" s="5" t="s">
        <v>233</v>
      </c>
      <c r="F1861" s="5" t="s">
        <v>40</v>
      </c>
      <c r="G1861" s="14" t="str">
        <f t="array" ref="G1861">IF(B1861="", "",
  LET(_xlpm.spell, IFERROR(IF(F1861="", "", INDEX(_xlws.FILTER(Hairstyles!$F:$F, ISNUMBER(SEARCH(F1861, Hairstyles!$B:$B))), 1)), "No Spell for Hairstyle"),
  _xlpm.vanillaPrefix, IF(LEFT(_xlpm.spell, 7)="Uvi_Wig", "", ";"),
  ";" &amp; IF(C1861="", B1861, C1861) &amp; IF(M1861="", "", " ("&amp;M1861&amp;")") &amp; CHAR(10) &amp;
  _xlpm.vanillaPrefix &amp; "Keyword = Uvi_Wig_Distr_KYWD|" &amp; B1861 &amp; CHAR(10) &amp;
  _xlpm.vanillaPrefix &amp; "Spell = " &amp; _xlpm.spell &amp; "|" &amp; B1861
  )
)</f>
        <v>;DA13EncAfflicted05Melee1HCondM
;Keyword = Uvi_Wig_Distr_KYWD|DA13EncAfflicted05Melee1HCondM
;Spell = No Spell for Hairstyle|DA13EncAfflicted05Melee1HCondM</v>
      </c>
    </row>
    <row r="1862" ht="12.75" customHeight="1">
      <c r="A1862" s="5" t="s">
        <v>6091</v>
      </c>
      <c r="B1862" s="5" t="s">
        <v>6092</v>
      </c>
      <c r="D1862" s="5" t="s">
        <v>37</v>
      </c>
      <c r="E1862" s="5" t="s">
        <v>41</v>
      </c>
      <c r="F1862" s="5" t="s">
        <v>42</v>
      </c>
      <c r="G1862" s="14" t="str">
        <f t="array" ref="G1862">IF(B1862="", "",
  LET(_xlpm.spell, IFERROR(IF(F1862="", "", INDEX(_xlws.FILTER(Hairstyles!$F:$F, ISNUMBER(SEARCH(F1862, Hairstyles!$B:$B))), 1)), "No Spell for Hairstyle"),
  _xlpm.vanillaPrefix, IF(LEFT(_xlpm.spell, 7)="Uvi_Wig", "", ";"),
  ";" &amp; IF(C1862="", B1862, C1862) &amp; IF(M1862="", "", " ("&amp;M1862&amp;")") &amp; CHAR(10) &amp;
  _xlpm.vanillaPrefix &amp; "Keyword = Uvi_Wig_Distr_KYWD|" &amp; B1862 &amp; CHAR(10) &amp;
  _xlpm.vanillaPrefix &amp; "Spell = " &amp; _xlpm.spell &amp; "|" &amp; B1862
  )
)</f>
        <v>;DA13EncAfflicted05Melee1HEvenTonedF
;Keyword = Uvi_Wig_Distr_KYWD|DA13EncAfflicted05Melee1HEvenTonedF
;Spell = No Spell for Hairstyle|DA13EncAfflicted05Melee1HEvenTonedF</v>
      </c>
    </row>
    <row r="1863" ht="12.75" customHeight="1">
      <c r="A1863" s="5" t="s">
        <v>6093</v>
      </c>
      <c r="B1863" s="5" t="s">
        <v>6094</v>
      </c>
      <c r="D1863" s="5" t="s">
        <v>37</v>
      </c>
      <c r="E1863" s="5" t="s">
        <v>233</v>
      </c>
      <c r="F1863" s="5" t="s">
        <v>40</v>
      </c>
      <c r="G1863" s="14" t="str">
        <f t="array" ref="G1863">IF(B1863="", "",
  LET(_xlpm.spell, IFERROR(IF(F1863="", "", INDEX(_xlws.FILTER(Hairstyles!$F:$F, ISNUMBER(SEARCH(F1863, Hairstyles!$B:$B))), 1)), "No Spell for Hairstyle"),
  _xlpm.vanillaPrefix, IF(LEFT(_xlpm.spell, 7)="Uvi_Wig", "", ";"),
  ";" &amp; IF(C1863="", B1863, C1863) &amp; IF(M1863="", "", " ("&amp;M1863&amp;")") &amp; CHAR(10) &amp;
  _xlpm.vanillaPrefix &amp; "Keyword = Uvi_Wig_Distr_KYWD|" &amp; B1863 &amp; CHAR(10) &amp;
  _xlpm.vanillaPrefix &amp; "Spell = " &amp; _xlpm.spell &amp; "|" &amp; B1863
  )
)</f>
        <v>;DA13EncAfflicted05Melee1HEvenTonedM
;Keyword = Uvi_Wig_Distr_KYWD|DA13EncAfflicted05Melee1HEvenTonedM
;Spell = No Spell for Hairstyle|DA13EncAfflicted05Melee1HEvenTonedM</v>
      </c>
    </row>
    <row r="1864" ht="12.75" customHeight="1">
      <c r="A1864" s="5" t="s">
        <v>6095</v>
      </c>
      <c r="B1864" s="5" t="s">
        <v>6096</v>
      </c>
      <c r="D1864" s="5" t="s">
        <v>37</v>
      </c>
      <c r="E1864" s="5" t="s">
        <v>41</v>
      </c>
      <c r="F1864" s="5" t="s">
        <v>42</v>
      </c>
      <c r="G1864" s="14" t="str">
        <f t="array" ref="G1864">IF(B1864="", "",
  LET(_xlpm.spell, IFERROR(IF(F1864="", "", INDEX(_xlws.FILTER(Hairstyles!$F:$F, ISNUMBER(SEARCH(F1864, Hairstyles!$B:$B))), 1)), "No Spell for Hairstyle"),
  _xlpm.vanillaPrefix, IF(LEFT(_xlpm.spell, 7)="Uvi_Wig", "", ";"),
  ";" &amp; IF(C1864="", B1864, C1864) &amp; IF(M1864="", "", " ("&amp;M1864&amp;")") &amp; CHAR(10) &amp;
  _xlpm.vanillaPrefix &amp; "Keyword = Uvi_Wig_Distr_KYWD|" &amp; B1864 &amp; CHAR(10) &amp;
  _xlpm.vanillaPrefix &amp; "Spell = " &amp; _xlpm.spell &amp; "|" &amp; B1864
  )
)</f>
        <v>;DA13EncAfflicted05Melee1HTankCondF
;Keyword = Uvi_Wig_Distr_KYWD|DA13EncAfflicted05Melee1HTankCondF
;Spell = No Spell for Hairstyle|DA13EncAfflicted05Melee1HTankCondF</v>
      </c>
    </row>
    <row r="1865" ht="12.75" customHeight="1">
      <c r="A1865" s="5" t="s">
        <v>6097</v>
      </c>
      <c r="B1865" s="5" t="s">
        <v>6098</v>
      </c>
      <c r="D1865" s="5" t="s">
        <v>37</v>
      </c>
      <c r="E1865" s="5" t="s">
        <v>233</v>
      </c>
      <c r="F1865" s="5" t="s">
        <v>40</v>
      </c>
      <c r="G1865" s="14" t="str">
        <f t="array" ref="G1865">IF(B1865="", "",
  LET(_xlpm.spell, IFERROR(IF(F1865="", "", INDEX(_xlws.FILTER(Hairstyles!$F:$F, ISNUMBER(SEARCH(F1865, Hairstyles!$B:$B))), 1)), "No Spell for Hairstyle"),
  _xlpm.vanillaPrefix, IF(LEFT(_xlpm.spell, 7)="Uvi_Wig", "", ";"),
  ";" &amp; IF(C1865="", B1865, C1865) &amp; IF(M1865="", "", " ("&amp;M1865&amp;")") &amp; CHAR(10) &amp;
  _xlpm.vanillaPrefix &amp; "Keyword = Uvi_Wig_Distr_KYWD|" &amp; B1865 &amp; CHAR(10) &amp;
  _xlpm.vanillaPrefix &amp; "Spell = " &amp; _xlpm.spell &amp; "|" &amp; B1865
  )
)</f>
        <v>;DA13EncAfflicted05Melee1HTankCondM
;Keyword = Uvi_Wig_Distr_KYWD|DA13EncAfflicted05Melee1HTankCondM
;Spell = No Spell for Hairstyle|DA13EncAfflicted05Melee1HTankCondM</v>
      </c>
    </row>
    <row r="1866" ht="12.75" customHeight="1">
      <c r="A1866" s="5" t="s">
        <v>6099</v>
      </c>
      <c r="B1866" s="5" t="s">
        <v>6100</v>
      </c>
      <c r="D1866" s="5" t="s">
        <v>37</v>
      </c>
      <c r="E1866" s="5" t="s">
        <v>41</v>
      </c>
      <c r="F1866" s="5" t="s">
        <v>42</v>
      </c>
      <c r="G1866" s="14" t="str">
        <f t="array" ref="G1866">IF(B1866="", "",
  LET(_xlpm.spell, IFERROR(IF(F1866="", "", INDEX(_xlws.FILTER(Hairstyles!$F:$F, ISNUMBER(SEARCH(F1866, Hairstyles!$B:$B))), 1)), "No Spell for Hairstyle"),
  _xlpm.vanillaPrefix, IF(LEFT(_xlpm.spell, 7)="Uvi_Wig", "", ";"),
  ";" &amp; IF(C1866="", B1866, C1866) &amp; IF(M1866="", "", " ("&amp;M1866&amp;")") &amp; CHAR(10) &amp;
  _xlpm.vanillaPrefix &amp; "Keyword = Uvi_Wig_Distr_KYWD|" &amp; B1866 &amp; CHAR(10) &amp;
  _xlpm.vanillaPrefix &amp; "Spell = " &amp; _xlpm.spell &amp; "|" &amp; B1866
  )
)</f>
        <v>;DA13EncAfflicted05Melee1HTankEvenTonedF
;Keyword = Uvi_Wig_Distr_KYWD|DA13EncAfflicted05Melee1HTankEvenTonedF
;Spell = No Spell for Hairstyle|DA13EncAfflicted05Melee1HTankEvenTonedF</v>
      </c>
    </row>
    <row r="1867" ht="12.75" customHeight="1">
      <c r="A1867" s="5" t="s">
        <v>6101</v>
      </c>
      <c r="B1867" s="5" t="s">
        <v>6102</v>
      </c>
      <c r="D1867" s="5" t="s">
        <v>37</v>
      </c>
      <c r="E1867" s="5" t="s">
        <v>233</v>
      </c>
      <c r="F1867" s="5" t="s">
        <v>40</v>
      </c>
      <c r="G1867" s="14" t="str">
        <f t="array" ref="G1867">IF(B1867="", "",
  LET(_xlpm.spell, IFERROR(IF(F1867="", "", INDEX(_xlws.FILTER(Hairstyles!$F:$F, ISNUMBER(SEARCH(F1867, Hairstyles!$B:$B))), 1)), "No Spell for Hairstyle"),
  _xlpm.vanillaPrefix, IF(LEFT(_xlpm.spell, 7)="Uvi_Wig", "", ";"),
  ";" &amp; IF(C1867="", B1867, C1867) &amp; IF(M1867="", "", " ("&amp;M1867&amp;")") &amp; CHAR(10) &amp;
  _xlpm.vanillaPrefix &amp; "Keyword = Uvi_Wig_Distr_KYWD|" &amp; B1867 &amp; CHAR(10) &amp;
  _xlpm.vanillaPrefix &amp; "Spell = " &amp; _xlpm.spell &amp; "|" &amp; B1867
  )
)</f>
        <v>;DA13EncAfflicted05Melee1HTankEvenTonedM
;Keyword = Uvi_Wig_Distr_KYWD|DA13EncAfflicted05Melee1HTankEvenTonedM
;Spell = No Spell for Hairstyle|DA13EncAfflicted05Melee1HTankEvenTonedM</v>
      </c>
    </row>
    <row r="1868" ht="12.75" customHeight="1">
      <c r="A1868" s="5" t="s">
        <v>6103</v>
      </c>
      <c r="B1868" s="5" t="s">
        <v>6104</v>
      </c>
      <c r="D1868" s="5" t="s">
        <v>37</v>
      </c>
      <c r="E1868" s="5" t="s">
        <v>41</v>
      </c>
      <c r="F1868" s="5" t="s">
        <v>42</v>
      </c>
      <c r="G1868" s="14" t="str">
        <f t="array" ref="G1868">IF(B1868="", "",
  LET(_xlpm.spell, IFERROR(IF(F1868="", "", INDEX(_xlws.FILTER(Hairstyles!$F:$F, ISNUMBER(SEARCH(F1868, Hairstyles!$B:$B))), 1)), "No Spell for Hairstyle"),
  _xlpm.vanillaPrefix, IF(LEFT(_xlpm.spell, 7)="Uvi_Wig", "", ";"),
  ";" &amp; IF(C1868="", B1868, C1868) &amp; IF(M1868="", "", " ("&amp;M1868&amp;")") &amp; CHAR(10) &amp;
  _xlpm.vanillaPrefix &amp; "Keyword = Uvi_Wig_Distr_KYWD|" &amp; B1868 &amp; CHAR(10) &amp;
  _xlpm.vanillaPrefix &amp; "Spell = " &amp; _xlpm.spell &amp; "|" &amp; B1868
  )
)</f>
        <v>;DA13EncAfflicted05MissileCondF
;Keyword = Uvi_Wig_Distr_KYWD|DA13EncAfflicted05MissileCondF
;Spell = No Spell for Hairstyle|DA13EncAfflicted05MissileCondF</v>
      </c>
    </row>
    <row r="1869" ht="12.75" customHeight="1">
      <c r="A1869" s="5" t="s">
        <v>6105</v>
      </c>
      <c r="B1869" s="5" t="s">
        <v>6106</v>
      </c>
      <c r="D1869" s="5" t="s">
        <v>37</v>
      </c>
      <c r="E1869" s="5" t="s">
        <v>233</v>
      </c>
      <c r="F1869" s="5" t="s">
        <v>40</v>
      </c>
      <c r="G1869" s="14" t="str">
        <f t="array" ref="G1869">IF(B1869="", "",
  LET(_xlpm.spell, IFERROR(IF(F1869="", "", INDEX(_xlws.FILTER(Hairstyles!$F:$F, ISNUMBER(SEARCH(F1869, Hairstyles!$B:$B))), 1)), "No Spell for Hairstyle"),
  _xlpm.vanillaPrefix, IF(LEFT(_xlpm.spell, 7)="Uvi_Wig", "", ";"),
  ";" &amp; IF(C1869="", B1869, C1869) &amp; IF(M1869="", "", " ("&amp;M1869&amp;")") &amp; CHAR(10) &amp;
  _xlpm.vanillaPrefix &amp; "Keyword = Uvi_Wig_Distr_KYWD|" &amp; B1869 &amp; CHAR(10) &amp;
  _xlpm.vanillaPrefix &amp; "Spell = " &amp; _xlpm.spell &amp; "|" &amp; B1869
  )
)</f>
        <v>;DA13EncAfflicted05MissileCondM
;Keyword = Uvi_Wig_Distr_KYWD|DA13EncAfflicted05MissileCondM
;Spell = No Spell for Hairstyle|DA13EncAfflicted05MissileCondM</v>
      </c>
    </row>
    <row r="1870" ht="12.75" customHeight="1">
      <c r="A1870" s="5" t="s">
        <v>6107</v>
      </c>
      <c r="B1870" s="5" t="s">
        <v>6108</v>
      </c>
      <c r="D1870" s="5" t="s">
        <v>37</v>
      </c>
      <c r="E1870" s="5" t="s">
        <v>41</v>
      </c>
      <c r="F1870" s="5" t="s">
        <v>42</v>
      </c>
      <c r="G1870" s="14" t="str">
        <f t="array" ref="G1870">IF(B1870="", "",
  LET(_xlpm.spell, IFERROR(IF(F1870="", "", INDEX(_xlws.FILTER(Hairstyles!$F:$F, ISNUMBER(SEARCH(F1870, Hairstyles!$B:$B))), 1)), "No Spell for Hairstyle"),
  _xlpm.vanillaPrefix, IF(LEFT(_xlpm.spell, 7)="Uvi_Wig", "", ";"),
  ";" &amp; IF(C1870="", B1870, C1870) &amp; IF(M1870="", "", " ("&amp;M1870&amp;")") &amp; CHAR(10) &amp;
  _xlpm.vanillaPrefix &amp; "Keyword = Uvi_Wig_Distr_KYWD|" &amp; B1870 &amp; CHAR(10) &amp;
  _xlpm.vanillaPrefix &amp; "Spell = " &amp; _xlpm.spell &amp; "|" &amp; B1870
  )
)</f>
        <v>;DA13EncAfflicted05MissileEvenTonedF
;Keyword = Uvi_Wig_Distr_KYWD|DA13EncAfflicted05MissileEvenTonedF
;Spell = No Spell for Hairstyle|DA13EncAfflicted05MissileEvenTonedF</v>
      </c>
    </row>
    <row r="1871" ht="12.75" customHeight="1">
      <c r="A1871" s="5" t="s">
        <v>6109</v>
      </c>
      <c r="B1871" s="5" t="s">
        <v>6110</v>
      </c>
      <c r="D1871" s="5" t="s">
        <v>37</v>
      </c>
      <c r="E1871" s="5" t="s">
        <v>233</v>
      </c>
      <c r="F1871" s="5" t="s">
        <v>40</v>
      </c>
      <c r="G1871" s="14" t="str">
        <f t="array" ref="G1871">IF(B1871="", "",
  LET(_xlpm.spell, IFERROR(IF(F1871="", "", INDEX(_xlws.FILTER(Hairstyles!$F:$F, ISNUMBER(SEARCH(F1871, Hairstyles!$B:$B))), 1)), "No Spell for Hairstyle"),
  _xlpm.vanillaPrefix, IF(LEFT(_xlpm.spell, 7)="Uvi_Wig", "", ";"),
  ";" &amp; IF(C1871="", B1871, C1871) &amp; IF(M1871="", "", " ("&amp;M1871&amp;")") &amp; CHAR(10) &amp;
  _xlpm.vanillaPrefix &amp; "Keyword = Uvi_Wig_Distr_KYWD|" &amp; B1871 &amp; CHAR(10) &amp;
  _xlpm.vanillaPrefix &amp; "Spell = " &amp; _xlpm.spell &amp; "|" &amp; B1871
  )
)</f>
        <v>;DA13EncAfflicted05MissileEvenTonedM
;Keyword = Uvi_Wig_Distr_KYWD|DA13EncAfflicted05MissileEvenTonedM
;Spell = No Spell for Hairstyle|DA13EncAfflicted05MissileEvenTonedM</v>
      </c>
    </row>
    <row r="1872" ht="12.75" customHeight="1">
      <c r="A1872" s="5" t="s">
        <v>6111</v>
      </c>
      <c r="B1872" s="5" t="s">
        <v>6112</v>
      </c>
      <c r="D1872" s="5" t="s">
        <v>37</v>
      </c>
      <c r="E1872" s="5" t="s">
        <v>41</v>
      </c>
      <c r="F1872" s="5" t="s">
        <v>42</v>
      </c>
      <c r="G1872" s="14" t="str">
        <f t="array" ref="G1872">IF(B1872="", "",
  LET(_xlpm.spell, IFERROR(IF(F1872="", "", INDEX(_xlws.FILTER(Hairstyles!$F:$F, ISNUMBER(SEARCH(F1872, Hairstyles!$B:$B))), 1)), "No Spell for Hairstyle"),
  _xlpm.vanillaPrefix, IF(LEFT(_xlpm.spell, 7)="Uvi_Wig", "", ";"),
  ";" &amp; IF(C1872="", B1872, C1872) &amp; IF(M1872="", "", " ("&amp;M1872&amp;")") &amp; CHAR(10) &amp;
  _xlpm.vanillaPrefix &amp; "Keyword = Uvi_Wig_Distr_KYWD|" &amp; B1872 &amp; CHAR(10) &amp;
  _xlpm.vanillaPrefix &amp; "Spell = " &amp; _xlpm.spell &amp; "|" &amp; B1872
  )
)</f>
        <v>;DA13EncAfflicted06Melee1HCondF
;Keyword = Uvi_Wig_Distr_KYWD|DA13EncAfflicted06Melee1HCondF
;Spell = No Spell for Hairstyle|DA13EncAfflicted06Melee1HCondF</v>
      </c>
    </row>
    <row r="1873" ht="12.75" customHeight="1">
      <c r="A1873" s="5" t="s">
        <v>6113</v>
      </c>
      <c r="B1873" s="5" t="s">
        <v>6114</v>
      </c>
      <c r="D1873" s="5" t="s">
        <v>37</v>
      </c>
      <c r="E1873" s="5" t="s">
        <v>233</v>
      </c>
      <c r="F1873" s="5" t="s">
        <v>40</v>
      </c>
      <c r="G1873" s="14" t="str">
        <f t="array" ref="G1873">IF(B1873="", "",
  LET(_xlpm.spell, IFERROR(IF(F1873="", "", INDEX(_xlws.FILTER(Hairstyles!$F:$F, ISNUMBER(SEARCH(F1873, Hairstyles!$B:$B))), 1)), "No Spell for Hairstyle"),
  _xlpm.vanillaPrefix, IF(LEFT(_xlpm.spell, 7)="Uvi_Wig", "", ";"),
  ";" &amp; IF(C1873="", B1873, C1873) &amp; IF(M1873="", "", " ("&amp;M1873&amp;")") &amp; CHAR(10) &amp;
  _xlpm.vanillaPrefix &amp; "Keyword = Uvi_Wig_Distr_KYWD|" &amp; B1873 &amp; CHAR(10) &amp;
  _xlpm.vanillaPrefix &amp; "Spell = " &amp; _xlpm.spell &amp; "|" &amp; B1873
  )
)</f>
        <v>;DA13EncAfflicted06Melee1HCondM
;Keyword = Uvi_Wig_Distr_KYWD|DA13EncAfflicted06Melee1HCondM
;Spell = No Spell for Hairstyle|DA13EncAfflicted06Melee1HCondM</v>
      </c>
    </row>
    <row r="1874" ht="12.75" customHeight="1">
      <c r="A1874" s="5" t="s">
        <v>6115</v>
      </c>
      <c r="B1874" s="5" t="s">
        <v>6116</v>
      </c>
      <c r="D1874" s="5" t="s">
        <v>37</v>
      </c>
      <c r="E1874" s="5" t="s">
        <v>41</v>
      </c>
      <c r="F1874" s="5" t="s">
        <v>42</v>
      </c>
      <c r="G1874" s="14" t="str">
        <f t="array" ref="G1874">IF(B1874="", "",
  LET(_xlpm.spell, IFERROR(IF(F1874="", "", INDEX(_xlws.FILTER(Hairstyles!$F:$F, ISNUMBER(SEARCH(F1874, Hairstyles!$B:$B))), 1)), "No Spell for Hairstyle"),
  _xlpm.vanillaPrefix, IF(LEFT(_xlpm.spell, 7)="Uvi_Wig", "", ";"),
  ";" &amp; IF(C1874="", B1874, C1874) &amp; IF(M1874="", "", " ("&amp;M1874&amp;")") &amp; CHAR(10) &amp;
  _xlpm.vanillaPrefix &amp; "Keyword = Uvi_Wig_Distr_KYWD|" &amp; B1874 &amp; CHAR(10) &amp;
  _xlpm.vanillaPrefix &amp; "Spell = " &amp; _xlpm.spell &amp; "|" &amp; B1874
  )
)</f>
        <v>;DA13EncAfflicted06Melee1HEvenTonedF
;Keyword = Uvi_Wig_Distr_KYWD|DA13EncAfflicted06Melee1HEvenTonedF
;Spell = No Spell for Hairstyle|DA13EncAfflicted06Melee1HEvenTonedF</v>
      </c>
    </row>
    <row r="1875" ht="12.75" customHeight="1">
      <c r="A1875" s="5" t="s">
        <v>6117</v>
      </c>
      <c r="B1875" s="5" t="s">
        <v>6118</v>
      </c>
      <c r="D1875" s="5" t="s">
        <v>37</v>
      </c>
      <c r="E1875" s="5" t="s">
        <v>233</v>
      </c>
      <c r="F1875" s="5" t="s">
        <v>40</v>
      </c>
      <c r="G1875" s="14" t="str">
        <f t="array" ref="G1875">IF(B1875="", "",
  LET(_xlpm.spell, IFERROR(IF(F1875="", "", INDEX(_xlws.FILTER(Hairstyles!$F:$F, ISNUMBER(SEARCH(F1875, Hairstyles!$B:$B))), 1)), "No Spell for Hairstyle"),
  _xlpm.vanillaPrefix, IF(LEFT(_xlpm.spell, 7)="Uvi_Wig", "", ";"),
  ";" &amp; IF(C1875="", B1875, C1875) &amp; IF(M1875="", "", " ("&amp;M1875&amp;")") &amp; CHAR(10) &amp;
  _xlpm.vanillaPrefix &amp; "Keyword = Uvi_Wig_Distr_KYWD|" &amp; B1875 &amp; CHAR(10) &amp;
  _xlpm.vanillaPrefix &amp; "Spell = " &amp; _xlpm.spell &amp; "|" &amp; B1875
  )
)</f>
        <v>;DA13EncAfflicted06Melee1HEvenTonedM
;Keyword = Uvi_Wig_Distr_KYWD|DA13EncAfflicted06Melee1HEvenTonedM
;Spell = No Spell for Hairstyle|DA13EncAfflicted06Melee1HEvenTonedM</v>
      </c>
    </row>
    <row r="1876" ht="12.75" customHeight="1">
      <c r="A1876" s="5" t="s">
        <v>6119</v>
      </c>
      <c r="B1876" s="5" t="s">
        <v>6120</v>
      </c>
      <c r="D1876" s="5" t="s">
        <v>37</v>
      </c>
      <c r="E1876" s="5" t="s">
        <v>41</v>
      </c>
      <c r="F1876" s="5" t="s">
        <v>42</v>
      </c>
      <c r="G1876" s="14" t="str">
        <f t="array" ref="G1876">IF(B1876="", "",
  LET(_xlpm.spell, IFERROR(IF(F1876="", "", INDEX(_xlws.FILTER(Hairstyles!$F:$F, ISNUMBER(SEARCH(F1876, Hairstyles!$B:$B))), 1)), "No Spell for Hairstyle"),
  _xlpm.vanillaPrefix, IF(LEFT(_xlpm.spell, 7)="Uvi_Wig", "", ";"),
  ";" &amp; IF(C1876="", B1876, C1876) &amp; IF(M1876="", "", " ("&amp;M1876&amp;")") &amp; CHAR(10) &amp;
  _xlpm.vanillaPrefix &amp; "Keyword = Uvi_Wig_Distr_KYWD|" &amp; B1876 &amp; CHAR(10) &amp;
  _xlpm.vanillaPrefix &amp; "Spell = " &amp; _xlpm.spell &amp; "|" &amp; B1876
  )
)</f>
        <v>;DA13EncAfflicted06Melee1HTankCondF
;Keyword = Uvi_Wig_Distr_KYWD|DA13EncAfflicted06Melee1HTankCondF
;Spell = No Spell for Hairstyle|DA13EncAfflicted06Melee1HTankCondF</v>
      </c>
    </row>
    <row r="1877" ht="12.75" customHeight="1">
      <c r="A1877" s="5" t="s">
        <v>6121</v>
      </c>
      <c r="B1877" s="5" t="s">
        <v>6122</v>
      </c>
      <c r="D1877" s="5" t="s">
        <v>37</v>
      </c>
      <c r="E1877" s="5" t="s">
        <v>233</v>
      </c>
      <c r="F1877" s="5" t="s">
        <v>40</v>
      </c>
      <c r="G1877" s="14" t="str">
        <f t="array" ref="G1877">IF(B1877="", "",
  LET(_xlpm.spell, IFERROR(IF(F1877="", "", INDEX(_xlws.FILTER(Hairstyles!$F:$F, ISNUMBER(SEARCH(F1877, Hairstyles!$B:$B))), 1)), "No Spell for Hairstyle"),
  _xlpm.vanillaPrefix, IF(LEFT(_xlpm.spell, 7)="Uvi_Wig", "", ";"),
  ";" &amp; IF(C1877="", B1877, C1877) &amp; IF(M1877="", "", " ("&amp;M1877&amp;")") &amp; CHAR(10) &amp;
  _xlpm.vanillaPrefix &amp; "Keyword = Uvi_Wig_Distr_KYWD|" &amp; B1877 &amp; CHAR(10) &amp;
  _xlpm.vanillaPrefix &amp; "Spell = " &amp; _xlpm.spell &amp; "|" &amp; B1877
  )
)</f>
        <v>;DA13EncAfflicted06Melee1HTankCondM
;Keyword = Uvi_Wig_Distr_KYWD|DA13EncAfflicted06Melee1HTankCondM
;Spell = No Spell for Hairstyle|DA13EncAfflicted06Melee1HTankCondM</v>
      </c>
    </row>
    <row r="1878" ht="12.75" customHeight="1">
      <c r="A1878" s="5" t="s">
        <v>6123</v>
      </c>
      <c r="B1878" s="5" t="s">
        <v>6124</v>
      </c>
      <c r="D1878" s="5" t="s">
        <v>37</v>
      </c>
      <c r="E1878" s="5" t="s">
        <v>41</v>
      </c>
      <c r="F1878" s="5" t="s">
        <v>42</v>
      </c>
      <c r="G1878" s="14" t="str">
        <f t="array" ref="G1878">IF(B1878="", "",
  LET(_xlpm.spell, IFERROR(IF(F1878="", "", INDEX(_xlws.FILTER(Hairstyles!$F:$F, ISNUMBER(SEARCH(F1878, Hairstyles!$B:$B))), 1)), "No Spell for Hairstyle"),
  _xlpm.vanillaPrefix, IF(LEFT(_xlpm.spell, 7)="Uvi_Wig", "", ";"),
  ";" &amp; IF(C1878="", B1878, C1878) &amp; IF(M1878="", "", " ("&amp;M1878&amp;")") &amp; CHAR(10) &amp;
  _xlpm.vanillaPrefix &amp; "Keyword = Uvi_Wig_Distr_KYWD|" &amp; B1878 &amp; CHAR(10) &amp;
  _xlpm.vanillaPrefix &amp; "Spell = " &amp; _xlpm.spell &amp; "|" &amp; B1878
  )
)</f>
        <v>;DA13EncAfflicted06Melee1HTankEvenTonedF
;Keyword = Uvi_Wig_Distr_KYWD|DA13EncAfflicted06Melee1HTankEvenTonedF
;Spell = No Spell for Hairstyle|DA13EncAfflicted06Melee1HTankEvenTonedF</v>
      </c>
    </row>
    <row r="1879" ht="12.75" customHeight="1">
      <c r="A1879" s="5" t="s">
        <v>6125</v>
      </c>
      <c r="B1879" s="5" t="s">
        <v>6126</v>
      </c>
      <c r="D1879" s="5" t="s">
        <v>37</v>
      </c>
      <c r="E1879" s="5" t="s">
        <v>233</v>
      </c>
      <c r="F1879" s="5" t="s">
        <v>40</v>
      </c>
      <c r="G1879" s="14" t="str">
        <f t="array" ref="G1879">IF(B1879="", "",
  LET(_xlpm.spell, IFERROR(IF(F1879="", "", INDEX(_xlws.FILTER(Hairstyles!$F:$F, ISNUMBER(SEARCH(F1879, Hairstyles!$B:$B))), 1)), "No Spell for Hairstyle"),
  _xlpm.vanillaPrefix, IF(LEFT(_xlpm.spell, 7)="Uvi_Wig", "", ";"),
  ";" &amp; IF(C1879="", B1879, C1879) &amp; IF(M1879="", "", " ("&amp;M1879&amp;")") &amp; CHAR(10) &amp;
  _xlpm.vanillaPrefix &amp; "Keyword = Uvi_Wig_Distr_KYWD|" &amp; B1879 &amp; CHAR(10) &amp;
  _xlpm.vanillaPrefix &amp; "Spell = " &amp; _xlpm.spell &amp; "|" &amp; B1879
  )
)</f>
        <v>;DA13EncAfflicted06Melee1HTankEvenTonedM
;Keyword = Uvi_Wig_Distr_KYWD|DA13EncAfflicted06Melee1HTankEvenTonedM
;Spell = No Spell for Hairstyle|DA13EncAfflicted06Melee1HTankEvenTonedM</v>
      </c>
    </row>
    <row r="1880" ht="12.75" customHeight="1">
      <c r="A1880" s="5" t="s">
        <v>6127</v>
      </c>
      <c r="B1880" s="5" t="s">
        <v>6128</v>
      </c>
      <c r="D1880" s="5" t="s">
        <v>37</v>
      </c>
      <c r="E1880" s="5" t="s">
        <v>41</v>
      </c>
      <c r="F1880" s="5" t="s">
        <v>42</v>
      </c>
      <c r="G1880" s="14" t="str">
        <f t="array" ref="G1880">IF(B1880="", "",
  LET(_xlpm.spell, IFERROR(IF(F1880="", "", INDEX(_xlws.FILTER(Hairstyles!$F:$F, ISNUMBER(SEARCH(F1880, Hairstyles!$B:$B))), 1)), "No Spell for Hairstyle"),
  _xlpm.vanillaPrefix, IF(LEFT(_xlpm.spell, 7)="Uvi_Wig", "", ";"),
  ";" &amp; IF(C1880="", B1880, C1880) &amp; IF(M1880="", "", " ("&amp;M1880&amp;")") &amp; CHAR(10) &amp;
  _xlpm.vanillaPrefix &amp; "Keyword = Uvi_Wig_Distr_KYWD|" &amp; B1880 &amp; CHAR(10) &amp;
  _xlpm.vanillaPrefix &amp; "Spell = " &amp; _xlpm.spell &amp; "|" &amp; B1880
  )
)</f>
        <v>;DA13EncAfflicted06MissileCondF
;Keyword = Uvi_Wig_Distr_KYWD|DA13EncAfflicted06MissileCondF
;Spell = No Spell for Hairstyle|DA13EncAfflicted06MissileCondF</v>
      </c>
    </row>
    <row r="1881" ht="12.75" customHeight="1">
      <c r="A1881" s="5" t="s">
        <v>6129</v>
      </c>
      <c r="B1881" s="5" t="s">
        <v>6130</v>
      </c>
      <c r="D1881" s="5" t="s">
        <v>37</v>
      </c>
      <c r="E1881" s="5" t="s">
        <v>233</v>
      </c>
      <c r="F1881" s="5" t="s">
        <v>40</v>
      </c>
      <c r="G1881" s="14" t="str">
        <f t="array" ref="G1881">IF(B1881="", "",
  LET(_xlpm.spell, IFERROR(IF(F1881="", "", INDEX(_xlws.FILTER(Hairstyles!$F:$F, ISNUMBER(SEARCH(F1881, Hairstyles!$B:$B))), 1)), "No Spell for Hairstyle"),
  _xlpm.vanillaPrefix, IF(LEFT(_xlpm.spell, 7)="Uvi_Wig", "", ";"),
  ";" &amp; IF(C1881="", B1881, C1881) &amp; IF(M1881="", "", " ("&amp;M1881&amp;")") &amp; CHAR(10) &amp;
  _xlpm.vanillaPrefix &amp; "Keyword = Uvi_Wig_Distr_KYWD|" &amp; B1881 &amp; CHAR(10) &amp;
  _xlpm.vanillaPrefix &amp; "Spell = " &amp; _xlpm.spell &amp; "|" &amp; B1881
  )
)</f>
        <v>;DA13EncAfflicted06MissileCondM
;Keyword = Uvi_Wig_Distr_KYWD|DA13EncAfflicted06MissileCondM
;Spell = No Spell for Hairstyle|DA13EncAfflicted06MissileCondM</v>
      </c>
    </row>
    <row r="1882" ht="12.75" customHeight="1">
      <c r="A1882" s="5" t="s">
        <v>6131</v>
      </c>
      <c r="B1882" s="5" t="s">
        <v>6132</v>
      </c>
      <c r="D1882" s="5" t="s">
        <v>37</v>
      </c>
      <c r="E1882" s="5" t="s">
        <v>41</v>
      </c>
      <c r="F1882" s="5" t="s">
        <v>42</v>
      </c>
      <c r="G1882" s="14" t="str">
        <f t="array" ref="G1882">IF(B1882="", "",
  LET(_xlpm.spell, IFERROR(IF(F1882="", "", INDEX(_xlws.FILTER(Hairstyles!$F:$F, ISNUMBER(SEARCH(F1882, Hairstyles!$B:$B))), 1)), "No Spell for Hairstyle"),
  _xlpm.vanillaPrefix, IF(LEFT(_xlpm.spell, 7)="Uvi_Wig", "", ";"),
  ";" &amp; IF(C1882="", B1882, C1882) &amp; IF(M1882="", "", " ("&amp;M1882&amp;")") &amp; CHAR(10) &amp;
  _xlpm.vanillaPrefix &amp; "Keyword = Uvi_Wig_Distr_KYWD|" &amp; B1882 &amp; CHAR(10) &amp;
  _xlpm.vanillaPrefix &amp; "Spell = " &amp; _xlpm.spell &amp; "|" &amp; B1882
  )
)</f>
        <v>;DA13EncAfflicted06MissileEvenTonedF
;Keyword = Uvi_Wig_Distr_KYWD|DA13EncAfflicted06MissileEvenTonedF
;Spell = No Spell for Hairstyle|DA13EncAfflicted06MissileEvenTonedF</v>
      </c>
    </row>
    <row r="1883" ht="12.75" customHeight="1">
      <c r="A1883" s="5" t="s">
        <v>6133</v>
      </c>
      <c r="B1883" s="5" t="s">
        <v>6134</v>
      </c>
      <c r="D1883" s="5" t="s">
        <v>37</v>
      </c>
      <c r="E1883" s="5" t="s">
        <v>233</v>
      </c>
      <c r="F1883" s="5" t="s">
        <v>40</v>
      </c>
      <c r="G1883" s="14" t="str">
        <f t="array" ref="G1883">IF(B1883="", "",
  LET(_xlpm.spell, IFERROR(IF(F1883="", "", INDEX(_xlws.FILTER(Hairstyles!$F:$F, ISNUMBER(SEARCH(F1883, Hairstyles!$B:$B))), 1)), "No Spell for Hairstyle"),
  _xlpm.vanillaPrefix, IF(LEFT(_xlpm.spell, 7)="Uvi_Wig", "", ";"),
  ";" &amp; IF(C1883="", B1883, C1883) &amp; IF(M1883="", "", " ("&amp;M1883&amp;")") &amp; CHAR(10) &amp;
  _xlpm.vanillaPrefix &amp; "Keyword = Uvi_Wig_Distr_KYWD|" &amp; B1883 &amp; CHAR(10) &amp;
  _xlpm.vanillaPrefix &amp; "Spell = " &amp; _xlpm.spell &amp; "|" &amp; B1883
  )
)</f>
        <v>;DA13EncAfflicted06MissileEvenTonedM
;Keyword = Uvi_Wig_Distr_KYWD|DA13EncAfflicted06MissileEvenTonedM
;Spell = No Spell for Hairstyle|DA13EncAfflicted06MissileEvenTonedM</v>
      </c>
    </row>
    <row r="1884" ht="12.75" customHeight="1">
      <c r="A1884" s="15" t="s">
        <v>6135</v>
      </c>
      <c r="B1884" s="5" t="s">
        <v>6136</v>
      </c>
      <c r="D1884" s="5" t="s">
        <v>37</v>
      </c>
      <c r="E1884" s="5" t="s">
        <v>233</v>
      </c>
      <c r="F1884" s="5" t="s">
        <v>762</v>
      </c>
      <c r="G1884" s="14" t="str">
        <f t="array" ref="G1884">IF(B1884="", "",
  LET(_xlpm.spell, IFERROR(IF(F1884="", "", INDEX(_xlws.FILTER(Hairstyles!$F:$F, ISNUMBER(SEARCH(F1884, Hairstyles!$B:$B))), 1)), "No Spell for Hairstyle"),
  _xlpm.vanillaPrefix, IF(LEFT(_xlpm.spell, 7)="Uvi_Wig", "", ";"),
  ";" &amp; IF(C1884="", B1884, C1884) &amp; IF(M1884="", "", " ("&amp;M1884&amp;")") &amp; CHAR(10) &amp;
  _xlpm.vanillaPrefix &amp; "Keyword = Uvi_Wig_Distr_KYWD|" &amp; B1884 &amp; CHAR(10) &amp;
  _xlpm.vanillaPrefix &amp; "Spell = " &amp; _xlpm.spell &amp; "|" &amp; B1884
  )
)</f>
        <v>;DA13LvlAfflictedMelee1HEvenTonedM
;Keyword = Uvi_Wig_Distr_KYWD|DA13LvlAfflictedMelee1HEvenTonedM
;Spell = No Spell for Hairstyle|DA13LvlAfflictedMelee1HEvenTonedM</v>
      </c>
    </row>
    <row r="1885" ht="12.75" customHeight="1">
      <c r="A1885" s="5" t="s">
        <v>6137</v>
      </c>
      <c r="B1885" s="5" t="s">
        <v>6138</v>
      </c>
      <c r="D1885" s="5" t="s">
        <v>37</v>
      </c>
      <c r="E1885" s="5" t="s">
        <v>233</v>
      </c>
      <c r="F1885" s="5" t="s">
        <v>19</v>
      </c>
      <c r="G1885" s="14" t="str">
        <f t="array" ref="G1885">IF(B1885="", "",
  LET(_xlpm.spell, IFERROR(IF(F1885="", "", INDEX(_xlws.FILTER(Hairstyles!$F:$F, ISNUMBER(SEARCH(F1885, Hairstyles!$B:$B))), 1)), "No Spell for Hairstyle"),
  _xlpm.vanillaPrefix, IF(LEFT(_xlpm.spell, 7)="Uvi_Wig", "", ";"),
  ";" &amp; IF(C1885="", B1885, C1885) &amp; IF(M1885="", "", " ("&amp;M1885&amp;")") &amp; CHAR(10) &amp;
  _xlpm.vanillaPrefix &amp; "Keyword = Uvi_Wig_Distr_KYWD|" &amp; B1885 &amp; CHAR(10) &amp;
  _xlpm.vanillaPrefix &amp; "Spell = " &amp; _xlpm.spell &amp; "|" &amp; B1885
  )
)</f>
        <v>;DA13LvlAfflictedMissileEvenTonedM
;Keyword = Uvi_Wig_Distr_KYWD|DA13LvlAfflictedMissileEvenTonedM
;Spell = No Spell for Hairstyle|DA13LvlAfflictedMissileEvenTonedM</v>
      </c>
    </row>
    <row r="1886" ht="12.75" customHeight="1">
      <c r="A1886" s="15" t="s">
        <v>6139</v>
      </c>
      <c r="B1886" s="5" t="s">
        <v>6140</v>
      </c>
      <c r="D1886" s="5" t="s">
        <v>37</v>
      </c>
      <c r="E1886" s="5" t="s">
        <v>233</v>
      </c>
      <c r="F1886" s="5" t="s">
        <v>19</v>
      </c>
      <c r="G1886" s="14" t="str">
        <f t="array" ref="G1886">IF(B1886="", "",
  LET(_xlpm.spell, IFERROR(IF(F1886="", "", INDEX(_xlws.FILTER(Hairstyles!$F:$F, ISNUMBER(SEARCH(F1886, Hairstyles!$B:$B))), 1)), "No Spell for Hairstyle"),
  _xlpm.vanillaPrefix, IF(LEFT(_xlpm.spell, 7)="Uvi_Wig", "", ";"),
  ";" &amp; IF(C1886="", B1886, C1886) &amp; IF(M1886="", "", " ("&amp;M1886&amp;")") &amp; CHAR(10) &amp;
  _xlpm.vanillaPrefix &amp; "Keyword = Uvi_Wig_Distr_KYWD|" &amp; B1886 &amp; CHAR(10) &amp;
  _xlpm.vanillaPrefix &amp; "Spell = " &amp; _xlpm.spell &amp; "|" &amp; B1886
  )
)</f>
        <v>;DA13LvlAfflictedWizardCondM
;Keyword = Uvi_Wig_Distr_KYWD|DA13LvlAfflictedWizardCondM
;Spell = No Spell for Hairstyle|DA13LvlAfflictedWizardCondM</v>
      </c>
    </row>
    <row r="1887" ht="12.75" customHeight="1">
      <c r="A1887" s="15" t="s">
        <v>6141</v>
      </c>
      <c r="B1887" s="5" t="s">
        <v>6142</v>
      </c>
      <c r="D1887" s="5" t="s">
        <v>37</v>
      </c>
      <c r="E1887" s="5" t="s">
        <v>41</v>
      </c>
      <c r="F1887" s="5" t="s">
        <v>1596</v>
      </c>
      <c r="G1887" s="14" t="str">
        <f t="array" ref="G1887">IF(B1887="", "",
  LET(_xlpm.spell, IFERROR(IF(F1887="", "", INDEX(_xlws.FILTER(Hairstyles!$F:$F, ISNUMBER(SEARCH(F1887, Hairstyles!$B:$B))), 1)), "No Spell for Hairstyle"),
  _xlpm.vanillaPrefix, IF(LEFT(_xlpm.spell, 7)="Uvi_Wig", "", ";"),
  ";" &amp; IF(C1887="", B1887, C1887) &amp; IF(M1887="", "", " ("&amp;M1887&amp;")") &amp; CHAR(10) &amp;
  _xlpm.vanillaPrefix &amp; "Keyword = Uvi_Wig_Distr_KYWD|" &amp; B1887 &amp; CHAR(10) &amp;
  _xlpm.vanillaPrefix &amp; "Spell = " &amp; _xlpm.spell &amp; "|" &amp; B1887
  )
)</f>
        <v>;DA13LvlAfflictedWizardEvenTonedF
;Keyword = Uvi_Wig_Distr_KYWD|DA13LvlAfflictedWizardEvenTonedF
;Spell = No Spell for Hairstyle|DA13LvlAfflictedWizardEvenTonedF</v>
      </c>
    </row>
    <row r="1888" ht="12.75" customHeight="1">
      <c r="A1888" s="5" t="s">
        <v>6143</v>
      </c>
      <c r="B1888" s="5" t="s">
        <v>6144</v>
      </c>
      <c r="D1888" s="5" t="s">
        <v>37</v>
      </c>
      <c r="E1888" s="5" t="s">
        <v>41</v>
      </c>
      <c r="F1888" s="5" t="s">
        <v>1557</v>
      </c>
      <c r="G1888" s="14" t="str">
        <f t="array" ref="G1888">IF(B1888="", "",
  LET(_xlpm.spell, IFERROR(IF(F1888="", "", INDEX(_xlws.FILTER(Hairstyles!$F:$F, ISNUMBER(SEARCH(F1888, Hairstyles!$B:$B))), 1)), "No Spell for Hairstyle"),
  _xlpm.vanillaPrefix, IF(LEFT(_xlpm.spell, 7)="Uvi_Wig", "", ";"),
  ";" &amp; IF(C1888="", B1888, C1888) &amp; IF(M1888="", "", " ("&amp;M1888&amp;")") &amp; CHAR(10) &amp;
  _xlpm.vanillaPrefix &amp; "Keyword = Uvi_Wig_Distr_KYWD|" &amp; B1888 &amp; CHAR(10) &amp;
  _xlpm.vanillaPrefix &amp; "Spell = " &amp; _xlpm.spell &amp; "|" &amp; B1888
  )
)</f>
        <v>;DA13LvlAfflictedWizardEvenTonedFPlayIdle
;Keyword = Uvi_Wig_Distr_KYWD|DA13LvlAfflictedWizardEvenTonedFPlayIdle
;Spell = No Spell for Hairstyle|DA13LvlAfflictedWizardEvenTonedFPlayIdle</v>
      </c>
    </row>
    <row r="1889" ht="12.75" customHeight="1">
      <c r="A1889" s="5" t="s">
        <v>6145</v>
      </c>
      <c r="B1889" s="5" t="s">
        <v>6146</v>
      </c>
      <c r="D1889" s="5" t="s">
        <v>37</v>
      </c>
      <c r="E1889" s="5" t="s">
        <v>233</v>
      </c>
      <c r="F1889" s="5" t="s">
        <v>209</v>
      </c>
      <c r="G1889" s="14" t="str">
        <f t="array" ref="G1889">IF(B1889="", "",
  LET(_xlpm.spell, IFERROR(IF(F1889="", "", INDEX(_xlws.FILTER(Hairstyles!$F:$F, ISNUMBER(SEARCH(F1889, Hairstyles!$B:$B))), 1)), "No Spell for Hairstyle"),
  _xlpm.vanillaPrefix, IF(LEFT(_xlpm.spell, 7)="Uvi_Wig", "", ";"),
  ";" &amp; IF(C1889="", B1889, C1889) &amp; IF(M1889="", "", " ("&amp;M1889&amp;")") &amp; CHAR(10) &amp;
  _xlpm.vanillaPrefix &amp; "Keyword = Uvi_Wig_Distr_KYWD|" &amp; B1889 &amp; CHAR(10) &amp;
  _xlpm.vanillaPrefix &amp; "Spell = " &amp; _xlpm.spell &amp; "|" &amp; B1889
  )
)</f>
        <v>;DA13LvlAfflictedWizardEvenToneMPlayIdle
;Keyword = Uvi_Wig_Distr_KYWD|DA13LvlAfflictedWizardEvenToneMPlayIdle
;Spell = No Spell for Hairstyle|DA13LvlAfflictedWizardEvenToneMPlayIdle</v>
      </c>
    </row>
    <row r="1890" ht="12.75" customHeight="1">
      <c r="A1890" s="5" t="s">
        <v>6147</v>
      </c>
      <c r="B1890" s="5" t="s">
        <v>6148</v>
      </c>
      <c r="D1890" s="5" t="s">
        <v>16</v>
      </c>
      <c r="E1890" s="5" t="s">
        <v>41</v>
      </c>
      <c r="F1890" s="5" t="s">
        <v>343</v>
      </c>
      <c r="G1890" s="14" t="str">
        <f t="array" ref="G1890">IF(B1890="", "",
  LET(_xlpm.spell, IFERROR(IF(F1890="", "", INDEX(_xlws.FILTER(Hairstyles!$F:$F, ISNUMBER(SEARCH(F1890, Hairstyles!$B:$B))), 1)), "No Spell for Hairstyle"),
  _xlpm.vanillaPrefix, IF(LEFT(_xlpm.spell, 7)="Uvi_Wig", "", ";"),
  ";" &amp; IF(C1890="", B1890, C1890) &amp; IF(M1890="", "", " ("&amp;M1890&amp;")") &amp; CHAR(10) &amp;
  _xlpm.vanillaPrefix &amp; "Keyword = Uvi_Wig_Distr_KYWD|" &amp; B1890 &amp; CHAR(10) &amp;
  _xlpm.vanillaPrefix &amp; "Spell = " &amp; _xlpm.spell &amp; "|" &amp; B1890
  )
)</f>
        <v>;DA16LvlVaerminaDevoteeAmbushFemaleCon
;Keyword = Uvi_Wig_Distr_KYWD|DA16LvlVaerminaDevoteeAmbushFemaleCon
;Spell = No Spell for Hairstyle|DA16LvlVaerminaDevoteeAmbushFemaleCon</v>
      </c>
    </row>
    <row r="1891" ht="12.75" customHeight="1">
      <c r="A1891" s="5" t="s">
        <v>6149</v>
      </c>
      <c r="B1891" s="5" t="s">
        <v>6150</v>
      </c>
      <c r="D1891" s="5" t="s">
        <v>38</v>
      </c>
      <c r="E1891" s="5" t="s">
        <v>233</v>
      </c>
      <c r="F1891" s="5" t="s">
        <v>84</v>
      </c>
      <c r="G1891" s="14" t="str">
        <f t="array" ref="G1891">IF(B1891="", "",
  LET(_xlpm.spell, IFERROR(IF(F1891="", "", INDEX(_xlws.FILTER(Hairstyles!$F:$F, ISNUMBER(SEARCH(F1891, Hairstyles!$B:$B))), 1)), "No Spell for Hairstyle"),
  _xlpm.vanillaPrefix, IF(LEFT(_xlpm.spell, 7)="Uvi_Wig", "", ";"),
  ";" &amp; IF(C1891="", B1891, C1891) &amp; IF(M1891="", "", " ("&amp;M1891&amp;")") &amp; CHAR(10) &amp;
  _xlpm.vanillaPrefix &amp; "Keyword = Uvi_Wig_Distr_KYWD|" &amp; B1891 &amp; CHAR(10) &amp;
  _xlpm.vanillaPrefix &amp; "Spell = " &amp; _xlpm.spell &amp; "|" &amp; B1891
  )
)</f>
        <v>;DA16LvlVaerminaDevoteeAmbushMaleSly
;Keyword = Uvi_Wig_Distr_KYWD|DA16LvlVaerminaDevoteeAmbushMaleSly
;Spell = No Spell for Hairstyle|DA16LvlVaerminaDevoteeAmbushMaleSly</v>
      </c>
    </row>
    <row r="1892" ht="12.75" customHeight="1">
      <c r="A1892" s="5" t="s">
        <v>6151</v>
      </c>
      <c r="B1892" s="5" t="s">
        <v>6152</v>
      </c>
      <c r="D1892" s="5" t="s">
        <v>57</v>
      </c>
      <c r="E1892" s="5" t="s">
        <v>233</v>
      </c>
      <c r="F1892" s="5" t="s">
        <v>1541</v>
      </c>
      <c r="G1892" s="14" t="str">
        <f t="array" ref="G1892">IF(B1892="", "",
  LET(_xlpm.spell, IFERROR(IF(F1892="", "", INDEX(_xlws.FILTER(Hairstyles!$F:$F, ISNUMBER(SEARCH(F1892, Hairstyles!$B:$B))), 1)), "No Spell for Hairstyle"),
  _xlpm.vanillaPrefix, IF(LEFT(_xlpm.spell, 7)="Uvi_Wig", "", ";"),
  ";" &amp; IF(C1892="", B1892, C1892) &amp; IF(M1892="", "", " ("&amp;M1892&amp;")") &amp; CHAR(10) &amp;
  _xlpm.vanillaPrefix &amp; "Keyword = Uvi_Wig_Distr_KYWD|" &amp; B1892 &amp; CHAR(10) &amp;
  _xlpm.vanillaPrefix &amp; "Spell = " &amp; _xlpm.spell &amp; "|" &amp; B1892
  )
)</f>
        <v>;DA16LvlVaerminaDevoteeAmbushMaleWarlock
;Keyword = Uvi_Wig_Distr_KYWD|DA16LvlVaerminaDevoteeAmbushMaleWarlock
;Spell = No Spell for Hairstyle|DA16LvlVaerminaDevoteeAmbushMaleWarlock</v>
      </c>
    </row>
    <row r="1893" ht="12.75" customHeight="1">
      <c r="A1893" s="5" t="s">
        <v>6153</v>
      </c>
      <c r="B1893" s="5" t="s">
        <v>6154</v>
      </c>
      <c r="D1893" s="5" t="s">
        <v>16</v>
      </c>
      <c r="E1893" s="5" t="s">
        <v>233</v>
      </c>
      <c r="F1893" s="5" t="s">
        <v>2030</v>
      </c>
      <c r="G1893" s="14" t="str">
        <f t="array" ref="G1893">IF(B1893="", "",
  LET(_xlpm.spell, IFERROR(IF(F1893="", "", INDEX(_xlws.FILTER(Hairstyles!$F:$F, ISNUMBER(SEARCH(F1893, Hairstyles!$B:$B))), 1)), "No Spell for Hairstyle"),
  _xlpm.vanillaPrefix, IF(LEFT(_xlpm.spell, 7)="Uvi_Wig", "", ";"),
  ";" &amp; IF(C1893="", B1893, C1893) &amp; IF(M1893="", "", " ("&amp;M1893&amp;")") &amp; CHAR(10) &amp;
  _xlpm.vanillaPrefix &amp; "Keyword = Uvi_Wig_Distr_KYWD|" &amp; B1893 &amp; CHAR(10) &amp;
  _xlpm.vanillaPrefix &amp; "Spell = " &amp; _xlpm.spell &amp; "|" &amp; B1893
  )
)</f>
        <v>;DA16LvlVaerminaDevoteeDreamMaleCon
;Keyword = Uvi_Wig_Distr_KYWD|DA16LvlVaerminaDevoteeDreamMaleCon
;Spell = No Spell for Hairstyle|DA16LvlVaerminaDevoteeDreamMaleCon</v>
      </c>
    </row>
    <row r="1894" ht="12.75" customHeight="1">
      <c r="A1894" s="5" t="s">
        <v>6155</v>
      </c>
      <c r="B1894" s="5" t="s">
        <v>6156</v>
      </c>
      <c r="D1894" s="5" t="s">
        <v>38</v>
      </c>
      <c r="E1894" s="5" t="s">
        <v>233</v>
      </c>
      <c r="F1894" s="5" t="s">
        <v>84</v>
      </c>
      <c r="G1894" s="14" t="str">
        <f t="array" ref="G1894">IF(B1894="", "",
  LET(_xlpm.spell, IFERROR(IF(F1894="", "", INDEX(_xlws.FILTER(Hairstyles!$F:$F, ISNUMBER(SEARCH(F1894, Hairstyles!$B:$B))), 1)), "No Spell for Hairstyle"),
  _xlpm.vanillaPrefix, IF(LEFT(_xlpm.spell, 7)="Uvi_Wig", "", ";"),
  ";" &amp; IF(C1894="", B1894, C1894) &amp; IF(M1894="", "", " ("&amp;M1894&amp;")") &amp; CHAR(10) &amp;
  _xlpm.vanillaPrefix &amp; "Keyword = Uvi_Wig_Distr_KYWD|" &amp; B1894 &amp; CHAR(10) &amp;
  _xlpm.vanillaPrefix &amp; "Spell = " &amp; _xlpm.spell &amp; "|" &amp; B1894
  )
)</f>
        <v>;DA16LvlVaerminaDevoteeDreamMaleSly
;Keyword = Uvi_Wig_Distr_KYWD|DA16LvlVaerminaDevoteeDreamMaleSly
;Spell = No Spell for Hairstyle|DA16LvlVaerminaDevoteeDreamMaleSly</v>
      </c>
    </row>
    <row r="1895" ht="12.75" customHeight="1">
      <c r="A1895" s="5" t="s">
        <v>6157</v>
      </c>
      <c r="B1895" s="5" t="s">
        <v>6158</v>
      </c>
      <c r="D1895" s="5" t="s">
        <v>57</v>
      </c>
      <c r="E1895" s="5" t="s">
        <v>233</v>
      </c>
      <c r="F1895" s="5" t="s">
        <v>1541</v>
      </c>
      <c r="G1895" s="14" t="str">
        <f t="array" ref="G1895">IF(B1895="", "",
  LET(_xlpm.spell, IFERROR(IF(F1895="", "", INDEX(_xlws.FILTER(Hairstyles!$F:$F, ISNUMBER(SEARCH(F1895, Hairstyles!$B:$B))), 1)), "No Spell for Hairstyle"),
  _xlpm.vanillaPrefix, IF(LEFT(_xlpm.spell, 7)="Uvi_Wig", "", ";"),
  ";" &amp; IF(C1895="", B1895, C1895) &amp; IF(M1895="", "", " ("&amp;M1895&amp;")") &amp; CHAR(10) &amp;
  _xlpm.vanillaPrefix &amp; "Keyword = Uvi_Wig_Distr_KYWD|" &amp; B1895 &amp; CHAR(10) &amp;
  _xlpm.vanillaPrefix &amp; "Spell = " &amp; _xlpm.spell &amp; "|" &amp; B1895
  )
)</f>
        <v>;DA16LvlVaerminaDevoteeDreamMaleWarlock
;Keyword = Uvi_Wig_Distr_KYWD|DA16LvlVaerminaDevoteeDreamMaleWarlock
;Spell = No Spell for Hairstyle|DA16LvlVaerminaDevoteeDreamMaleWarlock</v>
      </c>
    </row>
    <row r="1896" ht="12.75" customHeight="1">
      <c r="A1896" s="5" t="s">
        <v>6159</v>
      </c>
      <c r="B1896" s="5" t="s">
        <v>6160</v>
      </c>
      <c r="D1896" s="5" t="s">
        <v>59</v>
      </c>
      <c r="E1896" s="5" t="s">
        <v>233</v>
      </c>
      <c r="F1896" s="5" t="s">
        <v>1622</v>
      </c>
      <c r="G1896" s="14" t="str">
        <f t="array" ref="G1896">IF(B1896="", "",
  LET(_xlpm.spell, IFERROR(IF(F1896="", "", INDEX(_xlws.FILTER(Hairstyles!$F:$F, ISNUMBER(SEARCH(F1896, Hairstyles!$B:$B))), 1)), "No Spell for Hairstyle"),
  _xlpm.vanillaPrefix, IF(LEFT(_xlpm.spell, 7)="Uvi_Wig", "", ";"),
  ";" &amp; IF(C1896="", B1896, C1896) &amp; IF(M1896="", "", " ("&amp;M1896&amp;")") &amp; CHAR(10) &amp;
  _xlpm.vanillaPrefix &amp; "Keyword = Uvi_Wig_Distr_KYWD|" &amp; B1896 &amp; CHAR(10) &amp;
  _xlpm.vanillaPrefix &amp; "Spell = " &amp; _xlpm.spell &amp; "|" &amp; B1896
  )
)</f>
        <v>;DB10TreasCorpsePenitusOculatus
;Keyword = Uvi_Wig_Distr_KYWD|DB10TreasCorpsePenitusOculatus
;Spell = No Spell for Hairstyle|DB10TreasCorpsePenitusOculatus</v>
      </c>
    </row>
    <row r="1897" ht="12.75" customHeight="1">
      <c r="A1897" s="5" t="s">
        <v>6161</v>
      </c>
      <c r="B1897" s="5" t="s">
        <v>6162</v>
      </c>
      <c r="D1897" s="5" t="s">
        <v>38</v>
      </c>
      <c r="E1897" s="5" t="s">
        <v>233</v>
      </c>
      <c r="F1897" s="5" t="s">
        <v>424</v>
      </c>
      <c r="G1897" s="14" t="str">
        <f t="array" ref="G1897">IF(B1897="", "",
  LET(_xlpm.spell, IFERROR(IF(F1897="", "", INDEX(_xlws.FILTER(Hairstyles!$F:$F, ISNUMBER(SEARCH(F1897, Hairstyles!$B:$B))), 1)), "No Spell for Hairstyle"),
  _xlpm.vanillaPrefix, IF(LEFT(_xlpm.spell, 7)="Uvi_Wig", "", ";"),
  ";" &amp; IF(C1897="", B1897, C1897) &amp; IF(M1897="", "", " ("&amp;M1897&amp;")") &amp; CHAR(10) &amp;
  _xlpm.vanillaPrefix &amp; "Keyword = Uvi_Wig_Distr_KYWD|" &amp; B1897 &amp; CHAR(10) &amp;
  _xlpm.vanillaPrefix &amp; "Spell = " &amp; _xlpm.spell &amp; "|" &amp; B1897
  )
)</f>
        <v>;DEMO_Bandit1HNordM
;Keyword = Uvi_Wig_Distr_KYWD|DEMO_Bandit1HNordM
;Spell = No Spell for Hairstyle|DEMO_Bandit1HNordM</v>
      </c>
    </row>
    <row r="1898" ht="12.75" customHeight="1">
      <c r="A1898" s="5" t="s">
        <v>6163</v>
      </c>
      <c r="B1898" s="5" t="s">
        <v>6164</v>
      </c>
      <c r="D1898" s="5" t="s">
        <v>59</v>
      </c>
      <c r="E1898" s="5" t="s">
        <v>233</v>
      </c>
      <c r="F1898" s="5" t="s">
        <v>695</v>
      </c>
      <c r="G1898" s="14" t="str">
        <f t="array" ref="G1898">IF(B1898="", "",
  LET(_xlpm.spell, IFERROR(IF(F1898="", "", INDEX(_xlws.FILTER(Hairstyles!$F:$F, ISNUMBER(SEARCH(F1898, Hairstyles!$B:$B))), 1)), "No Spell for Hairstyle"),
  _xlpm.vanillaPrefix, IF(LEFT(_xlpm.spell, 7)="Uvi_Wig", "", ";"),
  ";" &amp; IF(C1898="", B1898, C1898) &amp; IF(M1898="", "", " ("&amp;M1898&amp;")") &amp; CHAR(10) &amp;
  _xlpm.vanillaPrefix &amp; "Keyword = Uvi_Wig_Distr_KYWD|" &amp; B1898 &amp; CHAR(10) &amp;
  _xlpm.vanillaPrefix &amp; "Spell = " &amp; _xlpm.spell &amp; "|" &amp; B1898
  )
)</f>
        <v>;DEMO_BanditTankImperialM
;Keyword = Uvi_Wig_Distr_KYWD|DEMO_BanditTankImperialM
;Spell = No Spell for Hairstyle|DEMO_BanditTankImperialM</v>
      </c>
    </row>
    <row r="1899" ht="12.75" customHeight="1">
      <c r="A1899" s="5" t="s">
        <v>6165</v>
      </c>
      <c r="B1899" s="5" t="s">
        <v>6166</v>
      </c>
      <c r="D1899" s="5" t="s">
        <v>38</v>
      </c>
      <c r="E1899" s="5" t="s">
        <v>233</v>
      </c>
      <c r="F1899" s="5" t="s">
        <v>68</v>
      </c>
      <c r="G1899" s="14" t="str">
        <f t="array" ref="G1899">IF(B1899="", "",
  LET(_xlpm.spell, IFERROR(IF(F1899="", "", INDEX(_xlws.FILTER(Hairstyles!$F:$F, ISNUMBER(SEARCH(F1899, Hairstyles!$B:$B))), 1)), "No Spell for Hairstyle"),
  _xlpm.vanillaPrefix, IF(LEFT(_xlpm.spell, 7)="Uvi_Wig", "", ";"),
  ";" &amp; IF(C1899="", B1899, C1899) &amp; IF(M1899="", "", " ("&amp;M1899&amp;")") &amp; CHAR(10) &amp;
  _xlpm.vanillaPrefix &amp; "Keyword = Uvi_Wig_Distr_KYWD|" &amp; B1899 &amp; CHAR(10) &amp;
  _xlpm.vanillaPrefix &amp; "Spell = " &amp; _xlpm.spell &amp; "|" &amp; B1899
  )
)</f>
        <v>;DLC01SoulCairnKeeperSoul
;Keyword = Uvi_Wig_Distr_KYWD|DLC01SoulCairnKeeperSoul
;Spell = No Spell for Hairstyle|DLC01SoulCairnKeeperSoul</v>
      </c>
    </row>
    <row r="1900" ht="12.75" customHeight="1">
      <c r="A1900" s="5" t="s">
        <v>6167</v>
      </c>
      <c r="B1900" s="5" t="s">
        <v>6168</v>
      </c>
      <c r="D1900" s="5" t="s">
        <v>50</v>
      </c>
      <c r="E1900" s="5" t="s">
        <v>233</v>
      </c>
      <c r="F1900" s="5" t="s">
        <v>4186</v>
      </c>
      <c r="G1900" s="14" t="str">
        <f t="array" ref="G1900">IF(B1900="", "",
  LET(_xlpm.spell, IFERROR(IF(F1900="", "", INDEX(_xlws.FILTER(Hairstyles!$F:$F, ISNUMBER(SEARCH(F1900, Hairstyles!$B:$B))), 1)), "No Spell for Hairstyle"),
  _xlpm.vanillaPrefix, IF(LEFT(_xlpm.spell, 7)="Uvi_Wig", "", ";"),
  ";" &amp; IF(C1900="", B1900, C1900) &amp; IF(M1900="", "", " ("&amp;M1900&amp;")") &amp; CHAR(10) &amp;
  _xlpm.vanillaPrefix &amp; "Keyword = Uvi_Wig_Distr_KYWD|" &amp; B1900 &amp; CHAR(10) &amp;
  _xlpm.vanillaPrefix &amp; "Spell = " &amp; _xlpm.spell &amp; "|" &amp; B1900
  )
)</f>
        <v>;DLC1_WESC02_VigilantVampireLeader
;Keyword = Uvi_Wig_Distr_KYWD|DLC1_WESC02_VigilantVampireLeader
;Spell = No Spell for Hairstyle|DLC1_WESC02_VigilantVampireLeader</v>
      </c>
    </row>
    <row r="1901" ht="12.75" customHeight="1">
      <c r="A1901" s="5" t="s">
        <v>6169</v>
      </c>
      <c r="B1901" s="5" t="s">
        <v>6170</v>
      </c>
      <c r="D1901" s="5" t="s">
        <v>51</v>
      </c>
      <c r="E1901" s="5" t="s">
        <v>233</v>
      </c>
      <c r="F1901" s="5" t="s">
        <v>762</v>
      </c>
      <c r="G1901" s="14" t="str">
        <f t="array" ref="G1901">IF(B1901="", "",
  LET(_xlpm.spell, IFERROR(IF(F1901="", "", INDEX(_xlws.FILTER(Hairstyles!$F:$F, ISNUMBER(SEARCH(F1901, Hairstyles!$B:$B))), 1)), "No Spell for Hairstyle"),
  _xlpm.vanillaPrefix, IF(LEFT(_xlpm.spell, 7)="Uvi_Wig", "", ";"),
  ";" &amp; IF(C1901="", B1901, C1901) &amp; IF(M1901="", "", " ("&amp;M1901&amp;")") &amp; CHAR(10) &amp;
  _xlpm.vanillaPrefix &amp; "Keyword = Uvi_Wig_Distr_KYWD|" &amp; B1901 &amp; CHAR(10) &amp;
  _xlpm.vanillaPrefix &amp; "Spell = " &amp; _xlpm.spell &amp; "|" &amp; B1901
  )
)</f>
        <v>;DLC1dunRedwaterDenBeggarMaleOldGrumpy
;Keyword = Uvi_Wig_Distr_KYWD|DLC1dunRedwaterDenBeggarMaleOldGrumpy
;Spell = No Spell for Hairstyle|DLC1dunRedwaterDenBeggarMaleOldGrumpy</v>
      </c>
    </row>
    <row r="1902" ht="12.75" customHeight="1">
      <c r="A1902" s="5" t="s">
        <v>6171</v>
      </c>
      <c r="B1902" s="5" t="s">
        <v>6172</v>
      </c>
      <c r="D1902" s="5" t="s">
        <v>34</v>
      </c>
      <c r="E1902" s="5" t="s">
        <v>41</v>
      </c>
      <c r="F1902" s="5" t="s">
        <v>4628</v>
      </c>
      <c r="G1902" s="14" t="str">
        <f t="array" ref="G1902">IF(B1902="", "",
  LET(_xlpm.spell, IFERROR(IF(F1902="", "", INDEX(_xlws.FILTER(Hairstyles!$F:$F, ISNUMBER(SEARCH(F1902, Hairstyles!$B:$B))), 1)), "No Spell for Hairstyle"),
  _xlpm.vanillaPrefix, IF(LEFT(_xlpm.spell, 7)="Uvi_Wig", "", ";"),
  ";" &amp; IF(C1902="", B1902, C1902) &amp; IF(M1902="", "", " ("&amp;M1902&amp;")") &amp; CHAR(10) &amp;
  _xlpm.vanillaPrefix &amp; "Keyword = Uvi_Wig_Distr_KYWD|" &amp; B1902 &amp; CHAR(10) &amp;
  _xlpm.vanillaPrefix &amp; "Spell = " &amp; _xlpm.spell &amp; "|" &amp; B1902
  )
)</f>
        <v>;DLC1EncVampire00BretonF
;Keyword = Uvi_Wig_Distr_KYWD|DLC1EncVampire00BretonF
;Spell = No Spell for Hairstyle|DLC1EncVampire00BretonF</v>
      </c>
    </row>
    <row r="1903" ht="12.75" customHeight="1">
      <c r="A1903" s="5" t="s">
        <v>6173</v>
      </c>
      <c r="B1903" s="5" t="s">
        <v>6174</v>
      </c>
      <c r="D1903" s="5" t="s">
        <v>50</v>
      </c>
      <c r="E1903" s="5" t="s">
        <v>41</v>
      </c>
      <c r="F1903" s="5" t="s">
        <v>48</v>
      </c>
      <c r="G1903" s="14" t="str">
        <f t="array" ref="G1903">IF(B1903="", "",
  LET(_xlpm.spell, IFERROR(IF(F1903="", "", INDEX(_xlws.FILTER(Hairstyles!$F:$F, ISNUMBER(SEARCH(F1903, Hairstyles!$B:$B))), 1)), "No Spell for Hairstyle"),
  _xlpm.vanillaPrefix, IF(LEFT(_xlpm.spell, 7)="Uvi_Wig", "", ";"),
  ";" &amp; IF(C1903="", B1903, C1903) &amp; IF(M1903="", "", " ("&amp;M1903&amp;")") &amp; CHAR(10) &amp;
  _xlpm.vanillaPrefix &amp; "Keyword = Uvi_Wig_Distr_KYWD|" &amp; B1903 &amp; CHAR(10) &amp;
  _xlpm.vanillaPrefix &amp; "Spell = " &amp; _xlpm.spell &amp; "|" &amp; B1903
  )
)</f>
        <v>;DLC1EncVampire00DarkElfF
;Keyword = Uvi_Wig_Distr_KYWD|DLC1EncVampire00DarkElfF
;Spell = No Spell for Hairstyle|DLC1EncVampire00DarkElfF</v>
      </c>
    </row>
    <row r="1904" ht="12.75" customHeight="1">
      <c r="A1904" s="5" t="s">
        <v>6175</v>
      </c>
      <c r="B1904" s="5" t="s">
        <v>6176</v>
      </c>
      <c r="D1904" s="5" t="s">
        <v>79</v>
      </c>
      <c r="E1904" s="5" t="s">
        <v>41</v>
      </c>
      <c r="F1904" s="5" t="s">
        <v>356</v>
      </c>
      <c r="G1904" s="14" t="str">
        <f t="array" ref="G1904">IF(B1904="", "",
  LET(_xlpm.spell, IFERROR(IF(F1904="", "", INDEX(_xlws.FILTER(Hairstyles!$F:$F, ISNUMBER(SEARCH(F1904, Hairstyles!$B:$B))), 1)), "No Spell for Hairstyle"),
  _xlpm.vanillaPrefix, IF(LEFT(_xlpm.spell, 7)="Uvi_Wig", "", ";"),
  ";" &amp; IF(C1904="", B1904, C1904) &amp; IF(M1904="", "", " ("&amp;M1904&amp;")") &amp; CHAR(10) &amp;
  _xlpm.vanillaPrefix &amp; "Keyword = Uvi_Wig_Distr_KYWD|" &amp; B1904 &amp; CHAR(10) &amp;
  _xlpm.vanillaPrefix &amp; "Spell = " &amp; _xlpm.spell &amp; "|" &amp; B1904
  )
)</f>
        <v>;DLC1EncVampire00NordF
;Keyword = Uvi_Wig_Distr_KYWD|DLC1EncVampire00NordF
;Spell = No Spell for Hairstyle|DLC1EncVampire00NordF</v>
      </c>
    </row>
    <row r="1905" ht="12.75" customHeight="1">
      <c r="A1905" s="5" t="s">
        <v>6177</v>
      </c>
      <c r="B1905" s="5" t="s">
        <v>6178</v>
      </c>
      <c r="D1905" s="5" t="s">
        <v>34</v>
      </c>
      <c r="E1905" s="5" t="s">
        <v>41</v>
      </c>
      <c r="F1905" s="5" t="s">
        <v>2118</v>
      </c>
      <c r="G1905" s="14" t="str">
        <f t="array" ref="G1905">IF(B1905="", "",
  LET(_xlpm.spell, IFERROR(IF(F1905="", "", INDEX(_xlws.FILTER(Hairstyles!$F:$F, ISNUMBER(SEARCH(F1905, Hairstyles!$B:$B))), 1)), "No Spell for Hairstyle"),
  _xlpm.vanillaPrefix, IF(LEFT(_xlpm.spell, 7)="Uvi_Wig", "", ";"),
  ";" &amp; IF(C1905="", B1905, C1905) &amp; IF(M1905="", "", " ("&amp;M1905&amp;")") &amp; CHAR(10) &amp;
  _xlpm.vanillaPrefix &amp; "Keyword = Uvi_Wig_Distr_KYWD|" &amp; B1905 &amp; CHAR(10) &amp;
  _xlpm.vanillaPrefix &amp; "Spell = " &amp; _xlpm.spell &amp; "|" &amp; B1905
  )
)</f>
        <v>;DLC1EncVampire01BretonF
;Keyword = Uvi_Wig_Distr_KYWD|DLC1EncVampire01BretonF
;Spell = No Spell for Hairstyle|DLC1EncVampire01BretonF</v>
      </c>
    </row>
    <row r="1906" ht="12.75" customHeight="1">
      <c r="A1906" s="5" t="s">
        <v>6179</v>
      </c>
      <c r="B1906" s="5" t="s">
        <v>6180</v>
      </c>
      <c r="D1906" s="5" t="s">
        <v>50</v>
      </c>
      <c r="E1906" s="5" t="s">
        <v>41</v>
      </c>
      <c r="F1906" s="5" t="s">
        <v>48</v>
      </c>
      <c r="G1906" s="14" t="str">
        <f t="array" ref="G1906">IF(B1906="", "",
  LET(_xlpm.spell, IFERROR(IF(F1906="", "", INDEX(_xlws.FILTER(Hairstyles!$F:$F, ISNUMBER(SEARCH(F1906, Hairstyles!$B:$B))), 1)), "No Spell for Hairstyle"),
  _xlpm.vanillaPrefix, IF(LEFT(_xlpm.spell, 7)="Uvi_Wig", "", ";"),
  ";" &amp; IF(C1906="", B1906, C1906) &amp; IF(M1906="", "", " ("&amp;M1906&amp;")") &amp; CHAR(10) &amp;
  _xlpm.vanillaPrefix &amp; "Keyword = Uvi_Wig_Distr_KYWD|" &amp; B1906 &amp; CHAR(10) &amp;
  _xlpm.vanillaPrefix &amp; "Spell = " &amp; _xlpm.spell &amp; "|" &amp; B1906
  )
)</f>
        <v>;DLC1EncVampire01DarkElfF
;Keyword = Uvi_Wig_Distr_KYWD|DLC1EncVampire01DarkElfF
;Spell = No Spell for Hairstyle|DLC1EncVampire01DarkElfF</v>
      </c>
    </row>
    <row r="1907" ht="12.75" customHeight="1">
      <c r="A1907" s="5" t="s">
        <v>6181</v>
      </c>
      <c r="B1907" s="5" t="s">
        <v>6182</v>
      </c>
      <c r="D1907" s="5" t="s">
        <v>79</v>
      </c>
      <c r="E1907" s="5" t="s">
        <v>41</v>
      </c>
      <c r="F1907" s="5" t="s">
        <v>1596</v>
      </c>
      <c r="G1907" s="14" t="str">
        <f t="array" ref="G1907">IF(B1907="", "",
  LET(_xlpm.spell, IFERROR(IF(F1907="", "", INDEX(_xlws.FILTER(Hairstyles!$F:$F, ISNUMBER(SEARCH(F1907, Hairstyles!$B:$B))), 1)), "No Spell for Hairstyle"),
  _xlpm.vanillaPrefix, IF(LEFT(_xlpm.spell, 7)="Uvi_Wig", "", ";"),
  ";" &amp; IF(C1907="", B1907, C1907) &amp; IF(M1907="", "", " ("&amp;M1907&amp;")") &amp; CHAR(10) &amp;
  _xlpm.vanillaPrefix &amp; "Keyword = Uvi_Wig_Distr_KYWD|" &amp; B1907 &amp; CHAR(10) &amp;
  _xlpm.vanillaPrefix &amp; "Spell = " &amp; _xlpm.spell &amp; "|" &amp; B1907
  )
)</f>
        <v>;DLC1EncVampire01NordF
;Keyword = Uvi_Wig_Distr_KYWD|DLC1EncVampire01NordF
;Spell = No Spell for Hairstyle|DLC1EncVampire01NordF</v>
      </c>
    </row>
    <row r="1908" ht="12.75" customHeight="1">
      <c r="A1908" s="5" t="s">
        <v>6183</v>
      </c>
      <c r="B1908" s="5" t="s">
        <v>6184</v>
      </c>
      <c r="D1908" s="5" t="s">
        <v>34</v>
      </c>
      <c r="E1908" s="5" t="s">
        <v>41</v>
      </c>
      <c r="F1908" s="5" t="s">
        <v>2118</v>
      </c>
      <c r="G1908" s="14" t="str">
        <f t="array" ref="G1908">IF(B1908="", "",
  LET(_xlpm.spell, IFERROR(IF(F1908="", "", INDEX(_xlws.FILTER(Hairstyles!$F:$F, ISNUMBER(SEARCH(F1908, Hairstyles!$B:$B))), 1)), "No Spell for Hairstyle"),
  _xlpm.vanillaPrefix, IF(LEFT(_xlpm.spell, 7)="Uvi_Wig", "", ";"),
  ";" &amp; IF(C1908="", B1908, C1908) &amp; IF(M1908="", "", " ("&amp;M1908&amp;")") &amp; CHAR(10) &amp;
  _xlpm.vanillaPrefix &amp; "Keyword = Uvi_Wig_Distr_KYWD|" &amp; B1908 &amp; CHAR(10) &amp;
  _xlpm.vanillaPrefix &amp; "Spell = " &amp; _xlpm.spell &amp; "|" &amp; B1908
  )
)</f>
        <v>;DLC1EncVampire02BretonF
;Keyword = Uvi_Wig_Distr_KYWD|DLC1EncVampire02BretonF
;Spell = No Spell for Hairstyle|DLC1EncVampire02BretonF</v>
      </c>
    </row>
    <row r="1909" ht="12.75" customHeight="1">
      <c r="A1909" s="15" t="s">
        <v>6185</v>
      </c>
      <c r="B1909" s="5" t="s">
        <v>6186</v>
      </c>
      <c r="D1909" s="5" t="s">
        <v>50</v>
      </c>
      <c r="E1909" s="5" t="s">
        <v>41</v>
      </c>
      <c r="F1909" s="5" t="s">
        <v>491</v>
      </c>
      <c r="G1909" s="14" t="str">
        <f t="array" ref="G1909">IF(B1909="", "",
  LET(_xlpm.spell, IFERROR(IF(F1909="", "", INDEX(_xlws.FILTER(Hairstyles!$F:$F, ISNUMBER(SEARCH(F1909, Hairstyles!$B:$B))), 1)), "No Spell for Hairstyle"),
  _xlpm.vanillaPrefix, IF(LEFT(_xlpm.spell, 7)="Uvi_Wig", "", ";"),
  ";" &amp; IF(C1909="", B1909, C1909) &amp; IF(M1909="", "", " ("&amp;M1909&amp;")") &amp; CHAR(10) &amp;
  _xlpm.vanillaPrefix &amp; "Keyword = Uvi_Wig_Distr_KYWD|" &amp; B1909 &amp; CHAR(10) &amp;
  _xlpm.vanillaPrefix &amp; "Spell = " &amp; _xlpm.spell &amp; "|" &amp; B1909
  )
)</f>
        <v>;DLC1EncVampire02DarkElfF
;Keyword = Uvi_Wig_Distr_KYWD|DLC1EncVampire02DarkElfF
;Spell = No Spell for Hairstyle|DLC1EncVampire02DarkElfF</v>
      </c>
    </row>
    <row r="1910" ht="12.75" customHeight="1">
      <c r="A1910" s="15" t="s">
        <v>6187</v>
      </c>
      <c r="B1910" s="5" t="s">
        <v>6188</v>
      </c>
      <c r="D1910" s="5" t="s">
        <v>79</v>
      </c>
      <c r="E1910" s="5" t="s">
        <v>41</v>
      </c>
      <c r="F1910" s="5" t="s">
        <v>1041</v>
      </c>
      <c r="G1910" s="14" t="str">
        <f t="array" ref="G1910">IF(B1910="", "",
  LET(_xlpm.spell, IFERROR(IF(F1910="", "", INDEX(_xlws.FILTER(Hairstyles!$F:$F, ISNUMBER(SEARCH(F1910, Hairstyles!$B:$B))), 1)), "No Spell for Hairstyle"),
  _xlpm.vanillaPrefix, IF(LEFT(_xlpm.spell, 7)="Uvi_Wig", "", ";"),
  ";" &amp; IF(C1910="", B1910, C1910) &amp; IF(M1910="", "", " ("&amp;M1910&amp;")") &amp; CHAR(10) &amp;
  _xlpm.vanillaPrefix &amp; "Keyword = Uvi_Wig_Distr_KYWD|" &amp; B1910 &amp; CHAR(10) &amp;
  _xlpm.vanillaPrefix &amp; "Spell = " &amp; _xlpm.spell &amp; "|" &amp; B1910
  )
)</f>
        <v>;DLC1EncVampire02NordF
;Keyword = Uvi_Wig_Distr_KYWD|DLC1EncVampire02NordF
;Spell = No Spell for Hairstyle|DLC1EncVampire02NordF</v>
      </c>
    </row>
    <row r="1911" ht="12.75" customHeight="1">
      <c r="A1911" s="5" t="s">
        <v>6189</v>
      </c>
      <c r="B1911" s="5" t="s">
        <v>6190</v>
      </c>
      <c r="D1911" s="5" t="s">
        <v>34</v>
      </c>
      <c r="E1911" s="5" t="s">
        <v>41</v>
      </c>
      <c r="F1911" s="5" t="s">
        <v>1041</v>
      </c>
      <c r="G1911" s="14" t="str">
        <f t="array" ref="G1911">IF(B1911="", "",
  LET(_xlpm.spell, IFERROR(IF(F1911="", "", INDEX(_xlws.FILTER(Hairstyles!$F:$F, ISNUMBER(SEARCH(F1911, Hairstyles!$B:$B))), 1)), "No Spell for Hairstyle"),
  _xlpm.vanillaPrefix, IF(LEFT(_xlpm.spell, 7)="Uvi_Wig", "", ";"),
  ";" &amp; IF(C1911="", B1911, C1911) &amp; IF(M1911="", "", " ("&amp;M1911&amp;")") &amp; CHAR(10) &amp;
  _xlpm.vanillaPrefix &amp; "Keyword = Uvi_Wig_Distr_KYWD|" &amp; B1911 &amp; CHAR(10) &amp;
  _xlpm.vanillaPrefix &amp; "Spell = " &amp; _xlpm.spell &amp; "|" &amp; B1911
  )
)</f>
        <v>;DLC1EncVampire03BretonF
;Keyword = Uvi_Wig_Distr_KYWD|DLC1EncVampire03BretonF
;Spell = No Spell for Hairstyle|DLC1EncVampire03BretonF</v>
      </c>
    </row>
    <row r="1912" ht="12.75" customHeight="1">
      <c r="A1912" s="5" t="s">
        <v>6191</v>
      </c>
      <c r="B1912" s="5" t="s">
        <v>6192</v>
      </c>
      <c r="D1912" s="5" t="s">
        <v>50</v>
      </c>
      <c r="E1912" s="5" t="s">
        <v>41</v>
      </c>
      <c r="F1912" s="5" t="s">
        <v>4274</v>
      </c>
      <c r="G1912" s="14" t="str">
        <f t="array" ref="G1912">IF(B1912="", "",
  LET(_xlpm.spell, IFERROR(IF(F1912="", "", INDEX(_xlws.FILTER(Hairstyles!$F:$F, ISNUMBER(SEARCH(F1912, Hairstyles!$B:$B))), 1)), "No Spell for Hairstyle"),
  _xlpm.vanillaPrefix, IF(LEFT(_xlpm.spell, 7)="Uvi_Wig", "", ";"),
  ";" &amp; IF(C1912="", B1912, C1912) &amp; IF(M1912="", "", " ("&amp;M1912&amp;")") &amp; CHAR(10) &amp;
  _xlpm.vanillaPrefix &amp; "Keyword = Uvi_Wig_Distr_KYWD|" &amp; B1912 &amp; CHAR(10) &amp;
  _xlpm.vanillaPrefix &amp; "Spell = " &amp; _xlpm.spell &amp; "|" &amp; B1912
  )
)</f>
        <v>;DLC1EncVampire03DarkElfF
;Keyword = Uvi_Wig_Distr_KYWD|DLC1EncVampire03DarkElfF
;Spell = No Spell for Hairstyle|DLC1EncVampire03DarkElfF</v>
      </c>
    </row>
    <row r="1913" ht="12.75" customHeight="1">
      <c r="A1913" s="5" t="s">
        <v>6193</v>
      </c>
      <c r="B1913" s="5" t="s">
        <v>6194</v>
      </c>
      <c r="D1913" s="5" t="s">
        <v>79</v>
      </c>
      <c r="E1913" s="5" t="s">
        <v>41</v>
      </c>
      <c r="F1913" s="5" t="s">
        <v>2118</v>
      </c>
      <c r="G1913" s="14" t="str">
        <f t="array" ref="G1913">IF(B1913="", "",
  LET(_xlpm.spell, IFERROR(IF(F1913="", "", INDEX(_xlws.FILTER(Hairstyles!$F:$F, ISNUMBER(SEARCH(F1913, Hairstyles!$B:$B))), 1)), "No Spell for Hairstyle"),
  _xlpm.vanillaPrefix, IF(LEFT(_xlpm.spell, 7)="Uvi_Wig", "", ";"),
  ";" &amp; IF(C1913="", B1913, C1913) &amp; IF(M1913="", "", " ("&amp;M1913&amp;")") &amp; CHAR(10) &amp;
  _xlpm.vanillaPrefix &amp; "Keyword = Uvi_Wig_Distr_KYWD|" &amp; B1913 &amp; CHAR(10) &amp;
  _xlpm.vanillaPrefix &amp; "Spell = " &amp; _xlpm.spell &amp; "|" &amp; B1913
  )
)</f>
        <v>;DLC1EncVampire03NordF
;Keyword = Uvi_Wig_Distr_KYWD|DLC1EncVampire03NordF
;Spell = No Spell for Hairstyle|DLC1EncVampire03NordF</v>
      </c>
    </row>
    <row r="1914" ht="12.75" customHeight="1">
      <c r="A1914" s="5" t="s">
        <v>6195</v>
      </c>
      <c r="B1914" s="5" t="s">
        <v>6196</v>
      </c>
      <c r="D1914" s="5" t="s">
        <v>34</v>
      </c>
      <c r="E1914" s="5" t="s">
        <v>41</v>
      </c>
      <c r="F1914" s="5" t="s">
        <v>1596</v>
      </c>
      <c r="G1914" s="14" t="str">
        <f t="array" ref="G1914">IF(B1914="", "",
  LET(_xlpm.spell, IFERROR(IF(F1914="", "", INDEX(_xlws.FILTER(Hairstyles!$F:$F, ISNUMBER(SEARCH(F1914, Hairstyles!$B:$B))), 1)), "No Spell for Hairstyle"),
  _xlpm.vanillaPrefix, IF(LEFT(_xlpm.spell, 7)="Uvi_Wig", "", ";"),
  ";" &amp; IF(C1914="", B1914, C1914) &amp; IF(M1914="", "", " ("&amp;M1914&amp;")") &amp; CHAR(10) &amp;
  _xlpm.vanillaPrefix &amp; "Keyword = Uvi_Wig_Distr_KYWD|" &amp; B1914 &amp; CHAR(10) &amp;
  _xlpm.vanillaPrefix &amp; "Spell = " &amp; _xlpm.spell &amp; "|" &amp; B1914
  )
)</f>
        <v>;DLC1EncVampire04BretonF
;Keyword = Uvi_Wig_Distr_KYWD|DLC1EncVampire04BretonF
;Spell = No Spell for Hairstyle|DLC1EncVampire04BretonF</v>
      </c>
    </row>
    <row r="1915" ht="12.75" customHeight="1">
      <c r="A1915" s="5" t="s">
        <v>6197</v>
      </c>
      <c r="B1915" s="5" t="s">
        <v>6198</v>
      </c>
      <c r="D1915" s="5" t="s">
        <v>50</v>
      </c>
      <c r="E1915" s="5" t="s">
        <v>41</v>
      </c>
      <c r="F1915" s="5" t="s">
        <v>1656</v>
      </c>
      <c r="G1915" s="14" t="str">
        <f t="array" ref="G1915">IF(B1915="", "",
  LET(_xlpm.spell, IFERROR(IF(F1915="", "", INDEX(_xlws.FILTER(Hairstyles!$F:$F, ISNUMBER(SEARCH(F1915, Hairstyles!$B:$B))), 1)), "No Spell for Hairstyle"),
  _xlpm.vanillaPrefix, IF(LEFT(_xlpm.spell, 7)="Uvi_Wig", "", ";"),
  ";" &amp; IF(C1915="", B1915, C1915) &amp; IF(M1915="", "", " ("&amp;M1915&amp;")") &amp; CHAR(10) &amp;
  _xlpm.vanillaPrefix &amp; "Keyword = Uvi_Wig_Distr_KYWD|" &amp; B1915 &amp; CHAR(10) &amp;
  _xlpm.vanillaPrefix &amp; "Spell = " &amp; _xlpm.spell &amp; "|" &amp; B1915
  )
)</f>
        <v>;DLC1EncVampire04DarkElfF
;Keyword = Uvi_Wig_Distr_KYWD|DLC1EncVampire04DarkElfF
;Spell = No Spell for Hairstyle|DLC1EncVampire04DarkElfF</v>
      </c>
    </row>
    <row r="1916" ht="12.75" customHeight="1">
      <c r="A1916" s="5" t="s">
        <v>6199</v>
      </c>
      <c r="B1916" s="5" t="s">
        <v>6200</v>
      </c>
      <c r="D1916" s="5" t="s">
        <v>79</v>
      </c>
      <c r="E1916" s="5" t="s">
        <v>41</v>
      </c>
      <c r="F1916" s="5" t="s">
        <v>270</v>
      </c>
      <c r="G1916" s="14" t="str">
        <f t="array" ref="G1916">IF(B1916="", "",
  LET(_xlpm.spell, IFERROR(IF(F1916="", "", INDEX(_xlws.FILTER(Hairstyles!$F:$F, ISNUMBER(SEARCH(F1916, Hairstyles!$B:$B))), 1)), "No Spell for Hairstyle"),
  _xlpm.vanillaPrefix, IF(LEFT(_xlpm.spell, 7)="Uvi_Wig", "", ";"),
  ";" &amp; IF(C1916="", B1916, C1916) &amp; IF(M1916="", "", " ("&amp;M1916&amp;")") &amp; CHAR(10) &amp;
  _xlpm.vanillaPrefix &amp; "Keyword = Uvi_Wig_Distr_KYWD|" &amp; B1916 &amp; CHAR(10) &amp;
  _xlpm.vanillaPrefix &amp; "Spell = " &amp; _xlpm.spell &amp; "|" &amp; B1916
  )
)</f>
        <v>;DLC1EncVampire04NordF
;Keyword = Uvi_Wig_Distr_KYWD|DLC1EncVampire04NordF
;Spell = No Spell for Hairstyle|DLC1EncVampire04NordF</v>
      </c>
    </row>
    <row r="1917" ht="12.75" customHeight="1">
      <c r="A1917" s="5" t="s">
        <v>6201</v>
      </c>
      <c r="B1917" s="5" t="s">
        <v>6202</v>
      </c>
      <c r="D1917" s="5" t="s">
        <v>34</v>
      </c>
      <c r="E1917" s="5" t="s">
        <v>41</v>
      </c>
      <c r="F1917" s="5" t="s">
        <v>1996</v>
      </c>
      <c r="G1917" s="14" t="str">
        <f t="array" ref="G1917">IF(B1917="", "",
  LET(_xlpm.spell, IFERROR(IF(F1917="", "", INDEX(_xlws.FILTER(Hairstyles!$F:$F, ISNUMBER(SEARCH(F1917, Hairstyles!$B:$B))), 1)), "No Spell for Hairstyle"),
  _xlpm.vanillaPrefix, IF(LEFT(_xlpm.spell, 7)="Uvi_Wig", "", ";"),
  ";" &amp; IF(C1917="", B1917, C1917) &amp; IF(M1917="", "", " ("&amp;M1917&amp;")") &amp; CHAR(10) &amp;
  _xlpm.vanillaPrefix &amp; "Keyword = Uvi_Wig_Distr_KYWD|" &amp; B1917 &amp; CHAR(10) &amp;
  _xlpm.vanillaPrefix &amp; "Spell = " &amp; _xlpm.spell &amp; "|" &amp; B1917
  )
)</f>
        <v>;DLC1EncVampire05BretonF
;Keyword = Uvi_Wig_Distr_KYWD|DLC1EncVampire05BretonF
;Spell = No Spell for Hairstyle|DLC1EncVampire05BretonF</v>
      </c>
    </row>
    <row r="1918" ht="12.75" customHeight="1">
      <c r="A1918" s="5" t="s">
        <v>6203</v>
      </c>
      <c r="B1918" s="5" t="s">
        <v>6204</v>
      </c>
      <c r="D1918" s="5" t="s">
        <v>50</v>
      </c>
      <c r="E1918" s="5" t="s">
        <v>41</v>
      </c>
      <c r="F1918" s="5" t="s">
        <v>2096</v>
      </c>
      <c r="G1918" s="14" t="str">
        <f t="array" ref="G1918">IF(B1918="", "",
  LET(_xlpm.spell, IFERROR(IF(F1918="", "", INDEX(_xlws.FILTER(Hairstyles!$F:$F, ISNUMBER(SEARCH(F1918, Hairstyles!$B:$B))), 1)), "No Spell for Hairstyle"),
  _xlpm.vanillaPrefix, IF(LEFT(_xlpm.spell, 7)="Uvi_Wig", "", ";"),
  ";" &amp; IF(C1918="", B1918, C1918) &amp; IF(M1918="", "", " ("&amp;M1918&amp;")") &amp; CHAR(10) &amp;
  _xlpm.vanillaPrefix &amp; "Keyword = Uvi_Wig_Distr_KYWD|" &amp; B1918 &amp; CHAR(10) &amp;
  _xlpm.vanillaPrefix &amp; "Spell = " &amp; _xlpm.spell &amp; "|" &amp; B1918
  )
)</f>
        <v>;DLC1EncVampire05DarkElfF
;Keyword = Uvi_Wig_Distr_KYWD|DLC1EncVampire05DarkElfF
;Spell = No Spell for Hairstyle|DLC1EncVampire05DarkElfF</v>
      </c>
    </row>
    <row r="1919" ht="12.75" customHeight="1">
      <c r="A1919" s="5" t="s">
        <v>6205</v>
      </c>
      <c r="B1919" s="5" t="s">
        <v>6206</v>
      </c>
      <c r="D1919" s="5" t="s">
        <v>79</v>
      </c>
      <c r="E1919" s="5" t="s">
        <v>41</v>
      </c>
      <c r="F1919" s="5" t="s">
        <v>1996</v>
      </c>
      <c r="G1919" s="14" t="str">
        <f t="array" ref="G1919">IF(B1919="", "",
  LET(_xlpm.spell, IFERROR(IF(F1919="", "", INDEX(_xlws.FILTER(Hairstyles!$F:$F, ISNUMBER(SEARCH(F1919, Hairstyles!$B:$B))), 1)), "No Spell for Hairstyle"),
  _xlpm.vanillaPrefix, IF(LEFT(_xlpm.spell, 7)="Uvi_Wig", "", ";"),
  ";" &amp; IF(C1919="", B1919, C1919) &amp; IF(M1919="", "", " ("&amp;M1919&amp;")") &amp; CHAR(10) &amp;
  _xlpm.vanillaPrefix &amp; "Keyword = Uvi_Wig_Distr_KYWD|" &amp; B1919 &amp; CHAR(10) &amp;
  _xlpm.vanillaPrefix &amp; "Spell = " &amp; _xlpm.spell &amp; "|" &amp; B1919
  )
)</f>
        <v>;DLC1EncVampire05NordF
;Keyword = Uvi_Wig_Distr_KYWD|DLC1EncVampire05NordF
;Spell = No Spell for Hairstyle|DLC1EncVampire05NordF</v>
      </c>
    </row>
    <row r="1920" ht="12.75" customHeight="1">
      <c r="A1920" s="5" t="s">
        <v>6207</v>
      </c>
      <c r="B1920" s="5" t="s">
        <v>6208</v>
      </c>
      <c r="D1920" s="5" t="s">
        <v>34</v>
      </c>
      <c r="E1920" s="5" t="s">
        <v>41</v>
      </c>
      <c r="F1920" s="5" t="s">
        <v>905</v>
      </c>
      <c r="G1920" s="14" t="str">
        <f t="array" ref="G1920">IF(B1920="", "",
  LET(_xlpm.spell, IFERROR(IF(F1920="", "", INDEX(_xlws.FILTER(Hairstyles!$F:$F, ISNUMBER(SEARCH(F1920, Hairstyles!$B:$B))), 1)), "No Spell for Hairstyle"),
  _xlpm.vanillaPrefix, IF(LEFT(_xlpm.spell, 7)="Uvi_Wig", "", ";"),
  ";" &amp; IF(C1920="", B1920, C1920) &amp; IF(M1920="", "", " ("&amp;M1920&amp;")") &amp; CHAR(10) &amp;
  _xlpm.vanillaPrefix &amp; "Keyword = Uvi_Wig_Distr_KYWD|" &amp; B1920 &amp; CHAR(10) &amp;
  _xlpm.vanillaPrefix &amp; "Spell = " &amp; _xlpm.spell &amp; "|" &amp; B1920
  )
)</f>
        <v>;DLC1EncVampire06BretonF
;Keyword = Uvi_Wig_Distr_KYWD|DLC1EncVampire06BretonF
;Spell = No Spell for Hairstyle|DLC1EncVampire06BretonF</v>
      </c>
    </row>
    <row r="1921" ht="12.75" customHeight="1">
      <c r="A1921" s="5" t="s">
        <v>6209</v>
      </c>
      <c r="B1921" s="5" t="s">
        <v>6210</v>
      </c>
      <c r="D1921" s="5" t="s">
        <v>50</v>
      </c>
      <c r="E1921" s="5" t="s">
        <v>41</v>
      </c>
      <c r="F1921" s="5" t="s">
        <v>2577</v>
      </c>
      <c r="G1921" s="14" t="str">
        <f t="array" ref="G1921">IF(B1921="", "",
  LET(_xlpm.spell, IFERROR(IF(F1921="", "", INDEX(_xlws.FILTER(Hairstyles!$F:$F, ISNUMBER(SEARCH(F1921, Hairstyles!$B:$B))), 1)), "No Spell for Hairstyle"),
  _xlpm.vanillaPrefix, IF(LEFT(_xlpm.spell, 7)="Uvi_Wig", "", ";"),
  ";" &amp; IF(C1921="", B1921, C1921) &amp; IF(M1921="", "", " ("&amp;M1921&amp;")") &amp; CHAR(10) &amp;
  _xlpm.vanillaPrefix &amp; "Keyword = Uvi_Wig_Distr_KYWD|" &amp; B1921 &amp; CHAR(10) &amp;
  _xlpm.vanillaPrefix &amp; "Spell = " &amp; _xlpm.spell &amp; "|" &amp; B1921
  )
)</f>
        <v>;DLC1EncVampire06DarkElfF
;Keyword = Uvi_Wig_Distr_KYWD|DLC1EncVampire06DarkElfF
;Spell = No Spell for Hairstyle|DLC1EncVampire06DarkElfF</v>
      </c>
    </row>
    <row r="1922" ht="12.75" customHeight="1">
      <c r="A1922" s="5" t="s">
        <v>6211</v>
      </c>
      <c r="B1922" s="5" t="s">
        <v>6212</v>
      </c>
      <c r="D1922" s="5" t="s">
        <v>79</v>
      </c>
      <c r="E1922" s="5" t="s">
        <v>41</v>
      </c>
      <c r="F1922" s="5" t="s">
        <v>1694</v>
      </c>
      <c r="G1922" s="14" t="str">
        <f t="array" ref="G1922">IF(B1922="", "",
  LET(_xlpm.spell, IFERROR(IF(F1922="", "", INDEX(_xlws.FILTER(Hairstyles!$F:$F, ISNUMBER(SEARCH(F1922, Hairstyles!$B:$B))), 1)), "No Spell for Hairstyle"),
  _xlpm.vanillaPrefix, IF(LEFT(_xlpm.spell, 7)="Uvi_Wig", "", ";"),
  ";" &amp; IF(C1922="", B1922, C1922) &amp; IF(M1922="", "", " ("&amp;M1922&amp;")") &amp; CHAR(10) &amp;
  _xlpm.vanillaPrefix &amp; "Keyword = Uvi_Wig_Distr_KYWD|" &amp; B1922 &amp; CHAR(10) &amp;
  _xlpm.vanillaPrefix &amp; "Spell = " &amp; _xlpm.spell &amp; "|" &amp; B1922
  )
)</f>
        <v>;DLC1EncVampire06NordF
;Keyword = Uvi_Wig_Distr_KYWD|DLC1EncVampire06NordF
;Spell = No Spell for Hairstyle|DLC1EncVampire06NordF</v>
      </c>
    </row>
    <row r="1923" ht="12.75" customHeight="1">
      <c r="A1923" s="15" t="s">
        <v>6213</v>
      </c>
      <c r="B1923" s="5" t="s">
        <v>6214</v>
      </c>
      <c r="D1923" s="5" t="s">
        <v>34</v>
      </c>
      <c r="E1923" s="5" t="s">
        <v>233</v>
      </c>
      <c r="F1923" s="5" t="s">
        <v>990</v>
      </c>
      <c r="G1923" s="14" t="str">
        <f t="array" ref="G1923">IF(B1923="", "",
  LET(_xlpm.spell, IFERROR(IF(F1923="", "", INDEX(_xlws.FILTER(Hairstyles!$F:$F, ISNUMBER(SEARCH(F1923, Hairstyles!$B:$B))), 1)), "No Spell for Hairstyle"),
  _xlpm.vanillaPrefix, IF(LEFT(_xlpm.spell, 7)="Uvi_Wig", "", ";"),
  ";" &amp; IF(C1923="", B1923, C1923) &amp; IF(M1923="", "", " ("&amp;M1923&amp;")") &amp; CHAR(10) &amp;
  _xlpm.vanillaPrefix &amp; "Keyword = Uvi_Wig_Distr_KYWD|" &amp; B1923 &amp; CHAR(10) &amp;
  _xlpm.vanillaPrefix &amp; "Spell = " &amp; _xlpm.spell &amp; "|" &amp; B1923
  )
)</f>
        <v>;DLC1EncVampire07BossBretonM
;Keyword = Uvi_Wig_Distr_KYWD|DLC1EncVampire07BossBretonM
;Spell = No Spell for Hairstyle|DLC1EncVampire07BossBretonM</v>
      </c>
    </row>
    <row r="1924" ht="12.75" customHeight="1">
      <c r="A1924" s="15" t="s">
        <v>6215</v>
      </c>
      <c r="B1924" s="5" t="s">
        <v>6216</v>
      </c>
      <c r="D1924" s="5" t="s">
        <v>50</v>
      </c>
      <c r="E1924" s="5" t="s">
        <v>233</v>
      </c>
      <c r="F1924" s="5" t="s">
        <v>2583</v>
      </c>
      <c r="G1924" s="14" t="str">
        <f t="array" ref="G1924">IF(B1924="", "",
  LET(_xlpm.spell, IFERROR(IF(F1924="", "", INDEX(_xlws.FILTER(Hairstyles!$F:$F, ISNUMBER(SEARCH(F1924, Hairstyles!$B:$B))), 1)), "No Spell for Hairstyle"),
  _xlpm.vanillaPrefix, IF(LEFT(_xlpm.spell, 7)="Uvi_Wig", "", ";"),
  ";" &amp; IF(C1924="", B1924, C1924) &amp; IF(M1924="", "", " ("&amp;M1924&amp;")") &amp; CHAR(10) &amp;
  _xlpm.vanillaPrefix &amp; "Keyword = Uvi_Wig_Distr_KYWD|" &amp; B1924 &amp; CHAR(10) &amp;
  _xlpm.vanillaPrefix &amp; "Spell = " &amp; _xlpm.spell &amp; "|" &amp; B1924
  )
)</f>
        <v>;DLC1EncVampire07BossDarkElfM
;Keyword = Uvi_Wig_Distr_KYWD|DLC1EncVampire07BossDarkElfM
;Spell = No Spell for Hairstyle|DLC1EncVampire07BossDarkElfM</v>
      </c>
    </row>
    <row r="1925" ht="12.75" customHeight="1">
      <c r="A1925" s="15" t="s">
        <v>6217</v>
      </c>
      <c r="B1925" s="5" t="s">
        <v>6218</v>
      </c>
      <c r="D1925" s="5" t="s">
        <v>58</v>
      </c>
      <c r="E1925" s="5" t="s">
        <v>233</v>
      </c>
      <c r="F1925" s="5" t="s">
        <v>534</v>
      </c>
      <c r="G1925" s="14" t="str">
        <f t="array" ref="G1925">IF(B1925="", "",
  LET(_xlpm.spell, IFERROR(IF(F1925="", "", INDEX(_xlws.FILTER(Hairstyles!$F:$F, ISNUMBER(SEARCH(F1925, Hairstyles!$B:$B))), 1)), "No Spell for Hairstyle"),
  _xlpm.vanillaPrefix, IF(LEFT(_xlpm.spell, 7)="Uvi_Wig", "", ";"),
  ";" &amp; IF(C1925="", B1925, C1925) &amp; IF(M1925="", "", " ("&amp;M1925&amp;")") &amp; CHAR(10) &amp;
  _xlpm.vanillaPrefix &amp; "Keyword = Uvi_Wig_Distr_KYWD|" &amp; B1925 &amp; CHAR(10) &amp;
  _xlpm.vanillaPrefix &amp; "Spell = " &amp; _xlpm.spell &amp; "|" &amp; B1925
  )
)</f>
        <v>;DLC1EncVampire07BossHighElfM
;Keyword = Uvi_Wig_Distr_KYWD|DLC1EncVampire07BossHighElfM
;Spell = No Spell for Hairstyle|DLC1EncVampire07BossHighElfM</v>
      </c>
    </row>
    <row r="1926" ht="12.75" customHeight="1">
      <c r="A1926" s="15" t="s">
        <v>6219</v>
      </c>
      <c r="B1926" s="5" t="s">
        <v>6220</v>
      </c>
      <c r="D1926" s="5" t="s">
        <v>63</v>
      </c>
      <c r="E1926" s="5" t="s">
        <v>233</v>
      </c>
      <c r="F1926" s="5" t="s">
        <v>695</v>
      </c>
      <c r="G1926" s="14" t="str">
        <f t="array" ref="G1926">IF(B1926="", "",
  LET(_xlpm.spell, IFERROR(IF(F1926="", "", INDEX(_xlws.FILTER(Hairstyles!$F:$F, ISNUMBER(SEARCH(F1926, Hairstyles!$B:$B))), 1)), "No Spell for Hairstyle"),
  _xlpm.vanillaPrefix, IF(LEFT(_xlpm.spell, 7)="Uvi_Wig", "", ";"),
  ";" &amp; IF(C1926="", B1926, C1926) &amp; IF(M1926="", "", " ("&amp;M1926&amp;")") &amp; CHAR(10) &amp;
  _xlpm.vanillaPrefix &amp; "Keyword = Uvi_Wig_Distr_KYWD|" &amp; B1926 &amp; CHAR(10) &amp;
  _xlpm.vanillaPrefix &amp; "Spell = " &amp; _xlpm.spell &amp; "|" &amp; B1926
  )
)</f>
        <v>;DLC1EncVampire07BossImperialM
;Keyword = Uvi_Wig_Distr_KYWD|DLC1EncVampire07BossImperialM
;Spell = No Spell for Hairstyle|DLC1EncVampire07BossImperialM</v>
      </c>
    </row>
    <row r="1927" ht="12.75" customHeight="1">
      <c r="A1927" s="15" t="s">
        <v>6221</v>
      </c>
      <c r="B1927" s="5" t="s">
        <v>6222</v>
      </c>
      <c r="D1927" s="5" t="s">
        <v>79</v>
      </c>
      <c r="E1927" s="5" t="s">
        <v>233</v>
      </c>
      <c r="F1927" s="5" t="s">
        <v>990</v>
      </c>
      <c r="G1927" s="14" t="str">
        <f t="array" ref="G1927">IF(B1927="", "",
  LET(_xlpm.spell, IFERROR(IF(F1927="", "", INDEX(_xlws.FILTER(Hairstyles!$F:$F, ISNUMBER(SEARCH(F1927, Hairstyles!$B:$B))), 1)), "No Spell for Hairstyle"),
  _xlpm.vanillaPrefix, IF(LEFT(_xlpm.spell, 7)="Uvi_Wig", "", ";"),
  ";" &amp; IF(C1927="", B1927, C1927) &amp; IF(M1927="", "", " ("&amp;M1927&amp;")") &amp; CHAR(10) &amp;
  _xlpm.vanillaPrefix &amp; "Keyword = Uvi_Wig_Distr_KYWD|" &amp; B1927 &amp; CHAR(10) &amp;
  _xlpm.vanillaPrefix &amp; "Spell = " &amp; _xlpm.spell &amp; "|" &amp; B1927
  )
)</f>
        <v>;DLC1EncVampire07BossNordM
;Keyword = Uvi_Wig_Distr_KYWD|DLC1EncVampire07BossNordM
;Spell = No Spell for Hairstyle|DLC1EncVampire07BossNordM</v>
      </c>
    </row>
    <row r="1928" ht="12.75" customHeight="1">
      <c r="A1928" s="5" t="s">
        <v>6223</v>
      </c>
      <c r="B1928" s="5" t="s">
        <v>6224</v>
      </c>
      <c r="D1928" s="5" t="s">
        <v>34</v>
      </c>
      <c r="E1928" s="5" t="s">
        <v>41</v>
      </c>
      <c r="F1928" s="5" t="s">
        <v>1596</v>
      </c>
      <c r="G1928" s="14" t="str">
        <f t="array" ref="G1928">IF(B1928="", "",
  LET(_xlpm.spell, IFERROR(IF(F1928="", "", INDEX(_xlws.FILTER(Hairstyles!$F:$F, ISNUMBER(SEARCH(F1928, Hairstyles!$B:$B))), 1)), "No Spell for Hairstyle"),
  _xlpm.vanillaPrefix, IF(LEFT(_xlpm.spell, 7)="Uvi_Wig", "", ";"),
  ";" &amp; IF(C1928="", B1928, C1928) &amp; IF(M1928="", "", " ("&amp;M1928&amp;")") &amp; CHAR(10) &amp;
  _xlpm.vanillaPrefix &amp; "Keyword = Uvi_Wig_Distr_KYWD|" &amp; B1928 &amp; CHAR(10) &amp;
  _xlpm.vanillaPrefix &amp; "Spell = " &amp; _xlpm.spell &amp; "|" &amp; B1928
  )
)</f>
        <v>;DLC1EncVampire07BretonF
;Keyword = Uvi_Wig_Distr_KYWD|DLC1EncVampire07BretonF
;Spell = No Spell for Hairstyle|DLC1EncVampire07BretonF</v>
      </c>
    </row>
    <row r="1929" ht="12.75" customHeight="1">
      <c r="A1929" s="5" t="s">
        <v>6225</v>
      </c>
      <c r="B1929" s="5" t="s">
        <v>6226</v>
      </c>
      <c r="D1929" s="5" t="s">
        <v>34</v>
      </c>
      <c r="E1929" s="5" t="s">
        <v>41</v>
      </c>
      <c r="F1929" s="5" t="s">
        <v>1596</v>
      </c>
      <c r="G1929" s="14" t="str">
        <f t="array" ref="G1929">IF(B1929="", "",
  LET(_xlpm.spell, IFERROR(IF(F1929="", "", INDEX(_xlws.FILTER(Hairstyles!$F:$F, ISNUMBER(SEARCH(F1929, Hairstyles!$B:$B))), 1)), "No Spell for Hairstyle"),
  _xlpm.vanillaPrefix, IF(LEFT(_xlpm.spell, 7)="Uvi_Wig", "", ";"),
  ";" &amp; IF(C1929="", B1929, C1929) &amp; IF(M1929="", "", " ("&amp;M1929&amp;")") &amp; CHAR(10) &amp;
  _xlpm.vanillaPrefix &amp; "Keyword = Uvi_Wig_Distr_KYWD|" &amp; B1929 &amp; CHAR(10) &amp;
  _xlpm.vanillaPrefix &amp; "Spell = " &amp; _xlpm.spell &amp; "|" &amp; B1929
  )
)</f>
        <v>;DLC1EncVampire07BretonFAlt
;Keyword = Uvi_Wig_Distr_KYWD|DLC1EncVampire07BretonFAlt
;Spell = No Spell for Hairstyle|DLC1EncVampire07BretonFAlt</v>
      </c>
    </row>
    <row r="1930" ht="12.75" customHeight="1">
      <c r="A1930" s="5" t="s">
        <v>6227</v>
      </c>
      <c r="B1930" s="5" t="s">
        <v>6228</v>
      </c>
      <c r="D1930" s="5" t="s">
        <v>50</v>
      </c>
      <c r="E1930" s="5" t="s">
        <v>41</v>
      </c>
      <c r="F1930" s="5" t="s">
        <v>2577</v>
      </c>
      <c r="G1930" s="14" t="str">
        <f t="array" ref="G1930">IF(B1930="", "",
  LET(_xlpm.spell, IFERROR(IF(F1930="", "", INDEX(_xlws.FILTER(Hairstyles!$F:$F, ISNUMBER(SEARCH(F1930, Hairstyles!$B:$B))), 1)), "No Spell for Hairstyle"),
  _xlpm.vanillaPrefix, IF(LEFT(_xlpm.spell, 7)="Uvi_Wig", "", ";"),
  ";" &amp; IF(C1930="", B1930, C1930) &amp; IF(M1930="", "", " ("&amp;M1930&amp;")") &amp; CHAR(10) &amp;
  _xlpm.vanillaPrefix &amp; "Keyword = Uvi_Wig_Distr_KYWD|" &amp; B1930 &amp; CHAR(10) &amp;
  _xlpm.vanillaPrefix &amp; "Spell = " &amp; _xlpm.spell &amp; "|" &amp; B1930
  )
)</f>
        <v>;DLC1EncVampire07DarkElfF
;Keyword = Uvi_Wig_Distr_KYWD|DLC1EncVampire07DarkElfF
;Spell = No Spell for Hairstyle|DLC1EncVampire07DarkElfF</v>
      </c>
    </row>
    <row r="1931" ht="12.75" customHeight="1">
      <c r="A1931" s="5" t="s">
        <v>6229</v>
      </c>
      <c r="B1931" s="5" t="s">
        <v>6230</v>
      </c>
      <c r="D1931" s="5" t="s">
        <v>50</v>
      </c>
      <c r="E1931" s="5" t="s">
        <v>41</v>
      </c>
      <c r="F1931" s="5" t="s">
        <v>2577</v>
      </c>
      <c r="G1931" s="14" t="str">
        <f t="array" ref="G1931">IF(B1931="", "",
  LET(_xlpm.spell, IFERROR(IF(F1931="", "", INDEX(_xlws.FILTER(Hairstyles!$F:$F, ISNUMBER(SEARCH(F1931, Hairstyles!$B:$B))), 1)), "No Spell for Hairstyle"),
  _xlpm.vanillaPrefix, IF(LEFT(_xlpm.spell, 7)="Uvi_Wig", "", ";"),
  ";" &amp; IF(C1931="", B1931, C1931) &amp; IF(M1931="", "", " ("&amp;M1931&amp;")") &amp; CHAR(10) &amp;
  _xlpm.vanillaPrefix &amp; "Keyword = Uvi_Wig_Distr_KYWD|" &amp; B1931 &amp; CHAR(10) &amp;
  _xlpm.vanillaPrefix &amp; "Spell = " &amp; _xlpm.spell &amp; "|" &amp; B1931
  )
)</f>
        <v>;DLC1EncVampire07DarkElfFAlt
;Keyword = Uvi_Wig_Distr_KYWD|DLC1EncVampire07DarkElfFAlt
;Spell = No Spell for Hairstyle|DLC1EncVampire07DarkElfFAlt</v>
      </c>
    </row>
    <row r="1932" ht="12.75" customHeight="1">
      <c r="A1932" s="5" t="s">
        <v>6231</v>
      </c>
      <c r="B1932" s="5" t="s">
        <v>6232</v>
      </c>
      <c r="D1932" s="5" t="s">
        <v>58</v>
      </c>
      <c r="E1932" s="5" t="s">
        <v>41</v>
      </c>
      <c r="F1932" s="5" t="s">
        <v>4274</v>
      </c>
      <c r="G1932" s="14" t="str">
        <f t="array" ref="G1932">IF(B1932="", "",
  LET(_xlpm.spell, IFERROR(IF(F1932="", "", INDEX(_xlws.FILTER(Hairstyles!$F:$F, ISNUMBER(SEARCH(F1932, Hairstyles!$B:$B))), 1)), "No Spell for Hairstyle"),
  _xlpm.vanillaPrefix, IF(LEFT(_xlpm.spell, 7)="Uvi_Wig", "", ";"),
  ";" &amp; IF(C1932="", B1932, C1932) &amp; IF(M1932="", "", " ("&amp;M1932&amp;")") &amp; CHAR(10) &amp;
  _xlpm.vanillaPrefix &amp; "Keyword = Uvi_Wig_Distr_KYWD|" &amp; B1932 &amp; CHAR(10) &amp;
  _xlpm.vanillaPrefix &amp; "Spell = " &amp; _xlpm.spell &amp; "|" &amp; B1932
  )
)</f>
        <v>;DLC1EncVampire07HighElfF
;Keyword = Uvi_Wig_Distr_KYWD|DLC1EncVampire07HighElfF
;Spell = No Spell for Hairstyle|DLC1EncVampire07HighElfF</v>
      </c>
    </row>
    <row r="1933" ht="12.75" customHeight="1">
      <c r="A1933" s="5" t="s">
        <v>6233</v>
      </c>
      <c r="B1933" s="5" t="s">
        <v>6234</v>
      </c>
      <c r="D1933" s="5" t="s">
        <v>63</v>
      </c>
      <c r="E1933" s="5" t="s">
        <v>41</v>
      </c>
      <c r="F1933" s="5" t="s">
        <v>22</v>
      </c>
      <c r="G1933" s="14" t="str">
        <f t="array" ref="G1933">IF(B1933="", "",
  LET(_xlpm.spell, IFERROR(IF(F1933="", "", INDEX(_xlws.FILTER(Hairstyles!$F:$F, ISNUMBER(SEARCH(F1933, Hairstyles!$B:$B))), 1)), "No Spell for Hairstyle"),
  _xlpm.vanillaPrefix, IF(LEFT(_xlpm.spell, 7)="Uvi_Wig", "", ";"),
  ";" &amp; IF(C1933="", B1933, C1933) &amp; IF(M1933="", "", " ("&amp;M1933&amp;")") &amp; CHAR(10) &amp;
  _xlpm.vanillaPrefix &amp; "Keyword = Uvi_Wig_Distr_KYWD|" &amp; B1933 &amp; CHAR(10) &amp;
  _xlpm.vanillaPrefix &amp; "Spell = " &amp; _xlpm.spell &amp; "|" &amp; B1933
  )
)</f>
        <v>;DLC1EncVampire07ImperialF
;Keyword = Uvi_Wig_Distr_KYWD|DLC1EncVampire07ImperialF
;Spell = No Spell for Hairstyle|DLC1EncVampire07ImperialF</v>
      </c>
    </row>
    <row r="1934" ht="12.75" customHeight="1">
      <c r="A1934" s="15" t="s">
        <v>6235</v>
      </c>
      <c r="B1934" s="5" t="s">
        <v>6236</v>
      </c>
      <c r="D1934" s="5" t="s">
        <v>79</v>
      </c>
      <c r="E1934" s="5" t="s">
        <v>41</v>
      </c>
      <c r="F1934" s="5" t="s">
        <v>862</v>
      </c>
      <c r="G1934" s="14" t="str">
        <f t="array" ref="G1934">IF(B1934="", "",
  LET(_xlpm.spell, IFERROR(IF(F1934="", "", INDEX(_xlws.FILTER(Hairstyles!$F:$F, ISNUMBER(SEARCH(F1934, Hairstyles!$B:$B))), 1)), "No Spell for Hairstyle"),
  _xlpm.vanillaPrefix, IF(LEFT(_xlpm.spell, 7)="Uvi_Wig", "", ";"),
  ";" &amp; IF(C1934="", B1934, C1934) &amp; IF(M1934="", "", " ("&amp;M1934&amp;")") &amp; CHAR(10) &amp;
  _xlpm.vanillaPrefix &amp; "Keyword = Uvi_Wig_Distr_KYWD|" &amp; B1934 &amp; CHAR(10) &amp;
  _xlpm.vanillaPrefix &amp; "Spell = " &amp; _xlpm.spell &amp; "|" &amp; B1934
  )
)</f>
        <v>;DLC1EncVampire07NordF
;Keyword = Uvi_Wig_Distr_KYWD|DLC1EncVampire07NordF
;Spell = No Spell for Hairstyle|DLC1EncVampire07NordF</v>
      </c>
    </row>
    <row r="1935" ht="12.75" customHeight="1">
      <c r="A1935" s="5" t="s">
        <v>6237</v>
      </c>
      <c r="B1935" s="5" t="s">
        <v>6238</v>
      </c>
      <c r="D1935" s="5" t="s">
        <v>79</v>
      </c>
      <c r="E1935" s="5" t="s">
        <v>41</v>
      </c>
      <c r="F1935" s="5" t="s">
        <v>281</v>
      </c>
      <c r="G1935" s="14" t="str">
        <f t="array" ref="G1935">IF(B1935="", "",
  LET(_xlpm.spell, IFERROR(IF(F1935="", "", INDEX(_xlws.FILTER(Hairstyles!$F:$F, ISNUMBER(SEARCH(F1935, Hairstyles!$B:$B))), 1)), "No Spell for Hairstyle"),
  _xlpm.vanillaPrefix, IF(LEFT(_xlpm.spell, 7)="Uvi_Wig", "", ";"),
  ";" &amp; IF(C1935="", B1935, C1935) &amp; IF(M1935="", "", " ("&amp;M1935&amp;")") &amp; CHAR(10) &amp;
  _xlpm.vanillaPrefix &amp; "Keyword = Uvi_Wig_Distr_KYWD|" &amp; B1935 &amp; CHAR(10) &amp;
  _xlpm.vanillaPrefix &amp; "Spell = " &amp; _xlpm.spell &amp; "|" &amp; B1935
  )
)</f>
        <v>;DLC1EncVampire07NordFAlt
;Keyword = Uvi_Wig_Distr_KYWD|DLC1EncVampire07NordFAlt
;Spell = No Spell for Hairstyle|DLC1EncVampire07NordFAlt</v>
      </c>
    </row>
    <row r="1936" ht="12.75" customHeight="1">
      <c r="A1936" s="5" t="s">
        <v>6239</v>
      </c>
      <c r="B1936" s="5" t="s">
        <v>6240</v>
      </c>
      <c r="D1936" s="5" t="s">
        <v>38</v>
      </c>
      <c r="E1936" s="5" t="s">
        <v>41</v>
      </c>
      <c r="F1936" s="5" t="s">
        <v>69</v>
      </c>
      <c r="G1936" s="14" t="str">
        <f t="array" ref="G1936">IF(B1936="", "",
  LET(_xlpm.spell, IFERROR(IF(F1936="", "", INDEX(_xlws.FILTER(Hairstyles!$F:$F, ISNUMBER(SEARCH(F1936, Hairstyles!$B:$B))), 1)), "No Spell for Hairstyle"),
  _xlpm.vanillaPrefix, IF(LEFT(_xlpm.spell, 7)="Uvi_Wig", "", ";"),
  ";" &amp; IF(C1936="", B1936, C1936) &amp; IF(M1936="", "", " ("&amp;M1936&amp;")") &amp; CHAR(10) &amp;
  _xlpm.vanillaPrefix &amp; "Keyword = Uvi_Wig_Distr_KYWD|" &amp; B1936 &amp; CHAR(10) &amp;
  _xlpm.vanillaPrefix &amp; "Spell = " &amp; _xlpm.spell &amp; "|" &amp; B1936
  )
)</f>
        <v>;DLC1HunterBaseIntroVigilant1
;Keyword = Uvi_Wig_Distr_KYWD|DLC1HunterBaseIntroVigilant1
;Spell = No Spell for Hairstyle|DLC1HunterBaseIntroVigilant1</v>
      </c>
    </row>
    <row r="1937" ht="12.75" customHeight="1">
      <c r="A1937" s="5" t="s">
        <v>6241</v>
      </c>
      <c r="B1937" s="5" t="s">
        <v>6242</v>
      </c>
      <c r="D1937" s="5" t="s">
        <v>38</v>
      </c>
      <c r="E1937" s="5" t="s">
        <v>233</v>
      </c>
      <c r="F1937" s="5" t="s">
        <v>1906</v>
      </c>
      <c r="G1937" s="14" t="str">
        <f t="array" ref="G1937">IF(B1937="", "",
  LET(_xlpm.spell, IFERROR(IF(F1937="", "", INDEX(_xlws.FILTER(Hairstyles!$F:$F, ISNUMBER(SEARCH(F1937, Hairstyles!$B:$B))), 1)), "No Spell for Hairstyle"),
  _xlpm.vanillaPrefix, IF(LEFT(_xlpm.spell, 7)="Uvi_Wig", "", ";"),
  ";" &amp; IF(C1937="", B1937, C1937) &amp; IF(M1937="", "", " ("&amp;M1937&amp;")") &amp; CHAR(10) &amp;
  _xlpm.vanillaPrefix &amp; "Keyword = Uvi_Wig_Distr_KYWD|" &amp; B1937 &amp; CHAR(10) &amp;
  _xlpm.vanillaPrefix &amp; "Spell = " &amp; _xlpm.spell &amp; "|" &amp; B1937
  )
)</f>
        <v>;DLC1HunterBaseIntroVigilant2
;Keyword = Uvi_Wig_Distr_KYWD|DLC1HunterBaseIntroVigilant2
;Spell = No Spell for Hairstyle|DLC1HunterBaseIntroVigilant2</v>
      </c>
    </row>
    <row r="1938" ht="12.75" customHeight="1">
      <c r="A1938" s="5" t="s">
        <v>6243</v>
      </c>
      <c r="B1938" s="5" t="s">
        <v>6244</v>
      </c>
      <c r="D1938" s="5" t="s">
        <v>38</v>
      </c>
      <c r="E1938" s="5" t="s">
        <v>233</v>
      </c>
      <c r="F1938" s="5" t="s">
        <v>68</v>
      </c>
      <c r="G1938" s="14" t="str">
        <f t="array" ref="G1938">IF(B1938="", "",
  LET(_xlpm.spell, IFERROR(IF(F1938="", "", INDEX(_xlws.FILTER(Hairstyles!$F:$F, ISNUMBER(SEARCH(F1938, Hairstyles!$B:$B))), 1)), "No Spell for Hairstyle"),
  _xlpm.vanillaPrefix, IF(LEFT(_xlpm.spell, 7)="Uvi_Wig", "", ";"),
  ";" &amp; IF(C1938="", B1938, C1938) &amp; IF(M1938="", "", " ("&amp;M1938&amp;")") &amp; CHAR(10) &amp;
  _xlpm.vanillaPrefix &amp; "Keyword = Uvi_Wig_Distr_KYWD|" &amp; B1938 &amp; CHAR(10) &amp;
  _xlpm.vanillaPrefix &amp; "Spell = " &amp; _xlpm.spell &amp; "|" &amp; B1938
  )
)</f>
        <v>;DLC1ResponsiveNPC_Base
;Keyword = Uvi_Wig_Distr_KYWD|DLC1ResponsiveNPC_Base
;Spell = No Spell for Hairstyle|DLC1ResponsiveNPC_Base</v>
      </c>
    </row>
    <row r="1939" ht="12.75" customHeight="1">
      <c r="A1939" s="5" t="s">
        <v>6245</v>
      </c>
      <c r="B1939" s="5" t="s">
        <v>6246</v>
      </c>
      <c r="D1939" s="5" t="s">
        <v>51</v>
      </c>
      <c r="E1939" s="5" t="s">
        <v>233</v>
      </c>
      <c r="F1939" s="5" t="s">
        <v>762</v>
      </c>
      <c r="G1939" s="14" t="str">
        <f t="array" ref="G1939">IF(B1939="", "",
  LET(_xlpm.spell, IFERROR(IF(F1939="", "", INDEX(_xlws.FILTER(Hairstyles!$F:$F, ISNUMBER(SEARCH(F1939, Hairstyles!$B:$B))), 1)), "No Spell for Hairstyle"),
  _xlpm.vanillaPrefix, IF(LEFT(_xlpm.spell, 7)="Uvi_Wig", "", ";"),
  ";" &amp; IF(C1939="", B1939, C1939) &amp; IF(M1939="", "", " ("&amp;M1939&amp;")") &amp; CHAR(10) &amp;
  _xlpm.vanillaPrefix &amp; "Keyword = Uvi_Wig_Distr_KYWD|" &amp; B1939 &amp; CHAR(10) &amp;
  _xlpm.vanillaPrefix &amp; "Spell = " &amp; _xlpm.spell &amp; "|" &amp; B1939
  )
)</f>
        <v>;DLC1VCThrallMaleOldGrumpy
;Keyword = Uvi_Wig_Distr_KYWD|DLC1VCThrallMaleOldGrumpy
;Spell = No Spell for Hairstyle|DLC1VCThrallMaleOldGrumpy</v>
      </c>
    </row>
    <row r="1940" ht="12.75" customHeight="1">
      <c r="A1940" s="5" t="s">
        <v>6247</v>
      </c>
      <c r="B1940" s="5" t="s">
        <v>6248</v>
      </c>
      <c r="D1940" s="5" t="s">
        <v>38</v>
      </c>
      <c r="E1940" s="5" t="s">
        <v>233</v>
      </c>
      <c r="F1940" s="5" t="s">
        <v>235</v>
      </c>
      <c r="G1940" s="14" t="str">
        <f t="array" ref="G1940">IF(B1940="", "",
  LET(_xlpm.spell, IFERROR(IF(F1940="", "", INDEX(_xlws.FILTER(Hairstyles!$F:$F, ISNUMBER(SEARCH(F1940, Hairstyles!$B:$B))), 1)), "No Spell for Hairstyle"),
  _xlpm.vanillaPrefix, IF(LEFT(_xlpm.spell, 7)="Uvi_Wig", "", ";"),
  ";" &amp; IF(C1940="", B1940, C1940) &amp; IF(M1940="", "", " ("&amp;M1940&amp;")") &amp; CHAR(10) &amp;
  _xlpm.vanillaPrefix &amp; "Keyword = Uvi_Wig_Distr_KYWD|" &amp; B1940 &amp; CHAR(10) &amp;
  _xlpm.vanillaPrefix &amp; "Spell = " &amp; _xlpm.spell &amp; "|" &amp; B1940
  )
)</f>
        <v>;DLC1VQ01VigilantTolanCorpse
;Keyword = Uvi_Wig_Distr_KYWD|DLC1VQ01VigilantTolanCorpse
;Spell = No Spell for Hairstyle|DLC1VQ01VigilantTolanCorpse</v>
      </c>
    </row>
    <row r="1941" ht="12.75" customHeight="1">
      <c r="A1941" s="5" t="s">
        <v>6249</v>
      </c>
      <c r="B1941" s="5" t="s">
        <v>6250</v>
      </c>
      <c r="D1941" s="5" t="s">
        <v>38</v>
      </c>
      <c r="E1941" s="5" t="s">
        <v>233</v>
      </c>
      <c r="F1941" s="5" t="s">
        <v>19</v>
      </c>
      <c r="G1941" s="14" t="str">
        <f t="array" ref="G1941">IF(B1941="", "",
  LET(_xlpm.spell, IFERROR(IF(F1941="", "", INDEX(_xlws.FILTER(Hairstyles!$F:$F, ISNUMBER(SEARCH(F1941, Hairstyles!$B:$B))), 1)), "No Spell for Hairstyle"),
  _xlpm.vanillaPrefix, IF(LEFT(_xlpm.spell, 7)="Uvi_Wig", "", ";"),
  ";" &amp; IF(C1941="", B1941, C1941) &amp; IF(M1941="", "", " ("&amp;M1941&amp;")") &amp; CHAR(10) &amp;
  _xlpm.vanillaPrefix &amp; "Keyword = Uvi_Wig_Distr_KYWD|" &amp; B1941 &amp; CHAR(10) &amp;
  _xlpm.vanillaPrefix &amp; "Spell = " &amp; _xlpm.spell &amp; "|" &amp; B1941
  )
)</f>
        <v>;DLC1VQ02FeastThrall1
;Keyword = Uvi_Wig_Distr_KYWD|DLC1VQ02FeastThrall1
;Spell = No Spell for Hairstyle|DLC1VQ02FeastThrall1</v>
      </c>
    </row>
    <row r="1942" ht="12.75" customHeight="1">
      <c r="A1942" s="5" t="s">
        <v>6251</v>
      </c>
      <c r="B1942" s="5" t="s">
        <v>6252</v>
      </c>
      <c r="D1942" s="5" t="s">
        <v>38</v>
      </c>
      <c r="E1942" s="5" t="s">
        <v>41</v>
      </c>
      <c r="F1942" s="5" t="s">
        <v>1996</v>
      </c>
      <c r="G1942" s="14" t="str">
        <f t="array" ref="G1942">IF(B1942="", "",
  LET(_xlpm.spell, IFERROR(IF(F1942="", "", INDEX(_xlws.FILTER(Hairstyles!$F:$F, ISNUMBER(SEARCH(F1942, Hairstyles!$B:$B))), 1)), "No Spell for Hairstyle"),
  _xlpm.vanillaPrefix, IF(LEFT(_xlpm.spell, 7)="Uvi_Wig", "", ";"),
  ";" &amp; IF(C1942="", B1942, C1942) &amp; IF(M1942="", "", " ("&amp;M1942&amp;")") &amp; CHAR(10) &amp;
  _xlpm.vanillaPrefix &amp; "Keyword = Uvi_Wig_Distr_KYWD|" &amp; B1942 &amp; CHAR(10) &amp;
  _xlpm.vanillaPrefix &amp; "Spell = " &amp; _xlpm.spell &amp; "|" &amp; B1942
  )
)</f>
        <v>;DLC1VQ02FeastThrall2
;Keyword = Uvi_Wig_Distr_KYWD|DLC1VQ02FeastThrall2
;Spell = No Spell for Hairstyle|DLC1VQ02FeastThrall2</v>
      </c>
    </row>
    <row r="1943" ht="12.75" customHeight="1">
      <c r="A1943" s="5" t="s">
        <v>6253</v>
      </c>
      <c r="B1943" s="5" t="s">
        <v>6254</v>
      </c>
      <c r="D1943" s="5" t="s">
        <v>38</v>
      </c>
      <c r="E1943" s="5" t="s">
        <v>233</v>
      </c>
      <c r="F1943" s="5" t="s">
        <v>521</v>
      </c>
      <c r="G1943" s="14" t="str">
        <f t="array" ref="G1943">IF(B1943="", "",
  LET(_xlpm.spell, IFERROR(IF(F1943="", "", INDEX(_xlws.FILTER(Hairstyles!$F:$F, ISNUMBER(SEARCH(F1943, Hairstyles!$B:$B))), 1)), "No Spell for Hairstyle"),
  _xlpm.vanillaPrefix, IF(LEFT(_xlpm.spell, 7)="Uvi_Wig", "", ";"),
  ";" &amp; IF(C1943="", B1943, C1943) &amp; IF(M1943="", "", " ("&amp;M1943&amp;")") &amp; CHAR(10) &amp;
  _xlpm.vanillaPrefix &amp; "Keyword = Uvi_Wig_Distr_KYWD|" &amp; B1943 &amp; CHAR(10) &amp;
  _xlpm.vanillaPrefix &amp; "Spell = " &amp; _xlpm.spell &amp; "|" &amp; B1943
  )
)</f>
        <v>;DLC1VQ03VampireDriverDead
;Keyword = Uvi_Wig_Distr_KYWD|DLC1VQ03VampireDriverDead
;Spell = No Spell for Hairstyle|DLC1VQ03VampireDriverDead</v>
      </c>
    </row>
    <row r="1944" ht="12.75" customHeight="1">
      <c r="A1944" s="5" t="s">
        <v>6255</v>
      </c>
      <c r="B1944" s="5" t="s">
        <v>6256</v>
      </c>
      <c r="D1944" s="5" t="s">
        <v>83</v>
      </c>
      <c r="E1944" s="5" t="s">
        <v>41</v>
      </c>
      <c r="F1944" s="5" t="s">
        <v>85</v>
      </c>
      <c r="G1944" s="14" t="str">
        <f t="array" ref="G1944">IF(B1944="", "",
  LET(_xlpm.spell, IFERROR(IF(F1944="", "", INDEX(_xlws.FILTER(Hairstyles!$F:$F, ISNUMBER(SEARCH(F1944, Hairstyles!$B:$B))), 1)), "No Spell for Hairstyle"),
  _xlpm.vanillaPrefix, IF(LEFT(_xlpm.spell, 7)="Uvi_Wig", "", ";"),
  ";" &amp; IF(C1944="", B1944, C1944) &amp; IF(M1944="", "", " ("&amp;M1944&amp;")") &amp; CHAR(10) &amp;
  _xlpm.vanillaPrefix &amp; "Keyword = Uvi_Wig_Distr_KYWD|" &amp; B1944 &amp; CHAR(10) &amp;
  _xlpm.vanillaPrefix &amp; "Spell = " &amp; _xlpm.spell &amp; "|" &amp; B1944
  )
)</f>
        <v>;DLC1WEDB03DLVLDawnGuardEvenTonedF
;Keyword = Uvi_Wig_Distr_KYWD|DLC1WEDB03DLVLDawnGuardEvenTonedF
;Spell = No Spell for Hairstyle|DLC1WEDB03DLVLDawnGuardEvenTonedF</v>
      </c>
    </row>
    <row r="1945" ht="12.75" customHeight="1">
      <c r="A1945" s="5" t="s">
        <v>6257</v>
      </c>
      <c r="B1945" s="5" t="s">
        <v>6258</v>
      </c>
      <c r="D1945" s="5" t="s">
        <v>59</v>
      </c>
      <c r="E1945" s="5" t="s">
        <v>233</v>
      </c>
      <c r="F1945" s="5" t="s">
        <v>19</v>
      </c>
      <c r="G1945" s="14" t="str">
        <f t="array" ref="G1945">IF(B1945="", "",
  LET(_xlpm.spell, IFERROR(IF(F1945="", "", INDEX(_xlws.FILTER(Hairstyles!$F:$F, ISNUMBER(SEARCH(F1945, Hairstyles!$B:$B))), 1)), "No Spell for Hairstyle"),
  _xlpm.vanillaPrefix, IF(LEFT(_xlpm.spell, 7)="Uvi_Wig", "", ";"),
  ";" &amp; IF(C1945="", B1945, C1945) &amp; IF(M1945="", "", " ("&amp;M1945&amp;")") &amp; CHAR(10) &amp;
  _xlpm.vanillaPrefix &amp; "Keyword = Uvi_Wig_Distr_KYWD|" &amp; B1945 &amp; CHAR(10) &amp;
  _xlpm.vanillaPrefix &amp; "Spell = " &amp; _xlpm.spell &amp; "|" &amp; B1945
  )
)</f>
        <v>;DLC1WEDB03DLVLDawnGuardEvenTonedM
;Keyword = Uvi_Wig_Distr_KYWD|DLC1WEDB03DLVLDawnGuardEvenTonedM
;Spell = No Spell for Hairstyle|DLC1WEDB03DLVLDawnGuardEvenTonedM</v>
      </c>
    </row>
    <row r="1946" ht="12.75" customHeight="1">
      <c r="A1946" s="15" t="s">
        <v>6259</v>
      </c>
      <c r="B1946" s="5" t="s">
        <v>6260</v>
      </c>
      <c r="D1946" s="5" t="s">
        <v>38</v>
      </c>
      <c r="E1946" s="5" t="s">
        <v>233</v>
      </c>
      <c r="F1946" s="5" t="s">
        <v>68</v>
      </c>
      <c r="G1946" s="14" t="str">
        <f t="array" ref="G1946">IF(B1946="", "",
  LET(_xlpm.spell, IFERROR(IF(F1946="", "", INDEX(_xlws.FILTER(Hairstyles!$F:$F, ISNUMBER(SEARCH(F1946, Hairstyles!$B:$B))), 1)), "No Spell for Hairstyle"),
  _xlpm.vanillaPrefix, IF(LEFT(_xlpm.spell, 7)="Uvi_Wig", "", ";"),
  ";" &amp; IF(C1946="", B1946, C1946) &amp; IF(M1946="", "", " ("&amp;M1946&amp;")") &amp; CHAR(10) &amp;
  _xlpm.vanillaPrefix &amp; "Keyword = Uvi_Wig_Distr_KYWD|" &amp; B1946 &amp; CHAR(10) &amp;
  _xlpm.vanillaPrefix &amp; "Spell = " &amp; _xlpm.spell &amp; "|" &amp; B1946
  )
)</f>
        <v>;DLC1WEDB03DLVLDawnGuardNordM
;Keyword = Uvi_Wig_Distr_KYWD|DLC1WEDB03DLVLDawnGuardNordM
;Spell = No Spell for Hairstyle|DLC1WEDB03DLVLDawnGuardNordM</v>
      </c>
    </row>
    <row r="1947" ht="12.75" customHeight="1">
      <c r="A1947" s="15" t="s">
        <v>6261</v>
      </c>
      <c r="B1947" s="5" t="s">
        <v>6262</v>
      </c>
      <c r="D1947" s="5" t="s">
        <v>45</v>
      </c>
      <c r="E1947" s="5" t="s">
        <v>233</v>
      </c>
      <c r="F1947" s="5" t="s">
        <v>525</v>
      </c>
      <c r="G1947" s="14" t="str">
        <f t="array" ref="G1947">IF(B1947="", "",
  LET(_xlpm.spell, IFERROR(IF(F1947="", "", INDEX(_xlws.FILTER(Hairstyles!$F:$F, ISNUMBER(SEARCH(F1947, Hairstyles!$B:$B))), 1)), "No Spell for Hairstyle"),
  _xlpm.vanillaPrefix, IF(LEFT(_xlpm.spell, 7)="Uvi_Wig", "", ";"),
  ";" &amp; IF(C1947="", B1947, C1947) &amp; IF(M1947="", "", " ("&amp;M1947&amp;")") &amp; CHAR(10) &amp;
  _xlpm.vanillaPrefix &amp; "Keyword = Uvi_Wig_Distr_KYWD|" &amp; B1947 &amp; CHAR(10) &amp;
  _xlpm.vanillaPrefix &amp; "Spell = " &amp; _xlpm.spell &amp; "|" &amp; B1947
  )
)</f>
        <v>;DLC2dunHaknirShoal_LvlBanditWizardMaleDarkElfCynical
;Keyword = Uvi_Wig_Distr_KYWD|DLC2dunHaknirShoal_LvlBanditWizardMaleDarkElfCynical
;Spell = No Spell for Hairstyle|DLC2dunHaknirShoal_LvlBanditWizardMaleDarkElfCynical</v>
      </c>
    </row>
    <row r="1948" ht="12.75" customHeight="1">
      <c r="A1948" s="15" t="s">
        <v>6263</v>
      </c>
      <c r="B1948" s="5" t="s">
        <v>6264</v>
      </c>
      <c r="D1948" s="5" t="s">
        <v>38</v>
      </c>
      <c r="E1948" s="5" t="s">
        <v>233</v>
      </c>
      <c r="F1948" s="5" t="s">
        <v>84</v>
      </c>
      <c r="G1948" s="14" t="str">
        <f t="array" ref="G1948">IF(B1948="", "",
  LET(_xlpm.spell, IFERROR(IF(F1948="", "", INDEX(_xlws.FILTER(Hairstyles!$F:$F, ISNUMBER(SEARCH(F1948, Hairstyles!$B:$B))), 1)), "No Spell for Hairstyle"),
  _xlpm.vanillaPrefix, IF(LEFT(_xlpm.spell, 7)="Uvi_Wig", "", ";"),
  ";" &amp; IF(C1948="", B1948, C1948) &amp; IF(M1948="", "", " ("&amp;M1948&amp;")") &amp; CHAR(10) &amp;
  _xlpm.vanillaPrefix &amp; "Keyword = Uvi_Wig_Distr_KYWD|" &amp; B1948 &amp; CHAR(10) &amp;
  _xlpm.vanillaPrefix &amp; "Spell = " &amp; _xlpm.spell &amp; "|" &amp; B1948
  )
)</f>
        <v>;DLC2dunTempleofMiraakCultist01
;Keyword = Uvi_Wig_Distr_KYWD|DLC2dunTempleofMiraakCultist01
;Spell = No Spell for Hairstyle|DLC2dunTempleofMiraakCultist01</v>
      </c>
    </row>
    <row r="1949" ht="12.75" customHeight="1">
      <c r="A1949" s="15" t="s">
        <v>6265</v>
      </c>
      <c r="B1949" s="5" t="s">
        <v>6266</v>
      </c>
      <c r="D1949" s="5" t="s">
        <v>45</v>
      </c>
      <c r="E1949" s="5" t="s">
        <v>233</v>
      </c>
      <c r="F1949" s="5" t="s">
        <v>1541</v>
      </c>
      <c r="G1949" s="14" t="str">
        <f t="array" ref="G1949">IF(B1949="", "",
  LET(_xlpm.spell, IFERROR(IF(F1949="", "", INDEX(_xlws.FILTER(Hairstyles!$F:$F, ISNUMBER(SEARCH(F1949, Hairstyles!$B:$B))), 1)), "No Spell for Hairstyle"),
  _xlpm.vanillaPrefix, IF(LEFT(_xlpm.spell, 7)="Uvi_Wig", "", ";"),
  ";" &amp; IF(C1949="", B1949, C1949) &amp; IF(M1949="", "", " ("&amp;M1949&amp;")") &amp; CHAR(10) &amp;
  _xlpm.vanillaPrefix &amp; "Keyword = Uvi_Wig_Distr_KYWD|" &amp; B1949 &amp; CHAR(10) &amp;
  _xlpm.vanillaPrefix &amp; "Spell = " &amp; _xlpm.spell &amp; "|" &amp; B1949
  )
)</f>
        <v>;DLC2dunTempleofMiraakCultist02
;Keyword = Uvi_Wig_Distr_KYWD|DLC2dunTempleofMiraakCultist02
;Spell = No Spell for Hairstyle|DLC2dunTempleofMiraakCultist02</v>
      </c>
    </row>
    <row r="1950" ht="12.75" customHeight="1">
      <c r="A1950" s="5" t="s">
        <v>6267</v>
      </c>
      <c r="B1950" s="5" t="s">
        <v>6268</v>
      </c>
      <c r="D1950" s="5" t="s">
        <v>45</v>
      </c>
      <c r="E1950" s="5" t="s">
        <v>41</v>
      </c>
      <c r="F1950" s="5" t="s">
        <v>2373</v>
      </c>
      <c r="G1950" s="14" t="str">
        <f t="array" ref="G1950">IF(B1950="", "",
  LET(_xlpm.spell, IFERROR(IF(F1950="", "", INDEX(_xlws.FILTER(Hairstyles!$F:$F, ISNUMBER(SEARCH(F1950, Hairstyles!$B:$B))), 1)), "No Spell for Hairstyle"),
  _xlpm.vanillaPrefix, IF(LEFT(_xlpm.spell, 7)="Uvi_Wig", "", ";"),
  ";" &amp; IF(C1950="", B1950, C1950) &amp; IF(M1950="", "", " ("&amp;M1950&amp;")") &amp; CHAR(10) &amp;
  _xlpm.vanillaPrefix &amp; "Keyword = Uvi_Wig_Distr_KYWD|" &amp; B1950 &amp; CHAR(10) &amp;
  _xlpm.vanillaPrefix &amp; "Spell = " &amp; _xlpm.spell &amp; "|" &amp; B1950
  )
)</f>
        <v>;DLC2EncBandit01MagicDarkElf01F
;Keyword = Uvi_Wig_Distr_KYWD|DLC2EncBandit01MagicDarkElf01F
;Spell = No Spell for Hairstyle|DLC2EncBandit01MagicDarkElf01F</v>
      </c>
    </row>
    <row r="1951" ht="12.75" customHeight="1">
      <c r="A1951" s="5" t="s">
        <v>6269</v>
      </c>
      <c r="B1951" s="5" t="s">
        <v>6270</v>
      </c>
      <c r="D1951" s="5" t="s">
        <v>45</v>
      </c>
      <c r="E1951" s="5" t="s">
        <v>233</v>
      </c>
      <c r="F1951" s="5" t="s">
        <v>47</v>
      </c>
      <c r="G1951" s="14" t="str">
        <f t="array" ref="G1951">IF(B1951="", "",
  LET(_xlpm.spell, IFERROR(IF(F1951="", "", INDEX(_xlws.FILTER(Hairstyles!$F:$F, ISNUMBER(SEARCH(F1951, Hairstyles!$B:$B))), 1)), "No Spell for Hairstyle"),
  _xlpm.vanillaPrefix, IF(LEFT(_xlpm.spell, 7)="Uvi_Wig", "", ";"),
  ";" &amp; IF(C1951="", B1951, C1951) &amp; IF(M1951="", "", " ("&amp;M1951&amp;")") &amp; CHAR(10) &amp;
  _xlpm.vanillaPrefix &amp; "Keyword = Uvi_Wig_Distr_KYWD|" &amp; B1951 &amp; CHAR(10) &amp;
  _xlpm.vanillaPrefix &amp; "Spell = " &amp; _xlpm.spell &amp; "|" &amp; B1951
  )
)</f>
        <v>;DLC2EncBandit01MagicDarkElf01M
;Keyword = Uvi_Wig_Distr_KYWD|DLC2EncBandit01MagicDarkElf01M
;Spell = No Spell for Hairstyle|DLC2EncBandit01MagicDarkElf01M</v>
      </c>
    </row>
    <row r="1952" ht="12.75" customHeight="1">
      <c r="A1952" s="5" t="s">
        <v>6271</v>
      </c>
      <c r="B1952" s="5" t="s">
        <v>6272</v>
      </c>
      <c r="D1952" s="5" t="s">
        <v>45</v>
      </c>
      <c r="E1952" s="5" t="s">
        <v>41</v>
      </c>
      <c r="F1952" s="5" t="s">
        <v>4279</v>
      </c>
      <c r="G1952" s="14" t="str">
        <f t="array" ref="G1952">IF(B1952="", "",
  LET(_xlpm.spell, IFERROR(IF(F1952="", "", INDEX(_xlws.FILTER(Hairstyles!$F:$F, ISNUMBER(SEARCH(F1952, Hairstyles!$B:$B))), 1)), "No Spell for Hairstyle"),
  _xlpm.vanillaPrefix, IF(LEFT(_xlpm.spell, 7)="Uvi_Wig", "", ";"),
  ";" &amp; IF(C1952="", B1952, C1952) &amp; IF(M1952="", "", " ("&amp;M1952&amp;")") &amp; CHAR(10) &amp;
  _xlpm.vanillaPrefix &amp; "Keyword = Uvi_Wig_Distr_KYWD|" &amp; B1952 &amp; CHAR(10) &amp;
  _xlpm.vanillaPrefix &amp; "Spell = " &amp; _xlpm.spell &amp; "|" &amp; B1952
  )
)</f>
        <v>;DLC2EncBandit01MagicDarkElf02F
;Keyword = Uvi_Wig_Distr_KYWD|DLC2EncBandit01MagicDarkElf02F
;Spell = No Spell for Hairstyle|DLC2EncBandit01MagicDarkElf02F</v>
      </c>
    </row>
    <row r="1953" ht="12.75" customHeight="1">
      <c r="A1953" s="5" t="s">
        <v>6273</v>
      </c>
      <c r="B1953" s="5" t="s">
        <v>6274</v>
      </c>
      <c r="D1953" s="5" t="s">
        <v>45</v>
      </c>
      <c r="E1953" s="5" t="s">
        <v>233</v>
      </c>
      <c r="F1953" s="5" t="s">
        <v>525</v>
      </c>
      <c r="G1953" s="14" t="str">
        <f t="array" ref="G1953">IF(B1953="", "",
  LET(_xlpm.spell, IFERROR(IF(F1953="", "", INDEX(_xlws.FILTER(Hairstyles!$F:$F, ISNUMBER(SEARCH(F1953, Hairstyles!$B:$B))), 1)), "No Spell for Hairstyle"),
  _xlpm.vanillaPrefix, IF(LEFT(_xlpm.spell, 7)="Uvi_Wig", "", ";"),
  ";" &amp; IF(C1953="", B1953, C1953) &amp; IF(M1953="", "", " ("&amp;M1953&amp;")") &amp; CHAR(10) &amp;
  _xlpm.vanillaPrefix &amp; "Keyword = Uvi_Wig_Distr_KYWD|" &amp; B1953 &amp; CHAR(10) &amp;
  _xlpm.vanillaPrefix &amp; "Spell = " &amp; _xlpm.spell &amp; "|" &amp; B1953
  )
)</f>
        <v>;DLC2EncBandit01MagicDarkElf02M
;Keyword = Uvi_Wig_Distr_KYWD|DLC2EncBandit01MagicDarkElf02M
;Spell = No Spell for Hairstyle|DLC2EncBandit01MagicDarkElf02M</v>
      </c>
    </row>
    <row r="1954" ht="12.75" customHeight="1">
      <c r="A1954" s="5" t="s">
        <v>6275</v>
      </c>
      <c r="B1954" s="5" t="s">
        <v>6276</v>
      </c>
      <c r="D1954" s="5" t="s">
        <v>45</v>
      </c>
      <c r="E1954" s="5" t="s">
        <v>41</v>
      </c>
      <c r="F1954" s="5" t="s">
        <v>2096</v>
      </c>
      <c r="G1954" s="14" t="str">
        <f t="array" ref="G1954">IF(B1954="", "",
  LET(_xlpm.spell, IFERROR(IF(F1954="", "", INDEX(_xlws.FILTER(Hairstyles!$F:$F, ISNUMBER(SEARCH(F1954, Hairstyles!$B:$B))), 1)), "No Spell for Hairstyle"),
  _xlpm.vanillaPrefix, IF(LEFT(_xlpm.spell, 7)="Uvi_Wig", "", ";"),
  ";" &amp; IF(C1954="", B1954, C1954) &amp; IF(M1954="", "", " ("&amp;M1954&amp;")") &amp; CHAR(10) &amp;
  _xlpm.vanillaPrefix &amp; "Keyword = Uvi_Wig_Distr_KYWD|" &amp; B1954 &amp; CHAR(10) &amp;
  _xlpm.vanillaPrefix &amp; "Spell = " &amp; _xlpm.spell &amp; "|" &amp; B1954
  )
)</f>
        <v>;DLC2EncBandit01MagicDarkElf03F
;Keyword = Uvi_Wig_Distr_KYWD|DLC2EncBandit01MagicDarkElf03F
;Spell = No Spell for Hairstyle|DLC2EncBandit01MagicDarkElf03F</v>
      </c>
    </row>
    <row r="1955" ht="12.75" customHeight="1">
      <c r="A1955" s="5" t="s">
        <v>6277</v>
      </c>
      <c r="B1955" s="5" t="s">
        <v>6278</v>
      </c>
      <c r="D1955" s="5" t="s">
        <v>45</v>
      </c>
      <c r="E1955" s="5" t="s">
        <v>233</v>
      </c>
      <c r="F1955" s="5" t="s">
        <v>2469</v>
      </c>
      <c r="G1955" s="14" t="str">
        <f t="array" ref="G1955">IF(B1955="", "",
  LET(_xlpm.spell, IFERROR(IF(F1955="", "", INDEX(_xlws.FILTER(Hairstyles!$F:$F, ISNUMBER(SEARCH(F1955, Hairstyles!$B:$B))), 1)), "No Spell for Hairstyle"),
  _xlpm.vanillaPrefix, IF(LEFT(_xlpm.spell, 7)="Uvi_Wig", "", ";"),
  ";" &amp; IF(C1955="", B1955, C1955) &amp; IF(M1955="", "", " ("&amp;M1955&amp;")") &amp; CHAR(10) &amp;
  _xlpm.vanillaPrefix &amp; "Keyword = Uvi_Wig_Distr_KYWD|" &amp; B1955 &amp; CHAR(10) &amp;
  _xlpm.vanillaPrefix &amp; "Spell = " &amp; _xlpm.spell &amp; "|" &amp; B1955
  )
)</f>
        <v>;DLC2EncBandit01MagicDarkElf03M
;Keyword = Uvi_Wig_Distr_KYWD|DLC2EncBandit01MagicDarkElf03M
;Spell = No Spell for Hairstyle|DLC2EncBandit01MagicDarkElf03M</v>
      </c>
    </row>
    <row r="1956" ht="12.75" customHeight="1">
      <c r="A1956" s="5" t="s">
        <v>6279</v>
      </c>
      <c r="B1956" s="5" t="s">
        <v>6280</v>
      </c>
      <c r="D1956" s="5" t="s">
        <v>45</v>
      </c>
      <c r="E1956" s="5" t="s">
        <v>233</v>
      </c>
      <c r="F1956" s="5" t="s">
        <v>91</v>
      </c>
      <c r="G1956" s="14" t="str">
        <f t="array" ref="G1956">IF(B1956="", "",
  LET(_xlpm.spell, IFERROR(IF(F1956="", "", INDEX(_xlws.FILTER(Hairstyles!$F:$F, ISNUMBER(SEARCH(F1956, Hairstyles!$B:$B))), 1)), "No Spell for Hairstyle"),
  _xlpm.vanillaPrefix, IF(LEFT(_xlpm.spell, 7)="Uvi_Wig", "", ";"),
  ";" &amp; IF(C1956="", B1956, C1956) &amp; IF(M1956="", "", " ("&amp;M1956&amp;")") &amp; CHAR(10) &amp;
  _xlpm.vanillaPrefix &amp; "Keyword = Uvi_Wig_Distr_KYWD|" &amp; B1956 &amp; CHAR(10) &amp;
  _xlpm.vanillaPrefix &amp; "Spell = " &amp; _xlpm.spell &amp; "|" &amp; B1956
  )
)</f>
        <v>;DLC2EncBandit01MagicDarkElf04M
;Keyword = Uvi_Wig_Distr_KYWD|DLC2EncBandit01MagicDarkElf04M
;Spell = No Spell for Hairstyle|DLC2EncBandit01MagicDarkElf04M</v>
      </c>
    </row>
    <row r="1957" ht="12.75" customHeight="1">
      <c r="A1957" s="5" t="s">
        <v>6281</v>
      </c>
      <c r="B1957" s="5" t="s">
        <v>6282</v>
      </c>
      <c r="D1957" s="5" t="s">
        <v>45</v>
      </c>
      <c r="E1957" s="5" t="s">
        <v>41</v>
      </c>
      <c r="F1957" s="5" t="s">
        <v>2096</v>
      </c>
      <c r="G1957" s="14" t="str">
        <f t="array" ref="G1957">IF(B1957="", "",
  LET(_xlpm.spell, IFERROR(IF(F1957="", "", INDEX(_xlws.FILTER(Hairstyles!$F:$F, ISNUMBER(SEARCH(F1957, Hairstyles!$B:$B))), 1)), "No Spell for Hairstyle"),
  _xlpm.vanillaPrefix, IF(LEFT(_xlpm.spell, 7)="Uvi_Wig", "", ";"),
  ";" &amp; IF(C1957="", B1957, C1957) &amp; IF(M1957="", "", " ("&amp;M1957&amp;")") &amp; CHAR(10) &amp;
  _xlpm.vanillaPrefix &amp; "Keyword = Uvi_Wig_Distr_KYWD|" &amp; B1957 &amp; CHAR(10) &amp;
  _xlpm.vanillaPrefix &amp; "Spell = " &amp; _xlpm.spell &amp; "|" &amp; B1957
  )
)</f>
        <v>;DLC2EncBandit01Melee1HDarkElf01F
;Keyword = Uvi_Wig_Distr_KYWD|DLC2EncBandit01Melee1HDarkElf01F
;Spell = No Spell for Hairstyle|DLC2EncBandit01Melee1HDarkElf01F</v>
      </c>
    </row>
    <row r="1958" ht="12.75" customHeight="1">
      <c r="A1958" s="5" t="s">
        <v>6283</v>
      </c>
      <c r="B1958" s="5" t="s">
        <v>6284</v>
      </c>
      <c r="D1958" s="5" t="s">
        <v>45</v>
      </c>
      <c r="E1958" s="5" t="s">
        <v>233</v>
      </c>
      <c r="F1958" s="5" t="s">
        <v>1787</v>
      </c>
      <c r="G1958" s="14" t="str">
        <f t="array" ref="G1958">IF(B1958="", "",
  LET(_xlpm.spell, IFERROR(IF(F1958="", "", INDEX(_xlws.FILTER(Hairstyles!$F:$F, ISNUMBER(SEARCH(F1958, Hairstyles!$B:$B))), 1)), "No Spell for Hairstyle"),
  _xlpm.vanillaPrefix, IF(LEFT(_xlpm.spell, 7)="Uvi_Wig", "", ";"),
  ";" &amp; IF(C1958="", B1958, C1958) &amp; IF(M1958="", "", " ("&amp;M1958&amp;")") &amp; CHAR(10) &amp;
  _xlpm.vanillaPrefix &amp; "Keyword = Uvi_Wig_Distr_KYWD|" &amp; B1958 &amp; CHAR(10) &amp;
  _xlpm.vanillaPrefix &amp; "Spell = " &amp; _xlpm.spell &amp; "|" &amp; B1958
  )
)</f>
        <v>;DLC2EncBandit01Melee1HDarkElf01M
;Keyword = Uvi_Wig_Distr_KYWD|DLC2EncBandit01Melee1HDarkElf01M
;Spell = No Spell for Hairstyle|DLC2EncBandit01Melee1HDarkElf01M</v>
      </c>
    </row>
    <row r="1959" ht="12.75" customHeight="1">
      <c r="A1959" s="5" t="s">
        <v>6285</v>
      </c>
      <c r="B1959" s="5" t="s">
        <v>6286</v>
      </c>
      <c r="D1959" s="5" t="s">
        <v>45</v>
      </c>
      <c r="E1959" s="5" t="s">
        <v>41</v>
      </c>
      <c r="F1959" s="5" t="s">
        <v>1967</v>
      </c>
      <c r="G1959" s="14" t="str">
        <f t="array" ref="G1959">IF(B1959="", "",
  LET(_xlpm.spell, IFERROR(IF(F1959="", "", INDEX(_xlws.FILTER(Hairstyles!$F:$F, ISNUMBER(SEARCH(F1959, Hairstyles!$B:$B))), 1)), "No Spell for Hairstyle"),
  _xlpm.vanillaPrefix, IF(LEFT(_xlpm.spell, 7)="Uvi_Wig", "", ";"),
  ";" &amp; IF(C1959="", B1959, C1959) &amp; IF(M1959="", "", " ("&amp;M1959&amp;")") &amp; CHAR(10) &amp;
  _xlpm.vanillaPrefix &amp; "Keyword = Uvi_Wig_Distr_KYWD|" &amp; B1959 &amp; CHAR(10) &amp;
  _xlpm.vanillaPrefix &amp; "Spell = " &amp; _xlpm.spell &amp; "|" &amp; B1959
  )
)</f>
        <v>;DLC2EncBandit01Melee1HDarkElf02F
;Keyword = Uvi_Wig_Distr_KYWD|DLC2EncBandit01Melee1HDarkElf02F
;Spell = No Spell for Hairstyle|DLC2EncBandit01Melee1HDarkElf02F</v>
      </c>
    </row>
    <row r="1960" ht="12.75" customHeight="1">
      <c r="A1960" s="5" t="s">
        <v>6287</v>
      </c>
      <c r="B1960" s="5" t="s">
        <v>6288</v>
      </c>
      <c r="D1960" s="5" t="s">
        <v>45</v>
      </c>
      <c r="E1960" s="5" t="s">
        <v>233</v>
      </c>
      <c r="F1960" s="5" t="s">
        <v>534</v>
      </c>
      <c r="G1960" s="14" t="str">
        <f t="array" ref="G1960">IF(B1960="", "",
  LET(_xlpm.spell, IFERROR(IF(F1960="", "", INDEX(_xlws.FILTER(Hairstyles!$F:$F, ISNUMBER(SEARCH(F1960, Hairstyles!$B:$B))), 1)), "No Spell for Hairstyle"),
  _xlpm.vanillaPrefix, IF(LEFT(_xlpm.spell, 7)="Uvi_Wig", "", ";"),
  ";" &amp; IF(C1960="", B1960, C1960) &amp; IF(M1960="", "", " ("&amp;M1960&amp;")") &amp; CHAR(10) &amp;
  _xlpm.vanillaPrefix &amp; "Keyword = Uvi_Wig_Distr_KYWD|" &amp; B1960 &amp; CHAR(10) &amp;
  _xlpm.vanillaPrefix &amp; "Spell = " &amp; _xlpm.spell &amp; "|" &amp; B1960
  )
)</f>
        <v>;DLC2EncBandit01Melee1HDarkElf02M
;Keyword = Uvi_Wig_Distr_KYWD|DLC2EncBandit01Melee1HDarkElf02M
;Spell = No Spell for Hairstyle|DLC2EncBandit01Melee1HDarkElf02M</v>
      </c>
    </row>
    <row r="1961" ht="12.75" customHeight="1">
      <c r="A1961" s="5" t="s">
        <v>6289</v>
      </c>
      <c r="B1961" s="5" t="s">
        <v>6290</v>
      </c>
      <c r="D1961" s="5" t="s">
        <v>45</v>
      </c>
      <c r="E1961" s="5" t="s">
        <v>41</v>
      </c>
      <c r="F1961" s="5" t="s">
        <v>1854</v>
      </c>
      <c r="G1961" s="14" t="str">
        <f t="array" ref="G1961">IF(B1961="", "",
  LET(_xlpm.spell, IFERROR(IF(F1961="", "", INDEX(_xlws.FILTER(Hairstyles!$F:$F, ISNUMBER(SEARCH(F1961, Hairstyles!$B:$B))), 1)), "No Spell for Hairstyle"),
  _xlpm.vanillaPrefix, IF(LEFT(_xlpm.spell, 7)="Uvi_Wig", "", ";"),
  ";" &amp; IF(C1961="", B1961, C1961) &amp; IF(M1961="", "", " ("&amp;M1961&amp;")") &amp; CHAR(10) &amp;
  _xlpm.vanillaPrefix &amp; "Keyword = Uvi_Wig_Distr_KYWD|" &amp; B1961 &amp; CHAR(10) &amp;
  _xlpm.vanillaPrefix &amp; "Spell = " &amp; _xlpm.spell &amp; "|" &amp; B1961
  )
)</f>
        <v>;DLC2EncBandit01Melee1HDarkElf03F
;Keyword = Uvi_Wig_Distr_KYWD|DLC2EncBandit01Melee1HDarkElf03F
;Spell = No Spell for Hairstyle|DLC2EncBandit01Melee1HDarkElf03F</v>
      </c>
    </row>
    <row r="1962" ht="12.75" customHeight="1">
      <c r="A1962" s="5" t="s">
        <v>6291</v>
      </c>
      <c r="B1962" s="5" t="s">
        <v>6292</v>
      </c>
      <c r="D1962" s="5" t="s">
        <v>45</v>
      </c>
      <c r="E1962" s="5" t="s">
        <v>233</v>
      </c>
      <c r="F1962" s="5" t="s">
        <v>2583</v>
      </c>
      <c r="G1962" s="14" t="str">
        <f t="array" ref="G1962">IF(B1962="", "",
  LET(_xlpm.spell, IFERROR(IF(F1962="", "", INDEX(_xlws.FILTER(Hairstyles!$F:$F, ISNUMBER(SEARCH(F1962, Hairstyles!$B:$B))), 1)), "No Spell for Hairstyle"),
  _xlpm.vanillaPrefix, IF(LEFT(_xlpm.spell, 7)="Uvi_Wig", "", ";"),
  ";" &amp; IF(C1962="", B1962, C1962) &amp; IF(M1962="", "", " ("&amp;M1962&amp;")") &amp; CHAR(10) &amp;
  _xlpm.vanillaPrefix &amp; "Keyword = Uvi_Wig_Distr_KYWD|" &amp; B1962 &amp; CHAR(10) &amp;
  _xlpm.vanillaPrefix &amp; "Spell = " &amp; _xlpm.spell &amp; "|" &amp; B1962
  )
)</f>
        <v>;DLC2EncBandit01Melee1HDarkElf03M
;Keyword = Uvi_Wig_Distr_KYWD|DLC2EncBandit01Melee1HDarkElf03M
;Spell = No Spell for Hairstyle|DLC2EncBandit01Melee1HDarkElf03M</v>
      </c>
    </row>
    <row r="1963" ht="12.75" customHeight="1">
      <c r="A1963" s="5" t="s">
        <v>6293</v>
      </c>
      <c r="B1963" s="5" t="s">
        <v>6294</v>
      </c>
      <c r="D1963" s="5" t="s">
        <v>45</v>
      </c>
      <c r="E1963" s="5" t="s">
        <v>233</v>
      </c>
      <c r="F1963" s="5" t="s">
        <v>1684</v>
      </c>
      <c r="G1963" s="14" t="str">
        <f t="array" ref="G1963">IF(B1963="", "",
  LET(_xlpm.spell, IFERROR(IF(F1963="", "", INDEX(_xlws.FILTER(Hairstyles!$F:$F, ISNUMBER(SEARCH(F1963, Hairstyles!$B:$B))), 1)), "No Spell for Hairstyle"),
  _xlpm.vanillaPrefix, IF(LEFT(_xlpm.spell, 7)="Uvi_Wig", "", ";"),
  ";" &amp; IF(C1963="", B1963, C1963) &amp; IF(M1963="", "", " ("&amp;M1963&amp;")") &amp; CHAR(10) &amp;
  _xlpm.vanillaPrefix &amp; "Keyword = Uvi_Wig_Distr_KYWD|" &amp; B1963 &amp; CHAR(10) &amp;
  _xlpm.vanillaPrefix &amp; "Spell = " &amp; _xlpm.spell &amp; "|" &amp; B1963
  )
)</f>
        <v>;DLC2EncBandit01Melee1HDarkElf04M
;Keyword = Uvi_Wig_Distr_KYWD|DLC2EncBandit01Melee1HDarkElf04M
;Spell = No Spell for Hairstyle|DLC2EncBandit01Melee1HDarkElf04M</v>
      </c>
    </row>
    <row r="1964" ht="12.75" customHeight="1">
      <c r="A1964" s="5" t="s">
        <v>6295</v>
      </c>
      <c r="B1964" s="5" t="s">
        <v>6296</v>
      </c>
      <c r="D1964" s="5" t="s">
        <v>45</v>
      </c>
      <c r="E1964" s="5" t="s">
        <v>41</v>
      </c>
      <c r="F1964" s="5" t="s">
        <v>2380</v>
      </c>
      <c r="G1964" s="14" t="str">
        <f t="array" ref="G1964">IF(B1964="", "",
  LET(_xlpm.spell, IFERROR(IF(F1964="", "", INDEX(_xlws.FILTER(Hairstyles!$F:$F, ISNUMBER(SEARCH(F1964, Hairstyles!$B:$B))), 1)), "No Spell for Hairstyle"),
  _xlpm.vanillaPrefix, IF(LEFT(_xlpm.spell, 7)="Uvi_Wig", "", ";"),
  ";" &amp; IF(C1964="", B1964, C1964) &amp; IF(M1964="", "", " ("&amp;M1964&amp;")") &amp; CHAR(10) &amp;
  _xlpm.vanillaPrefix &amp; "Keyword = Uvi_Wig_Distr_KYWD|" &amp; B1964 &amp; CHAR(10) &amp;
  _xlpm.vanillaPrefix &amp; "Spell = " &amp; _xlpm.spell &amp; "|" &amp; B1964
  )
)</f>
        <v>;DLC2EncBandit01MissileDarkElf01F
;Keyword = Uvi_Wig_Distr_KYWD|DLC2EncBandit01MissileDarkElf01F
;Spell = No Spell for Hairstyle|DLC2EncBandit01MissileDarkElf01F</v>
      </c>
    </row>
    <row r="1965" ht="12.75" customHeight="1">
      <c r="A1965" s="5" t="s">
        <v>6297</v>
      </c>
      <c r="B1965" s="5" t="s">
        <v>6298</v>
      </c>
      <c r="D1965" s="5" t="s">
        <v>45</v>
      </c>
      <c r="E1965" s="5" t="s">
        <v>233</v>
      </c>
      <c r="F1965" s="5" t="s">
        <v>2088</v>
      </c>
      <c r="G1965" s="14" t="str">
        <f t="array" ref="G1965">IF(B1965="", "",
  LET(_xlpm.spell, IFERROR(IF(F1965="", "", INDEX(_xlws.FILTER(Hairstyles!$F:$F, ISNUMBER(SEARCH(F1965, Hairstyles!$B:$B))), 1)), "No Spell for Hairstyle"),
  _xlpm.vanillaPrefix, IF(LEFT(_xlpm.spell, 7)="Uvi_Wig", "", ";"),
  ";" &amp; IF(C1965="", B1965, C1965) &amp; IF(M1965="", "", " ("&amp;M1965&amp;")") &amp; CHAR(10) &amp;
  _xlpm.vanillaPrefix &amp; "Keyword = Uvi_Wig_Distr_KYWD|" &amp; B1965 &amp; CHAR(10) &amp;
  _xlpm.vanillaPrefix &amp; "Spell = " &amp; _xlpm.spell &amp; "|" &amp; B1965
  )
)</f>
        <v>;DLC2EncBandit01MissileDarkElf01M
;Keyword = Uvi_Wig_Distr_KYWD|DLC2EncBandit01MissileDarkElf01M
;Spell = No Spell for Hairstyle|DLC2EncBandit01MissileDarkElf01M</v>
      </c>
    </row>
    <row r="1966" ht="12.75" customHeight="1">
      <c r="A1966" s="5" t="s">
        <v>6299</v>
      </c>
      <c r="B1966" s="5" t="s">
        <v>6300</v>
      </c>
      <c r="D1966" s="5" t="s">
        <v>45</v>
      </c>
      <c r="E1966" s="5" t="s">
        <v>41</v>
      </c>
      <c r="F1966" s="5" t="s">
        <v>2034</v>
      </c>
      <c r="G1966" s="14" t="str">
        <f t="array" ref="G1966">IF(B1966="", "",
  LET(_xlpm.spell, IFERROR(IF(F1966="", "", INDEX(_xlws.FILTER(Hairstyles!$F:$F, ISNUMBER(SEARCH(F1966, Hairstyles!$B:$B))), 1)), "No Spell for Hairstyle"),
  _xlpm.vanillaPrefix, IF(LEFT(_xlpm.spell, 7)="Uvi_Wig", "", ";"),
  ";" &amp; IF(C1966="", B1966, C1966) &amp; IF(M1966="", "", " ("&amp;M1966&amp;")") &amp; CHAR(10) &amp;
  _xlpm.vanillaPrefix &amp; "Keyword = Uvi_Wig_Distr_KYWD|" &amp; B1966 &amp; CHAR(10) &amp;
  _xlpm.vanillaPrefix &amp; "Spell = " &amp; _xlpm.spell &amp; "|" &amp; B1966
  )
)</f>
        <v>;DLC2EncBandit01MissileDarkElf02F
;Keyword = Uvi_Wig_Distr_KYWD|DLC2EncBandit01MissileDarkElf02F
;Spell = No Spell for Hairstyle|DLC2EncBandit01MissileDarkElf02F</v>
      </c>
    </row>
    <row r="1967" ht="12.75" customHeight="1">
      <c r="A1967" s="5" t="s">
        <v>6301</v>
      </c>
      <c r="B1967" s="5" t="s">
        <v>6302</v>
      </c>
      <c r="D1967" s="5" t="s">
        <v>45</v>
      </c>
      <c r="E1967" s="5" t="s">
        <v>233</v>
      </c>
      <c r="F1967" s="5" t="s">
        <v>4186</v>
      </c>
      <c r="G1967" s="14" t="str">
        <f t="array" ref="G1967">IF(B1967="", "",
  LET(_xlpm.spell, IFERROR(IF(F1967="", "", INDEX(_xlws.FILTER(Hairstyles!$F:$F, ISNUMBER(SEARCH(F1967, Hairstyles!$B:$B))), 1)), "No Spell for Hairstyle"),
  _xlpm.vanillaPrefix, IF(LEFT(_xlpm.spell, 7)="Uvi_Wig", "", ";"),
  ";" &amp; IF(C1967="", B1967, C1967) &amp; IF(M1967="", "", " ("&amp;M1967&amp;")") &amp; CHAR(10) &amp;
  _xlpm.vanillaPrefix &amp; "Keyword = Uvi_Wig_Distr_KYWD|" &amp; B1967 &amp; CHAR(10) &amp;
  _xlpm.vanillaPrefix &amp; "Spell = " &amp; _xlpm.spell &amp; "|" &amp; B1967
  )
)</f>
        <v>;DLC2EncBandit01MissileDarkElf02M
;Keyword = Uvi_Wig_Distr_KYWD|DLC2EncBandit01MissileDarkElf02M
;Spell = No Spell for Hairstyle|DLC2EncBandit01MissileDarkElf02M</v>
      </c>
    </row>
    <row r="1968" ht="12.75" customHeight="1">
      <c r="A1968" s="5" t="s">
        <v>6303</v>
      </c>
      <c r="B1968" s="5" t="s">
        <v>6304</v>
      </c>
      <c r="D1968" s="5" t="s">
        <v>45</v>
      </c>
      <c r="E1968" s="5" t="s">
        <v>41</v>
      </c>
      <c r="F1968" s="5" t="s">
        <v>1732</v>
      </c>
      <c r="G1968" s="14" t="str">
        <f t="array" ref="G1968">IF(B1968="", "",
  LET(_xlpm.spell, IFERROR(IF(F1968="", "", INDEX(_xlws.FILTER(Hairstyles!$F:$F, ISNUMBER(SEARCH(F1968, Hairstyles!$B:$B))), 1)), "No Spell for Hairstyle"),
  _xlpm.vanillaPrefix, IF(LEFT(_xlpm.spell, 7)="Uvi_Wig", "", ";"),
  ";" &amp; IF(C1968="", B1968, C1968) &amp; IF(M1968="", "", " ("&amp;M1968&amp;")") &amp; CHAR(10) &amp;
  _xlpm.vanillaPrefix &amp; "Keyword = Uvi_Wig_Distr_KYWD|" &amp; B1968 &amp; CHAR(10) &amp;
  _xlpm.vanillaPrefix &amp; "Spell = " &amp; _xlpm.spell &amp; "|" &amp; B1968
  )
)</f>
        <v>;DLC2EncBandit01MissileDarkElf03F
;Keyword = Uvi_Wig_Distr_KYWD|DLC2EncBandit01MissileDarkElf03F
;Spell = No Spell for Hairstyle|DLC2EncBandit01MissileDarkElf03F</v>
      </c>
    </row>
    <row r="1969" ht="12.75" customHeight="1">
      <c r="A1969" s="5" t="s">
        <v>6305</v>
      </c>
      <c r="B1969" s="5" t="s">
        <v>6306</v>
      </c>
      <c r="D1969" s="5" t="s">
        <v>45</v>
      </c>
      <c r="E1969" s="5" t="s">
        <v>233</v>
      </c>
      <c r="F1969" s="5" t="s">
        <v>2612</v>
      </c>
      <c r="G1969" s="14" t="str">
        <f t="array" ref="G1969">IF(B1969="", "",
  LET(_xlpm.spell, IFERROR(IF(F1969="", "", INDEX(_xlws.FILTER(Hairstyles!$F:$F, ISNUMBER(SEARCH(F1969, Hairstyles!$B:$B))), 1)), "No Spell for Hairstyle"),
  _xlpm.vanillaPrefix, IF(LEFT(_xlpm.spell, 7)="Uvi_Wig", "", ";"),
  ";" &amp; IF(C1969="", B1969, C1969) &amp; IF(M1969="", "", " ("&amp;M1969&amp;")") &amp; CHAR(10) &amp;
  _xlpm.vanillaPrefix &amp; "Keyword = Uvi_Wig_Distr_KYWD|" &amp; B1969 &amp; CHAR(10) &amp;
  _xlpm.vanillaPrefix &amp; "Spell = " &amp; _xlpm.spell &amp; "|" &amp; B1969
  )
)</f>
        <v>;DLC2EncBandit01MissileDarkElf03M
;Keyword = Uvi_Wig_Distr_KYWD|DLC2EncBandit01MissileDarkElf03M
;Spell = No Spell for Hairstyle|DLC2EncBandit01MissileDarkElf03M</v>
      </c>
    </row>
    <row r="1970" ht="12.75" customHeight="1">
      <c r="A1970" s="5" t="s">
        <v>6307</v>
      </c>
      <c r="B1970" s="5" t="s">
        <v>6308</v>
      </c>
      <c r="D1970" s="5" t="s">
        <v>45</v>
      </c>
      <c r="E1970" s="5" t="s">
        <v>233</v>
      </c>
      <c r="F1970" s="5" t="s">
        <v>1541</v>
      </c>
      <c r="G1970" s="14" t="str">
        <f t="array" ref="G1970">IF(B1970="", "",
  LET(_xlpm.spell, IFERROR(IF(F1970="", "", INDEX(_xlws.FILTER(Hairstyles!$F:$F, ISNUMBER(SEARCH(F1970, Hairstyles!$B:$B))), 1)), "No Spell for Hairstyle"),
  _xlpm.vanillaPrefix, IF(LEFT(_xlpm.spell, 7)="Uvi_Wig", "", ";"),
  ";" &amp; IF(C1970="", B1970, C1970) &amp; IF(M1970="", "", " ("&amp;M1970&amp;")") &amp; CHAR(10) &amp;
  _xlpm.vanillaPrefix &amp; "Keyword = Uvi_Wig_Distr_KYWD|" &amp; B1970 &amp; CHAR(10) &amp;
  _xlpm.vanillaPrefix &amp; "Spell = " &amp; _xlpm.spell &amp; "|" &amp; B1970
  )
)</f>
        <v>;DLC2EncBandit01MissileDarkElf04M
;Keyword = Uvi_Wig_Distr_KYWD|DLC2EncBandit01MissileDarkElf04M
;Spell = No Spell for Hairstyle|DLC2EncBandit01MissileDarkElf04M</v>
      </c>
    </row>
    <row r="1971" ht="12.75" customHeight="1">
      <c r="A1971" s="5" t="s">
        <v>6309</v>
      </c>
      <c r="B1971" s="5" t="s">
        <v>6310</v>
      </c>
      <c r="D1971" s="5" t="s">
        <v>45</v>
      </c>
      <c r="E1971" s="5" t="s">
        <v>233</v>
      </c>
      <c r="F1971" s="5" t="s">
        <v>47</v>
      </c>
      <c r="G1971" s="14" t="str">
        <f t="array" ref="G1971">IF(B1971="", "",
  LET(_xlpm.spell, IFERROR(IF(F1971="", "", INDEX(_xlws.FILTER(Hairstyles!$F:$F, ISNUMBER(SEARCH(F1971, Hairstyles!$B:$B))), 1)), "No Spell for Hairstyle"),
  _xlpm.vanillaPrefix, IF(LEFT(_xlpm.spell, 7)="Uvi_Wig", "", ";"),
  ";" &amp; IF(C1971="", B1971, C1971) &amp; IF(M1971="", "", " ("&amp;M1971&amp;")") &amp; CHAR(10) &amp;
  _xlpm.vanillaPrefix &amp; "Keyword = Uvi_Wig_Distr_KYWD|" &amp; B1971 &amp; CHAR(10) &amp;
  _xlpm.vanillaPrefix &amp; "Spell = " &amp; _xlpm.spell &amp; "|" &amp; B1971
  )
)</f>
        <v>;DLC2EncBandit02Boss
;Keyword = Uvi_Wig_Distr_KYWD|DLC2EncBandit02Boss
;Spell = No Spell for Hairstyle|DLC2EncBandit02Boss</v>
      </c>
    </row>
    <row r="1972" ht="12.75" customHeight="1">
      <c r="A1972" s="5" t="s">
        <v>6311</v>
      </c>
      <c r="B1972" s="5" t="s">
        <v>6312</v>
      </c>
      <c r="D1972" s="5" t="s">
        <v>45</v>
      </c>
      <c r="E1972" s="5" t="s">
        <v>41</v>
      </c>
      <c r="F1972" s="5" t="s">
        <v>512</v>
      </c>
      <c r="G1972" s="14" t="str">
        <f t="array" ref="G1972">IF(B1972="", "",
  LET(_xlpm.spell, IFERROR(IF(F1972="", "", INDEX(_xlws.FILTER(Hairstyles!$F:$F, ISNUMBER(SEARCH(F1972, Hairstyles!$B:$B))), 1)), "No Spell for Hairstyle"),
  _xlpm.vanillaPrefix, IF(LEFT(_xlpm.spell, 7)="Uvi_Wig", "", ";"),
  ";" &amp; IF(C1972="", B1972, C1972) &amp; IF(M1972="", "", " ("&amp;M1972&amp;")") &amp; CHAR(10) &amp;
  _xlpm.vanillaPrefix &amp; "Keyword = Uvi_Wig_Distr_KYWD|" &amp; B1972 &amp; CHAR(10) &amp;
  _xlpm.vanillaPrefix &amp; "Spell = " &amp; _xlpm.spell &amp; "|" &amp; B1972
  )
)</f>
        <v>;DLC2EncBandit02MagicDarkElf01F
;Keyword = Uvi_Wig_Distr_KYWD|DLC2EncBandit02MagicDarkElf01F
;Spell = No Spell for Hairstyle|DLC2EncBandit02MagicDarkElf01F</v>
      </c>
    </row>
    <row r="1973" ht="12.75" customHeight="1">
      <c r="A1973" s="5" t="s">
        <v>6313</v>
      </c>
      <c r="B1973" s="5" t="s">
        <v>6314</v>
      </c>
      <c r="D1973" s="5" t="s">
        <v>45</v>
      </c>
      <c r="E1973" s="5" t="s">
        <v>233</v>
      </c>
      <c r="F1973" s="5" t="s">
        <v>47</v>
      </c>
      <c r="G1973" s="14" t="str">
        <f t="array" ref="G1973">IF(B1973="", "",
  LET(_xlpm.spell, IFERROR(IF(F1973="", "", INDEX(_xlws.FILTER(Hairstyles!$F:$F, ISNUMBER(SEARCH(F1973, Hairstyles!$B:$B))), 1)), "No Spell for Hairstyle"),
  _xlpm.vanillaPrefix, IF(LEFT(_xlpm.spell, 7)="Uvi_Wig", "", ";"),
  ";" &amp; IF(C1973="", B1973, C1973) &amp; IF(M1973="", "", " ("&amp;M1973&amp;")") &amp; CHAR(10) &amp;
  _xlpm.vanillaPrefix &amp; "Keyword = Uvi_Wig_Distr_KYWD|" &amp; B1973 &amp; CHAR(10) &amp;
  _xlpm.vanillaPrefix &amp; "Spell = " &amp; _xlpm.spell &amp; "|" &amp; B1973
  )
)</f>
        <v>;DLC2EncBandit02MagicDarkElf01M
;Keyword = Uvi_Wig_Distr_KYWD|DLC2EncBandit02MagicDarkElf01M
;Spell = No Spell for Hairstyle|DLC2EncBandit02MagicDarkElf01M</v>
      </c>
    </row>
    <row r="1974" ht="12.75" customHeight="1">
      <c r="A1974" s="5" t="s">
        <v>6315</v>
      </c>
      <c r="B1974" s="5" t="s">
        <v>6316</v>
      </c>
      <c r="D1974" s="5" t="s">
        <v>45</v>
      </c>
      <c r="E1974" s="5" t="s">
        <v>41</v>
      </c>
      <c r="F1974" s="5" t="s">
        <v>2373</v>
      </c>
      <c r="G1974" s="14" t="str">
        <f t="array" ref="G1974">IF(B1974="", "",
  LET(_xlpm.spell, IFERROR(IF(F1974="", "", INDEX(_xlws.FILTER(Hairstyles!$F:$F, ISNUMBER(SEARCH(F1974, Hairstyles!$B:$B))), 1)), "No Spell for Hairstyle"),
  _xlpm.vanillaPrefix, IF(LEFT(_xlpm.spell, 7)="Uvi_Wig", "", ";"),
  ";" &amp; IF(C1974="", B1974, C1974) &amp; IF(M1974="", "", " ("&amp;M1974&amp;")") &amp; CHAR(10) &amp;
  _xlpm.vanillaPrefix &amp; "Keyword = Uvi_Wig_Distr_KYWD|" &amp; B1974 &amp; CHAR(10) &amp;
  _xlpm.vanillaPrefix &amp; "Spell = " &amp; _xlpm.spell &amp; "|" &amp; B1974
  )
)</f>
        <v>;DLC2EncBandit02MagicDarkElf02F
;Keyword = Uvi_Wig_Distr_KYWD|DLC2EncBandit02MagicDarkElf02F
;Spell = No Spell for Hairstyle|DLC2EncBandit02MagicDarkElf02F</v>
      </c>
    </row>
    <row r="1975" ht="12.75" customHeight="1">
      <c r="A1975" s="5" t="s">
        <v>6317</v>
      </c>
      <c r="B1975" s="5" t="s">
        <v>6318</v>
      </c>
      <c r="D1975" s="5" t="s">
        <v>45</v>
      </c>
      <c r="E1975" s="5" t="s">
        <v>233</v>
      </c>
      <c r="F1975" s="5" t="s">
        <v>2583</v>
      </c>
      <c r="G1975" s="14" t="str">
        <f t="array" ref="G1975">IF(B1975="", "",
  LET(_xlpm.spell, IFERROR(IF(F1975="", "", INDEX(_xlws.FILTER(Hairstyles!$F:$F, ISNUMBER(SEARCH(F1975, Hairstyles!$B:$B))), 1)), "No Spell for Hairstyle"),
  _xlpm.vanillaPrefix, IF(LEFT(_xlpm.spell, 7)="Uvi_Wig", "", ";"),
  ";" &amp; IF(C1975="", B1975, C1975) &amp; IF(M1975="", "", " ("&amp;M1975&amp;")") &amp; CHAR(10) &amp;
  _xlpm.vanillaPrefix &amp; "Keyword = Uvi_Wig_Distr_KYWD|" &amp; B1975 &amp; CHAR(10) &amp;
  _xlpm.vanillaPrefix &amp; "Spell = " &amp; _xlpm.spell &amp; "|" &amp; B1975
  )
)</f>
        <v>;DLC2EncBandit02MagicDarkElf02M
;Keyword = Uvi_Wig_Distr_KYWD|DLC2EncBandit02MagicDarkElf02M
;Spell = No Spell for Hairstyle|DLC2EncBandit02MagicDarkElf02M</v>
      </c>
    </row>
    <row r="1976" ht="12.75" customHeight="1">
      <c r="A1976" s="5" t="s">
        <v>6319</v>
      </c>
      <c r="B1976" s="5" t="s">
        <v>6320</v>
      </c>
      <c r="D1976" s="5" t="s">
        <v>45</v>
      </c>
      <c r="E1976" s="5" t="s">
        <v>41</v>
      </c>
      <c r="F1976" s="5" t="s">
        <v>1854</v>
      </c>
      <c r="G1976" s="14" t="str">
        <f t="array" ref="G1976">IF(B1976="", "",
  LET(_xlpm.spell, IFERROR(IF(F1976="", "", INDEX(_xlws.FILTER(Hairstyles!$F:$F, ISNUMBER(SEARCH(F1976, Hairstyles!$B:$B))), 1)), "No Spell for Hairstyle"),
  _xlpm.vanillaPrefix, IF(LEFT(_xlpm.spell, 7)="Uvi_Wig", "", ";"),
  ";" &amp; IF(C1976="", B1976, C1976) &amp; IF(M1976="", "", " ("&amp;M1976&amp;")") &amp; CHAR(10) &amp;
  _xlpm.vanillaPrefix &amp; "Keyword = Uvi_Wig_Distr_KYWD|" &amp; B1976 &amp; CHAR(10) &amp;
  _xlpm.vanillaPrefix &amp; "Spell = " &amp; _xlpm.spell &amp; "|" &amp; B1976
  )
)</f>
        <v>;DLC2EncBandit02MagicDarkElf03F
;Keyword = Uvi_Wig_Distr_KYWD|DLC2EncBandit02MagicDarkElf03F
;Spell = No Spell for Hairstyle|DLC2EncBandit02MagicDarkElf03F</v>
      </c>
    </row>
    <row r="1977" ht="12.75" customHeight="1">
      <c r="A1977" s="5" t="s">
        <v>6321</v>
      </c>
      <c r="B1977" s="5" t="s">
        <v>6322</v>
      </c>
      <c r="D1977" s="5" t="s">
        <v>45</v>
      </c>
      <c r="E1977" s="5" t="s">
        <v>233</v>
      </c>
      <c r="F1977" s="5" t="s">
        <v>1787</v>
      </c>
      <c r="G1977" s="14" t="str">
        <f t="array" ref="G1977">IF(B1977="", "",
  LET(_xlpm.spell, IFERROR(IF(F1977="", "", INDEX(_xlws.FILTER(Hairstyles!$F:$F, ISNUMBER(SEARCH(F1977, Hairstyles!$B:$B))), 1)), "No Spell for Hairstyle"),
  _xlpm.vanillaPrefix, IF(LEFT(_xlpm.spell, 7)="Uvi_Wig", "", ";"),
  ";" &amp; IF(C1977="", B1977, C1977) &amp; IF(M1977="", "", " ("&amp;M1977&amp;")") &amp; CHAR(10) &amp;
  _xlpm.vanillaPrefix &amp; "Keyword = Uvi_Wig_Distr_KYWD|" &amp; B1977 &amp; CHAR(10) &amp;
  _xlpm.vanillaPrefix &amp; "Spell = " &amp; _xlpm.spell &amp; "|" &amp; B1977
  )
)</f>
        <v>;DLC2EncBandit02MagicDarkElf03M
;Keyword = Uvi_Wig_Distr_KYWD|DLC2EncBandit02MagicDarkElf03M
;Spell = No Spell for Hairstyle|DLC2EncBandit02MagicDarkElf03M</v>
      </c>
    </row>
    <row r="1978" ht="12.75" customHeight="1">
      <c r="A1978" s="5" t="s">
        <v>6323</v>
      </c>
      <c r="B1978" s="5" t="s">
        <v>6324</v>
      </c>
      <c r="D1978" s="5" t="s">
        <v>45</v>
      </c>
      <c r="E1978" s="5" t="s">
        <v>233</v>
      </c>
      <c r="F1978" s="5" t="s">
        <v>1684</v>
      </c>
      <c r="G1978" s="14" t="str">
        <f t="array" ref="G1978">IF(B1978="", "",
  LET(_xlpm.spell, IFERROR(IF(F1978="", "", INDEX(_xlws.FILTER(Hairstyles!$F:$F, ISNUMBER(SEARCH(F1978, Hairstyles!$B:$B))), 1)), "No Spell for Hairstyle"),
  _xlpm.vanillaPrefix, IF(LEFT(_xlpm.spell, 7)="Uvi_Wig", "", ";"),
  ";" &amp; IF(C1978="", B1978, C1978) &amp; IF(M1978="", "", " ("&amp;M1978&amp;")") &amp; CHAR(10) &amp;
  _xlpm.vanillaPrefix &amp; "Keyword = Uvi_Wig_Distr_KYWD|" &amp; B1978 &amp; CHAR(10) &amp;
  _xlpm.vanillaPrefix &amp; "Spell = " &amp; _xlpm.spell &amp; "|" &amp; B1978
  )
)</f>
        <v>;DLC2EncBandit02MagicDarkELf04M
;Keyword = Uvi_Wig_Distr_KYWD|DLC2EncBandit02MagicDarkELf04M
;Spell = No Spell for Hairstyle|DLC2EncBandit02MagicDarkELf04M</v>
      </c>
    </row>
    <row r="1979" ht="12.75" customHeight="1">
      <c r="A1979" s="5" t="s">
        <v>6325</v>
      </c>
      <c r="B1979" s="5" t="s">
        <v>6326</v>
      </c>
      <c r="D1979" s="5" t="s">
        <v>45</v>
      </c>
      <c r="E1979" s="5" t="s">
        <v>41</v>
      </c>
      <c r="F1979" s="5" t="s">
        <v>2380</v>
      </c>
      <c r="G1979" s="14" t="str">
        <f t="array" ref="G1979">IF(B1979="", "",
  LET(_xlpm.spell, IFERROR(IF(F1979="", "", INDEX(_xlws.FILTER(Hairstyles!$F:$F, ISNUMBER(SEARCH(F1979, Hairstyles!$B:$B))), 1)), "No Spell for Hairstyle"),
  _xlpm.vanillaPrefix, IF(LEFT(_xlpm.spell, 7)="Uvi_Wig", "", ";"),
  ";" &amp; IF(C1979="", B1979, C1979) &amp; IF(M1979="", "", " ("&amp;M1979&amp;")") &amp; CHAR(10) &amp;
  _xlpm.vanillaPrefix &amp; "Keyword = Uvi_Wig_Distr_KYWD|" &amp; B1979 &amp; CHAR(10) &amp;
  _xlpm.vanillaPrefix &amp; "Spell = " &amp; _xlpm.spell &amp; "|" &amp; B1979
  )
)</f>
        <v>;DLC2EncBandit02Melee1HDarkElf01F
;Keyword = Uvi_Wig_Distr_KYWD|DLC2EncBandit02Melee1HDarkElf01F
;Spell = No Spell for Hairstyle|DLC2EncBandit02Melee1HDarkElf01F</v>
      </c>
    </row>
    <row r="1980" ht="12.75" customHeight="1">
      <c r="A1980" s="5" t="s">
        <v>6327</v>
      </c>
      <c r="B1980" s="5" t="s">
        <v>6328</v>
      </c>
      <c r="D1980" s="5" t="s">
        <v>45</v>
      </c>
      <c r="E1980" s="5" t="s">
        <v>233</v>
      </c>
      <c r="F1980" s="5" t="s">
        <v>2088</v>
      </c>
      <c r="G1980" s="14" t="str">
        <f t="array" ref="G1980">IF(B1980="", "",
  LET(_xlpm.spell, IFERROR(IF(F1980="", "", INDEX(_xlws.FILTER(Hairstyles!$F:$F, ISNUMBER(SEARCH(F1980, Hairstyles!$B:$B))), 1)), "No Spell for Hairstyle"),
  _xlpm.vanillaPrefix, IF(LEFT(_xlpm.spell, 7)="Uvi_Wig", "", ";"),
  ";" &amp; IF(C1980="", B1980, C1980) &amp; IF(M1980="", "", " ("&amp;M1980&amp;")") &amp; CHAR(10) &amp;
  _xlpm.vanillaPrefix &amp; "Keyword = Uvi_Wig_Distr_KYWD|" &amp; B1980 &amp; CHAR(10) &amp;
  _xlpm.vanillaPrefix &amp; "Spell = " &amp; _xlpm.spell &amp; "|" &amp; B1980
  )
)</f>
        <v>;DLC2EncBandit02Melee1HDarkElf01M
;Keyword = Uvi_Wig_Distr_KYWD|DLC2EncBandit02Melee1HDarkElf01M
;Spell = No Spell for Hairstyle|DLC2EncBandit02Melee1HDarkElf01M</v>
      </c>
    </row>
    <row r="1981" ht="12.75" customHeight="1">
      <c r="A1981" s="5" t="s">
        <v>6329</v>
      </c>
      <c r="B1981" s="5" t="s">
        <v>6330</v>
      </c>
      <c r="D1981" s="5" t="s">
        <v>45</v>
      </c>
      <c r="E1981" s="5" t="s">
        <v>41</v>
      </c>
      <c r="F1981" s="5" t="s">
        <v>2034</v>
      </c>
      <c r="G1981" s="14" t="str">
        <f t="array" ref="G1981">IF(B1981="", "",
  LET(_xlpm.spell, IFERROR(IF(F1981="", "", INDEX(_xlws.FILTER(Hairstyles!$F:$F, ISNUMBER(SEARCH(F1981, Hairstyles!$B:$B))), 1)), "No Spell for Hairstyle"),
  _xlpm.vanillaPrefix, IF(LEFT(_xlpm.spell, 7)="Uvi_Wig", "", ";"),
  ";" &amp; IF(C1981="", B1981, C1981) &amp; IF(M1981="", "", " ("&amp;M1981&amp;")") &amp; CHAR(10) &amp;
  _xlpm.vanillaPrefix &amp; "Keyword = Uvi_Wig_Distr_KYWD|" &amp; B1981 &amp; CHAR(10) &amp;
  _xlpm.vanillaPrefix &amp; "Spell = " &amp; _xlpm.spell &amp; "|" &amp; B1981
  )
)</f>
        <v>;DLC2EncBandit02Melee1HDarkElf02F
;Keyword = Uvi_Wig_Distr_KYWD|DLC2EncBandit02Melee1HDarkElf02F
;Spell = No Spell for Hairstyle|DLC2EncBandit02Melee1HDarkElf02F</v>
      </c>
    </row>
    <row r="1982" ht="12.75" customHeight="1">
      <c r="A1982" s="5" t="s">
        <v>6331</v>
      </c>
      <c r="B1982" s="5" t="s">
        <v>6332</v>
      </c>
      <c r="D1982" s="5" t="s">
        <v>45</v>
      </c>
      <c r="E1982" s="5" t="s">
        <v>233</v>
      </c>
      <c r="F1982" s="5" t="s">
        <v>4186</v>
      </c>
      <c r="G1982" s="14" t="str">
        <f t="array" ref="G1982">IF(B1982="", "",
  LET(_xlpm.spell, IFERROR(IF(F1982="", "", INDEX(_xlws.FILTER(Hairstyles!$F:$F, ISNUMBER(SEARCH(F1982, Hairstyles!$B:$B))), 1)), "No Spell for Hairstyle"),
  _xlpm.vanillaPrefix, IF(LEFT(_xlpm.spell, 7)="Uvi_Wig", "", ";"),
  ";" &amp; IF(C1982="", B1982, C1982) &amp; IF(M1982="", "", " ("&amp;M1982&amp;")") &amp; CHAR(10) &amp;
  _xlpm.vanillaPrefix &amp; "Keyword = Uvi_Wig_Distr_KYWD|" &amp; B1982 &amp; CHAR(10) &amp;
  _xlpm.vanillaPrefix &amp; "Spell = " &amp; _xlpm.spell &amp; "|" &amp; B1982
  )
)</f>
        <v>;DLC2EncBandit02Melee1HDarkElf02M
;Keyword = Uvi_Wig_Distr_KYWD|DLC2EncBandit02Melee1HDarkElf02M
;Spell = No Spell for Hairstyle|DLC2EncBandit02Melee1HDarkElf02M</v>
      </c>
    </row>
    <row r="1983" ht="12.75" customHeight="1">
      <c r="A1983" s="5" t="s">
        <v>6333</v>
      </c>
      <c r="B1983" s="5" t="s">
        <v>6334</v>
      </c>
      <c r="D1983" s="5" t="s">
        <v>45</v>
      </c>
      <c r="E1983" s="5" t="s">
        <v>41</v>
      </c>
      <c r="F1983" s="5" t="s">
        <v>2373</v>
      </c>
      <c r="G1983" s="14" t="str">
        <f t="array" ref="G1983">IF(B1983="", "",
  LET(_xlpm.spell, IFERROR(IF(F1983="", "", INDEX(_xlws.FILTER(Hairstyles!$F:$F, ISNUMBER(SEARCH(F1983, Hairstyles!$B:$B))), 1)), "No Spell for Hairstyle"),
  _xlpm.vanillaPrefix, IF(LEFT(_xlpm.spell, 7)="Uvi_Wig", "", ";"),
  ";" &amp; IF(C1983="", B1983, C1983) &amp; IF(M1983="", "", " ("&amp;M1983&amp;")") &amp; CHAR(10) &amp;
  _xlpm.vanillaPrefix &amp; "Keyword = Uvi_Wig_Distr_KYWD|" &amp; B1983 &amp; CHAR(10) &amp;
  _xlpm.vanillaPrefix &amp; "Spell = " &amp; _xlpm.spell &amp; "|" &amp; B1983
  )
)</f>
        <v>;DLC2EncBandit02Melee1HDarkElf03F
;Keyword = Uvi_Wig_Distr_KYWD|DLC2EncBandit02Melee1HDarkElf03F
;Spell = No Spell for Hairstyle|DLC2EncBandit02Melee1HDarkElf03F</v>
      </c>
    </row>
    <row r="1984" ht="12.75" customHeight="1">
      <c r="A1984" s="5" t="s">
        <v>6335</v>
      </c>
      <c r="B1984" s="5" t="s">
        <v>6336</v>
      </c>
      <c r="D1984" s="5" t="s">
        <v>45</v>
      </c>
      <c r="E1984" s="5" t="s">
        <v>233</v>
      </c>
      <c r="F1984" s="5" t="s">
        <v>2612</v>
      </c>
      <c r="G1984" s="14" t="str">
        <f t="array" ref="G1984">IF(B1984="", "",
  LET(_xlpm.spell, IFERROR(IF(F1984="", "", INDEX(_xlws.FILTER(Hairstyles!$F:$F, ISNUMBER(SEARCH(F1984, Hairstyles!$B:$B))), 1)), "No Spell for Hairstyle"),
  _xlpm.vanillaPrefix, IF(LEFT(_xlpm.spell, 7)="Uvi_Wig", "", ";"),
  ";" &amp; IF(C1984="", B1984, C1984) &amp; IF(M1984="", "", " ("&amp;M1984&amp;")") &amp; CHAR(10) &amp;
  _xlpm.vanillaPrefix &amp; "Keyword = Uvi_Wig_Distr_KYWD|" &amp; B1984 &amp; CHAR(10) &amp;
  _xlpm.vanillaPrefix &amp; "Spell = " &amp; _xlpm.spell &amp; "|" &amp; B1984
  )
)</f>
        <v>;DLC2EncBandit02Melee1HDarkElf03M
;Keyword = Uvi_Wig_Distr_KYWD|DLC2EncBandit02Melee1HDarkElf03M
;Spell = No Spell for Hairstyle|DLC2EncBandit02Melee1HDarkElf03M</v>
      </c>
    </row>
    <row r="1985" ht="12.75" customHeight="1">
      <c r="A1985" s="5" t="s">
        <v>6337</v>
      </c>
      <c r="B1985" s="5" t="s">
        <v>6338</v>
      </c>
      <c r="D1985" s="5" t="s">
        <v>45</v>
      </c>
      <c r="E1985" s="5" t="s">
        <v>233</v>
      </c>
      <c r="F1985" s="5" t="s">
        <v>1541</v>
      </c>
      <c r="G1985" s="14" t="str">
        <f t="array" ref="G1985">IF(B1985="", "",
  LET(_xlpm.spell, IFERROR(IF(F1985="", "", INDEX(_xlws.FILTER(Hairstyles!$F:$F, ISNUMBER(SEARCH(F1985, Hairstyles!$B:$B))), 1)), "No Spell for Hairstyle"),
  _xlpm.vanillaPrefix, IF(LEFT(_xlpm.spell, 7)="Uvi_Wig", "", ";"),
  ";" &amp; IF(C1985="", B1985, C1985) &amp; IF(M1985="", "", " ("&amp;M1985&amp;")") &amp; CHAR(10) &amp;
  _xlpm.vanillaPrefix &amp; "Keyword = Uvi_Wig_Distr_KYWD|" &amp; B1985 &amp; CHAR(10) &amp;
  _xlpm.vanillaPrefix &amp; "Spell = " &amp; _xlpm.spell &amp; "|" &amp; B1985
  )
)</f>
        <v>;DLC2EncBandit02Melee1HDarkElf04M
;Keyword = Uvi_Wig_Distr_KYWD|DLC2EncBandit02Melee1HDarkElf04M
;Spell = No Spell for Hairstyle|DLC2EncBandit02Melee1HDarkElf04M</v>
      </c>
    </row>
    <row r="1986" ht="12.75" customHeight="1">
      <c r="A1986" s="5" t="s">
        <v>6339</v>
      </c>
      <c r="B1986" s="5" t="s">
        <v>6340</v>
      </c>
      <c r="D1986" s="5" t="s">
        <v>45</v>
      </c>
      <c r="E1986" s="5" t="s">
        <v>41</v>
      </c>
      <c r="F1986" s="5" t="s">
        <v>4279</v>
      </c>
      <c r="G1986" s="14" t="str">
        <f t="array" ref="G1986">IF(B1986="", "",
  LET(_xlpm.spell, IFERROR(IF(F1986="", "", INDEX(_xlws.FILTER(Hairstyles!$F:$F, ISNUMBER(SEARCH(F1986, Hairstyles!$B:$B))), 1)), "No Spell for Hairstyle"),
  _xlpm.vanillaPrefix, IF(LEFT(_xlpm.spell, 7)="Uvi_Wig", "", ";"),
  ";" &amp; IF(C1986="", B1986, C1986) &amp; IF(M1986="", "", " ("&amp;M1986&amp;")") &amp; CHAR(10) &amp;
  _xlpm.vanillaPrefix &amp; "Keyword = Uvi_Wig_Distr_KYWD|" &amp; B1986 &amp; CHAR(10) &amp;
  _xlpm.vanillaPrefix &amp; "Spell = " &amp; _xlpm.spell &amp; "|" &amp; B1986
  )
)</f>
        <v>;DLC2EncBandit02MissileDarkElf01F
;Keyword = Uvi_Wig_Distr_KYWD|DLC2EncBandit02MissileDarkElf01F
;Spell = No Spell for Hairstyle|DLC2EncBandit02MissileDarkElf01F</v>
      </c>
    </row>
    <row r="1987" ht="12.75" customHeight="1">
      <c r="A1987" s="5" t="s">
        <v>6341</v>
      </c>
      <c r="B1987" s="5" t="s">
        <v>6342</v>
      </c>
      <c r="D1987" s="5" t="s">
        <v>45</v>
      </c>
      <c r="E1987" s="5" t="s">
        <v>233</v>
      </c>
      <c r="F1987" s="5" t="s">
        <v>47</v>
      </c>
      <c r="G1987" s="14" t="str">
        <f t="array" ref="G1987">IF(B1987="", "",
  LET(_xlpm.spell, IFERROR(IF(F1987="", "", INDEX(_xlws.FILTER(Hairstyles!$F:$F, ISNUMBER(SEARCH(F1987, Hairstyles!$B:$B))), 1)), "No Spell for Hairstyle"),
  _xlpm.vanillaPrefix, IF(LEFT(_xlpm.spell, 7)="Uvi_Wig", "", ";"),
  ";" &amp; IF(C1987="", B1987, C1987) &amp; IF(M1987="", "", " ("&amp;M1987&amp;")") &amp; CHAR(10) &amp;
  _xlpm.vanillaPrefix &amp; "Keyword = Uvi_Wig_Distr_KYWD|" &amp; B1987 &amp; CHAR(10) &amp;
  _xlpm.vanillaPrefix &amp; "Spell = " &amp; _xlpm.spell &amp; "|" &amp; B1987
  )
)</f>
        <v>;DLC2EncBandit02MissileDarkElf01M
;Keyword = Uvi_Wig_Distr_KYWD|DLC2EncBandit02MissileDarkElf01M
;Spell = No Spell for Hairstyle|DLC2EncBandit02MissileDarkElf01M</v>
      </c>
    </row>
    <row r="1988" ht="12.75" customHeight="1">
      <c r="A1988" s="5" t="s">
        <v>6343</v>
      </c>
      <c r="B1988" s="5" t="s">
        <v>6344</v>
      </c>
      <c r="D1988" s="5" t="s">
        <v>45</v>
      </c>
      <c r="E1988" s="5" t="s">
        <v>41</v>
      </c>
      <c r="F1988" s="5" t="s">
        <v>2096</v>
      </c>
      <c r="G1988" s="14" t="str">
        <f t="array" ref="G1988">IF(B1988="", "",
  LET(_xlpm.spell, IFERROR(IF(F1988="", "", INDEX(_xlws.FILTER(Hairstyles!$F:$F, ISNUMBER(SEARCH(F1988, Hairstyles!$B:$B))), 1)), "No Spell for Hairstyle"),
  _xlpm.vanillaPrefix, IF(LEFT(_xlpm.spell, 7)="Uvi_Wig", "", ";"),
  ";" &amp; IF(C1988="", B1988, C1988) &amp; IF(M1988="", "", " ("&amp;M1988&amp;")") &amp; CHAR(10) &amp;
  _xlpm.vanillaPrefix &amp; "Keyword = Uvi_Wig_Distr_KYWD|" &amp; B1988 &amp; CHAR(10) &amp;
  _xlpm.vanillaPrefix &amp; "Spell = " &amp; _xlpm.spell &amp; "|" &amp; B1988
  )
)</f>
        <v>;DLC2EncBandit02MissileDarkElf02F
;Keyword = Uvi_Wig_Distr_KYWD|DLC2EncBandit02MissileDarkElf02F
;Spell = No Spell for Hairstyle|DLC2EncBandit02MissileDarkElf02F</v>
      </c>
    </row>
    <row r="1989" ht="12.75" customHeight="1">
      <c r="A1989" s="5" t="s">
        <v>6345</v>
      </c>
      <c r="B1989" s="5" t="s">
        <v>6346</v>
      </c>
      <c r="D1989" s="5" t="s">
        <v>45</v>
      </c>
      <c r="E1989" s="5" t="s">
        <v>233</v>
      </c>
      <c r="F1989" s="5" t="s">
        <v>525</v>
      </c>
      <c r="G1989" s="14" t="str">
        <f t="array" ref="G1989">IF(B1989="", "",
  LET(_xlpm.spell, IFERROR(IF(F1989="", "", INDEX(_xlws.FILTER(Hairstyles!$F:$F, ISNUMBER(SEARCH(F1989, Hairstyles!$B:$B))), 1)), "No Spell for Hairstyle"),
  _xlpm.vanillaPrefix, IF(LEFT(_xlpm.spell, 7)="Uvi_Wig", "", ";"),
  ";" &amp; IF(C1989="", B1989, C1989) &amp; IF(M1989="", "", " ("&amp;M1989&amp;")") &amp; CHAR(10) &amp;
  _xlpm.vanillaPrefix &amp; "Keyword = Uvi_Wig_Distr_KYWD|" &amp; B1989 &amp; CHAR(10) &amp;
  _xlpm.vanillaPrefix &amp; "Spell = " &amp; _xlpm.spell &amp; "|" &amp; B1989
  )
)</f>
        <v>;DLC2EncBandit02MissileDarkElf02M
;Keyword = Uvi_Wig_Distr_KYWD|DLC2EncBandit02MissileDarkElf02M
;Spell = No Spell for Hairstyle|DLC2EncBandit02MissileDarkElf02M</v>
      </c>
    </row>
    <row r="1990" ht="12.75" customHeight="1">
      <c r="A1990" s="5" t="s">
        <v>6347</v>
      </c>
      <c r="B1990" s="5" t="s">
        <v>6348</v>
      </c>
      <c r="D1990" s="5" t="s">
        <v>45</v>
      </c>
      <c r="E1990" s="5" t="s">
        <v>41</v>
      </c>
      <c r="F1990" s="5" t="s">
        <v>1967</v>
      </c>
      <c r="G1990" s="14" t="str">
        <f t="array" ref="G1990">IF(B1990="", "",
  LET(_xlpm.spell, IFERROR(IF(F1990="", "", INDEX(_xlws.FILTER(Hairstyles!$F:$F, ISNUMBER(SEARCH(F1990, Hairstyles!$B:$B))), 1)), "No Spell for Hairstyle"),
  _xlpm.vanillaPrefix, IF(LEFT(_xlpm.spell, 7)="Uvi_Wig", "", ";"),
  ";" &amp; IF(C1990="", B1990, C1990) &amp; IF(M1990="", "", " ("&amp;M1990&amp;")") &amp; CHAR(10) &amp;
  _xlpm.vanillaPrefix &amp; "Keyword = Uvi_Wig_Distr_KYWD|" &amp; B1990 &amp; CHAR(10) &amp;
  _xlpm.vanillaPrefix &amp; "Spell = " &amp; _xlpm.spell &amp; "|" &amp; B1990
  )
)</f>
        <v>;DLC2EncBandit02MissileDarkElf03F
;Keyword = Uvi_Wig_Distr_KYWD|DLC2EncBandit02MissileDarkElf03F
;Spell = No Spell for Hairstyle|DLC2EncBandit02MissileDarkElf03F</v>
      </c>
    </row>
    <row r="1991" ht="12.75" customHeight="1">
      <c r="A1991" s="5" t="s">
        <v>6349</v>
      </c>
      <c r="B1991" s="5" t="s">
        <v>6350</v>
      </c>
      <c r="D1991" s="5" t="s">
        <v>45</v>
      </c>
      <c r="E1991" s="5" t="s">
        <v>233</v>
      </c>
      <c r="F1991" s="5" t="s">
        <v>2469</v>
      </c>
      <c r="G1991" s="14" t="str">
        <f t="array" ref="G1991">IF(B1991="", "",
  LET(_xlpm.spell, IFERROR(IF(F1991="", "", INDEX(_xlws.FILTER(Hairstyles!$F:$F, ISNUMBER(SEARCH(F1991, Hairstyles!$B:$B))), 1)), "No Spell for Hairstyle"),
  _xlpm.vanillaPrefix, IF(LEFT(_xlpm.spell, 7)="Uvi_Wig", "", ";"),
  ";" &amp; IF(C1991="", B1991, C1991) &amp; IF(M1991="", "", " ("&amp;M1991&amp;")") &amp; CHAR(10) &amp;
  _xlpm.vanillaPrefix &amp; "Keyword = Uvi_Wig_Distr_KYWD|" &amp; B1991 &amp; CHAR(10) &amp;
  _xlpm.vanillaPrefix &amp; "Spell = " &amp; _xlpm.spell &amp; "|" &amp; B1991
  )
)</f>
        <v>;DLC2EncBandit02MissileDarkElf03M
;Keyword = Uvi_Wig_Distr_KYWD|DLC2EncBandit02MissileDarkElf03M
;Spell = No Spell for Hairstyle|DLC2EncBandit02MissileDarkElf03M</v>
      </c>
    </row>
    <row r="1992" ht="12.75" customHeight="1">
      <c r="A1992" s="5" t="s">
        <v>6351</v>
      </c>
      <c r="B1992" s="5" t="s">
        <v>6352</v>
      </c>
      <c r="D1992" s="5" t="s">
        <v>45</v>
      </c>
      <c r="E1992" s="5" t="s">
        <v>233</v>
      </c>
      <c r="F1992" s="5" t="s">
        <v>91</v>
      </c>
      <c r="G1992" s="14" t="str">
        <f t="array" ref="G1992">IF(B1992="", "",
  LET(_xlpm.spell, IFERROR(IF(F1992="", "", INDEX(_xlws.FILTER(Hairstyles!$F:$F, ISNUMBER(SEARCH(F1992, Hairstyles!$B:$B))), 1)), "No Spell for Hairstyle"),
  _xlpm.vanillaPrefix, IF(LEFT(_xlpm.spell, 7)="Uvi_Wig", "", ";"),
  ";" &amp; IF(C1992="", B1992, C1992) &amp; IF(M1992="", "", " ("&amp;M1992&amp;")") &amp; CHAR(10) &amp;
  _xlpm.vanillaPrefix &amp; "Keyword = Uvi_Wig_Distr_KYWD|" &amp; B1992 &amp; CHAR(10) &amp;
  _xlpm.vanillaPrefix &amp; "Spell = " &amp; _xlpm.spell &amp; "|" &amp; B1992
  )
)</f>
        <v>;DLC2EncBandit02MissileDarkElf04M
;Keyword = Uvi_Wig_Distr_KYWD|DLC2EncBandit02MissileDarkElf04M
;Spell = No Spell for Hairstyle|DLC2EncBandit02MissileDarkElf04M</v>
      </c>
    </row>
    <row r="1993" ht="12.75" customHeight="1">
      <c r="A1993" s="5" t="s">
        <v>6353</v>
      </c>
      <c r="B1993" s="5" t="s">
        <v>6354</v>
      </c>
      <c r="D1993" s="5" t="s">
        <v>45</v>
      </c>
      <c r="E1993" s="5" t="s">
        <v>233</v>
      </c>
      <c r="F1993" s="5" t="s">
        <v>47</v>
      </c>
      <c r="G1993" s="14" t="str">
        <f t="array" ref="G1993">IF(B1993="", "",
  LET(_xlpm.spell, IFERROR(IF(F1993="", "", INDEX(_xlws.FILTER(Hairstyles!$F:$F, ISNUMBER(SEARCH(F1993, Hairstyles!$B:$B))), 1)), "No Spell for Hairstyle"),
  _xlpm.vanillaPrefix, IF(LEFT(_xlpm.spell, 7)="Uvi_Wig", "", ";"),
  ";" &amp; IF(C1993="", B1993, C1993) &amp; IF(M1993="", "", " ("&amp;M1993&amp;")") &amp; CHAR(10) &amp;
  _xlpm.vanillaPrefix &amp; "Keyword = Uvi_Wig_Distr_KYWD|" &amp; B1993 &amp; CHAR(10) &amp;
  _xlpm.vanillaPrefix &amp; "Spell = " &amp; _xlpm.spell &amp; "|" &amp; B1993
  )
)</f>
        <v>;DLC2EncBandit03Boss
;Keyword = Uvi_Wig_Distr_KYWD|DLC2EncBandit03Boss
;Spell = No Spell for Hairstyle|DLC2EncBandit03Boss</v>
      </c>
    </row>
    <row r="1994" ht="12.75" customHeight="1">
      <c r="A1994" s="5" t="s">
        <v>6355</v>
      </c>
      <c r="B1994" s="5" t="s">
        <v>6356</v>
      </c>
      <c r="D1994" s="5" t="s">
        <v>45</v>
      </c>
      <c r="E1994" s="5" t="s">
        <v>41</v>
      </c>
      <c r="F1994" s="5" t="s">
        <v>2034</v>
      </c>
      <c r="G1994" s="14" t="str">
        <f t="array" ref="G1994">IF(B1994="", "",
  LET(_xlpm.spell, IFERROR(IF(F1994="", "", INDEX(_xlws.FILTER(Hairstyles!$F:$F, ISNUMBER(SEARCH(F1994, Hairstyles!$B:$B))), 1)), "No Spell for Hairstyle"),
  _xlpm.vanillaPrefix, IF(LEFT(_xlpm.spell, 7)="Uvi_Wig", "", ";"),
  ";" &amp; IF(C1994="", B1994, C1994) &amp; IF(M1994="", "", " ("&amp;M1994&amp;")") &amp; CHAR(10) &amp;
  _xlpm.vanillaPrefix &amp; "Keyword = Uvi_Wig_Distr_KYWD|" &amp; B1994 &amp; CHAR(10) &amp;
  _xlpm.vanillaPrefix &amp; "Spell = " &amp; _xlpm.spell &amp; "|" &amp; B1994
  )
)</f>
        <v>;DLC2EncBandit03MagicDarkElf01F
;Keyword = Uvi_Wig_Distr_KYWD|DLC2EncBandit03MagicDarkElf01F
;Spell = No Spell for Hairstyle|DLC2EncBandit03MagicDarkElf01F</v>
      </c>
    </row>
    <row r="1995" ht="12.75" customHeight="1">
      <c r="A1995" s="5" t="s">
        <v>6357</v>
      </c>
      <c r="B1995" s="5" t="s">
        <v>6358</v>
      </c>
      <c r="D1995" s="5" t="s">
        <v>45</v>
      </c>
      <c r="E1995" s="5" t="s">
        <v>233</v>
      </c>
      <c r="F1995" s="5" t="s">
        <v>1684</v>
      </c>
      <c r="G1995" s="14" t="str">
        <f t="array" ref="G1995">IF(B1995="", "",
  LET(_xlpm.spell, IFERROR(IF(F1995="", "", INDEX(_xlws.FILTER(Hairstyles!$F:$F, ISNUMBER(SEARCH(F1995, Hairstyles!$B:$B))), 1)), "No Spell for Hairstyle"),
  _xlpm.vanillaPrefix, IF(LEFT(_xlpm.spell, 7)="Uvi_Wig", "", ";"),
  ";" &amp; IF(C1995="", B1995, C1995) &amp; IF(M1995="", "", " ("&amp;M1995&amp;")") &amp; CHAR(10) &amp;
  _xlpm.vanillaPrefix &amp; "Keyword = Uvi_Wig_Distr_KYWD|" &amp; B1995 &amp; CHAR(10) &amp;
  _xlpm.vanillaPrefix &amp; "Spell = " &amp; _xlpm.spell &amp; "|" &amp; B1995
  )
)</f>
        <v>;DLC2EncBandit03MagicDarkElf01M
;Keyword = Uvi_Wig_Distr_KYWD|DLC2EncBandit03MagicDarkElf01M
;Spell = No Spell for Hairstyle|DLC2EncBandit03MagicDarkElf01M</v>
      </c>
    </row>
    <row r="1996" ht="12.75" customHeight="1">
      <c r="A1996" s="5" t="s">
        <v>6359</v>
      </c>
      <c r="B1996" s="5" t="s">
        <v>6360</v>
      </c>
      <c r="D1996" s="5" t="s">
        <v>45</v>
      </c>
      <c r="E1996" s="5" t="s">
        <v>41</v>
      </c>
      <c r="F1996" s="5" t="s">
        <v>1732</v>
      </c>
      <c r="G1996" s="14" t="str">
        <f t="array" ref="G1996">IF(B1996="", "",
  LET(_xlpm.spell, IFERROR(IF(F1996="", "", INDEX(_xlws.FILTER(Hairstyles!$F:$F, ISNUMBER(SEARCH(F1996, Hairstyles!$B:$B))), 1)), "No Spell for Hairstyle"),
  _xlpm.vanillaPrefix, IF(LEFT(_xlpm.spell, 7)="Uvi_Wig", "", ";"),
  ";" &amp; IF(C1996="", B1996, C1996) &amp; IF(M1996="", "", " ("&amp;M1996&amp;")") &amp; CHAR(10) &amp;
  _xlpm.vanillaPrefix &amp; "Keyword = Uvi_Wig_Distr_KYWD|" &amp; B1996 &amp; CHAR(10) &amp;
  _xlpm.vanillaPrefix &amp; "Spell = " &amp; _xlpm.spell &amp; "|" &amp; B1996
  )
)</f>
        <v>;DLC2EncBandit03MagicDarkElf02F
;Keyword = Uvi_Wig_Distr_KYWD|DLC2EncBandit03MagicDarkElf02F
;Spell = No Spell for Hairstyle|DLC2EncBandit03MagicDarkElf02F</v>
      </c>
    </row>
    <row r="1997" ht="12.75" customHeight="1">
      <c r="A1997" s="5" t="s">
        <v>6361</v>
      </c>
      <c r="B1997" s="5" t="s">
        <v>6362</v>
      </c>
      <c r="D1997" s="5" t="s">
        <v>45</v>
      </c>
      <c r="E1997" s="5" t="s">
        <v>233</v>
      </c>
      <c r="F1997" s="5" t="s">
        <v>2088</v>
      </c>
      <c r="G1997" s="14" t="str">
        <f t="array" ref="G1997">IF(B1997="", "",
  LET(_xlpm.spell, IFERROR(IF(F1997="", "", INDEX(_xlws.FILTER(Hairstyles!$F:$F, ISNUMBER(SEARCH(F1997, Hairstyles!$B:$B))), 1)), "No Spell for Hairstyle"),
  _xlpm.vanillaPrefix, IF(LEFT(_xlpm.spell, 7)="Uvi_Wig", "", ";"),
  ";" &amp; IF(C1997="", B1997, C1997) &amp; IF(M1997="", "", " ("&amp;M1997&amp;")") &amp; CHAR(10) &amp;
  _xlpm.vanillaPrefix &amp; "Keyword = Uvi_Wig_Distr_KYWD|" &amp; B1997 &amp; CHAR(10) &amp;
  _xlpm.vanillaPrefix &amp; "Spell = " &amp; _xlpm.spell &amp; "|" &amp; B1997
  )
)</f>
        <v>;DLC2EncBandit03MagicDarkElf02M
;Keyword = Uvi_Wig_Distr_KYWD|DLC2EncBandit03MagicDarkElf02M
;Spell = No Spell for Hairstyle|DLC2EncBandit03MagicDarkElf02M</v>
      </c>
    </row>
    <row r="1998" ht="12.75" customHeight="1">
      <c r="A1998" s="5" t="s">
        <v>6363</v>
      </c>
      <c r="B1998" s="5" t="s">
        <v>6364</v>
      </c>
      <c r="D1998" s="5" t="s">
        <v>45</v>
      </c>
      <c r="E1998" s="5" t="s">
        <v>41</v>
      </c>
      <c r="F1998" s="5" t="s">
        <v>48</v>
      </c>
      <c r="G1998" s="14" t="str">
        <f t="array" ref="G1998">IF(B1998="", "",
  LET(_xlpm.spell, IFERROR(IF(F1998="", "", INDEX(_xlws.FILTER(Hairstyles!$F:$F, ISNUMBER(SEARCH(F1998, Hairstyles!$B:$B))), 1)), "No Spell for Hairstyle"),
  _xlpm.vanillaPrefix, IF(LEFT(_xlpm.spell, 7)="Uvi_Wig", "", ";"),
  ";" &amp; IF(C1998="", B1998, C1998) &amp; IF(M1998="", "", " ("&amp;M1998&amp;")") &amp; CHAR(10) &amp;
  _xlpm.vanillaPrefix &amp; "Keyword = Uvi_Wig_Distr_KYWD|" &amp; B1998 &amp; CHAR(10) &amp;
  _xlpm.vanillaPrefix &amp; "Spell = " &amp; _xlpm.spell &amp; "|" &amp; B1998
  )
)</f>
        <v>;DLC2EncBandit03MagicDarkElf03F
;Keyword = Uvi_Wig_Distr_KYWD|DLC2EncBandit03MagicDarkElf03F
;Spell = No Spell for Hairstyle|DLC2EncBandit03MagicDarkElf03F</v>
      </c>
    </row>
    <row r="1999" ht="12.75" customHeight="1">
      <c r="A1999" s="5" t="s">
        <v>6365</v>
      </c>
      <c r="B1999" s="5" t="s">
        <v>6366</v>
      </c>
      <c r="D1999" s="5" t="s">
        <v>45</v>
      </c>
      <c r="E1999" s="5" t="s">
        <v>233</v>
      </c>
      <c r="F1999" s="5" t="s">
        <v>4186</v>
      </c>
      <c r="G1999" s="14" t="str">
        <f t="array" ref="G1999">IF(B1999="", "",
  LET(_xlpm.spell, IFERROR(IF(F1999="", "", INDEX(_xlws.FILTER(Hairstyles!$F:$F, ISNUMBER(SEARCH(F1999, Hairstyles!$B:$B))), 1)), "No Spell for Hairstyle"),
  _xlpm.vanillaPrefix, IF(LEFT(_xlpm.spell, 7)="Uvi_Wig", "", ";"),
  ";" &amp; IF(C1999="", B1999, C1999) &amp; IF(M1999="", "", " ("&amp;M1999&amp;")") &amp; CHAR(10) &amp;
  _xlpm.vanillaPrefix &amp; "Keyword = Uvi_Wig_Distr_KYWD|" &amp; B1999 &amp; CHAR(10) &amp;
  _xlpm.vanillaPrefix &amp; "Spell = " &amp; _xlpm.spell &amp; "|" &amp; B1999
  )
)</f>
        <v>;DLC2EncBandit03MagicDarkElf03M
;Keyword = Uvi_Wig_Distr_KYWD|DLC2EncBandit03MagicDarkElf03M
;Spell = No Spell for Hairstyle|DLC2EncBandit03MagicDarkElf03M</v>
      </c>
    </row>
    <row r="2000" ht="12.75" customHeight="1">
      <c r="A2000" s="5" t="s">
        <v>6367</v>
      </c>
      <c r="B2000" s="5" t="s">
        <v>6368</v>
      </c>
      <c r="D2000" s="5" t="s">
        <v>45</v>
      </c>
      <c r="E2000" s="5" t="s">
        <v>233</v>
      </c>
      <c r="F2000" s="5" t="s">
        <v>2612</v>
      </c>
      <c r="G2000" s="14" t="str">
        <f t="array" ref="G2000">IF(B2000="", "",
  LET(_xlpm.spell, IFERROR(IF(F2000="", "", INDEX(_xlws.FILTER(Hairstyles!$F:$F, ISNUMBER(SEARCH(F2000, Hairstyles!$B:$B))), 1)), "No Spell for Hairstyle"),
  _xlpm.vanillaPrefix, IF(LEFT(_xlpm.spell, 7)="Uvi_Wig", "", ";"),
  ";" &amp; IF(C2000="", B2000, C2000) &amp; IF(M2000="", "", " ("&amp;M2000&amp;")") &amp; CHAR(10) &amp;
  _xlpm.vanillaPrefix &amp; "Keyword = Uvi_Wig_Distr_KYWD|" &amp; B2000 &amp; CHAR(10) &amp;
  _xlpm.vanillaPrefix &amp; "Spell = " &amp; _xlpm.spell &amp; "|" &amp; B2000
  )
)</f>
        <v>;DLC2EncBandit03MagicDarkELl04M
;Keyword = Uvi_Wig_Distr_KYWD|DLC2EncBandit03MagicDarkELl04M
;Spell = No Spell for Hairstyle|DLC2EncBandit03MagicDarkELl04M</v>
      </c>
    </row>
    <row r="2001" ht="12.75" customHeight="1">
      <c r="A2001" s="5" t="s">
        <v>6369</v>
      </c>
      <c r="B2001" s="5" t="s">
        <v>6370</v>
      </c>
      <c r="D2001" s="5" t="s">
        <v>45</v>
      </c>
      <c r="E2001" s="5" t="s">
        <v>41</v>
      </c>
      <c r="F2001" s="5" t="s">
        <v>2373</v>
      </c>
      <c r="G2001" s="14" t="str">
        <f t="array" ref="G2001">IF(B2001="", "",
  LET(_xlpm.spell, IFERROR(IF(F2001="", "", INDEX(_xlws.FILTER(Hairstyles!$F:$F, ISNUMBER(SEARCH(F2001, Hairstyles!$B:$B))), 1)), "No Spell for Hairstyle"),
  _xlpm.vanillaPrefix, IF(LEFT(_xlpm.spell, 7)="Uvi_Wig", "", ";"),
  ";" &amp; IF(C2001="", B2001, C2001) &amp; IF(M2001="", "", " ("&amp;M2001&amp;")") &amp; CHAR(10) &amp;
  _xlpm.vanillaPrefix &amp; "Keyword = Uvi_Wig_Distr_KYWD|" &amp; B2001 &amp; CHAR(10) &amp;
  _xlpm.vanillaPrefix &amp; "Spell = " &amp; _xlpm.spell &amp; "|" &amp; B2001
  )
)</f>
        <v>;DLC2EncBandit03Melee1HDarkElf01F
;Keyword = Uvi_Wig_Distr_KYWD|DLC2EncBandit03Melee1HDarkElf01F
;Spell = No Spell for Hairstyle|DLC2EncBandit03Melee1HDarkElf01F</v>
      </c>
    </row>
    <row r="2002" ht="12.75" customHeight="1">
      <c r="A2002" s="5" t="s">
        <v>6371</v>
      </c>
      <c r="B2002" s="5" t="s">
        <v>6372</v>
      </c>
      <c r="D2002" s="5" t="s">
        <v>45</v>
      </c>
      <c r="E2002" s="5" t="s">
        <v>233</v>
      </c>
      <c r="F2002" s="5" t="s">
        <v>1541</v>
      </c>
      <c r="G2002" s="14" t="str">
        <f t="array" ref="G2002">IF(B2002="", "",
  LET(_xlpm.spell, IFERROR(IF(F2002="", "", INDEX(_xlws.FILTER(Hairstyles!$F:$F, ISNUMBER(SEARCH(F2002, Hairstyles!$B:$B))), 1)), "No Spell for Hairstyle"),
  _xlpm.vanillaPrefix, IF(LEFT(_xlpm.spell, 7)="Uvi_Wig", "", ";"),
  ";" &amp; IF(C2002="", B2002, C2002) &amp; IF(M2002="", "", " ("&amp;M2002&amp;")") &amp; CHAR(10) &amp;
  _xlpm.vanillaPrefix &amp; "Keyword = Uvi_Wig_Distr_KYWD|" &amp; B2002 &amp; CHAR(10) &amp;
  _xlpm.vanillaPrefix &amp; "Spell = " &amp; _xlpm.spell &amp; "|" &amp; B2002
  )
)</f>
        <v>;DLC2EncBandit03Melee1HDarkElf01M
;Keyword = Uvi_Wig_Distr_KYWD|DLC2EncBandit03Melee1HDarkElf01M
;Spell = No Spell for Hairstyle|DLC2EncBandit03Melee1HDarkElf01M</v>
      </c>
    </row>
    <row r="2003" ht="12.75" customHeight="1">
      <c r="A2003" s="5" t="s">
        <v>6373</v>
      </c>
      <c r="B2003" s="5" t="s">
        <v>6374</v>
      </c>
      <c r="D2003" s="5" t="s">
        <v>45</v>
      </c>
      <c r="E2003" s="5" t="s">
        <v>41</v>
      </c>
      <c r="F2003" s="5" t="s">
        <v>4279</v>
      </c>
      <c r="G2003" s="14" t="str">
        <f t="array" ref="G2003">IF(B2003="", "",
  LET(_xlpm.spell, IFERROR(IF(F2003="", "", INDEX(_xlws.FILTER(Hairstyles!$F:$F, ISNUMBER(SEARCH(F2003, Hairstyles!$B:$B))), 1)), "No Spell for Hairstyle"),
  _xlpm.vanillaPrefix, IF(LEFT(_xlpm.spell, 7)="Uvi_Wig", "", ";"),
  ";" &amp; IF(C2003="", B2003, C2003) &amp; IF(M2003="", "", " ("&amp;M2003&amp;")") &amp; CHAR(10) &amp;
  _xlpm.vanillaPrefix &amp; "Keyword = Uvi_Wig_Distr_KYWD|" &amp; B2003 &amp; CHAR(10) &amp;
  _xlpm.vanillaPrefix &amp; "Spell = " &amp; _xlpm.spell &amp; "|" &amp; B2003
  )
)</f>
        <v>;DLC2EncBandit03Melee1HDarkElf02F
;Keyword = Uvi_Wig_Distr_KYWD|DLC2EncBandit03Melee1HDarkElf02F
;Spell = No Spell for Hairstyle|DLC2EncBandit03Melee1HDarkElf02F</v>
      </c>
    </row>
    <row r="2004" ht="12.75" customHeight="1">
      <c r="A2004" s="5" t="s">
        <v>6375</v>
      </c>
      <c r="B2004" s="5" t="s">
        <v>6376</v>
      </c>
      <c r="D2004" s="5" t="s">
        <v>45</v>
      </c>
      <c r="E2004" s="5" t="s">
        <v>233</v>
      </c>
      <c r="F2004" s="5" t="s">
        <v>47</v>
      </c>
      <c r="G2004" s="14" t="str">
        <f t="array" ref="G2004">IF(B2004="", "",
  LET(_xlpm.spell, IFERROR(IF(F2004="", "", INDEX(_xlws.FILTER(Hairstyles!$F:$F, ISNUMBER(SEARCH(F2004, Hairstyles!$B:$B))), 1)), "No Spell for Hairstyle"),
  _xlpm.vanillaPrefix, IF(LEFT(_xlpm.spell, 7)="Uvi_Wig", "", ";"),
  ";" &amp; IF(C2004="", B2004, C2004) &amp; IF(M2004="", "", " ("&amp;M2004&amp;")") &amp; CHAR(10) &amp;
  _xlpm.vanillaPrefix &amp; "Keyword = Uvi_Wig_Distr_KYWD|" &amp; B2004 &amp; CHAR(10) &amp;
  _xlpm.vanillaPrefix &amp; "Spell = " &amp; _xlpm.spell &amp; "|" &amp; B2004
  )
)</f>
        <v>;DLC2EncBandit03Melee1HDarkElf02M
;Keyword = Uvi_Wig_Distr_KYWD|DLC2EncBandit03Melee1HDarkElf02M
;Spell = No Spell for Hairstyle|DLC2EncBandit03Melee1HDarkElf02M</v>
      </c>
    </row>
    <row r="2005" ht="12.75" customHeight="1">
      <c r="A2005" s="5" t="s">
        <v>6377</v>
      </c>
      <c r="B2005" s="5" t="s">
        <v>6378</v>
      </c>
      <c r="D2005" s="5" t="s">
        <v>45</v>
      </c>
      <c r="E2005" s="5" t="s">
        <v>41</v>
      </c>
      <c r="F2005" s="5" t="s">
        <v>1691</v>
      </c>
      <c r="G2005" s="14" t="str">
        <f t="array" ref="G2005">IF(B2005="", "",
  LET(_xlpm.spell, IFERROR(IF(F2005="", "", INDEX(_xlws.FILTER(Hairstyles!$F:$F, ISNUMBER(SEARCH(F2005, Hairstyles!$B:$B))), 1)), "No Spell for Hairstyle"),
  _xlpm.vanillaPrefix, IF(LEFT(_xlpm.spell, 7)="Uvi_Wig", "", ";"),
  ";" &amp; IF(C2005="", B2005, C2005) &amp; IF(M2005="", "", " ("&amp;M2005&amp;")") &amp; CHAR(10) &amp;
  _xlpm.vanillaPrefix &amp; "Keyword = Uvi_Wig_Distr_KYWD|" &amp; B2005 &amp; CHAR(10) &amp;
  _xlpm.vanillaPrefix &amp; "Spell = " &amp; _xlpm.spell &amp; "|" &amp; B2005
  )
)</f>
        <v>;DLC2EncBandit03Melee1HDarkElf03F
;Keyword = Uvi_Wig_Distr_KYWD|DLC2EncBandit03Melee1HDarkElf03F
;Spell = No Spell for Hairstyle|DLC2EncBandit03Melee1HDarkElf03F</v>
      </c>
    </row>
    <row r="2006" ht="12.75" customHeight="1">
      <c r="A2006" s="5" t="s">
        <v>6379</v>
      </c>
      <c r="B2006" s="5" t="s">
        <v>6380</v>
      </c>
      <c r="D2006" s="5" t="s">
        <v>45</v>
      </c>
      <c r="E2006" s="5" t="s">
        <v>233</v>
      </c>
      <c r="F2006" s="5" t="s">
        <v>2469</v>
      </c>
      <c r="G2006" s="14" t="str">
        <f t="array" ref="G2006">IF(B2006="", "",
  LET(_xlpm.spell, IFERROR(IF(F2006="", "", INDEX(_xlws.FILTER(Hairstyles!$F:$F, ISNUMBER(SEARCH(F2006, Hairstyles!$B:$B))), 1)), "No Spell for Hairstyle"),
  _xlpm.vanillaPrefix, IF(LEFT(_xlpm.spell, 7)="Uvi_Wig", "", ";"),
  ";" &amp; IF(C2006="", B2006, C2006) &amp; IF(M2006="", "", " ("&amp;M2006&amp;")") &amp; CHAR(10) &amp;
  _xlpm.vanillaPrefix &amp; "Keyword = Uvi_Wig_Distr_KYWD|" &amp; B2006 &amp; CHAR(10) &amp;
  _xlpm.vanillaPrefix &amp; "Spell = " &amp; _xlpm.spell &amp; "|" &amp; B2006
  )
)</f>
        <v>;DLC2EncBandit03Melee1HDarkElf03M
;Keyword = Uvi_Wig_Distr_KYWD|DLC2EncBandit03Melee1HDarkElf03M
;Spell = No Spell for Hairstyle|DLC2EncBandit03Melee1HDarkElf03M</v>
      </c>
    </row>
    <row r="2007" ht="12.75" customHeight="1">
      <c r="A2007" s="5" t="s">
        <v>6381</v>
      </c>
      <c r="B2007" s="5" t="s">
        <v>6382</v>
      </c>
      <c r="D2007" s="5" t="s">
        <v>45</v>
      </c>
      <c r="E2007" s="5" t="s">
        <v>233</v>
      </c>
      <c r="F2007" s="5" t="s">
        <v>91</v>
      </c>
      <c r="G2007" s="14" t="str">
        <f t="array" ref="G2007">IF(B2007="", "",
  LET(_xlpm.spell, IFERROR(IF(F2007="", "", INDEX(_xlws.FILTER(Hairstyles!$F:$F, ISNUMBER(SEARCH(F2007, Hairstyles!$B:$B))), 1)), "No Spell for Hairstyle"),
  _xlpm.vanillaPrefix, IF(LEFT(_xlpm.spell, 7)="Uvi_Wig", "", ";"),
  ";" &amp; IF(C2007="", B2007, C2007) &amp; IF(M2007="", "", " ("&amp;M2007&amp;")") &amp; CHAR(10) &amp;
  _xlpm.vanillaPrefix &amp; "Keyword = Uvi_Wig_Distr_KYWD|" &amp; B2007 &amp; CHAR(10) &amp;
  _xlpm.vanillaPrefix &amp; "Spell = " &amp; _xlpm.spell &amp; "|" &amp; B2007
  )
)</f>
        <v>;DLC2EncBandit03Melee1HDarkElf04M
;Keyword = Uvi_Wig_Distr_KYWD|DLC2EncBandit03Melee1HDarkElf04M
;Spell = No Spell for Hairstyle|DLC2EncBandit03Melee1HDarkElf04M</v>
      </c>
    </row>
    <row r="2008" ht="12.75" customHeight="1">
      <c r="A2008" s="5" t="s">
        <v>6383</v>
      </c>
      <c r="B2008" s="5" t="s">
        <v>6384</v>
      </c>
      <c r="D2008" s="5" t="s">
        <v>45</v>
      </c>
      <c r="E2008" s="5" t="s">
        <v>41</v>
      </c>
      <c r="F2008" s="5" t="s">
        <v>2096</v>
      </c>
      <c r="G2008" s="14" t="str">
        <f t="array" ref="G2008">IF(B2008="", "",
  LET(_xlpm.spell, IFERROR(IF(F2008="", "", INDEX(_xlws.FILTER(Hairstyles!$F:$F, ISNUMBER(SEARCH(F2008, Hairstyles!$B:$B))), 1)), "No Spell for Hairstyle"),
  _xlpm.vanillaPrefix, IF(LEFT(_xlpm.spell, 7)="Uvi_Wig", "", ";"),
  ";" &amp; IF(C2008="", B2008, C2008) &amp; IF(M2008="", "", " ("&amp;M2008&amp;")") &amp; CHAR(10) &amp;
  _xlpm.vanillaPrefix &amp; "Keyword = Uvi_Wig_Distr_KYWD|" &amp; B2008 &amp; CHAR(10) &amp;
  _xlpm.vanillaPrefix &amp; "Spell = " &amp; _xlpm.spell &amp; "|" &amp; B2008
  )
)</f>
        <v>;DLC2EncBandit03MissileDarkElf01F
;Keyword = Uvi_Wig_Distr_KYWD|DLC2EncBandit03MissileDarkElf01F
;Spell = No Spell for Hairstyle|DLC2EncBandit03MissileDarkElf01F</v>
      </c>
    </row>
    <row r="2009" ht="12.75" customHeight="1">
      <c r="A2009" s="5" t="s">
        <v>6385</v>
      </c>
      <c r="B2009" s="5" t="s">
        <v>6386</v>
      </c>
      <c r="D2009" s="5" t="s">
        <v>45</v>
      </c>
      <c r="E2009" s="5" t="s">
        <v>233</v>
      </c>
      <c r="F2009" s="5" t="s">
        <v>1787</v>
      </c>
      <c r="G2009" s="14" t="str">
        <f t="array" ref="G2009">IF(B2009="", "",
  LET(_xlpm.spell, IFERROR(IF(F2009="", "", INDEX(_xlws.FILTER(Hairstyles!$F:$F, ISNUMBER(SEARCH(F2009, Hairstyles!$B:$B))), 1)), "No Spell for Hairstyle"),
  _xlpm.vanillaPrefix, IF(LEFT(_xlpm.spell, 7)="Uvi_Wig", "", ";"),
  ";" &amp; IF(C2009="", B2009, C2009) &amp; IF(M2009="", "", " ("&amp;M2009&amp;")") &amp; CHAR(10) &amp;
  _xlpm.vanillaPrefix &amp; "Keyword = Uvi_Wig_Distr_KYWD|" &amp; B2009 &amp; CHAR(10) &amp;
  _xlpm.vanillaPrefix &amp; "Spell = " &amp; _xlpm.spell &amp; "|" &amp; B2009
  )
)</f>
        <v>;DLC2EncBandit03MissileDarkElf01M
;Keyword = Uvi_Wig_Distr_KYWD|DLC2EncBandit03MissileDarkElf01M
;Spell = No Spell for Hairstyle|DLC2EncBandit03MissileDarkElf01M</v>
      </c>
    </row>
    <row r="2010" ht="12.75" customHeight="1">
      <c r="A2010" s="5" t="s">
        <v>6387</v>
      </c>
      <c r="B2010" s="5" t="s">
        <v>6388</v>
      </c>
      <c r="D2010" s="5" t="s">
        <v>45</v>
      </c>
      <c r="E2010" s="5" t="s">
        <v>41</v>
      </c>
      <c r="F2010" s="5" t="s">
        <v>1967</v>
      </c>
      <c r="G2010" s="14" t="str">
        <f t="array" ref="G2010">IF(B2010="", "",
  LET(_xlpm.spell, IFERROR(IF(F2010="", "", INDEX(_xlws.FILTER(Hairstyles!$F:$F, ISNUMBER(SEARCH(F2010, Hairstyles!$B:$B))), 1)), "No Spell for Hairstyle"),
  _xlpm.vanillaPrefix, IF(LEFT(_xlpm.spell, 7)="Uvi_Wig", "", ";"),
  ";" &amp; IF(C2010="", B2010, C2010) &amp; IF(M2010="", "", " ("&amp;M2010&amp;")") &amp; CHAR(10) &amp;
  _xlpm.vanillaPrefix &amp; "Keyword = Uvi_Wig_Distr_KYWD|" &amp; B2010 &amp; CHAR(10) &amp;
  _xlpm.vanillaPrefix &amp; "Spell = " &amp; _xlpm.spell &amp; "|" &amp; B2010
  )
)</f>
        <v>;DLC2EncBandit03MissileDarkElf02F
;Keyword = Uvi_Wig_Distr_KYWD|DLC2EncBandit03MissileDarkElf02F
;Spell = No Spell for Hairstyle|DLC2EncBandit03MissileDarkElf02F</v>
      </c>
    </row>
    <row r="2011" ht="12.75" customHeight="1">
      <c r="A2011" s="5" t="s">
        <v>6389</v>
      </c>
      <c r="B2011" s="5" t="s">
        <v>6390</v>
      </c>
      <c r="D2011" s="5" t="s">
        <v>45</v>
      </c>
      <c r="E2011" s="5" t="s">
        <v>233</v>
      </c>
      <c r="F2011" s="5" t="s">
        <v>534</v>
      </c>
      <c r="G2011" s="14" t="str">
        <f t="array" ref="G2011">IF(B2011="", "",
  LET(_xlpm.spell, IFERROR(IF(F2011="", "", INDEX(_xlws.FILTER(Hairstyles!$F:$F, ISNUMBER(SEARCH(F2011, Hairstyles!$B:$B))), 1)), "No Spell for Hairstyle"),
  _xlpm.vanillaPrefix, IF(LEFT(_xlpm.spell, 7)="Uvi_Wig", "", ";"),
  ";" &amp; IF(C2011="", B2011, C2011) &amp; IF(M2011="", "", " ("&amp;M2011&amp;")") &amp; CHAR(10) &amp;
  _xlpm.vanillaPrefix &amp; "Keyword = Uvi_Wig_Distr_KYWD|" &amp; B2011 &amp; CHAR(10) &amp;
  _xlpm.vanillaPrefix &amp; "Spell = " &amp; _xlpm.spell &amp; "|" &amp; B2011
  )
)</f>
        <v>;DLC2EncBandit03MissileDarkElf02M
;Keyword = Uvi_Wig_Distr_KYWD|DLC2EncBandit03MissileDarkElf02M
;Spell = No Spell for Hairstyle|DLC2EncBandit03MissileDarkElf02M</v>
      </c>
    </row>
    <row r="2012" ht="12.75" customHeight="1">
      <c r="A2012" s="5" t="s">
        <v>6391</v>
      </c>
      <c r="B2012" s="5" t="s">
        <v>6392</v>
      </c>
      <c r="D2012" s="5" t="s">
        <v>45</v>
      </c>
      <c r="E2012" s="5" t="s">
        <v>41</v>
      </c>
      <c r="F2012" s="5" t="s">
        <v>1854</v>
      </c>
      <c r="G2012" s="14" t="str">
        <f t="array" ref="G2012">IF(B2012="", "",
  LET(_xlpm.spell, IFERROR(IF(F2012="", "", INDEX(_xlws.FILTER(Hairstyles!$F:$F, ISNUMBER(SEARCH(F2012, Hairstyles!$B:$B))), 1)), "No Spell for Hairstyle"),
  _xlpm.vanillaPrefix, IF(LEFT(_xlpm.spell, 7)="Uvi_Wig", "", ";"),
  ";" &amp; IF(C2012="", B2012, C2012) &amp; IF(M2012="", "", " ("&amp;M2012&amp;")") &amp; CHAR(10) &amp;
  _xlpm.vanillaPrefix &amp; "Keyword = Uvi_Wig_Distr_KYWD|" &amp; B2012 &amp; CHAR(10) &amp;
  _xlpm.vanillaPrefix &amp; "Spell = " &amp; _xlpm.spell &amp; "|" &amp; B2012
  )
)</f>
        <v>;DLC2EncBandit03MissileDarkELf03F
;Keyword = Uvi_Wig_Distr_KYWD|DLC2EncBandit03MissileDarkELf03F
;Spell = No Spell for Hairstyle|DLC2EncBandit03MissileDarkELf03F</v>
      </c>
    </row>
    <row r="2013" ht="12.75" customHeight="1">
      <c r="A2013" s="5" t="s">
        <v>6393</v>
      </c>
      <c r="B2013" s="5" t="s">
        <v>6394</v>
      </c>
      <c r="D2013" s="5" t="s">
        <v>45</v>
      </c>
      <c r="E2013" s="5" t="s">
        <v>233</v>
      </c>
      <c r="F2013" s="5" t="s">
        <v>2583</v>
      </c>
      <c r="G2013" s="14" t="str">
        <f t="array" ref="G2013">IF(B2013="", "",
  LET(_xlpm.spell, IFERROR(IF(F2013="", "", INDEX(_xlws.FILTER(Hairstyles!$F:$F, ISNUMBER(SEARCH(F2013, Hairstyles!$B:$B))), 1)), "No Spell for Hairstyle"),
  _xlpm.vanillaPrefix, IF(LEFT(_xlpm.spell, 7)="Uvi_Wig", "", ";"),
  ";" &amp; IF(C2013="", B2013, C2013) &amp; IF(M2013="", "", " ("&amp;M2013&amp;")") &amp; CHAR(10) &amp;
  _xlpm.vanillaPrefix &amp; "Keyword = Uvi_Wig_Distr_KYWD|" &amp; B2013 &amp; CHAR(10) &amp;
  _xlpm.vanillaPrefix &amp; "Spell = " &amp; _xlpm.spell &amp; "|" &amp; B2013
  )
)</f>
        <v>;DLC2EncBandit03MissileDarkElf03M
;Keyword = Uvi_Wig_Distr_KYWD|DLC2EncBandit03MissileDarkElf03M
;Spell = No Spell for Hairstyle|DLC2EncBandit03MissileDarkElf03M</v>
      </c>
    </row>
    <row r="2014" ht="12.75" customHeight="1">
      <c r="A2014" s="5" t="s">
        <v>6395</v>
      </c>
      <c r="B2014" s="5" t="s">
        <v>6396</v>
      </c>
      <c r="D2014" s="5" t="s">
        <v>45</v>
      </c>
      <c r="E2014" s="5" t="s">
        <v>233</v>
      </c>
      <c r="F2014" s="5" t="s">
        <v>1684</v>
      </c>
      <c r="G2014" s="14" t="str">
        <f t="array" ref="G2014">IF(B2014="", "",
  LET(_xlpm.spell, IFERROR(IF(F2014="", "", INDEX(_xlws.FILTER(Hairstyles!$F:$F, ISNUMBER(SEARCH(F2014, Hairstyles!$B:$B))), 1)), "No Spell for Hairstyle"),
  _xlpm.vanillaPrefix, IF(LEFT(_xlpm.spell, 7)="Uvi_Wig", "", ";"),
  ";" &amp; IF(C2014="", B2014, C2014) &amp; IF(M2014="", "", " ("&amp;M2014&amp;")") &amp; CHAR(10) &amp;
  _xlpm.vanillaPrefix &amp; "Keyword = Uvi_Wig_Distr_KYWD|" &amp; B2014 &amp; CHAR(10) &amp;
  _xlpm.vanillaPrefix &amp; "Spell = " &amp; _xlpm.spell &amp; "|" &amp; B2014
  )
)</f>
        <v>;DLC2EncBandit03MissileDarkElf04M
;Keyword = Uvi_Wig_Distr_KYWD|DLC2EncBandit03MissileDarkElf04M
;Spell = No Spell for Hairstyle|DLC2EncBandit03MissileDarkElf04M</v>
      </c>
    </row>
    <row r="2015" ht="12.75" customHeight="1">
      <c r="A2015" s="5" t="s">
        <v>6397</v>
      </c>
      <c r="B2015" s="5" t="s">
        <v>6398</v>
      </c>
      <c r="D2015" s="5" t="s">
        <v>45</v>
      </c>
      <c r="E2015" s="5" t="s">
        <v>233</v>
      </c>
      <c r="F2015" s="5" t="s">
        <v>47</v>
      </c>
      <c r="G2015" s="14" t="str">
        <f t="array" ref="G2015">IF(B2015="", "",
  LET(_xlpm.spell, IFERROR(IF(F2015="", "", INDEX(_xlws.FILTER(Hairstyles!$F:$F, ISNUMBER(SEARCH(F2015, Hairstyles!$B:$B))), 1)), "No Spell for Hairstyle"),
  _xlpm.vanillaPrefix, IF(LEFT(_xlpm.spell, 7)="Uvi_Wig", "", ";"),
  ";" &amp; IF(C2015="", B2015, C2015) &amp; IF(M2015="", "", " ("&amp;M2015&amp;")") &amp; CHAR(10) &amp;
  _xlpm.vanillaPrefix &amp; "Keyword = Uvi_Wig_Distr_KYWD|" &amp; B2015 &amp; CHAR(10) &amp;
  _xlpm.vanillaPrefix &amp; "Spell = " &amp; _xlpm.spell &amp; "|" &amp; B2015
  )
)</f>
        <v>;DLC2EncBandit04Boss
;Keyword = Uvi_Wig_Distr_KYWD|DLC2EncBandit04Boss
;Spell = No Spell for Hairstyle|DLC2EncBandit04Boss</v>
      </c>
    </row>
    <row r="2016" ht="12.75" customHeight="1">
      <c r="A2016" s="5" t="s">
        <v>6399</v>
      </c>
      <c r="B2016" s="5" t="s">
        <v>6400</v>
      </c>
      <c r="D2016" s="5" t="s">
        <v>45</v>
      </c>
      <c r="E2016" s="5" t="s">
        <v>41</v>
      </c>
      <c r="F2016" s="5" t="s">
        <v>2380</v>
      </c>
      <c r="G2016" s="14" t="str">
        <f t="array" ref="G2016">IF(B2016="", "",
  LET(_xlpm.spell, IFERROR(IF(F2016="", "", INDEX(_xlws.FILTER(Hairstyles!$F:$F, ISNUMBER(SEARCH(F2016, Hairstyles!$B:$B))), 1)), "No Spell for Hairstyle"),
  _xlpm.vanillaPrefix, IF(LEFT(_xlpm.spell, 7)="Uvi_Wig", "", ";"),
  ";" &amp; IF(C2016="", B2016, C2016) &amp; IF(M2016="", "", " ("&amp;M2016&amp;")") &amp; CHAR(10) &amp;
  _xlpm.vanillaPrefix &amp; "Keyword = Uvi_Wig_Distr_KYWD|" &amp; B2016 &amp; CHAR(10) &amp;
  _xlpm.vanillaPrefix &amp; "Spell = " &amp; _xlpm.spell &amp; "|" &amp; B2016
  )
)</f>
        <v>;DLC2EncBandit04MagicDarkElf01F
;Keyword = Uvi_Wig_Distr_KYWD|DLC2EncBandit04MagicDarkElf01F
;Spell = No Spell for Hairstyle|DLC2EncBandit04MagicDarkElf01F</v>
      </c>
    </row>
    <row r="2017" ht="12.75" customHeight="1">
      <c r="A2017" s="5" t="s">
        <v>6401</v>
      </c>
      <c r="B2017" s="5" t="s">
        <v>6402</v>
      </c>
      <c r="D2017" s="5" t="s">
        <v>45</v>
      </c>
      <c r="E2017" s="5" t="s">
        <v>233</v>
      </c>
      <c r="F2017" s="5" t="s">
        <v>1541</v>
      </c>
      <c r="G2017" s="14" t="str">
        <f t="array" ref="G2017">IF(B2017="", "",
  LET(_xlpm.spell, IFERROR(IF(F2017="", "", INDEX(_xlws.FILTER(Hairstyles!$F:$F, ISNUMBER(SEARCH(F2017, Hairstyles!$B:$B))), 1)), "No Spell for Hairstyle"),
  _xlpm.vanillaPrefix, IF(LEFT(_xlpm.spell, 7)="Uvi_Wig", "", ";"),
  ";" &amp; IF(C2017="", B2017, C2017) &amp; IF(M2017="", "", " ("&amp;M2017&amp;")") &amp; CHAR(10) &amp;
  _xlpm.vanillaPrefix &amp; "Keyword = Uvi_Wig_Distr_KYWD|" &amp; B2017 &amp; CHAR(10) &amp;
  _xlpm.vanillaPrefix &amp; "Spell = " &amp; _xlpm.spell &amp; "|" &amp; B2017
  )
)</f>
        <v>;DLC2EncBandit04MagicDarkElf01M
;Keyword = Uvi_Wig_Distr_KYWD|DLC2EncBandit04MagicDarkElf01M
;Spell = No Spell for Hairstyle|DLC2EncBandit04MagicDarkElf01M</v>
      </c>
    </row>
    <row r="2018" ht="12.75" customHeight="1">
      <c r="A2018" s="5" t="s">
        <v>6403</v>
      </c>
      <c r="B2018" s="5" t="s">
        <v>6404</v>
      </c>
      <c r="D2018" s="5" t="s">
        <v>45</v>
      </c>
      <c r="E2018" s="5" t="s">
        <v>233</v>
      </c>
      <c r="F2018" s="5" t="s">
        <v>534</v>
      </c>
      <c r="G2018" s="14" t="str">
        <f t="array" ref="G2018">IF(B2018="", "",
  LET(_xlpm.spell, IFERROR(IF(F2018="", "", INDEX(_xlws.FILTER(Hairstyles!$F:$F, ISNUMBER(SEARCH(F2018, Hairstyles!$B:$B))), 1)), "No Spell for Hairstyle"),
  _xlpm.vanillaPrefix, IF(LEFT(_xlpm.spell, 7)="Uvi_Wig", "", ";"),
  ";" &amp; IF(C2018="", B2018, C2018) &amp; IF(M2018="", "", " ("&amp;M2018&amp;")") &amp; CHAR(10) &amp;
  _xlpm.vanillaPrefix &amp; "Keyword = Uvi_Wig_Distr_KYWD|" &amp; B2018 &amp; CHAR(10) &amp;
  _xlpm.vanillaPrefix &amp; "Spell = " &amp; _xlpm.spell &amp; "|" &amp; B2018
  )
)</f>
        <v>;DLC2EncBandit04MagicDarkElf02F
;Keyword = Uvi_Wig_Distr_KYWD|DLC2EncBandit04MagicDarkElf02F
;Spell = No Spell for Hairstyle|DLC2EncBandit04MagicDarkElf02F</v>
      </c>
    </row>
    <row r="2019" ht="12.75" customHeight="1">
      <c r="A2019" s="5" t="s">
        <v>6405</v>
      </c>
      <c r="B2019" s="5" t="s">
        <v>6406</v>
      </c>
      <c r="D2019" s="5" t="s">
        <v>45</v>
      </c>
      <c r="E2019" s="5" t="s">
        <v>233</v>
      </c>
      <c r="F2019" s="5" t="s">
        <v>47</v>
      </c>
      <c r="G2019" s="14" t="str">
        <f t="array" ref="G2019">IF(B2019="", "",
  LET(_xlpm.spell, IFERROR(IF(F2019="", "", INDEX(_xlws.FILTER(Hairstyles!$F:$F, ISNUMBER(SEARCH(F2019, Hairstyles!$B:$B))), 1)), "No Spell for Hairstyle"),
  _xlpm.vanillaPrefix, IF(LEFT(_xlpm.spell, 7)="Uvi_Wig", "", ";"),
  ";" &amp; IF(C2019="", B2019, C2019) &amp; IF(M2019="", "", " ("&amp;M2019&amp;")") &amp; CHAR(10) &amp;
  _xlpm.vanillaPrefix &amp; "Keyword = Uvi_Wig_Distr_KYWD|" &amp; B2019 &amp; CHAR(10) &amp;
  _xlpm.vanillaPrefix &amp; "Spell = " &amp; _xlpm.spell &amp; "|" &amp; B2019
  )
)</f>
        <v>;DLC2EncBandit04MagicDarkElf02M
;Keyword = Uvi_Wig_Distr_KYWD|DLC2EncBandit04MagicDarkElf02M
;Spell = No Spell for Hairstyle|DLC2EncBandit04MagicDarkElf02M</v>
      </c>
    </row>
    <row r="2020" ht="12.75" customHeight="1">
      <c r="A2020" s="5" t="s">
        <v>6407</v>
      </c>
      <c r="B2020" s="5" t="s">
        <v>6408</v>
      </c>
      <c r="D2020" s="5" t="s">
        <v>45</v>
      </c>
      <c r="E2020" s="5" t="s">
        <v>41</v>
      </c>
      <c r="F2020" s="5" t="s">
        <v>2034</v>
      </c>
      <c r="G2020" s="14" t="str">
        <f t="array" ref="G2020">IF(B2020="", "",
  LET(_xlpm.spell, IFERROR(IF(F2020="", "", INDEX(_xlws.FILTER(Hairstyles!$F:$F, ISNUMBER(SEARCH(F2020, Hairstyles!$B:$B))), 1)), "No Spell for Hairstyle"),
  _xlpm.vanillaPrefix, IF(LEFT(_xlpm.spell, 7)="Uvi_Wig", "", ";"),
  ";" &amp; IF(C2020="", B2020, C2020) &amp; IF(M2020="", "", " ("&amp;M2020&amp;")") &amp; CHAR(10) &amp;
  _xlpm.vanillaPrefix &amp; "Keyword = Uvi_Wig_Distr_KYWD|" &amp; B2020 &amp; CHAR(10) &amp;
  _xlpm.vanillaPrefix &amp; "Spell = " &amp; _xlpm.spell &amp; "|" &amp; B2020
  )
)</f>
        <v>;DLC2EncBandit04MagicDarkElf03F
;Keyword = Uvi_Wig_Distr_KYWD|DLC2EncBandit04MagicDarkElf03F
;Spell = No Spell for Hairstyle|DLC2EncBandit04MagicDarkElf03F</v>
      </c>
    </row>
    <row r="2021" ht="12.75" customHeight="1">
      <c r="A2021" s="5" t="s">
        <v>6409</v>
      </c>
      <c r="B2021" s="5" t="s">
        <v>6410</v>
      </c>
      <c r="D2021" s="5" t="s">
        <v>45</v>
      </c>
      <c r="E2021" s="5" t="s">
        <v>233</v>
      </c>
      <c r="F2021" s="5" t="s">
        <v>2469</v>
      </c>
      <c r="G2021" s="14" t="str">
        <f t="array" ref="G2021">IF(B2021="", "",
  LET(_xlpm.spell, IFERROR(IF(F2021="", "", INDEX(_xlws.FILTER(Hairstyles!$F:$F, ISNUMBER(SEARCH(F2021, Hairstyles!$B:$B))), 1)), "No Spell for Hairstyle"),
  _xlpm.vanillaPrefix, IF(LEFT(_xlpm.spell, 7)="Uvi_Wig", "", ";"),
  ";" &amp; IF(C2021="", B2021, C2021) &amp; IF(M2021="", "", " ("&amp;M2021&amp;")") &amp; CHAR(10) &amp;
  _xlpm.vanillaPrefix &amp; "Keyword = Uvi_Wig_Distr_KYWD|" &amp; B2021 &amp; CHAR(10) &amp;
  _xlpm.vanillaPrefix &amp; "Spell = " &amp; _xlpm.spell &amp; "|" &amp; B2021
  )
)</f>
        <v>;DLC2EncBandit04MagicDarkElf03M
;Keyword = Uvi_Wig_Distr_KYWD|DLC2EncBandit04MagicDarkElf03M
;Spell = No Spell for Hairstyle|DLC2EncBandit04MagicDarkElf03M</v>
      </c>
    </row>
    <row r="2022" ht="12.75" customHeight="1">
      <c r="A2022" s="5" t="s">
        <v>6411</v>
      </c>
      <c r="B2022" s="5" t="s">
        <v>6412</v>
      </c>
      <c r="D2022" s="5" t="s">
        <v>45</v>
      </c>
      <c r="E2022" s="5" t="s">
        <v>233</v>
      </c>
      <c r="F2022" s="5" t="s">
        <v>91</v>
      </c>
      <c r="G2022" s="14" t="str">
        <f t="array" ref="G2022">IF(B2022="", "",
  LET(_xlpm.spell, IFERROR(IF(F2022="", "", INDEX(_xlws.FILTER(Hairstyles!$F:$F, ISNUMBER(SEARCH(F2022, Hairstyles!$B:$B))), 1)), "No Spell for Hairstyle"),
  _xlpm.vanillaPrefix, IF(LEFT(_xlpm.spell, 7)="Uvi_Wig", "", ";"),
  ";" &amp; IF(C2022="", B2022, C2022) &amp; IF(M2022="", "", " ("&amp;M2022&amp;")") &amp; CHAR(10) &amp;
  _xlpm.vanillaPrefix &amp; "Keyword = Uvi_Wig_Distr_KYWD|" &amp; B2022 &amp; CHAR(10) &amp;
  _xlpm.vanillaPrefix &amp; "Spell = " &amp; _xlpm.spell &amp; "|" &amp; B2022
  )
)</f>
        <v>;DLC2EncBandit04MagicDarkElf04M
;Keyword = Uvi_Wig_Distr_KYWD|DLC2EncBandit04MagicDarkElf04M
;Spell = No Spell for Hairstyle|DLC2EncBandit04MagicDarkElf04M</v>
      </c>
    </row>
    <row r="2023" ht="12.75" customHeight="1">
      <c r="A2023" s="5" t="s">
        <v>6413</v>
      </c>
      <c r="B2023" s="5" t="s">
        <v>6414</v>
      </c>
      <c r="D2023" s="5" t="s">
        <v>45</v>
      </c>
      <c r="E2023" s="5" t="s">
        <v>41</v>
      </c>
      <c r="F2023" s="5" t="s">
        <v>1732</v>
      </c>
      <c r="G2023" s="14" t="str">
        <f t="array" ref="G2023">IF(B2023="", "",
  LET(_xlpm.spell, IFERROR(IF(F2023="", "", INDEX(_xlws.FILTER(Hairstyles!$F:$F, ISNUMBER(SEARCH(F2023, Hairstyles!$B:$B))), 1)), "No Spell for Hairstyle"),
  _xlpm.vanillaPrefix, IF(LEFT(_xlpm.spell, 7)="Uvi_Wig", "", ";"),
  ";" &amp; IF(C2023="", B2023, C2023) &amp; IF(M2023="", "", " ("&amp;M2023&amp;")") &amp; CHAR(10) &amp;
  _xlpm.vanillaPrefix &amp; "Keyword = Uvi_Wig_Distr_KYWD|" &amp; B2023 &amp; CHAR(10) &amp;
  _xlpm.vanillaPrefix &amp; "Spell = " &amp; _xlpm.spell &amp; "|" &amp; B2023
  )
)</f>
        <v>;DLC2EncBandit04Melee1HDarkElf01F
;Keyword = Uvi_Wig_Distr_KYWD|DLC2EncBandit04Melee1HDarkElf01F
;Spell = No Spell for Hairstyle|DLC2EncBandit04Melee1HDarkElf01F</v>
      </c>
    </row>
    <row r="2024" ht="12.75" customHeight="1">
      <c r="A2024" s="5" t="s">
        <v>6415</v>
      </c>
      <c r="B2024" s="5" t="s">
        <v>6416</v>
      </c>
      <c r="D2024" s="5" t="s">
        <v>45</v>
      </c>
      <c r="E2024" s="5" t="s">
        <v>233</v>
      </c>
      <c r="F2024" s="5" t="s">
        <v>1787</v>
      </c>
      <c r="G2024" s="14" t="str">
        <f t="array" ref="G2024">IF(B2024="", "",
  LET(_xlpm.spell, IFERROR(IF(F2024="", "", INDEX(_xlws.FILTER(Hairstyles!$F:$F, ISNUMBER(SEARCH(F2024, Hairstyles!$B:$B))), 1)), "No Spell for Hairstyle"),
  _xlpm.vanillaPrefix, IF(LEFT(_xlpm.spell, 7)="Uvi_Wig", "", ";"),
  ";" &amp; IF(C2024="", B2024, C2024) &amp; IF(M2024="", "", " ("&amp;M2024&amp;")") &amp; CHAR(10) &amp;
  _xlpm.vanillaPrefix &amp; "Keyword = Uvi_Wig_Distr_KYWD|" &amp; B2024 &amp; CHAR(10) &amp;
  _xlpm.vanillaPrefix &amp; "Spell = " &amp; _xlpm.spell &amp; "|" &amp; B2024
  )
)</f>
        <v>;DLC2EncBandit04Melee1HDarkElf01M
;Keyword = Uvi_Wig_Distr_KYWD|DLC2EncBandit04Melee1HDarkElf01M
;Spell = No Spell for Hairstyle|DLC2EncBandit04Melee1HDarkElf01M</v>
      </c>
    </row>
    <row r="2025" ht="12.75" customHeight="1">
      <c r="A2025" s="5" t="s">
        <v>6417</v>
      </c>
      <c r="B2025" s="5" t="s">
        <v>6418</v>
      </c>
      <c r="D2025" s="5" t="s">
        <v>45</v>
      </c>
      <c r="E2025" s="5" t="s">
        <v>41</v>
      </c>
      <c r="F2025" s="5" t="s">
        <v>4279</v>
      </c>
      <c r="G2025" s="14" t="str">
        <f t="array" ref="G2025">IF(B2025="", "",
  LET(_xlpm.spell, IFERROR(IF(F2025="", "", INDEX(_xlws.FILTER(Hairstyles!$F:$F, ISNUMBER(SEARCH(F2025, Hairstyles!$B:$B))), 1)), "No Spell for Hairstyle"),
  _xlpm.vanillaPrefix, IF(LEFT(_xlpm.spell, 7)="Uvi_Wig", "", ";"),
  ";" &amp; IF(C2025="", B2025, C2025) &amp; IF(M2025="", "", " ("&amp;M2025&amp;")") &amp; CHAR(10) &amp;
  _xlpm.vanillaPrefix &amp; "Keyword = Uvi_Wig_Distr_KYWD|" &amp; B2025 &amp; CHAR(10) &amp;
  _xlpm.vanillaPrefix &amp; "Spell = " &amp; _xlpm.spell &amp; "|" &amp; B2025
  )
)</f>
        <v>;DLC2EncBandit04Melee1HDarkElf02F
;Keyword = Uvi_Wig_Distr_KYWD|DLC2EncBandit04Melee1HDarkElf02F
;Spell = No Spell for Hairstyle|DLC2EncBandit04Melee1HDarkElf02F</v>
      </c>
    </row>
    <row r="2026" ht="12.75" customHeight="1">
      <c r="A2026" s="5" t="s">
        <v>6419</v>
      </c>
      <c r="B2026" s="5" t="s">
        <v>6420</v>
      </c>
      <c r="D2026" s="5" t="s">
        <v>45</v>
      </c>
      <c r="E2026" s="5" t="s">
        <v>233</v>
      </c>
      <c r="F2026" s="5" t="s">
        <v>534</v>
      </c>
      <c r="G2026" s="14" t="str">
        <f t="array" ref="G2026">IF(B2026="", "",
  LET(_xlpm.spell, IFERROR(IF(F2026="", "", INDEX(_xlws.FILTER(Hairstyles!$F:$F, ISNUMBER(SEARCH(F2026, Hairstyles!$B:$B))), 1)), "No Spell for Hairstyle"),
  _xlpm.vanillaPrefix, IF(LEFT(_xlpm.spell, 7)="Uvi_Wig", "", ";"),
  ";" &amp; IF(C2026="", B2026, C2026) &amp; IF(M2026="", "", " ("&amp;M2026&amp;")") &amp; CHAR(10) &amp;
  _xlpm.vanillaPrefix &amp; "Keyword = Uvi_Wig_Distr_KYWD|" &amp; B2026 &amp; CHAR(10) &amp;
  _xlpm.vanillaPrefix &amp; "Spell = " &amp; _xlpm.spell &amp; "|" &amp; B2026
  )
)</f>
        <v>;DLC2EncBandit04Melee1HDarkElf02M
;Keyword = Uvi_Wig_Distr_KYWD|DLC2EncBandit04Melee1HDarkElf02M
;Spell = No Spell for Hairstyle|DLC2EncBandit04Melee1HDarkElf02M</v>
      </c>
    </row>
    <row r="2027" ht="12.75" customHeight="1">
      <c r="A2027" s="5" t="s">
        <v>6421</v>
      </c>
      <c r="B2027" s="5" t="s">
        <v>6422</v>
      </c>
      <c r="D2027" s="5" t="s">
        <v>45</v>
      </c>
      <c r="E2027" s="5" t="s">
        <v>41</v>
      </c>
      <c r="F2027" s="5" t="s">
        <v>2096</v>
      </c>
      <c r="G2027" s="14" t="str">
        <f t="array" ref="G2027">IF(B2027="", "",
  LET(_xlpm.spell, IFERROR(IF(F2027="", "", INDEX(_xlws.FILTER(Hairstyles!$F:$F, ISNUMBER(SEARCH(F2027, Hairstyles!$B:$B))), 1)), "No Spell for Hairstyle"),
  _xlpm.vanillaPrefix, IF(LEFT(_xlpm.spell, 7)="Uvi_Wig", "", ";"),
  ";" &amp; IF(C2027="", B2027, C2027) &amp; IF(M2027="", "", " ("&amp;M2027&amp;")") &amp; CHAR(10) &amp;
  _xlpm.vanillaPrefix &amp; "Keyword = Uvi_Wig_Distr_KYWD|" &amp; B2027 &amp; CHAR(10) &amp;
  _xlpm.vanillaPrefix &amp; "Spell = " &amp; _xlpm.spell &amp; "|" &amp; B2027
  )
)</f>
        <v>;DLC2EncBandit04Melee1HDarkElf03F
;Keyword = Uvi_Wig_Distr_KYWD|DLC2EncBandit04Melee1HDarkElf03F
;Spell = No Spell for Hairstyle|DLC2EncBandit04Melee1HDarkElf03F</v>
      </c>
    </row>
    <row r="2028" ht="12.75" customHeight="1">
      <c r="A2028" s="5" t="s">
        <v>6423</v>
      </c>
      <c r="B2028" s="5" t="s">
        <v>6424</v>
      </c>
      <c r="D2028" s="5" t="s">
        <v>45</v>
      </c>
      <c r="E2028" s="5" t="s">
        <v>233</v>
      </c>
      <c r="F2028" s="5" t="s">
        <v>2583</v>
      </c>
      <c r="G2028" s="14" t="str">
        <f t="array" ref="G2028">IF(B2028="", "",
  LET(_xlpm.spell, IFERROR(IF(F2028="", "", INDEX(_xlws.FILTER(Hairstyles!$F:$F, ISNUMBER(SEARCH(F2028, Hairstyles!$B:$B))), 1)), "No Spell for Hairstyle"),
  _xlpm.vanillaPrefix, IF(LEFT(_xlpm.spell, 7)="Uvi_Wig", "", ";"),
  ";" &amp; IF(C2028="", B2028, C2028) &amp; IF(M2028="", "", " ("&amp;M2028&amp;")") &amp; CHAR(10) &amp;
  _xlpm.vanillaPrefix &amp; "Keyword = Uvi_Wig_Distr_KYWD|" &amp; B2028 &amp; CHAR(10) &amp;
  _xlpm.vanillaPrefix &amp; "Spell = " &amp; _xlpm.spell &amp; "|" &amp; B2028
  )
)</f>
        <v>;DLC2EncBandit04Melee1HDarkElf03M
;Keyword = Uvi_Wig_Distr_KYWD|DLC2EncBandit04Melee1HDarkElf03M
;Spell = No Spell for Hairstyle|DLC2EncBandit04Melee1HDarkElf03M</v>
      </c>
    </row>
    <row r="2029" ht="12.75" customHeight="1">
      <c r="A2029" s="5" t="s">
        <v>6425</v>
      </c>
      <c r="B2029" s="5" t="s">
        <v>6426</v>
      </c>
      <c r="D2029" s="5" t="s">
        <v>45</v>
      </c>
      <c r="E2029" s="5" t="s">
        <v>233</v>
      </c>
      <c r="F2029" s="5" t="s">
        <v>1684</v>
      </c>
      <c r="G2029" s="14" t="str">
        <f t="array" ref="G2029">IF(B2029="", "",
  LET(_xlpm.spell, IFERROR(IF(F2029="", "", INDEX(_xlws.FILTER(Hairstyles!$F:$F, ISNUMBER(SEARCH(F2029, Hairstyles!$B:$B))), 1)), "No Spell for Hairstyle"),
  _xlpm.vanillaPrefix, IF(LEFT(_xlpm.spell, 7)="Uvi_Wig", "", ";"),
  ";" &amp; IF(C2029="", B2029, C2029) &amp; IF(M2029="", "", " ("&amp;M2029&amp;")") &amp; CHAR(10) &amp;
  _xlpm.vanillaPrefix &amp; "Keyword = Uvi_Wig_Distr_KYWD|" &amp; B2029 &amp; CHAR(10) &amp;
  _xlpm.vanillaPrefix &amp; "Spell = " &amp; _xlpm.spell &amp; "|" &amp; B2029
  )
)</f>
        <v>;DLC2EncBandit04Melee1HDarkElf04M
;Keyword = Uvi_Wig_Distr_KYWD|DLC2EncBandit04Melee1HDarkElf04M
;Spell = No Spell for Hairstyle|DLC2EncBandit04Melee1HDarkElf04M</v>
      </c>
    </row>
    <row r="2030" ht="12.75" customHeight="1">
      <c r="A2030" s="5" t="s">
        <v>6427</v>
      </c>
      <c r="B2030" s="5" t="s">
        <v>6428</v>
      </c>
      <c r="D2030" s="5" t="s">
        <v>45</v>
      </c>
      <c r="E2030" s="5" t="s">
        <v>41</v>
      </c>
      <c r="F2030" s="5" t="s">
        <v>1967</v>
      </c>
      <c r="G2030" s="14" t="str">
        <f t="array" ref="G2030">IF(B2030="", "",
  LET(_xlpm.spell, IFERROR(IF(F2030="", "", INDEX(_xlws.FILTER(Hairstyles!$F:$F, ISNUMBER(SEARCH(F2030, Hairstyles!$B:$B))), 1)), "No Spell for Hairstyle"),
  _xlpm.vanillaPrefix, IF(LEFT(_xlpm.spell, 7)="Uvi_Wig", "", ";"),
  ";" &amp; IF(C2030="", B2030, C2030) &amp; IF(M2030="", "", " ("&amp;M2030&amp;")") &amp; CHAR(10) &amp;
  _xlpm.vanillaPrefix &amp; "Keyword = Uvi_Wig_Distr_KYWD|" &amp; B2030 &amp; CHAR(10) &amp;
  _xlpm.vanillaPrefix &amp; "Spell = " &amp; _xlpm.spell &amp; "|" &amp; B2030
  )
)</f>
        <v>;DLC2EncBandit04MissileDarkElf01F
;Keyword = Uvi_Wig_Distr_KYWD|DLC2EncBandit04MissileDarkElf01F
;Spell = No Spell for Hairstyle|DLC2EncBandit04MissileDarkElf01F</v>
      </c>
    </row>
    <row r="2031" ht="12.75" customHeight="1">
      <c r="A2031" s="5" t="s">
        <v>6429</v>
      </c>
      <c r="B2031" s="5" t="s">
        <v>6430</v>
      </c>
      <c r="D2031" s="5" t="s">
        <v>45</v>
      </c>
      <c r="E2031" s="5" t="s">
        <v>233</v>
      </c>
      <c r="F2031" s="5" t="s">
        <v>2088</v>
      </c>
      <c r="G2031" s="14" t="str">
        <f t="array" ref="G2031">IF(B2031="", "",
  LET(_xlpm.spell, IFERROR(IF(F2031="", "", INDEX(_xlws.FILTER(Hairstyles!$F:$F, ISNUMBER(SEARCH(F2031, Hairstyles!$B:$B))), 1)), "No Spell for Hairstyle"),
  _xlpm.vanillaPrefix, IF(LEFT(_xlpm.spell, 7)="Uvi_Wig", "", ";"),
  ";" &amp; IF(C2031="", B2031, C2031) &amp; IF(M2031="", "", " ("&amp;M2031&amp;")") &amp; CHAR(10) &amp;
  _xlpm.vanillaPrefix &amp; "Keyword = Uvi_Wig_Distr_KYWD|" &amp; B2031 &amp; CHAR(10) &amp;
  _xlpm.vanillaPrefix &amp; "Spell = " &amp; _xlpm.spell &amp; "|" &amp; B2031
  )
)</f>
        <v>;DLC2EncBandit04MissileDarkElf01M
;Keyword = Uvi_Wig_Distr_KYWD|DLC2EncBandit04MissileDarkElf01M
;Spell = No Spell for Hairstyle|DLC2EncBandit04MissileDarkElf01M</v>
      </c>
    </row>
    <row r="2032" ht="12.75" customHeight="1">
      <c r="A2032" s="5" t="s">
        <v>6431</v>
      </c>
      <c r="B2032" s="5" t="s">
        <v>6432</v>
      </c>
      <c r="D2032" s="5" t="s">
        <v>45</v>
      </c>
      <c r="E2032" s="5" t="s">
        <v>41</v>
      </c>
      <c r="F2032" s="5" t="s">
        <v>1854</v>
      </c>
      <c r="G2032" s="14" t="str">
        <f t="array" ref="G2032">IF(B2032="", "",
  LET(_xlpm.spell, IFERROR(IF(F2032="", "", INDEX(_xlws.FILTER(Hairstyles!$F:$F, ISNUMBER(SEARCH(F2032, Hairstyles!$B:$B))), 1)), "No Spell for Hairstyle"),
  _xlpm.vanillaPrefix, IF(LEFT(_xlpm.spell, 7)="Uvi_Wig", "", ";"),
  ";" &amp; IF(C2032="", B2032, C2032) &amp; IF(M2032="", "", " ("&amp;M2032&amp;")") &amp; CHAR(10) &amp;
  _xlpm.vanillaPrefix &amp; "Keyword = Uvi_Wig_Distr_KYWD|" &amp; B2032 &amp; CHAR(10) &amp;
  _xlpm.vanillaPrefix &amp; "Spell = " &amp; _xlpm.spell &amp; "|" &amp; B2032
  )
)</f>
        <v>;DLC2EncBandit04MissileDarkElf02F
;Keyword = Uvi_Wig_Distr_KYWD|DLC2EncBandit04MissileDarkElf02F
;Spell = No Spell for Hairstyle|DLC2EncBandit04MissileDarkElf02F</v>
      </c>
    </row>
    <row r="2033" ht="12.75" customHeight="1">
      <c r="A2033" s="5" t="s">
        <v>6433</v>
      </c>
      <c r="B2033" s="5" t="s">
        <v>6434</v>
      </c>
      <c r="D2033" s="5" t="s">
        <v>45</v>
      </c>
      <c r="E2033" s="5" t="s">
        <v>233</v>
      </c>
      <c r="F2033" s="5" t="s">
        <v>4186</v>
      </c>
      <c r="G2033" s="14" t="str">
        <f t="array" ref="G2033">IF(B2033="", "",
  LET(_xlpm.spell, IFERROR(IF(F2033="", "", INDEX(_xlws.FILTER(Hairstyles!$F:$F, ISNUMBER(SEARCH(F2033, Hairstyles!$B:$B))), 1)), "No Spell for Hairstyle"),
  _xlpm.vanillaPrefix, IF(LEFT(_xlpm.spell, 7)="Uvi_Wig", "", ";"),
  ";" &amp; IF(C2033="", B2033, C2033) &amp; IF(M2033="", "", " ("&amp;M2033&amp;")") &amp; CHAR(10) &amp;
  _xlpm.vanillaPrefix &amp; "Keyword = Uvi_Wig_Distr_KYWD|" &amp; B2033 &amp; CHAR(10) &amp;
  _xlpm.vanillaPrefix &amp; "Spell = " &amp; _xlpm.spell &amp; "|" &amp; B2033
  )
)</f>
        <v>;DLC2EncBandit04MissileDarkElf02M
;Keyword = Uvi_Wig_Distr_KYWD|DLC2EncBandit04MissileDarkElf02M
;Spell = No Spell for Hairstyle|DLC2EncBandit04MissileDarkElf02M</v>
      </c>
    </row>
    <row r="2034" ht="12.75" customHeight="1">
      <c r="A2034" s="5" t="s">
        <v>6435</v>
      </c>
      <c r="B2034" s="5" t="s">
        <v>6436</v>
      </c>
      <c r="D2034" s="5" t="s">
        <v>45</v>
      </c>
      <c r="E2034" s="5" t="s">
        <v>41</v>
      </c>
      <c r="F2034" s="5" t="s">
        <v>2380</v>
      </c>
      <c r="G2034" s="14" t="str">
        <f t="array" ref="G2034">IF(B2034="", "",
  LET(_xlpm.spell, IFERROR(IF(F2034="", "", INDEX(_xlws.FILTER(Hairstyles!$F:$F, ISNUMBER(SEARCH(F2034, Hairstyles!$B:$B))), 1)), "No Spell for Hairstyle"),
  _xlpm.vanillaPrefix, IF(LEFT(_xlpm.spell, 7)="Uvi_Wig", "", ";"),
  ";" &amp; IF(C2034="", B2034, C2034) &amp; IF(M2034="", "", " ("&amp;M2034&amp;")") &amp; CHAR(10) &amp;
  _xlpm.vanillaPrefix &amp; "Keyword = Uvi_Wig_Distr_KYWD|" &amp; B2034 &amp; CHAR(10) &amp;
  _xlpm.vanillaPrefix &amp; "Spell = " &amp; _xlpm.spell &amp; "|" &amp; B2034
  )
)</f>
        <v>;DLC2EncBandit04MissileDarkElf03F
;Keyword = Uvi_Wig_Distr_KYWD|DLC2EncBandit04MissileDarkElf03F
;Spell = No Spell for Hairstyle|DLC2EncBandit04MissileDarkElf03F</v>
      </c>
    </row>
    <row r="2035" ht="12.75" customHeight="1">
      <c r="A2035" s="5" t="s">
        <v>6437</v>
      </c>
      <c r="B2035" s="5" t="s">
        <v>6438</v>
      </c>
      <c r="D2035" s="5" t="s">
        <v>45</v>
      </c>
      <c r="E2035" s="5" t="s">
        <v>233</v>
      </c>
      <c r="F2035" s="5" t="s">
        <v>2612</v>
      </c>
      <c r="G2035" s="14" t="str">
        <f t="array" ref="G2035">IF(B2035="", "",
  LET(_xlpm.spell, IFERROR(IF(F2035="", "", INDEX(_xlws.FILTER(Hairstyles!$F:$F, ISNUMBER(SEARCH(F2035, Hairstyles!$B:$B))), 1)), "No Spell for Hairstyle"),
  _xlpm.vanillaPrefix, IF(LEFT(_xlpm.spell, 7)="Uvi_Wig", "", ";"),
  ";" &amp; IF(C2035="", B2035, C2035) &amp; IF(M2035="", "", " ("&amp;M2035&amp;")") &amp; CHAR(10) &amp;
  _xlpm.vanillaPrefix &amp; "Keyword = Uvi_Wig_Distr_KYWD|" &amp; B2035 &amp; CHAR(10) &amp;
  _xlpm.vanillaPrefix &amp; "Spell = " &amp; _xlpm.spell &amp; "|" &amp; B2035
  )
)</f>
        <v>;DLC2EncBandit04MissileDarkElf03M
;Keyword = Uvi_Wig_Distr_KYWD|DLC2EncBandit04MissileDarkElf03M
;Spell = No Spell for Hairstyle|DLC2EncBandit04MissileDarkElf03M</v>
      </c>
    </row>
    <row r="2036" ht="12.75" customHeight="1">
      <c r="A2036" s="5" t="s">
        <v>6439</v>
      </c>
      <c r="B2036" s="5" t="s">
        <v>6440</v>
      </c>
      <c r="D2036" s="5" t="s">
        <v>45</v>
      </c>
      <c r="E2036" s="5" t="s">
        <v>233</v>
      </c>
      <c r="F2036" s="5" t="s">
        <v>1541</v>
      </c>
      <c r="G2036" s="14" t="str">
        <f t="array" ref="G2036">IF(B2036="", "",
  LET(_xlpm.spell, IFERROR(IF(F2036="", "", INDEX(_xlws.FILTER(Hairstyles!$F:$F, ISNUMBER(SEARCH(F2036, Hairstyles!$B:$B))), 1)), "No Spell for Hairstyle"),
  _xlpm.vanillaPrefix, IF(LEFT(_xlpm.spell, 7)="Uvi_Wig", "", ";"),
  ";" &amp; IF(C2036="", B2036, C2036) &amp; IF(M2036="", "", " ("&amp;M2036&amp;")") &amp; CHAR(10) &amp;
  _xlpm.vanillaPrefix &amp; "Keyword = Uvi_Wig_Distr_KYWD|" &amp; B2036 &amp; CHAR(10) &amp;
  _xlpm.vanillaPrefix &amp; "Spell = " &amp; _xlpm.spell &amp; "|" &amp; B2036
  )
)</f>
        <v>;DLC2EncBandit04MissileDarkElf04M
;Keyword = Uvi_Wig_Distr_KYWD|DLC2EncBandit04MissileDarkElf04M
;Spell = No Spell for Hairstyle|DLC2EncBandit04MissileDarkElf04M</v>
      </c>
    </row>
    <row r="2037" ht="12.75" customHeight="1">
      <c r="A2037" s="5" t="s">
        <v>6441</v>
      </c>
      <c r="B2037" s="5" t="s">
        <v>6442</v>
      </c>
      <c r="D2037" s="5" t="s">
        <v>45</v>
      </c>
      <c r="E2037" s="5" t="s">
        <v>233</v>
      </c>
      <c r="F2037" s="5" t="s">
        <v>47</v>
      </c>
      <c r="G2037" s="14" t="str">
        <f t="array" ref="G2037">IF(B2037="", "",
  LET(_xlpm.spell, IFERROR(IF(F2037="", "", INDEX(_xlws.FILTER(Hairstyles!$F:$F, ISNUMBER(SEARCH(F2037, Hairstyles!$B:$B))), 1)), "No Spell for Hairstyle"),
  _xlpm.vanillaPrefix, IF(LEFT(_xlpm.spell, 7)="Uvi_Wig", "", ";"),
  ";" &amp; IF(C2037="", B2037, C2037) &amp; IF(M2037="", "", " ("&amp;M2037&amp;")") &amp; CHAR(10) &amp;
  _xlpm.vanillaPrefix &amp; "Keyword = Uvi_Wig_Distr_KYWD|" &amp; B2037 &amp; CHAR(10) &amp;
  _xlpm.vanillaPrefix &amp; "Spell = " &amp; _xlpm.spell &amp; "|" &amp; B2037
  )
)</f>
        <v>;DLC2EncBandit05Boss
;Keyword = Uvi_Wig_Distr_KYWD|DLC2EncBandit05Boss
;Spell = No Spell for Hairstyle|DLC2EncBandit05Boss</v>
      </c>
    </row>
    <row r="2038" ht="12.75" customHeight="1">
      <c r="A2038" s="5" t="s">
        <v>6443</v>
      </c>
      <c r="B2038" s="5" t="s">
        <v>6444</v>
      </c>
      <c r="D2038" s="5" t="s">
        <v>45</v>
      </c>
      <c r="E2038" s="5" t="s">
        <v>41</v>
      </c>
      <c r="F2038" s="5" t="s">
        <v>2034</v>
      </c>
      <c r="G2038" s="14" t="str">
        <f t="array" ref="G2038">IF(B2038="", "",
  LET(_xlpm.spell, IFERROR(IF(F2038="", "", INDEX(_xlws.FILTER(Hairstyles!$F:$F, ISNUMBER(SEARCH(F2038, Hairstyles!$B:$B))), 1)), "No Spell for Hairstyle"),
  _xlpm.vanillaPrefix, IF(LEFT(_xlpm.spell, 7)="Uvi_Wig", "", ";"),
  ";" &amp; IF(C2038="", B2038, C2038) &amp; IF(M2038="", "", " ("&amp;M2038&amp;")") &amp; CHAR(10) &amp;
  _xlpm.vanillaPrefix &amp; "Keyword = Uvi_Wig_Distr_KYWD|" &amp; B2038 &amp; CHAR(10) &amp;
  _xlpm.vanillaPrefix &amp; "Spell = " &amp; _xlpm.spell &amp; "|" &amp; B2038
  )
)</f>
        <v>;DLC2EncBandit05MagicDarkElf01F
;Keyword = Uvi_Wig_Distr_KYWD|DLC2EncBandit05MagicDarkElf01F
;Spell = No Spell for Hairstyle|DLC2EncBandit05MagicDarkElf01F</v>
      </c>
    </row>
    <row r="2039" ht="12.75" customHeight="1">
      <c r="A2039" s="5" t="s">
        <v>6445</v>
      </c>
      <c r="B2039" s="5" t="s">
        <v>6446</v>
      </c>
      <c r="D2039" s="5" t="s">
        <v>45</v>
      </c>
      <c r="E2039" s="5" t="s">
        <v>233</v>
      </c>
      <c r="F2039" s="5" t="s">
        <v>91</v>
      </c>
      <c r="G2039" s="14" t="str">
        <f t="array" ref="G2039">IF(B2039="", "",
  LET(_xlpm.spell, IFERROR(IF(F2039="", "", INDEX(_xlws.FILTER(Hairstyles!$F:$F, ISNUMBER(SEARCH(F2039, Hairstyles!$B:$B))), 1)), "No Spell for Hairstyle"),
  _xlpm.vanillaPrefix, IF(LEFT(_xlpm.spell, 7)="Uvi_Wig", "", ";"),
  ";" &amp; IF(C2039="", B2039, C2039) &amp; IF(M2039="", "", " ("&amp;M2039&amp;")") &amp; CHAR(10) &amp;
  _xlpm.vanillaPrefix &amp; "Keyword = Uvi_Wig_Distr_KYWD|" &amp; B2039 &amp; CHAR(10) &amp;
  _xlpm.vanillaPrefix &amp; "Spell = " &amp; _xlpm.spell &amp; "|" &amp; B2039
  )
)</f>
        <v>;DLC2EncBandit05MagicDarkElf01M
;Keyword = Uvi_Wig_Distr_KYWD|DLC2EncBandit05MagicDarkElf01M
;Spell = No Spell for Hairstyle|DLC2EncBandit05MagicDarkElf01M</v>
      </c>
    </row>
    <row r="2040" ht="12.75" customHeight="1">
      <c r="A2040" s="5" t="s">
        <v>6447</v>
      </c>
      <c r="B2040" s="5" t="s">
        <v>6448</v>
      </c>
      <c r="D2040" s="5" t="s">
        <v>45</v>
      </c>
      <c r="E2040" s="5" t="s">
        <v>41</v>
      </c>
      <c r="F2040" s="5" t="s">
        <v>1732</v>
      </c>
      <c r="G2040" s="14" t="str">
        <f t="array" ref="G2040">IF(B2040="", "",
  LET(_xlpm.spell, IFERROR(IF(F2040="", "", INDEX(_xlws.FILTER(Hairstyles!$F:$F, ISNUMBER(SEARCH(F2040, Hairstyles!$B:$B))), 1)), "No Spell for Hairstyle"),
  _xlpm.vanillaPrefix, IF(LEFT(_xlpm.spell, 7)="Uvi_Wig", "", ";"),
  ";" &amp; IF(C2040="", B2040, C2040) &amp; IF(M2040="", "", " ("&amp;M2040&amp;")") &amp; CHAR(10) &amp;
  _xlpm.vanillaPrefix &amp; "Keyword = Uvi_Wig_Distr_KYWD|" &amp; B2040 &amp; CHAR(10) &amp;
  _xlpm.vanillaPrefix &amp; "Spell = " &amp; _xlpm.spell &amp; "|" &amp; B2040
  )
)</f>
        <v>;DLC2EncBandit05MagicDarkElf02F
;Keyword = Uvi_Wig_Distr_KYWD|DLC2EncBandit05MagicDarkElf02F
;Spell = No Spell for Hairstyle|DLC2EncBandit05MagicDarkElf02F</v>
      </c>
    </row>
    <row r="2041" ht="12.75" customHeight="1">
      <c r="A2041" s="5" t="s">
        <v>6449</v>
      </c>
      <c r="B2041" s="5" t="s">
        <v>6450</v>
      </c>
      <c r="D2041" s="5" t="s">
        <v>45</v>
      </c>
      <c r="E2041" s="5" t="s">
        <v>233</v>
      </c>
      <c r="F2041" s="5" t="s">
        <v>1787</v>
      </c>
      <c r="G2041" s="14" t="str">
        <f t="array" ref="G2041">IF(B2041="", "",
  LET(_xlpm.spell, IFERROR(IF(F2041="", "", INDEX(_xlws.FILTER(Hairstyles!$F:$F, ISNUMBER(SEARCH(F2041, Hairstyles!$B:$B))), 1)), "No Spell for Hairstyle"),
  _xlpm.vanillaPrefix, IF(LEFT(_xlpm.spell, 7)="Uvi_Wig", "", ";"),
  ";" &amp; IF(C2041="", B2041, C2041) &amp; IF(M2041="", "", " ("&amp;M2041&amp;")") &amp; CHAR(10) &amp;
  _xlpm.vanillaPrefix &amp; "Keyword = Uvi_Wig_Distr_KYWD|" &amp; B2041 &amp; CHAR(10) &amp;
  _xlpm.vanillaPrefix &amp; "Spell = " &amp; _xlpm.spell &amp; "|" &amp; B2041
  )
)</f>
        <v>;DLC2EncBandit05MagicDarkElf02M
;Keyword = Uvi_Wig_Distr_KYWD|DLC2EncBandit05MagicDarkElf02M
;Spell = No Spell for Hairstyle|DLC2EncBandit05MagicDarkElf02M</v>
      </c>
    </row>
    <row r="2042" ht="12.75" customHeight="1">
      <c r="A2042" s="5" t="s">
        <v>6451</v>
      </c>
      <c r="B2042" s="5" t="s">
        <v>6452</v>
      </c>
      <c r="D2042" s="5" t="s">
        <v>45</v>
      </c>
      <c r="E2042" s="5" t="s">
        <v>41</v>
      </c>
      <c r="F2042" s="5" t="s">
        <v>2373</v>
      </c>
      <c r="G2042" s="14" t="str">
        <f t="array" ref="G2042">IF(B2042="", "",
  LET(_xlpm.spell, IFERROR(IF(F2042="", "", INDEX(_xlws.FILTER(Hairstyles!$F:$F, ISNUMBER(SEARCH(F2042, Hairstyles!$B:$B))), 1)), "No Spell for Hairstyle"),
  _xlpm.vanillaPrefix, IF(LEFT(_xlpm.spell, 7)="Uvi_Wig", "", ";"),
  ";" &amp; IF(C2042="", B2042, C2042) &amp; IF(M2042="", "", " ("&amp;M2042&amp;")") &amp; CHAR(10) &amp;
  _xlpm.vanillaPrefix &amp; "Keyword = Uvi_Wig_Distr_KYWD|" &amp; B2042 &amp; CHAR(10) &amp;
  _xlpm.vanillaPrefix &amp; "Spell = " &amp; _xlpm.spell &amp; "|" &amp; B2042
  )
)</f>
        <v>;DLC2EncBandit05MagicDarkElf03F
;Keyword = Uvi_Wig_Distr_KYWD|DLC2EncBandit05MagicDarkElf03F
;Spell = No Spell for Hairstyle|DLC2EncBandit05MagicDarkElf03F</v>
      </c>
    </row>
    <row r="2043" ht="12.75" customHeight="1">
      <c r="A2043" s="5" t="s">
        <v>6453</v>
      </c>
      <c r="B2043" s="5" t="s">
        <v>6454</v>
      </c>
      <c r="D2043" s="5" t="s">
        <v>45</v>
      </c>
      <c r="E2043" s="5" t="s">
        <v>233</v>
      </c>
      <c r="F2043" s="5" t="s">
        <v>534</v>
      </c>
      <c r="G2043" s="14" t="str">
        <f t="array" ref="G2043">IF(B2043="", "",
  LET(_xlpm.spell, IFERROR(IF(F2043="", "", INDEX(_xlws.FILTER(Hairstyles!$F:$F, ISNUMBER(SEARCH(F2043, Hairstyles!$B:$B))), 1)), "No Spell for Hairstyle"),
  _xlpm.vanillaPrefix, IF(LEFT(_xlpm.spell, 7)="Uvi_Wig", "", ";"),
  ";" &amp; IF(C2043="", B2043, C2043) &amp; IF(M2043="", "", " ("&amp;M2043&amp;")") &amp; CHAR(10) &amp;
  _xlpm.vanillaPrefix &amp; "Keyword = Uvi_Wig_Distr_KYWD|" &amp; B2043 &amp; CHAR(10) &amp;
  _xlpm.vanillaPrefix &amp; "Spell = " &amp; _xlpm.spell &amp; "|" &amp; B2043
  )
)</f>
        <v>;DLC2EncBandit05MagicDarkElf03M
;Keyword = Uvi_Wig_Distr_KYWD|DLC2EncBandit05MagicDarkElf03M
;Spell = No Spell for Hairstyle|DLC2EncBandit05MagicDarkElf03M</v>
      </c>
    </row>
    <row r="2044" ht="12.75" customHeight="1">
      <c r="A2044" s="5" t="s">
        <v>6455</v>
      </c>
      <c r="B2044" s="5" t="s">
        <v>6456</v>
      </c>
      <c r="D2044" s="5" t="s">
        <v>45</v>
      </c>
      <c r="E2044" s="5" t="s">
        <v>233</v>
      </c>
      <c r="F2044" s="5" t="s">
        <v>2583</v>
      </c>
      <c r="G2044" s="14" t="str">
        <f t="array" ref="G2044">IF(B2044="", "",
  LET(_xlpm.spell, IFERROR(IF(F2044="", "", INDEX(_xlws.FILTER(Hairstyles!$F:$F, ISNUMBER(SEARCH(F2044, Hairstyles!$B:$B))), 1)), "No Spell for Hairstyle"),
  _xlpm.vanillaPrefix, IF(LEFT(_xlpm.spell, 7)="Uvi_Wig", "", ";"),
  ";" &amp; IF(C2044="", B2044, C2044) &amp; IF(M2044="", "", " ("&amp;M2044&amp;")") &amp; CHAR(10) &amp;
  _xlpm.vanillaPrefix &amp; "Keyword = Uvi_Wig_Distr_KYWD|" &amp; B2044 &amp; CHAR(10) &amp;
  _xlpm.vanillaPrefix &amp; "Spell = " &amp; _xlpm.spell &amp; "|" &amp; B2044
  )
)</f>
        <v>;DLC2EncBandit05MagicDarkElf04M
;Keyword = Uvi_Wig_Distr_KYWD|DLC2EncBandit05MagicDarkElf04M
;Spell = No Spell for Hairstyle|DLC2EncBandit05MagicDarkElf04M</v>
      </c>
    </row>
    <row r="2045" ht="12.75" customHeight="1">
      <c r="A2045" s="5" t="s">
        <v>6457</v>
      </c>
      <c r="B2045" s="5" t="s">
        <v>6458</v>
      </c>
      <c r="D2045" s="5" t="s">
        <v>45</v>
      </c>
      <c r="E2045" s="5" t="s">
        <v>41</v>
      </c>
      <c r="F2045" s="5" t="s">
        <v>2373</v>
      </c>
      <c r="G2045" s="14" t="str">
        <f t="array" ref="G2045">IF(B2045="", "",
  LET(_xlpm.spell, IFERROR(IF(F2045="", "", INDEX(_xlws.FILTER(Hairstyles!$F:$F, ISNUMBER(SEARCH(F2045, Hairstyles!$B:$B))), 1)), "No Spell for Hairstyle"),
  _xlpm.vanillaPrefix, IF(LEFT(_xlpm.spell, 7)="Uvi_Wig", "", ";"),
  ";" &amp; IF(C2045="", B2045, C2045) &amp; IF(M2045="", "", " ("&amp;M2045&amp;")") &amp; CHAR(10) &amp;
  _xlpm.vanillaPrefix &amp; "Keyword = Uvi_Wig_Distr_KYWD|" &amp; B2045 &amp; CHAR(10) &amp;
  _xlpm.vanillaPrefix &amp; "Spell = " &amp; _xlpm.spell &amp; "|" &amp; B2045
  )
)</f>
        <v>;DLC2EncBandit05Melee1HDarkElf01F
;Keyword = Uvi_Wig_Distr_KYWD|DLC2EncBandit05Melee1HDarkElf01F
;Spell = No Spell for Hairstyle|DLC2EncBandit05Melee1HDarkElf01F</v>
      </c>
    </row>
    <row r="2046" ht="12.75" customHeight="1">
      <c r="A2046" s="5" t="s">
        <v>6459</v>
      </c>
      <c r="B2046" s="5" t="s">
        <v>6460</v>
      </c>
      <c r="D2046" s="5" t="s">
        <v>45</v>
      </c>
      <c r="E2046" s="5" t="s">
        <v>233</v>
      </c>
      <c r="F2046" s="5" t="s">
        <v>1684</v>
      </c>
      <c r="G2046" s="14" t="str">
        <f t="array" ref="G2046">IF(B2046="", "",
  LET(_xlpm.spell, IFERROR(IF(F2046="", "", INDEX(_xlws.FILTER(Hairstyles!$F:$F, ISNUMBER(SEARCH(F2046, Hairstyles!$B:$B))), 1)), "No Spell for Hairstyle"),
  _xlpm.vanillaPrefix, IF(LEFT(_xlpm.spell, 7)="Uvi_Wig", "", ";"),
  ";" &amp; IF(C2046="", B2046, C2046) &amp; IF(M2046="", "", " ("&amp;M2046&amp;")") &amp; CHAR(10) &amp;
  _xlpm.vanillaPrefix &amp; "Keyword = Uvi_Wig_Distr_KYWD|" &amp; B2046 &amp; CHAR(10) &amp;
  _xlpm.vanillaPrefix &amp; "Spell = " &amp; _xlpm.spell &amp; "|" &amp; B2046
  )
)</f>
        <v>;DLC2EncBandit05Melee1HDarkElf01M
;Keyword = Uvi_Wig_Distr_KYWD|DLC2EncBandit05Melee1HDarkElf01M
;Spell = No Spell for Hairstyle|DLC2EncBandit05Melee1HDarkElf01M</v>
      </c>
    </row>
    <row r="2047" ht="12.75" customHeight="1">
      <c r="A2047" s="5" t="s">
        <v>6461</v>
      </c>
      <c r="B2047" s="5" t="s">
        <v>6462</v>
      </c>
      <c r="D2047" s="5" t="s">
        <v>45</v>
      </c>
      <c r="E2047" s="5" t="s">
        <v>41</v>
      </c>
      <c r="F2047" s="5" t="s">
        <v>4279</v>
      </c>
      <c r="G2047" s="14" t="str">
        <f t="array" ref="G2047">IF(B2047="", "",
  LET(_xlpm.spell, IFERROR(IF(F2047="", "", INDEX(_xlws.FILTER(Hairstyles!$F:$F, ISNUMBER(SEARCH(F2047, Hairstyles!$B:$B))), 1)), "No Spell for Hairstyle"),
  _xlpm.vanillaPrefix, IF(LEFT(_xlpm.spell, 7)="Uvi_Wig", "", ";"),
  ";" &amp; IF(C2047="", B2047, C2047) &amp; IF(M2047="", "", " ("&amp;M2047&amp;")") &amp; CHAR(10) &amp;
  _xlpm.vanillaPrefix &amp; "Keyword = Uvi_Wig_Distr_KYWD|" &amp; B2047 &amp; CHAR(10) &amp;
  _xlpm.vanillaPrefix &amp; "Spell = " &amp; _xlpm.spell &amp; "|" &amp; B2047
  )
)</f>
        <v>;DLC2EncBandit05Melee1HDarkElf02F
;Keyword = Uvi_Wig_Distr_KYWD|DLC2EncBandit05Melee1HDarkElf02F
;Spell = No Spell for Hairstyle|DLC2EncBandit05Melee1HDarkElf02F</v>
      </c>
    </row>
    <row r="2048" ht="12.75" customHeight="1">
      <c r="A2048" s="5" t="s">
        <v>6463</v>
      </c>
      <c r="B2048" s="5" t="s">
        <v>6464</v>
      </c>
      <c r="D2048" s="5" t="s">
        <v>45</v>
      </c>
      <c r="E2048" s="5" t="s">
        <v>233</v>
      </c>
      <c r="F2048" s="5" t="s">
        <v>2088</v>
      </c>
      <c r="G2048" s="14" t="str">
        <f t="array" ref="G2048">IF(B2048="", "",
  LET(_xlpm.spell, IFERROR(IF(F2048="", "", INDEX(_xlws.FILTER(Hairstyles!$F:$F, ISNUMBER(SEARCH(F2048, Hairstyles!$B:$B))), 1)), "No Spell for Hairstyle"),
  _xlpm.vanillaPrefix, IF(LEFT(_xlpm.spell, 7)="Uvi_Wig", "", ";"),
  ";" &amp; IF(C2048="", B2048, C2048) &amp; IF(M2048="", "", " ("&amp;M2048&amp;")") &amp; CHAR(10) &amp;
  _xlpm.vanillaPrefix &amp; "Keyword = Uvi_Wig_Distr_KYWD|" &amp; B2048 &amp; CHAR(10) &amp;
  _xlpm.vanillaPrefix &amp; "Spell = " &amp; _xlpm.spell &amp; "|" &amp; B2048
  )
)</f>
        <v>;DLC2EncBandit05Melee1HDarkElf02M
;Keyword = Uvi_Wig_Distr_KYWD|DLC2EncBandit05Melee1HDarkElf02M
;Spell = No Spell for Hairstyle|DLC2EncBandit05Melee1HDarkElf02M</v>
      </c>
    </row>
    <row r="2049" ht="12.75" customHeight="1">
      <c r="A2049" s="5" t="s">
        <v>6465</v>
      </c>
      <c r="B2049" s="5" t="s">
        <v>6466</v>
      </c>
      <c r="D2049" s="5" t="s">
        <v>45</v>
      </c>
      <c r="E2049" s="5" t="s">
        <v>41</v>
      </c>
      <c r="F2049" s="5" t="s">
        <v>1691</v>
      </c>
      <c r="G2049" s="14" t="str">
        <f t="array" ref="G2049">IF(B2049="", "",
  LET(_xlpm.spell, IFERROR(IF(F2049="", "", INDEX(_xlws.FILTER(Hairstyles!$F:$F, ISNUMBER(SEARCH(F2049, Hairstyles!$B:$B))), 1)), "No Spell for Hairstyle"),
  _xlpm.vanillaPrefix, IF(LEFT(_xlpm.spell, 7)="Uvi_Wig", "", ";"),
  ";" &amp; IF(C2049="", B2049, C2049) &amp; IF(M2049="", "", " ("&amp;M2049&amp;")") &amp; CHAR(10) &amp;
  _xlpm.vanillaPrefix &amp; "Keyword = Uvi_Wig_Distr_KYWD|" &amp; B2049 &amp; CHAR(10) &amp;
  _xlpm.vanillaPrefix &amp; "Spell = " &amp; _xlpm.spell &amp; "|" &amp; B2049
  )
)</f>
        <v>;DLC2EncBandit05Melee1HDarkElf03F
;Keyword = Uvi_Wig_Distr_KYWD|DLC2EncBandit05Melee1HDarkElf03F
;Spell = No Spell for Hairstyle|DLC2EncBandit05Melee1HDarkElf03F</v>
      </c>
    </row>
    <row r="2050" ht="12.75" customHeight="1">
      <c r="A2050" s="5" t="s">
        <v>6467</v>
      </c>
      <c r="B2050" s="5" t="s">
        <v>6468</v>
      </c>
      <c r="D2050" s="5" t="s">
        <v>45</v>
      </c>
      <c r="E2050" s="5" t="s">
        <v>233</v>
      </c>
      <c r="F2050" s="5" t="s">
        <v>4186</v>
      </c>
      <c r="G2050" s="14" t="str">
        <f t="array" ref="G2050">IF(B2050="", "",
  LET(_xlpm.spell, IFERROR(IF(F2050="", "", INDEX(_xlws.FILTER(Hairstyles!$F:$F, ISNUMBER(SEARCH(F2050, Hairstyles!$B:$B))), 1)), "No Spell for Hairstyle"),
  _xlpm.vanillaPrefix, IF(LEFT(_xlpm.spell, 7)="Uvi_Wig", "", ";"),
  ";" &amp; IF(C2050="", B2050, C2050) &amp; IF(M2050="", "", " ("&amp;M2050&amp;")") &amp; CHAR(10) &amp;
  _xlpm.vanillaPrefix &amp; "Keyword = Uvi_Wig_Distr_KYWD|" &amp; B2050 &amp; CHAR(10) &amp;
  _xlpm.vanillaPrefix &amp; "Spell = " &amp; _xlpm.spell &amp; "|" &amp; B2050
  )
)</f>
        <v>;DLC2EncBandit05Melee1HDarkElf03M
;Keyword = Uvi_Wig_Distr_KYWD|DLC2EncBandit05Melee1HDarkElf03M
;Spell = No Spell for Hairstyle|DLC2EncBandit05Melee1HDarkElf03M</v>
      </c>
    </row>
    <row r="2051" ht="12.75" customHeight="1">
      <c r="A2051" s="5" t="s">
        <v>6469</v>
      </c>
      <c r="B2051" s="5" t="s">
        <v>6470</v>
      </c>
      <c r="D2051" s="5" t="s">
        <v>45</v>
      </c>
      <c r="E2051" s="5" t="s">
        <v>233</v>
      </c>
      <c r="F2051" s="5" t="s">
        <v>2612</v>
      </c>
      <c r="G2051" s="14" t="str">
        <f t="array" ref="G2051">IF(B2051="", "",
  LET(_xlpm.spell, IFERROR(IF(F2051="", "", INDEX(_xlws.FILTER(Hairstyles!$F:$F, ISNUMBER(SEARCH(F2051, Hairstyles!$B:$B))), 1)), "No Spell for Hairstyle"),
  _xlpm.vanillaPrefix, IF(LEFT(_xlpm.spell, 7)="Uvi_Wig", "", ";"),
  ";" &amp; IF(C2051="", B2051, C2051) &amp; IF(M2051="", "", " ("&amp;M2051&amp;")") &amp; CHAR(10) &amp;
  _xlpm.vanillaPrefix &amp; "Keyword = Uvi_Wig_Distr_KYWD|" &amp; B2051 &amp; CHAR(10) &amp;
  _xlpm.vanillaPrefix &amp; "Spell = " &amp; _xlpm.spell &amp; "|" &amp; B2051
  )
)</f>
        <v>;DLC2EncBandit05Melee1HDarkElf04M
;Keyword = Uvi_Wig_Distr_KYWD|DLC2EncBandit05Melee1HDarkElf04M
;Spell = No Spell for Hairstyle|DLC2EncBandit05Melee1HDarkElf04M</v>
      </c>
    </row>
    <row r="2052" ht="12.75" customHeight="1">
      <c r="A2052" s="5" t="s">
        <v>6471</v>
      </c>
      <c r="B2052" s="5" t="s">
        <v>6472</v>
      </c>
      <c r="D2052" s="5" t="s">
        <v>45</v>
      </c>
      <c r="E2052" s="5" t="s">
        <v>41</v>
      </c>
      <c r="F2052" s="5" t="s">
        <v>2096</v>
      </c>
      <c r="G2052" s="14" t="str">
        <f t="array" ref="G2052">IF(B2052="", "",
  LET(_xlpm.spell, IFERROR(IF(F2052="", "", INDEX(_xlws.FILTER(Hairstyles!$F:$F, ISNUMBER(SEARCH(F2052, Hairstyles!$B:$B))), 1)), "No Spell for Hairstyle"),
  _xlpm.vanillaPrefix, IF(LEFT(_xlpm.spell, 7)="Uvi_Wig", "", ";"),
  ";" &amp; IF(C2052="", B2052, C2052) &amp; IF(M2052="", "", " ("&amp;M2052&amp;")") &amp; CHAR(10) &amp;
  _xlpm.vanillaPrefix &amp; "Keyword = Uvi_Wig_Distr_KYWD|" &amp; B2052 &amp; CHAR(10) &amp;
  _xlpm.vanillaPrefix &amp; "Spell = " &amp; _xlpm.spell &amp; "|" &amp; B2052
  )
)</f>
        <v>;DLC2EncBandit05MissileDarkElf01F
;Keyword = Uvi_Wig_Distr_KYWD|DLC2EncBandit05MissileDarkElf01F
;Spell = No Spell for Hairstyle|DLC2EncBandit05MissileDarkElf01F</v>
      </c>
    </row>
    <row r="2053" ht="12.75" customHeight="1">
      <c r="A2053" s="5" t="s">
        <v>6473</v>
      </c>
      <c r="B2053" s="5" t="s">
        <v>6474</v>
      </c>
      <c r="D2053" s="5" t="s">
        <v>45</v>
      </c>
      <c r="E2053" s="5" t="s">
        <v>233</v>
      </c>
      <c r="F2053" s="5" t="s">
        <v>1541</v>
      </c>
      <c r="G2053" s="14" t="str">
        <f t="array" ref="G2053">IF(B2053="", "",
  LET(_xlpm.spell, IFERROR(IF(F2053="", "", INDEX(_xlws.FILTER(Hairstyles!$F:$F, ISNUMBER(SEARCH(F2053, Hairstyles!$B:$B))), 1)), "No Spell for Hairstyle"),
  _xlpm.vanillaPrefix, IF(LEFT(_xlpm.spell, 7)="Uvi_Wig", "", ";"),
  ";" &amp; IF(C2053="", B2053, C2053) &amp; IF(M2053="", "", " ("&amp;M2053&amp;")") &amp; CHAR(10) &amp;
  _xlpm.vanillaPrefix &amp; "Keyword = Uvi_Wig_Distr_KYWD|" &amp; B2053 &amp; CHAR(10) &amp;
  _xlpm.vanillaPrefix &amp; "Spell = " &amp; _xlpm.spell &amp; "|" &amp; B2053
  )
)</f>
        <v>;DLC2EncBandit05MissileDarkElf01M
;Keyword = Uvi_Wig_Distr_KYWD|DLC2EncBandit05MissileDarkElf01M
;Spell = No Spell for Hairstyle|DLC2EncBandit05MissileDarkElf01M</v>
      </c>
    </row>
    <row r="2054" ht="12.75" customHeight="1">
      <c r="A2054" s="5" t="s">
        <v>6475</v>
      </c>
      <c r="B2054" s="5" t="s">
        <v>6476</v>
      </c>
      <c r="D2054" s="5" t="s">
        <v>45</v>
      </c>
      <c r="E2054" s="5" t="s">
        <v>41</v>
      </c>
      <c r="F2054" s="5" t="s">
        <v>1967</v>
      </c>
      <c r="G2054" s="14" t="str">
        <f t="array" ref="G2054">IF(B2054="", "",
  LET(_xlpm.spell, IFERROR(IF(F2054="", "", INDEX(_xlws.FILTER(Hairstyles!$F:$F, ISNUMBER(SEARCH(F2054, Hairstyles!$B:$B))), 1)), "No Spell for Hairstyle"),
  _xlpm.vanillaPrefix, IF(LEFT(_xlpm.spell, 7)="Uvi_Wig", "", ";"),
  ";" &amp; IF(C2054="", B2054, C2054) &amp; IF(M2054="", "", " ("&amp;M2054&amp;")") &amp; CHAR(10) &amp;
  _xlpm.vanillaPrefix &amp; "Keyword = Uvi_Wig_Distr_KYWD|" &amp; B2054 &amp; CHAR(10) &amp;
  _xlpm.vanillaPrefix &amp; "Spell = " &amp; _xlpm.spell &amp; "|" &amp; B2054
  )
)</f>
        <v>;DLC2EncBandit05MissileDarkElf02F
;Keyword = Uvi_Wig_Distr_KYWD|DLC2EncBandit05MissileDarkElf02F
;Spell = No Spell for Hairstyle|DLC2EncBandit05MissileDarkElf02F</v>
      </c>
    </row>
    <row r="2055" ht="12.75" customHeight="1">
      <c r="A2055" s="5" t="s">
        <v>6477</v>
      </c>
      <c r="B2055" s="5" t="s">
        <v>6478</v>
      </c>
      <c r="D2055" s="5" t="s">
        <v>45</v>
      </c>
      <c r="E2055" s="5" t="s">
        <v>233</v>
      </c>
      <c r="F2055" s="5" t="s">
        <v>47</v>
      </c>
      <c r="G2055" s="14" t="str">
        <f t="array" ref="G2055">IF(B2055="", "",
  LET(_xlpm.spell, IFERROR(IF(F2055="", "", INDEX(_xlws.FILTER(Hairstyles!$F:$F, ISNUMBER(SEARCH(F2055, Hairstyles!$B:$B))), 1)), "No Spell for Hairstyle"),
  _xlpm.vanillaPrefix, IF(LEFT(_xlpm.spell, 7)="Uvi_Wig", "", ";"),
  ";" &amp; IF(C2055="", B2055, C2055) &amp; IF(M2055="", "", " ("&amp;M2055&amp;")") &amp; CHAR(10) &amp;
  _xlpm.vanillaPrefix &amp; "Keyword = Uvi_Wig_Distr_KYWD|" &amp; B2055 &amp; CHAR(10) &amp;
  _xlpm.vanillaPrefix &amp; "Spell = " &amp; _xlpm.spell &amp; "|" &amp; B2055
  )
)</f>
        <v>;DLC2EncBandit05MissileDarkElf02M
;Keyword = Uvi_Wig_Distr_KYWD|DLC2EncBandit05MissileDarkElf02M
;Spell = No Spell for Hairstyle|DLC2EncBandit05MissileDarkElf02M</v>
      </c>
    </row>
    <row r="2056" ht="12.75" customHeight="1">
      <c r="A2056" s="5" t="s">
        <v>6479</v>
      </c>
      <c r="B2056" s="5" t="s">
        <v>6480</v>
      </c>
      <c r="D2056" s="5" t="s">
        <v>45</v>
      </c>
      <c r="E2056" s="5" t="s">
        <v>41</v>
      </c>
      <c r="F2056" s="5" t="s">
        <v>1854</v>
      </c>
      <c r="G2056" s="14" t="str">
        <f t="array" ref="G2056">IF(B2056="", "",
  LET(_xlpm.spell, IFERROR(IF(F2056="", "", INDEX(_xlws.FILTER(Hairstyles!$F:$F, ISNUMBER(SEARCH(F2056, Hairstyles!$B:$B))), 1)), "No Spell for Hairstyle"),
  _xlpm.vanillaPrefix, IF(LEFT(_xlpm.spell, 7)="Uvi_Wig", "", ";"),
  ";" &amp; IF(C2056="", B2056, C2056) &amp; IF(M2056="", "", " ("&amp;M2056&amp;")") &amp; CHAR(10) &amp;
  _xlpm.vanillaPrefix &amp; "Keyword = Uvi_Wig_Distr_KYWD|" &amp; B2056 &amp; CHAR(10) &amp;
  _xlpm.vanillaPrefix &amp; "Spell = " &amp; _xlpm.spell &amp; "|" &amp; B2056
  )
)</f>
        <v>;DLC2EncBandit05MissileDarkElf03F
;Keyword = Uvi_Wig_Distr_KYWD|DLC2EncBandit05MissileDarkElf03F
;Spell = No Spell for Hairstyle|DLC2EncBandit05MissileDarkElf03F</v>
      </c>
    </row>
    <row r="2057" ht="12.75" customHeight="1">
      <c r="A2057" s="5" t="s">
        <v>6481</v>
      </c>
      <c r="B2057" s="5" t="s">
        <v>6482</v>
      </c>
      <c r="D2057" s="5" t="s">
        <v>45</v>
      </c>
      <c r="E2057" s="5" t="s">
        <v>233</v>
      </c>
      <c r="F2057" s="5" t="s">
        <v>2469</v>
      </c>
      <c r="G2057" s="14" t="str">
        <f t="array" ref="G2057">IF(B2057="", "",
  LET(_xlpm.spell, IFERROR(IF(F2057="", "", INDEX(_xlws.FILTER(Hairstyles!$F:$F, ISNUMBER(SEARCH(F2057, Hairstyles!$B:$B))), 1)), "No Spell for Hairstyle"),
  _xlpm.vanillaPrefix, IF(LEFT(_xlpm.spell, 7)="Uvi_Wig", "", ";"),
  ";" &amp; IF(C2057="", B2057, C2057) &amp; IF(M2057="", "", " ("&amp;M2057&amp;")") &amp; CHAR(10) &amp;
  _xlpm.vanillaPrefix &amp; "Keyword = Uvi_Wig_Distr_KYWD|" &amp; B2057 &amp; CHAR(10) &amp;
  _xlpm.vanillaPrefix &amp; "Spell = " &amp; _xlpm.spell &amp; "|" &amp; B2057
  )
)</f>
        <v>;DLC2EncBandit05MissileDarkElf03M
;Keyword = Uvi_Wig_Distr_KYWD|DLC2EncBandit05MissileDarkElf03M
;Spell = No Spell for Hairstyle|DLC2EncBandit05MissileDarkElf03M</v>
      </c>
    </row>
    <row r="2058" ht="12.75" customHeight="1">
      <c r="A2058" s="5" t="s">
        <v>6483</v>
      </c>
      <c r="B2058" s="5" t="s">
        <v>6484</v>
      </c>
      <c r="D2058" s="5" t="s">
        <v>45</v>
      </c>
      <c r="E2058" s="5" t="s">
        <v>233</v>
      </c>
      <c r="F2058" s="5" t="s">
        <v>1787</v>
      </c>
      <c r="G2058" s="14" t="str">
        <f t="array" ref="G2058">IF(B2058="", "",
  LET(_xlpm.spell, IFERROR(IF(F2058="", "", INDEX(_xlws.FILTER(Hairstyles!$F:$F, ISNUMBER(SEARCH(F2058, Hairstyles!$B:$B))), 1)), "No Spell for Hairstyle"),
  _xlpm.vanillaPrefix, IF(LEFT(_xlpm.spell, 7)="Uvi_Wig", "", ";"),
  ";" &amp; IF(C2058="", B2058, C2058) &amp; IF(M2058="", "", " ("&amp;M2058&amp;")") &amp; CHAR(10) &amp;
  _xlpm.vanillaPrefix &amp; "Keyword = Uvi_Wig_Distr_KYWD|" &amp; B2058 &amp; CHAR(10) &amp;
  _xlpm.vanillaPrefix &amp; "Spell = " &amp; _xlpm.spell &amp; "|" &amp; B2058
  )
)</f>
        <v>;DLC2EncBandit05MissileDarkElf04M
;Keyword = Uvi_Wig_Distr_KYWD|DLC2EncBandit05MissileDarkElf04M
;Spell = No Spell for Hairstyle|DLC2EncBandit05MissileDarkElf04M</v>
      </c>
    </row>
    <row r="2059" ht="12.75" customHeight="1">
      <c r="A2059" s="5" t="s">
        <v>6485</v>
      </c>
      <c r="B2059" s="5" t="s">
        <v>6486</v>
      </c>
      <c r="D2059" s="5" t="s">
        <v>45</v>
      </c>
      <c r="E2059" s="5" t="s">
        <v>233</v>
      </c>
      <c r="F2059" s="5" t="s">
        <v>47</v>
      </c>
      <c r="G2059" s="14" t="str">
        <f t="array" ref="G2059">IF(B2059="", "",
  LET(_xlpm.spell, IFERROR(IF(F2059="", "", INDEX(_xlws.FILTER(Hairstyles!$F:$F, ISNUMBER(SEARCH(F2059, Hairstyles!$B:$B))), 1)), "No Spell for Hairstyle"),
  _xlpm.vanillaPrefix, IF(LEFT(_xlpm.spell, 7)="Uvi_Wig", "", ";"),
  ";" &amp; IF(C2059="", B2059, C2059) &amp; IF(M2059="", "", " ("&amp;M2059&amp;")") &amp; CHAR(10) &amp;
  _xlpm.vanillaPrefix &amp; "Keyword = Uvi_Wig_Distr_KYWD|" &amp; B2059 &amp; CHAR(10) &amp;
  _xlpm.vanillaPrefix &amp; "Spell = " &amp; _xlpm.spell &amp; "|" &amp; B2059
  )
)</f>
        <v>;DLC2EncBandit06Boss
;Keyword = Uvi_Wig_Distr_KYWD|DLC2EncBandit06Boss
;Spell = No Spell for Hairstyle|DLC2EncBandit06Boss</v>
      </c>
    </row>
    <row r="2060" ht="12.75" customHeight="1">
      <c r="A2060" s="5" t="s">
        <v>6487</v>
      </c>
      <c r="B2060" s="5" t="s">
        <v>6488</v>
      </c>
      <c r="D2060" s="5" t="s">
        <v>45</v>
      </c>
      <c r="E2060" s="5" t="s">
        <v>41</v>
      </c>
      <c r="F2060" s="5" t="s">
        <v>2380</v>
      </c>
      <c r="G2060" s="14" t="str">
        <f t="array" ref="G2060">IF(B2060="", "",
  LET(_xlpm.spell, IFERROR(IF(F2060="", "", INDEX(_xlws.FILTER(Hairstyles!$F:$F, ISNUMBER(SEARCH(F2060, Hairstyles!$B:$B))), 1)), "No Spell for Hairstyle"),
  _xlpm.vanillaPrefix, IF(LEFT(_xlpm.spell, 7)="Uvi_Wig", "", ";"),
  ";" &amp; IF(C2060="", B2060, C2060) &amp; IF(M2060="", "", " ("&amp;M2060&amp;")") &amp; CHAR(10) &amp;
  _xlpm.vanillaPrefix &amp; "Keyword = Uvi_Wig_Distr_KYWD|" &amp; B2060 &amp; CHAR(10) &amp;
  _xlpm.vanillaPrefix &amp; "Spell = " &amp; _xlpm.spell &amp; "|" &amp; B2060
  )
)</f>
        <v>;DLC2EncBandit06MagicDarkElf01F
;Keyword = Uvi_Wig_Distr_KYWD|DLC2EncBandit06MagicDarkElf01F
;Spell = No Spell for Hairstyle|DLC2EncBandit06MagicDarkElf01F</v>
      </c>
    </row>
    <row r="2061" ht="12.75" customHeight="1">
      <c r="A2061" s="5" t="s">
        <v>6489</v>
      </c>
      <c r="B2061" s="5" t="s">
        <v>6490</v>
      </c>
      <c r="D2061" s="5" t="s">
        <v>45</v>
      </c>
      <c r="E2061" s="5" t="s">
        <v>233</v>
      </c>
      <c r="F2061" s="5" t="s">
        <v>2088</v>
      </c>
      <c r="G2061" s="14" t="str">
        <f t="array" ref="G2061">IF(B2061="", "",
  LET(_xlpm.spell, IFERROR(IF(F2061="", "", INDEX(_xlws.FILTER(Hairstyles!$F:$F, ISNUMBER(SEARCH(F2061, Hairstyles!$B:$B))), 1)), "No Spell for Hairstyle"),
  _xlpm.vanillaPrefix, IF(LEFT(_xlpm.spell, 7)="Uvi_Wig", "", ";"),
  ";" &amp; IF(C2061="", B2061, C2061) &amp; IF(M2061="", "", " ("&amp;M2061&amp;")") &amp; CHAR(10) &amp;
  _xlpm.vanillaPrefix &amp; "Keyword = Uvi_Wig_Distr_KYWD|" &amp; B2061 &amp; CHAR(10) &amp;
  _xlpm.vanillaPrefix &amp; "Spell = " &amp; _xlpm.spell &amp; "|" &amp; B2061
  )
)</f>
        <v>;DLC2EncBandit06MagicDarkElf01M
;Keyword = Uvi_Wig_Distr_KYWD|DLC2EncBandit06MagicDarkElf01M
;Spell = No Spell for Hairstyle|DLC2EncBandit06MagicDarkElf01M</v>
      </c>
    </row>
    <row r="2062" ht="12.75" customHeight="1">
      <c r="A2062" s="5" t="s">
        <v>6491</v>
      </c>
      <c r="B2062" s="5" t="s">
        <v>6492</v>
      </c>
      <c r="D2062" s="5" t="s">
        <v>45</v>
      </c>
      <c r="E2062" s="5" t="s">
        <v>41</v>
      </c>
      <c r="F2062" s="5" t="s">
        <v>2034</v>
      </c>
      <c r="G2062" s="14" t="str">
        <f t="array" ref="G2062">IF(B2062="", "",
  LET(_xlpm.spell, IFERROR(IF(F2062="", "", INDEX(_xlws.FILTER(Hairstyles!$F:$F, ISNUMBER(SEARCH(F2062, Hairstyles!$B:$B))), 1)), "No Spell for Hairstyle"),
  _xlpm.vanillaPrefix, IF(LEFT(_xlpm.spell, 7)="Uvi_Wig", "", ";"),
  ";" &amp; IF(C2062="", B2062, C2062) &amp; IF(M2062="", "", " ("&amp;M2062&amp;")") &amp; CHAR(10) &amp;
  _xlpm.vanillaPrefix &amp; "Keyword = Uvi_Wig_Distr_KYWD|" &amp; B2062 &amp; CHAR(10) &amp;
  _xlpm.vanillaPrefix &amp; "Spell = " &amp; _xlpm.spell &amp; "|" &amp; B2062
  )
)</f>
        <v>;DLC2EncBandit06MagicDarkElf02F
;Keyword = Uvi_Wig_Distr_KYWD|DLC2EncBandit06MagicDarkElf02F
;Spell = No Spell for Hairstyle|DLC2EncBandit06MagicDarkElf02F</v>
      </c>
    </row>
    <row r="2063" ht="12.75" customHeight="1">
      <c r="A2063" s="5" t="s">
        <v>6493</v>
      </c>
      <c r="B2063" s="5" t="s">
        <v>6494</v>
      </c>
      <c r="D2063" s="5" t="s">
        <v>45</v>
      </c>
      <c r="E2063" s="5" t="s">
        <v>233</v>
      </c>
      <c r="F2063" s="5" t="s">
        <v>4186</v>
      </c>
      <c r="G2063" s="14" t="str">
        <f t="array" ref="G2063">IF(B2063="", "",
  LET(_xlpm.spell, IFERROR(IF(F2063="", "", INDEX(_xlws.FILTER(Hairstyles!$F:$F, ISNUMBER(SEARCH(F2063, Hairstyles!$B:$B))), 1)), "No Spell for Hairstyle"),
  _xlpm.vanillaPrefix, IF(LEFT(_xlpm.spell, 7)="Uvi_Wig", "", ";"),
  ";" &amp; IF(C2063="", B2063, C2063) &amp; IF(M2063="", "", " ("&amp;M2063&amp;")") &amp; CHAR(10) &amp;
  _xlpm.vanillaPrefix &amp; "Keyword = Uvi_Wig_Distr_KYWD|" &amp; B2063 &amp; CHAR(10) &amp;
  _xlpm.vanillaPrefix &amp; "Spell = " &amp; _xlpm.spell &amp; "|" &amp; B2063
  )
)</f>
        <v>;DLC2EncBandit06MagicDarkElf02M
;Keyword = Uvi_Wig_Distr_KYWD|DLC2EncBandit06MagicDarkElf02M
;Spell = No Spell for Hairstyle|DLC2EncBandit06MagicDarkElf02M</v>
      </c>
    </row>
    <row r="2064" ht="12.75" customHeight="1">
      <c r="A2064" s="5" t="s">
        <v>6495</v>
      </c>
      <c r="B2064" s="5" t="s">
        <v>6496</v>
      </c>
      <c r="D2064" s="5" t="s">
        <v>45</v>
      </c>
      <c r="E2064" s="5" t="s">
        <v>41</v>
      </c>
      <c r="F2064" s="5" t="s">
        <v>1732</v>
      </c>
      <c r="G2064" s="14" t="str">
        <f t="array" ref="G2064">IF(B2064="", "",
  LET(_xlpm.spell, IFERROR(IF(F2064="", "", INDEX(_xlws.FILTER(Hairstyles!$F:$F, ISNUMBER(SEARCH(F2064, Hairstyles!$B:$B))), 1)), "No Spell for Hairstyle"),
  _xlpm.vanillaPrefix, IF(LEFT(_xlpm.spell, 7)="Uvi_Wig", "", ";"),
  ";" &amp; IF(C2064="", B2064, C2064) &amp; IF(M2064="", "", " ("&amp;M2064&amp;")") &amp; CHAR(10) &amp;
  _xlpm.vanillaPrefix &amp; "Keyword = Uvi_Wig_Distr_KYWD|" &amp; B2064 &amp; CHAR(10) &amp;
  _xlpm.vanillaPrefix &amp; "Spell = " &amp; _xlpm.spell &amp; "|" &amp; B2064
  )
)</f>
        <v>;DLC2EncBandit06MagicDarkElf03F
;Keyword = Uvi_Wig_Distr_KYWD|DLC2EncBandit06MagicDarkElf03F
;Spell = No Spell for Hairstyle|DLC2EncBandit06MagicDarkElf03F</v>
      </c>
    </row>
    <row r="2065" ht="12.75" customHeight="1">
      <c r="A2065" s="5" t="s">
        <v>6497</v>
      </c>
      <c r="B2065" s="5" t="s">
        <v>6498</v>
      </c>
      <c r="D2065" s="5" t="s">
        <v>45</v>
      </c>
      <c r="E2065" s="5" t="s">
        <v>233</v>
      </c>
      <c r="F2065" s="5" t="s">
        <v>2612</v>
      </c>
      <c r="G2065" s="14" t="str">
        <f t="array" ref="G2065">IF(B2065="", "",
  LET(_xlpm.spell, IFERROR(IF(F2065="", "", INDEX(_xlws.FILTER(Hairstyles!$F:$F, ISNUMBER(SEARCH(F2065, Hairstyles!$B:$B))), 1)), "No Spell for Hairstyle"),
  _xlpm.vanillaPrefix, IF(LEFT(_xlpm.spell, 7)="Uvi_Wig", "", ";"),
  ";" &amp; IF(C2065="", B2065, C2065) &amp; IF(M2065="", "", " ("&amp;M2065&amp;")") &amp; CHAR(10) &amp;
  _xlpm.vanillaPrefix &amp; "Keyword = Uvi_Wig_Distr_KYWD|" &amp; B2065 &amp; CHAR(10) &amp;
  _xlpm.vanillaPrefix &amp; "Spell = " &amp; _xlpm.spell &amp; "|" &amp; B2065
  )
)</f>
        <v>;DLC2EncBandit06MagicDarkElf03M
;Keyword = Uvi_Wig_Distr_KYWD|DLC2EncBandit06MagicDarkElf03M
;Spell = No Spell for Hairstyle|DLC2EncBandit06MagicDarkElf03M</v>
      </c>
    </row>
    <row r="2066" ht="12.75" customHeight="1">
      <c r="A2066" s="5" t="s">
        <v>6499</v>
      </c>
      <c r="B2066" s="5" t="s">
        <v>6500</v>
      </c>
      <c r="D2066" s="5" t="s">
        <v>45</v>
      </c>
      <c r="E2066" s="5" t="s">
        <v>233</v>
      </c>
      <c r="F2066" s="5" t="s">
        <v>1541</v>
      </c>
      <c r="G2066" s="14" t="str">
        <f t="array" ref="G2066">IF(B2066="", "",
  LET(_xlpm.spell, IFERROR(IF(F2066="", "", INDEX(_xlws.FILTER(Hairstyles!$F:$F, ISNUMBER(SEARCH(F2066, Hairstyles!$B:$B))), 1)), "No Spell for Hairstyle"),
  _xlpm.vanillaPrefix, IF(LEFT(_xlpm.spell, 7)="Uvi_Wig", "", ";"),
  ";" &amp; IF(C2066="", B2066, C2066) &amp; IF(M2066="", "", " ("&amp;M2066&amp;")") &amp; CHAR(10) &amp;
  _xlpm.vanillaPrefix &amp; "Keyword = Uvi_Wig_Distr_KYWD|" &amp; B2066 &amp; CHAR(10) &amp;
  _xlpm.vanillaPrefix &amp; "Spell = " &amp; _xlpm.spell &amp; "|" &amp; B2066
  )
)</f>
        <v>;DLC2EncBandit06MagicDarkElf04M
;Keyword = Uvi_Wig_Distr_KYWD|DLC2EncBandit06MagicDarkElf04M
;Spell = No Spell for Hairstyle|DLC2EncBandit06MagicDarkElf04M</v>
      </c>
    </row>
    <row r="2067" ht="12.75" customHeight="1">
      <c r="A2067" s="5" t="s">
        <v>6501</v>
      </c>
      <c r="B2067" s="5" t="s">
        <v>6502</v>
      </c>
      <c r="D2067" s="5" t="s">
        <v>45</v>
      </c>
      <c r="E2067" s="5" t="s">
        <v>41</v>
      </c>
      <c r="F2067" s="5" t="s">
        <v>2034</v>
      </c>
      <c r="G2067" s="14" t="str">
        <f t="array" ref="G2067">IF(B2067="", "",
  LET(_xlpm.spell, IFERROR(IF(F2067="", "", INDEX(_xlws.FILTER(Hairstyles!$F:$F, ISNUMBER(SEARCH(F2067, Hairstyles!$B:$B))), 1)), "No Spell for Hairstyle"),
  _xlpm.vanillaPrefix, IF(LEFT(_xlpm.spell, 7)="Uvi_Wig", "", ";"),
  ";" &amp; IF(C2067="", B2067, C2067) &amp; IF(M2067="", "", " ("&amp;M2067&amp;")") &amp; CHAR(10) &amp;
  _xlpm.vanillaPrefix &amp; "Keyword = Uvi_Wig_Distr_KYWD|" &amp; B2067 &amp; CHAR(10) &amp;
  _xlpm.vanillaPrefix &amp; "Spell = " &amp; _xlpm.spell &amp; "|" &amp; B2067
  )
)</f>
        <v>;DLC2EncBandit06Melee1HDarkElf01F
;Keyword = Uvi_Wig_Distr_KYWD|DLC2EncBandit06Melee1HDarkElf01F
;Spell = No Spell for Hairstyle|DLC2EncBandit06Melee1HDarkElf01F</v>
      </c>
    </row>
    <row r="2068" ht="12.75" customHeight="1">
      <c r="A2068" s="5" t="s">
        <v>6503</v>
      </c>
      <c r="B2068" s="5" t="s">
        <v>6504</v>
      </c>
      <c r="D2068" s="5" t="s">
        <v>45</v>
      </c>
      <c r="E2068" s="5" t="s">
        <v>233</v>
      </c>
      <c r="F2068" s="5" t="s">
        <v>47</v>
      </c>
      <c r="G2068" s="14" t="str">
        <f t="array" ref="G2068">IF(B2068="", "",
  LET(_xlpm.spell, IFERROR(IF(F2068="", "", INDEX(_xlws.FILTER(Hairstyles!$F:$F, ISNUMBER(SEARCH(F2068, Hairstyles!$B:$B))), 1)), "No Spell for Hairstyle"),
  _xlpm.vanillaPrefix, IF(LEFT(_xlpm.spell, 7)="Uvi_Wig", "", ";"),
  ";" &amp; IF(C2068="", B2068, C2068) &amp; IF(M2068="", "", " ("&amp;M2068&amp;")") &amp; CHAR(10) &amp;
  _xlpm.vanillaPrefix &amp; "Keyword = Uvi_Wig_Distr_KYWD|" &amp; B2068 &amp; CHAR(10) &amp;
  _xlpm.vanillaPrefix &amp; "Spell = " &amp; _xlpm.spell &amp; "|" &amp; B2068
  )
)</f>
        <v>;DLC2EncBandit06Melee1HDarkElf01M
;Keyword = Uvi_Wig_Distr_KYWD|DLC2EncBandit06Melee1HDarkElf01M
;Spell = No Spell for Hairstyle|DLC2EncBandit06Melee1HDarkElf01M</v>
      </c>
    </row>
    <row r="2069" ht="12.75" customHeight="1">
      <c r="A2069" s="5" t="s">
        <v>6505</v>
      </c>
      <c r="B2069" s="5" t="s">
        <v>6506</v>
      </c>
      <c r="D2069" s="5" t="s">
        <v>45</v>
      </c>
      <c r="E2069" s="5" t="s">
        <v>41</v>
      </c>
      <c r="F2069" s="5" t="s">
        <v>2380</v>
      </c>
      <c r="G2069" s="14" t="str">
        <f t="array" ref="G2069">IF(B2069="", "",
  LET(_xlpm.spell, IFERROR(IF(F2069="", "", INDEX(_xlws.FILTER(Hairstyles!$F:$F, ISNUMBER(SEARCH(F2069, Hairstyles!$B:$B))), 1)), "No Spell for Hairstyle"),
  _xlpm.vanillaPrefix, IF(LEFT(_xlpm.spell, 7)="Uvi_Wig", "", ";"),
  ";" &amp; IF(C2069="", B2069, C2069) &amp; IF(M2069="", "", " ("&amp;M2069&amp;")") &amp; CHAR(10) &amp;
  _xlpm.vanillaPrefix &amp; "Keyword = Uvi_Wig_Distr_KYWD|" &amp; B2069 &amp; CHAR(10) &amp;
  _xlpm.vanillaPrefix &amp; "Spell = " &amp; _xlpm.spell &amp; "|" &amp; B2069
  )
)</f>
        <v>;DLC2EncBandit06Melee1HDarkElf02F
;Keyword = Uvi_Wig_Distr_KYWD|DLC2EncBandit06Melee1HDarkElf02F
;Spell = No Spell for Hairstyle|DLC2EncBandit06Melee1HDarkElf02F</v>
      </c>
    </row>
    <row r="2070" ht="12.75" customHeight="1">
      <c r="A2070" s="5" t="s">
        <v>6507</v>
      </c>
      <c r="B2070" s="5" t="s">
        <v>6508</v>
      </c>
      <c r="D2070" s="5" t="s">
        <v>45</v>
      </c>
      <c r="E2070" s="5" t="s">
        <v>233</v>
      </c>
      <c r="F2070" s="5" t="s">
        <v>525</v>
      </c>
      <c r="G2070" s="14" t="str">
        <f t="array" ref="G2070">IF(B2070="", "",
  LET(_xlpm.spell, IFERROR(IF(F2070="", "", INDEX(_xlws.FILTER(Hairstyles!$F:$F, ISNUMBER(SEARCH(F2070, Hairstyles!$B:$B))), 1)), "No Spell for Hairstyle"),
  _xlpm.vanillaPrefix, IF(LEFT(_xlpm.spell, 7)="Uvi_Wig", "", ";"),
  ";" &amp; IF(C2070="", B2070, C2070) &amp; IF(M2070="", "", " ("&amp;M2070&amp;")") &amp; CHAR(10) &amp;
  _xlpm.vanillaPrefix &amp; "Keyword = Uvi_Wig_Distr_KYWD|" &amp; B2070 &amp; CHAR(10) &amp;
  _xlpm.vanillaPrefix &amp; "Spell = " &amp; _xlpm.spell &amp; "|" &amp; B2070
  )
)</f>
        <v>;DLC2EncBandit06Melee1HDarkElf02M
;Keyword = Uvi_Wig_Distr_KYWD|DLC2EncBandit06Melee1HDarkElf02M
;Spell = No Spell for Hairstyle|DLC2EncBandit06Melee1HDarkElf02M</v>
      </c>
    </row>
    <row r="2071" ht="12.75" customHeight="1">
      <c r="A2071" s="5" t="s">
        <v>6509</v>
      </c>
      <c r="B2071" s="5" t="s">
        <v>6510</v>
      </c>
      <c r="D2071" s="5" t="s">
        <v>45</v>
      </c>
      <c r="E2071" s="5" t="s">
        <v>41</v>
      </c>
      <c r="F2071" s="5" t="s">
        <v>1854</v>
      </c>
      <c r="G2071" s="14" t="str">
        <f t="array" ref="G2071">IF(B2071="", "",
  LET(_xlpm.spell, IFERROR(IF(F2071="", "", INDEX(_xlws.FILTER(Hairstyles!$F:$F, ISNUMBER(SEARCH(F2071, Hairstyles!$B:$B))), 1)), "No Spell for Hairstyle"),
  _xlpm.vanillaPrefix, IF(LEFT(_xlpm.spell, 7)="Uvi_Wig", "", ";"),
  ";" &amp; IF(C2071="", B2071, C2071) &amp; IF(M2071="", "", " ("&amp;M2071&amp;")") &amp; CHAR(10) &amp;
  _xlpm.vanillaPrefix &amp; "Keyword = Uvi_Wig_Distr_KYWD|" &amp; B2071 &amp; CHAR(10) &amp;
  _xlpm.vanillaPrefix &amp; "Spell = " &amp; _xlpm.spell &amp; "|" &amp; B2071
  )
)</f>
        <v>;DLC2EncBandit06Melee1HDarkElf03F
;Keyword = Uvi_Wig_Distr_KYWD|DLC2EncBandit06Melee1HDarkElf03F
;Spell = No Spell for Hairstyle|DLC2EncBandit06Melee1HDarkElf03F</v>
      </c>
    </row>
    <row r="2072" ht="12.75" customHeight="1">
      <c r="A2072" s="5" t="s">
        <v>6511</v>
      </c>
      <c r="B2072" s="5" t="s">
        <v>6512</v>
      </c>
      <c r="D2072" s="5" t="s">
        <v>45</v>
      </c>
      <c r="E2072" s="5" t="s">
        <v>233</v>
      </c>
      <c r="F2072" s="5" t="s">
        <v>2469</v>
      </c>
      <c r="G2072" s="14" t="str">
        <f t="array" ref="G2072">IF(B2072="", "",
  LET(_xlpm.spell, IFERROR(IF(F2072="", "", INDEX(_xlws.FILTER(Hairstyles!$F:$F, ISNUMBER(SEARCH(F2072, Hairstyles!$B:$B))), 1)), "No Spell for Hairstyle"),
  _xlpm.vanillaPrefix, IF(LEFT(_xlpm.spell, 7)="Uvi_Wig", "", ";"),
  ";" &amp; IF(C2072="", B2072, C2072) &amp; IF(M2072="", "", " ("&amp;M2072&amp;")") &amp; CHAR(10) &amp;
  _xlpm.vanillaPrefix &amp; "Keyword = Uvi_Wig_Distr_KYWD|" &amp; B2072 &amp; CHAR(10) &amp;
  _xlpm.vanillaPrefix &amp; "Spell = " &amp; _xlpm.spell &amp; "|" &amp; B2072
  )
)</f>
        <v>;DLC2EncBandit06Melee1HDarkElf03M
;Keyword = Uvi_Wig_Distr_KYWD|DLC2EncBandit06Melee1HDarkElf03M
;Spell = No Spell for Hairstyle|DLC2EncBandit06Melee1HDarkElf03M</v>
      </c>
    </row>
    <row r="2073" ht="12.75" customHeight="1">
      <c r="A2073" s="5" t="s">
        <v>6513</v>
      </c>
      <c r="B2073" s="5" t="s">
        <v>6514</v>
      </c>
      <c r="D2073" s="5" t="s">
        <v>45</v>
      </c>
      <c r="E2073" s="5" t="s">
        <v>233</v>
      </c>
      <c r="F2073" s="5" t="s">
        <v>91</v>
      </c>
      <c r="G2073" s="14" t="str">
        <f t="array" ref="G2073">IF(B2073="", "",
  LET(_xlpm.spell, IFERROR(IF(F2073="", "", INDEX(_xlws.FILTER(Hairstyles!$F:$F, ISNUMBER(SEARCH(F2073, Hairstyles!$B:$B))), 1)), "No Spell for Hairstyle"),
  _xlpm.vanillaPrefix, IF(LEFT(_xlpm.spell, 7)="Uvi_Wig", "", ";"),
  ";" &amp; IF(C2073="", B2073, C2073) &amp; IF(M2073="", "", " ("&amp;M2073&amp;")") &amp; CHAR(10) &amp;
  _xlpm.vanillaPrefix &amp; "Keyword = Uvi_Wig_Distr_KYWD|" &amp; B2073 &amp; CHAR(10) &amp;
  _xlpm.vanillaPrefix &amp; "Spell = " &amp; _xlpm.spell &amp; "|" &amp; B2073
  )
)</f>
        <v>;DLC2EncBandit06Melee1HDarkElf04M
;Keyword = Uvi_Wig_Distr_KYWD|DLC2EncBandit06Melee1HDarkElf04M
;Spell = No Spell for Hairstyle|DLC2EncBandit06Melee1HDarkElf04M</v>
      </c>
    </row>
    <row r="2074" ht="12.75" customHeight="1">
      <c r="A2074" s="5" t="s">
        <v>6515</v>
      </c>
      <c r="B2074" s="5" t="s">
        <v>6516</v>
      </c>
      <c r="D2074" s="5" t="s">
        <v>45</v>
      </c>
      <c r="E2074" s="5" t="s">
        <v>41</v>
      </c>
      <c r="F2074" s="5" t="s">
        <v>1967</v>
      </c>
      <c r="G2074" s="14" t="str">
        <f t="array" ref="G2074">IF(B2074="", "",
  LET(_xlpm.spell, IFERROR(IF(F2074="", "", INDEX(_xlws.FILTER(Hairstyles!$F:$F, ISNUMBER(SEARCH(F2074, Hairstyles!$B:$B))), 1)), "No Spell for Hairstyle"),
  _xlpm.vanillaPrefix, IF(LEFT(_xlpm.spell, 7)="Uvi_Wig", "", ";"),
  ";" &amp; IF(C2074="", B2074, C2074) &amp; IF(M2074="", "", " ("&amp;M2074&amp;")") &amp; CHAR(10) &amp;
  _xlpm.vanillaPrefix &amp; "Keyword = Uvi_Wig_Distr_KYWD|" &amp; B2074 &amp; CHAR(10) &amp;
  _xlpm.vanillaPrefix &amp; "Spell = " &amp; _xlpm.spell &amp; "|" &amp; B2074
  )
)</f>
        <v>;DLC2EncBandit06MissileDarkElf01F
;Keyword = Uvi_Wig_Distr_KYWD|DLC2EncBandit06MissileDarkElf01F
;Spell = No Spell for Hairstyle|DLC2EncBandit06MissileDarkElf01F</v>
      </c>
    </row>
    <row r="2075" ht="12.75" customHeight="1">
      <c r="A2075" s="5" t="s">
        <v>6517</v>
      </c>
      <c r="B2075" s="5" t="s">
        <v>6518</v>
      </c>
      <c r="D2075" s="5" t="s">
        <v>45</v>
      </c>
      <c r="E2075" s="5" t="s">
        <v>233</v>
      </c>
      <c r="F2075" s="5" t="s">
        <v>1787</v>
      </c>
      <c r="G2075" s="14" t="str">
        <f t="array" ref="G2075">IF(B2075="", "",
  LET(_xlpm.spell, IFERROR(IF(F2075="", "", INDEX(_xlws.FILTER(Hairstyles!$F:$F, ISNUMBER(SEARCH(F2075, Hairstyles!$B:$B))), 1)), "No Spell for Hairstyle"),
  _xlpm.vanillaPrefix, IF(LEFT(_xlpm.spell, 7)="Uvi_Wig", "", ";"),
  ";" &amp; IF(C2075="", B2075, C2075) &amp; IF(M2075="", "", " ("&amp;M2075&amp;")") &amp; CHAR(10) &amp;
  _xlpm.vanillaPrefix &amp; "Keyword = Uvi_Wig_Distr_KYWD|" &amp; B2075 &amp; CHAR(10) &amp;
  _xlpm.vanillaPrefix &amp; "Spell = " &amp; _xlpm.spell &amp; "|" &amp; B2075
  )
)</f>
        <v>;DLC2EncBandit06MissileDarkElf01M
;Keyword = Uvi_Wig_Distr_KYWD|DLC2EncBandit06MissileDarkElf01M
;Spell = No Spell for Hairstyle|DLC2EncBandit06MissileDarkElf01M</v>
      </c>
    </row>
    <row r="2076" ht="12.75" customHeight="1">
      <c r="A2076" s="5" t="s">
        <v>6519</v>
      </c>
      <c r="B2076" s="5" t="s">
        <v>6520</v>
      </c>
      <c r="D2076" s="5" t="s">
        <v>45</v>
      </c>
      <c r="E2076" s="5" t="s">
        <v>41</v>
      </c>
      <c r="F2076" s="5" t="s">
        <v>2096</v>
      </c>
      <c r="G2076" s="14" t="str">
        <f t="array" ref="G2076">IF(B2076="", "",
  LET(_xlpm.spell, IFERROR(IF(F2076="", "", INDEX(_xlws.FILTER(Hairstyles!$F:$F, ISNUMBER(SEARCH(F2076, Hairstyles!$B:$B))), 1)), "No Spell for Hairstyle"),
  _xlpm.vanillaPrefix, IF(LEFT(_xlpm.spell, 7)="Uvi_Wig", "", ";"),
  ";" &amp; IF(C2076="", B2076, C2076) &amp; IF(M2076="", "", " ("&amp;M2076&amp;")") &amp; CHAR(10) &amp;
  _xlpm.vanillaPrefix &amp; "Keyword = Uvi_Wig_Distr_KYWD|" &amp; B2076 &amp; CHAR(10) &amp;
  _xlpm.vanillaPrefix &amp; "Spell = " &amp; _xlpm.spell &amp; "|" &amp; B2076
  )
)</f>
        <v>;DLC2EncBandit06MissileDarkElf02F
;Keyword = Uvi_Wig_Distr_KYWD|DLC2EncBandit06MissileDarkElf02F
;Spell = No Spell for Hairstyle|DLC2EncBandit06MissileDarkElf02F</v>
      </c>
    </row>
    <row r="2077" ht="12.75" customHeight="1">
      <c r="A2077" s="5" t="s">
        <v>6521</v>
      </c>
      <c r="B2077" s="5" t="s">
        <v>6522</v>
      </c>
      <c r="D2077" s="5" t="s">
        <v>45</v>
      </c>
      <c r="E2077" s="5" t="s">
        <v>233</v>
      </c>
      <c r="F2077" s="5" t="s">
        <v>1787</v>
      </c>
      <c r="G2077" s="14" t="str">
        <f t="array" ref="G2077">IF(B2077="", "",
  LET(_xlpm.spell, IFERROR(IF(F2077="", "", INDEX(_xlws.FILTER(Hairstyles!$F:$F, ISNUMBER(SEARCH(F2077, Hairstyles!$B:$B))), 1)), "No Spell for Hairstyle"),
  _xlpm.vanillaPrefix, IF(LEFT(_xlpm.spell, 7)="Uvi_Wig", "", ";"),
  ";" &amp; IF(C2077="", B2077, C2077) &amp; IF(M2077="", "", " ("&amp;M2077&amp;")") &amp; CHAR(10) &amp;
  _xlpm.vanillaPrefix &amp; "Keyword = Uvi_Wig_Distr_KYWD|" &amp; B2077 &amp; CHAR(10) &amp;
  _xlpm.vanillaPrefix &amp; "Spell = " &amp; _xlpm.spell &amp; "|" &amp; B2077
  )
)</f>
        <v>;DLC2EncBandit06MissileDarkElf02M
;Keyword = Uvi_Wig_Distr_KYWD|DLC2EncBandit06MissileDarkElf02M
;Spell = No Spell for Hairstyle|DLC2EncBandit06MissileDarkElf02M</v>
      </c>
    </row>
    <row r="2078" ht="12.75" customHeight="1">
      <c r="A2078" s="5" t="s">
        <v>6523</v>
      </c>
      <c r="B2078" s="5" t="s">
        <v>6524</v>
      </c>
      <c r="D2078" s="5" t="s">
        <v>45</v>
      </c>
      <c r="E2078" s="5" t="s">
        <v>41</v>
      </c>
      <c r="F2078" s="5" t="s">
        <v>1691</v>
      </c>
      <c r="G2078" s="14" t="str">
        <f t="array" ref="G2078">IF(B2078="", "",
  LET(_xlpm.spell, IFERROR(IF(F2078="", "", INDEX(_xlws.FILTER(Hairstyles!$F:$F, ISNUMBER(SEARCH(F2078, Hairstyles!$B:$B))), 1)), "No Spell for Hairstyle"),
  _xlpm.vanillaPrefix, IF(LEFT(_xlpm.spell, 7)="Uvi_Wig", "", ";"),
  ";" &amp; IF(C2078="", B2078, C2078) &amp; IF(M2078="", "", " ("&amp;M2078&amp;")") &amp; CHAR(10) &amp;
  _xlpm.vanillaPrefix &amp; "Keyword = Uvi_Wig_Distr_KYWD|" &amp; B2078 &amp; CHAR(10) &amp;
  _xlpm.vanillaPrefix &amp; "Spell = " &amp; _xlpm.spell &amp; "|" &amp; B2078
  )
)</f>
        <v>;DLC2EncBandit06MissileDarkElf03F
;Keyword = Uvi_Wig_Distr_KYWD|DLC2EncBandit06MissileDarkElf03F
;Spell = No Spell for Hairstyle|DLC2EncBandit06MissileDarkElf03F</v>
      </c>
    </row>
    <row r="2079" ht="12.75" customHeight="1">
      <c r="A2079" s="5" t="s">
        <v>6525</v>
      </c>
      <c r="B2079" s="5" t="s">
        <v>6526</v>
      </c>
      <c r="D2079" s="5" t="s">
        <v>45</v>
      </c>
      <c r="E2079" s="5" t="s">
        <v>233</v>
      </c>
      <c r="F2079" s="5" t="s">
        <v>1684</v>
      </c>
      <c r="G2079" s="14" t="str">
        <f t="array" ref="G2079">IF(B2079="", "",
  LET(_xlpm.spell, IFERROR(IF(F2079="", "", INDEX(_xlws.FILTER(Hairstyles!$F:$F, ISNUMBER(SEARCH(F2079, Hairstyles!$B:$B))), 1)), "No Spell for Hairstyle"),
  _xlpm.vanillaPrefix, IF(LEFT(_xlpm.spell, 7)="Uvi_Wig", "", ";"),
  ";" &amp; IF(C2079="", B2079, C2079) &amp; IF(M2079="", "", " ("&amp;M2079&amp;")") &amp; CHAR(10) &amp;
  _xlpm.vanillaPrefix &amp; "Keyword = Uvi_Wig_Distr_KYWD|" &amp; B2079 &amp; CHAR(10) &amp;
  _xlpm.vanillaPrefix &amp; "Spell = " &amp; _xlpm.spell &amp; "|" &amp; B2079
  )
)</f>
        <v>;DLC2EncBandit06MissileDarkELf03M
;Keyword = Uvi_Wig_Distr_KYWD|DLC2EncBandit06MissileDarkELf03M
;Spell = No Spell for Hairstyle|DLC2EncBandit06MissileDarkELf03M</v>
      </c>
    </row>
    <row r="2080" ht="12.75" customHeight="1">
      <c r="A2080" s="5" t="s">
        <v>6527</v>
      </c>
      <c r="B2080" s="5" t="s">
        <v>6528</v>
      </c>
      <c r="D2080" s="5" t="s">
        <v>45</v>
      </c>
      <c r="E2080" s="5" t="s">
        <v>233</v>
      </c>
      <c r="F2080" s="5" t="s">
        <v>4186</v>
      </c>
      <c r="G2080" s="14" t="str">
        <f t="array" ref="G2080">IF(B2080="", "",
  LET(_xlpm.spell, IFERROR(IF(F2080="", "", INDEX(_xlws.FILTER(Hairstyles!$F:$F, ISNUMBER(SEARCH(F2080, Hairstyles!$B:$B))), 1)), "No Spell for Hairstyle"),
  _xlpm.vanillaPrefix, IF(LEFT(_xlpm.spell, 7)="Uvi_Wig", "", ";"),
  ";" &amp; IF(C2080="", B2080, C2080) &amp; IF(M2080="", "", " ("&amp;M2080&amp;")") &amp; CHAR(10) &amp;
  _xlpm.vanillaPrefix &amp; "Keyword = Uvi_Wig_Distr_KYWD|" &amp; B2080 &amp; CHAR(10) &amp;
  _xlpm.vanillaPrefix &amp; "Spell = " &amp; _xlpm.spell &amp; "|" &amp; B2080
  )
)</f>
        <v>;DLC2EncBandit06MissileDarkElf04M
;Keyword = Uvi_Wig_Distr_KYWD|DLC2EncBandit06MissileDarkElf04M
;Spell = No Spell for Hairstyle|DLC2EncBandit06MissileDarkElf04M</v>
      </c>
    </row>
    <row r="2081" ht="12.75" customHeight="1">
      <c r="A2081" s="5" t="s">
        <v>6529</v>
      </c>
      <c r="B2081" s="5" t="s">
        <v>6530</v>
      </c>
      <c r="D2081" s="5" t="s">
        <v>45</v>
      </c>
      <c r="E2081" s="5" t="s">
        <v>41</v>
      </c>
      <c r="F2081" s="5" t="s">
        <v>512</v>
      </c>
      <c r="G2081" s="14" t="str">
        <f t="array" ref="G2081">IF(B2081="", "",
  LET(_xlpm.spell, IFERROR(IF(F2081="", "", INDEX(_xlws.FILTER(Hairstyles!$F:$F, ISNUMBER(SEARCH(F2081, Hairstyles!$B:$B))), 1)), "No Spell for Hairstyle"),
  _xlpm.vanillaPrefix, IF(LEFT(_xlpm.spell, 7)="Uvi_Wig", "", ";"),
  ";" &amp; IF(C2081="", B2081, C2081) &amp; IF(M2081="", "", " ("&amp;M2081&amp;")") &amp; CHAR(10) &amp;
  _xlpm.vanillaPrefix &amp; "Keyword = Uvi_Wig_Distr_KYWD|" &amp; B2081 &amp; CHAR(10) &amp;
  _xlpm.vanillaPrefix &amp; "Spell = " &amp; _xlpm.spell &amp; "|" &amp; B2081
  )
)</f>
        <v>;DLC2EncCultist03DarkElfF
;Keyword = Uvi_Wig_Distr_KYWD|DLC2EncCultist03DarkElfF
;Spell = No Spell for Hairstyle|DLC2EncCultist03DarkElfF</v>
      </c>
    </row>
    <row r="2082" ht="12.75" customHeight="1">
      <c r="A2082" s="5" t="s">
        <v>6531</v>
      </c>
      <c r="B2082" s="5" t="s">
        <v>6532</v>
      </c>
      <c r="D2082" s="5" t="s">
        <v>45</v>
      </c>
      <c r="E2082" s="5" t="s">
        <v>41</v>
      </c>
      <c r="F2082" s="5" t="s">
        <v>491</v>
      </c>
      <c r="G2082" s="14" t="str">
        <f t="array" ref="G2082">IF(B2082="", "",
  LET(_xlpm.spell, IFERROR(IF(F2082="", "", INDEX(_xlws.FILTER(Hairstyles!$F:$F, ISNUMBER(SEARCH(F2082, Hairstyles!$B:$B))), 1)), "No Spell for Hairstyle"),
  _xlpm.vanillaPrefix, IF(LEFT(_xlpm.spell, 7)="Uvi_Wig", "", ";"),
  ";" &amp; IF(C2082="", B2082, C2082) &amp; IF(M2082="", "", " ("&amp;M2082&amp;")") &amp; CHAR(10) &amp;
  _xlpm.vanillaPrefix &amp; "Keyword = Uvi_Wig_Distr_KYWD|" &amp; B2082 &amp; CHAR(10) &amp;
  _xlpm.vanillaPrefix &amp; "Spell = " &amp; _xlpm.spell &amp; "|" &amp; B2082
  )
)</f>
        <v>;DLC2EncCultist03DarkElfFSummoner
;Keyword = Uvi_Wig_Distr_KYWD|DLC2EncCultist03DarkElfFSummoner
;Spell = No Spell for Hairstyle|DLC2EncCultist03DarkElfFSummoner</v>
      </c>
    </row>
    <row r="2083" ht="12.75" customHeight="1">
      <c r="A2083" s="5" t="s">
        <v>6533</v>
      </c>
      <c r="B2083" s="5" t="s">
        <v>6534</v>
      </c>
      <c r="D2083" s="5" t="s">
        <v>45</v>
      </c>
      <c r="E2083" s="5" t="s">
        <v>233</v>
      </c>
      <c r="F2083" s="5" t="s">
        <v>47</v>
      </c>
      <c r="G2083" s="14" t="str">
        <f t="array" ref="G2083">IF(B2083="", "",
  LET(_xlpm.spell, IFERROR(IF(F2083="", "", INDEX(_xlws.FILTER(Hairstyles!$F:$F, ISNUMBER(SEARCH(F2083, Hairstyles!$B:$B))), 1)), "No Spell for Hairstyle"),
  _xlpm.vanillaPrefix, IF(LEFT(_xlpm.spell, 7)="Uvi_Wig", "", ";"),
  ";" &amp; IF(C2083="", B2083, C2083) &amp; IF(M2083="", "", " ("&amp;M2083&amp;")") &amp; CHAR(10) &amp;
  _xlpm.vanillaPrefix &amp; "Keyword = Uvi_Wig_Distr_KYWD|" &amp; B2083 &amp; CHAR(10) &amp;
  _xlpm.vanillaPrefix &amp; "Spell = " &amp; _xlpm.spell &amp; "|" &amp; B2083
  )
)</f>
        <v>;DLC2EncCultist03DarkElfM
;Keyword = Uvi_Wig_Distr_KYWD|DLC2EncCultist03DarkElfM
;Spell = No Spell for Hairstyle|DLC2EncCultist03DarkElfM</v>
      </c>
    </row>
    <row r="2084" ht="12.75" customHeight="1">
      <c r="A2084" s="5" t="s">
        <v>6535</v>
      </c>
      <c r="B2084" s="5" t="s">
        <v>6536</v>
      </c>
      <c r="D2084" s="5" t="s">
        <v>45</v>
      </c>
      <c r="E2084" s="5" t="s">
        <v>233</v>
      </c>
      <c r="F2084" s="5" t="s">
        <v>47</v>
      </c>
      <c r="G2084" s="14" t="str">
        <f t="array" ref="G2084">IF(B2084="", "",
  LET(_xlpm.spell, IFERROR(IF(F2084="", "", INDEX(_xlws.FILTER(Hairstyles!$F:$F, ISNUMBER(SEARCH(F2084, Hairstyles!$B:$B))), 1)), "No Spell for Hairstyle"),
  _xlpm.vanillaPrefix, IF(LEFT(_xlpm.spell, 7)="Uvi_Wig", "", ";"),
  ";" &amp; IF(C2084="", B2084, C2084) &amp; IF(M2084="", "", " ("&amp;M2084&amp;")") &amp; CHAR(10) &amp;
  _xlpm.vanillaPrefix &amp; "Keyword = Uvi_Wig_Distr_KYWD|" &amp; B2084 &amp; CHAR(10) &amp;
  _xlpm.vanillaPrefix &amp; "Spell = " &amp; _xlpm.spell &amp; "|" &amp; B2084
  )
)</f>
        <v>;DLC2EncCultist03DarkElfMSummoner
;Keyword = Uvi_Wig_Distr_KYWD|DLC2EncCultist03DarkElfMSummoner
;Spell = No Spell for Hairstyle|DLC2EncCultist03DarkElfMSummoner</v>
      </c>
    </row>
    <row r="2085" ht="12.75" customHeight="1">
      <c r="A2085" s="5" t="s">
        <v>6537</v>
      </c>
      <c r="B2085" s="5" t="s">
        <v>6538</v>
      </c>
      <c r="D2085" s="5" t="s">
        <v>38</v>
      </c>
      <c r="E2085" s="5" t="s">
        <v>233</v>
      </c>
      <c r="F2085" s="5" t="s">
        <v>209</v>
      </c>
      <c r="G2085" s="14" t="str">
        <f t="array" ref="G2085">IF(B2085="", "",
  LET(_xlpm.spell, IFERROR(IF(F2085="", "", INDEX(_xlws.FILTER(Hairstyles!$F:$F, ISNUMBER(SEARCH(F2085, Hairstyles!$B:$B))), 1)), "No Spell for Hairstyle"),
  _xlpm.vanillaPrefix, IF(LEFT(_xlpm.spell, 7)="Uvi_Wig", "", ";"),
  ";" &amp; IF(C2085="", B2085, C2085) &amp; IF(M2085="", "", " ("&amp;M2085&amp;")") &amp; CHAR(10) &amp;
  _xlpm.vanillaPrefix &amp; "Keyword = Uvi_Wig_Distr_KYWD|" &amp; B2085 &amp; CHAR(10) &amp;
  _xlpm.vanillaPrefix &amp; "Spell = " &amp; _xlpm.spell &amp; "|" &amp; B2085
  )
)</f>
        <v>;DLC2EncCultist03NordM
;Keyword = Uvi_Wig_Distr_KYWD|DLC2EncCultist03NordM
;Spell = No Spell for Hairstyle|DLC2EncCultist03NordM</v>
      </c>
    </row>
    <row r="2086" ht="12.75" customHeight="1">
      <c r="A2086" s="5" t="s">
        <v>6539</v>
      </c>
      <c r="B2086" s="5" t="s">
        <v>6540</v>
      </c>
      <c r="D2086" s="5" t="s">
        <v>45</v>
      </c>
      <c r="E2086" s="5" t="s">
        <v>41</v>
      </c>
      <c r="F2086" s="5" t="s">
        <v>491</v>
      </c>
      <c r="G2086" s="14" t="str">
        <f t="array" ref="G2086">IF(B2086="", "",
  LET(_xlpm.spell, IFERROR(IF(F2086="", "", INDEX(_xlws.FILTER(Hairstyles!$F:$F, ISNUMBER(SEARCH(F2086, Hairstyles!$B:$B))), 1)), "No Spell for Hairstyle"),
  _xlpm.vanillaPrefix, IF(LEFT(_xlpm.spell, 7)="Uvi_Wig", "", ";"),
  ";" &amp; IF(C2086="", B2086, C2086) &amp; IF(M2086="", "", " ("&amp;M2086&amp;")") &amp; CHAR(10) &amp;
  _xlpm.vanillaPrefix &amp; "Keyword = Uvi_Wig_Distr_KYWD|" &amp; B2086 &amp; CHAR(10) &amp;
  _xlpm.vanillaPrefix &amp; "Spell = " &amp; _xlpm.spell &amp; "|" &amp; B2086
  )
)</f>
        <v>;DLC2EncCultist04DarkElfF
;Keyword = Uvi_Wig_Distr_KYWD|DLC2EncCultist04DarkElfF
;Spell = No Spell for Hairstyle|DLC2EncCultist04DarkElfF</v>
      </c>
    </row>
    <row r="2087" ht="12.75" customHeight="1">
      <c r="A2087" s="5" t="s">
        <v>6541</v>
      </c>
      <c r="B2087" s="5" t="s">
        <v>6542</v>
      </c>
      <c r="D2087" s="5" t="s">
        <v>45</v>
      </c>
      <c r="E2087" s="5" t="s">
        <v>41</v>
      </c>
      <c r="F2087" s="5" t="s">
        <v>1732</v>
      </c>
      <c r="G2087" s="14" t="str">
        <f t="array" ref="G2087">IF(B2087="", "",
  LET(_xlpm.spell, IFERROR(IF(F2087="", "", INDEX(_xlws.FILTER(Hairstyles!$F:$F, ISNUMBER(SEARCH(F2087, Hairstyles!$B:$B))), 1)), "No Spell for Hairstyle"),
  _xlpm.vanillaPrefix, IF(LEFT(_xlpm.spell, 7)="Uvi_Wig", "", ";"),
  ";" &amp; IF(C2087="", B2087, C2087) &amp; IF(M2087="", "", " ("&amp;M2087&amp;")") &amp; CHAR(10) &amp;
  _xlpm.vanillaPrefix &amp; "Keyword = Uvi_Wig_Distr_KYWD|" &amp; B2087 &amp; CHAR(10) &amp;
  _xlpm.vanillaPrefix &amp; "Spell = " &amp; _xlpm.spell &amp; "|" &amp; B2087
  )
)</f>
        <v>;DLC2EncCultist04DarkElfFSummoner
;Keyword = Uvi_Wig_Distr_KYWD|DLC2EncCultist04DarkElfFSummoner
;Spell = No Spell for Hairstyle|DLC2EncCultist04DarkElfFSummoner</v>
      </c>
    </row>
    <row r="2088" ht="12.75" customHeight="1">
      <c r="A2088" s="5" t="s">
        <v>6543</v>
      </c>
      <c r="B2088" s="5" t="s">
        <v>6544</v>
      </c>
      <c r="D2088" s="5" t="s">
        <v>45</v>
      </c>
      <c r="E2088" s="5" t="s">
        <v>233</v>
      </c>
      <c r="F2088" s="5" t="s">
        <v>525</v>
      </c>
      <c r="G2088" s="14" t="str">
        <f t="array" ref="G2088">IF(B2088="", "",
  LET(_xlpm.spell, IFERROR(IF(F2088="", "", INDEX(_xlws.FILTER(Hairstyles!$F:$F, ISNUMBER(SEARCH(F2088, Hairstyles!$B:$B))), 1)), "No Spell for Hairstyle"),
  _xlpm.vanillaPrefix, IF(LEFT(_xlpm.spell, 7)="Uvi_Wig", "", ";"),
  ";" &amp; IF(C2088="", B2088, C2088) &amp; IF(M2088="", "", " ("&amp;M2088&amp;")") &amp; CHAR(10) &amp;
  _xlpm.vanillaPrefix &amp; "Keyword = Uvi_Wig_Distr_KYWD|" &amp; B2088 &amp; CHAR(10) &amp;
  _xlpm.vanillaPrefix &amp; "Spell = " &amp; _xlpm.spell &amp; "|" &amp; B2088
  )
)</f>
        <v>;DLC2EncCultist04DarkElfM
;Keyword = Uvi_Wig_Distr_KYWD|DLC2EncCultist04DarkElfM
;Spell = No Spell for Hairstyle|DLC2EncCultist04DarkElfM</v>
      </c>
    </row>
    <row r="2089" ht="12.75" customHeight="1">
      <c r="A2089" s="5" t="s">
        <v>6545</v>
      </c>
      <c r="B2089" s="5" t="s">
        <v>6546</v>
      </c>
      <c r="D2089" s="5" t="s">
        <v>45</v>
      </c>
      <c r="E2089" s="5" t="s">
        <v>233</v>
      </c>
      <c r="F2089" s="5" t="s">
        <v>1787</v>
      </c>
      <c r="G2089" s="14" t="str">
        <f t="array" ref="G2089">IF(B2089="", "",
  LET(_xlpm.spell, IFERROR(IF(F2089="", "", INDEX(_xlws.FILTER(Hairstyles!$F:$F, ISNUMBER(SEARCH(F2089, Hairstyles!$B:$B))), 1)), "No Spell for Hairstyle"),
  _xlpm.vanillaPrefix, IF(LEFT(_xlpm.spell, 7)="Uvi_Wig", "", ";"),
  ";" &amp; IF(C2089="", B2089, C2089) &amp; IF(M2089="", "", " ("&amp;M2089&amp;")") &amp; CHAR(10) &amp;
  _xlpm.vanillaPrefix &amp; "Keyword = Uvi_Wig_Distr_KYWD|" &amp; B2089 &amp; CHAR(10) &amp;
  _xlpm.vanillaPrefix &amp; "Spell = " &amp; _xlpm.spell &amp; "|" &amp; B2089
  )
)</f>
        <v>;DLC2EncCultist04DarkElfMSummoner
;Keyword = Uvi_Wig_Distr_KYWD|DLC2EncCultist04DarkElfMSummoner
;Spell = No Spell for Hairstyle|DLC2EncCultist04DarkElfMSummoner</v>
      </c>
    </row>
    <row r="2090" ht="12.75" customHeight="1">
      <c r="A2090" s="5" t="s">
        <v>6547</v>
      </c>
      <c r="B2090" s="5" t="s">
        <v>6548</v>
      </c>
      <c r="D2090" s="5" t="s">
        <v>38</v>
      </c>
      <c r="E2090" s="5" t="s">
        <v>233</v>
      </c>
      <c r="F2090" s="5" t="s">
        <v>475</v>
      </c>
      <c r="G2090" s="14" t="str">
        <f t="array" ref="G2090">IF(B2090="", "",
  LET(_xlpm.spell, IFERROR(IF(F2090="", "", INDEX(_xlws.FILTER(Hairstyles!$F:$F, ISNUMBER(SEARCH(F2090, Hairstyles!$B:$B))), 1)), "No Spell for Hairstyle"),
  _xlpm.vanillaPrefix, IF(LEFT(_xlpm.spell, 7)="Uvi_Wig", "", ";"),
  ";" &amp; IF(C2090="", B2090, C2090) &amp; IF(M2090="", "", " ("&amp;M2090&amp;")") &amp; CHAR(10) &amp;
  _xlpm.vanillaPrefix &amp; "Keyword = Uvi_Wig_Distr_KYWD|" &amp; B2090 &amp; CHAR(10) &amp;
  _xlpm.vanillaPrefix &amp; "Spell = " &amp; _xlpm.spell &amp; "|" &amp; B2090
  )
)</f>
        <v>;DLC2EncCultist04NordM
;Keyword = Uvi_Wig_Distr_KYWD|DLC2EncCultist04NordM
;Spell = No Spell for Hairstyle|DLC2EncCultist04NordM</v>
      </c>
    </row>
    <row r="2091" ht="12.75" customHeight="1">
      <c r="A2091" s="5" t="s">
        <v>6549</v>
      </c>
      <c r="B2091" s="5" t="s">
        <v>6550</v>
      </c>
      <c r="D2091" s="5" t="s">
        <v>38</v>
      </c>
      <c r="E2091" s="5" t="s">
        <v>233</v>
      </c>
      <c r="F2091" s="5" t="s">
        <v>235</v>
      </c>
      <c r="G2091" s="14" t="str">
        <f t="array" ref="G2091">IF(B2091="", "",
  LET(_xlpm.spell, IFERROR(IF(F2091="", "", INDEX(_xlws.FILTER(Hairstyles!$F:$F, ISNUMBER(SEARCH(F2091, Hairstyles!$B:$B))), 1)), "No Spell for Hairstyle"),
  _xlpm.vanillaPrefix, IF(LEFT(_xlpm.spell, 7)="Uvi_Wig", "", ";"),
  ";" &amp; IF(C2091="", B2091, C2091) &amp; IF(M2091="", "", " ("&amp;M2091&amp;")") &amp; CHAR(10) &amp;
  _xlpm.vanillaPrefix &amp; "Keyword = Uvi_Wig_Distr_KYWD|" &amp; B2091 &amp; CHAR(10) &amp;
  _xlpm.vanillaPrefix &amp; "Spell = " &amp; _xlpm.spell &amp; "|" &amp; B2091
  )
)</f>
        <v>;DLC2EncCultist04NordMSummoner
;Keyword = Uvi_Wig_Distr_KYWD|DLC2EncCultist04NordMSummoner
;Spell = No Spell for Hairstyle|DLC2EncCultist04NordMSummoner</v>
      </c>
    </row>
    <row r="2092" ht="12.75" customHeight="1">
      <c r="A2092" s="5" t="s">
        <v>6551</v>
      </c>
      <c r="B2092" s="5" t="s">
        <v>6552</v>
      </c>
      <c r="D2092" s="5" t="s">
        <v>45</v>
      </c>
      <c r="E2092" s="5" t="s">
        <v>41</v>
      </c>
      <c r="F2092" s="5" t="s">
        <v>1656</v>
      </c>
      <c r="G2092" s="14" t="str">
        <f t="array" ref="G2092">IF(B2092="", "",
  LET(_xlpm.spell, IFERROR(IF(F2092="", "", INDEX(_xlws.FILTER(Hairstyles!$F:$F, ISNUMBER(SEARCH(F2092, Hairstyles!$B:$B))), 1)), "No Spell for Hairstyle"),
  _xlpm.vanillaPrefix, IF(LEFT(_xlpm.spell, 7)="Uvi_Wig", "", ";"),
  ";" &amp; IF(C2092="", B2092, C2092) &amp; IF(M2092="", "", " ("&amp;M2092&amp;")") &amp; CHAR(10) &amp;
  _xlpm.vanillaPrefix &amp; "Keyword = Uvi_Wig_Distr_KYWD|" &amp; B2092 &amp; CHAR(10) &amp;
  _xlpm.vanillaPrefix &amp; "Spell = " &amp; _xlpm.spell &amp; "|" &amp; B2092
  )
)</f>
        <v>;DLC2EncCultist05DarkElfF
;Keyword = Uvi_Wig_Distr_KYWD|DLC2EncCultist05DarkElfF
;Spell = No Spell for Hairstyle|DLC2EncCultist05DarkElfF</v>
      </c>
    </row>
    <row r="2093" ht="12.75" customHeight="1">
      <c r="A2093" s="5" t="s">
        <v>6553</v>
      </c>
      <c r="B2093" s="5" t="s">
        <v>6554</v>
      </c>
      <c r="D2093" s="5" t="s">
        <v>45</v>
      </c>
      <c r="E2093" s="5" t="s">
        <v>41</v>
      </c>
      <c r="F2093" s="5" t="s">
        <v>4274</v>
      </c>
      <c r="G2093" s="14" t="str">
        <f t="array" ref="G2093">IF(B2093="", "",
  LET(_xlpm.spell, IFERROR(IF(F2093="", "", INDEX(_xlws.FILTER(Hairstyles!$F:$F, ISNUMBER(SEARCH(F2093, Hairstyles!$B:$B))), 1)), "No Spell for Hairstyle"),
  _xlpm.vanillaPrefix, IF(LEFT(_xlpm.spell, 7)="Uvi_Wig", "", ";"),
  ";" &amp; IF(C2093="", B2093, C2093) &amp; IF(M2093="", "", " ("&amp;M2093&amp;")") &amp; CHAR(10) &amp;
  _xlpm.vanillaPrefix &amp; "Keyword = Uvi_Wig_Distr_KYWD|" &amp; B2093 &amp; CHAR(10) &amp;
  _xlpm.vanillaPrefix &amp; "Spell = " &amp; _xlpm.spell &amp; "|" &amp; B2093
  )
)</f>
        <v>;DLC2EncCultist05DarkElfFSummoner
;Keyword = Uvi_Wig_Distr_KYWD|DLC2EncCultist05DarkElfFSummoner
;Spell = No Spell for Hairstyle|DLC2EncCultist05DarkElfFSummoner</v>
      </c>
    </row>
    <row r="2094" ht="12.75" customHeight="1">
      <c r="A2094" s="5" t="s">
        <v>6555</v>
      </c>
      <c r="B2094" s="5" t="s">
        <v>6556</v>
      </c>
      <c r="D2094" s="5" t="s">
        <v>45</v>
      </c>
      <c r="E2094" s="5" t="s">
        <v>233</v>
      </c>
      <c r="F2094" s="5" t="s">
        <v>1667</v>
      </c>
      <c r="G2094" s="14" t="str">
        <f t="array" ref="G2094">IF(B2094="", "",
  LET(_xlpm.spell, IFERROR(IF(F2094="", "", INDEX(_xlws.FILTER(Hairstyles!$F:$F, ISNUMBER(SEARCH(F2094, Hairstyles!$B:$B))), 1)), "No Spell for Hairstyle"),
  _xlpm.vanillaPrefix, IF(LEFT(_xlpm.spell, 7)="Uvi_Wig", "", ";"),
  ";" &amp; IF(C2094="", B2094, C2094) &amp; IF(M2094="", "", " ("&amp;M2094&amp;")") &amp; CHAR(10) &amp;
  _xlpm.vanillaPrefix &amp; "Keyword = Uvi_Wig_Distr_KYWD|" &amp; B2094 &amp; CHAR(10) &amp;
  _xlpm.vanillaPrefix &amp; "Spell = " &amp; _xlpm.spell &amp; "|" &amp; B2094
  )
)</f>
        <v>;DLC2EncCultist05DarkElfM
;Keyword = Uvi_Wig_Distr_KYWD|DLC2EncCultist05DarkElfM
;Spell = No Spell for Hairstyle|DLC2EncCultist05DarkElfM</v>
      </c>
    </row>
    <row r="2095" ht="12.75" customHeight="1">
      <c r="A2095" s="5" t="s">
        <v>6557</v>
      </c>
      <c r="B2095" s="5" t="s">
        <v>6558</v>
      </c>
      <c r="D2095" s="5" t="s">
        <v>45</v>
      </c>
      <c r="E2095" s="5" t="s">
        <v>233</v>
      </c>
      <c r="F2095" s="5" t="s">
        <v>534</v>
      </c>
      <c r="G2095" s="14" t="str">
        <f t="array" ref="G2095">IF(B2095="", "",
  LET(_xlpm.spell, IFERROR(IF(F2095="", "", INDEX(_xlws.FILTER(Hairstyles!$F:$F, ISNUMBER(SEARCH(F2095, Hairstyles!$B:$B))), 1)), "No Spell for Hairstyle"),
  _xlpm.vanillaPrefix, IF(LEFT(_xlpm.spell, 7)="Uvi_Wig", "", ";"),
  ";" &amp; IF(C2095="", B2095, C2095) &amp; IF(M2095="", "", " ("&amp;M2095&amp;")") &amp; CHAR(10) &amp;
  _xlpm.vanillaPrefix &amp; "Keyword = Uvi_Wig_Distr_KYWD|" &amp; B2095 &amp; CHAR(10) &amp;
  _xlpm.vanillaPrefix &amp; "Spell = " &amp; _xlpm.spell &amp; "|" &amp; B2095
  )
)</f>
        <v>;DLC2EncCultist05DarkElfMSummoner
;Keyword = Uvi_Wig_Distr_KYWD|DLC2EncCultist05DarkElfMSummoner
;Spell = No Spell for Hairstyle|DLC2EncCultist05DarkElfMSummoner</v>
      </c>
    </row>
    <row r="2096" ht="12.75" customHeight="1">
      <c r="A2096" s="5" t="s">
        <v>6559</v>
      </c>
      <c r="B2096" s="5" t="s">
        <v>6560</v>
      </c>
      <c r="D2096" s="5" t="s">
        <v>38</v>
      </c>
      <c r="E2096" s="5" t="s">
        <v>233</v>
      </c>
      <c r="F2096" s="5" t="s">
        <v>1919</v>
      </c>
      <c r="G2096" s="14" t="str">
        <f t="array" ref="G2096">IF(B2096="", "",
  LET(_xlpm.spell, IFERROR(IF(F2096="", "", INDEX(_xlws.FILTER(Hairstyles!$F:$F, ISNUMBER(SEARCH(F2096, Hairstyles!$B:$B))), 1)), "No Spell for Hairstyle"),
  _xlpm.vanillaPrefix, IF(LEFT(_xlpm.spell, 7)="Uvi_Wig", "", ";"),
  ";" &amp; IF(C2096="", B2096, C2096) &amp; IF(M2096="", "", " ("&amp;M2096&amp;")") &amp; CHAR(10) &amp;
  _xlpm.vanillaPrefix &amp; "Keyword = Uvi_Wig_Distr_KYWD|" &amp; B2096 &amp; CHAR(10) &amp;
  _xlpm.vanillaPrefix &amp; "Spell = " &amp; _xlpm.spell &amp; "|" &amp; B2096
  )
)</f>
        <v>;DLC2EncCultist05NordM
;Keyword = Uvi_Wig_Distr_KYWD|DLC2EncCultist05NordM
;Spell = No Spell for Hairstyle|DLC2EncCultist05NordM</v>
      </c>
    </row>
    <row r="2097" ht="12.75" customHeight="1">
      <c r="A2097" s="15" t="s">
        <v>6561</v>
      </c>
      <c r="B2097" s="5" t="s">
        <v>6562</v>
      </c>
      <c r="D2097" s="5" t="s">
        <v>38</v>
      </c>
      <c r="E2097" s="5" t="s">
        <v>233</v>
      </c>
      <c r="F2097" s="5" t="s">
        <v>40</v>
      </c>
      <c r="G2097" s="14" t="str">
        <f t="array" ref="G2097">IF(B2097="", "",
  LET(_xlpm.spell, IFERROR(IF(F2097="", "", INDEX(_xlws.FILTER(Hairstyles!$F:$F, ISNUMBER(SEARCH(F2097, Hairstyles!$B:$B))), 1)), "No Spell for Hairstyle"),
  _xlpm.vanillaPrefix, IF(LEFT(_xlpm.spell, 7)="Uvi_Wig", "", ";"),
  ";" &amp; IF(C2097="", B2097, C2097) &amp; IF(M2097="", "", " ("&amp;M2097&amp;")") &amp; CHAR(10) &amp;
  _xlpm.vanillaPrefix &amp; "Keyword = Uvi_Wig_Distr_KYWD|" &amp; B2097 &amp; CHAR(10) &amp;
  _xlpm.vanillaPrefix &amp; "Spell = " &amp; _xlpm.spell &amp; "|" &amp; B2097
  )
)</f>
        <v>;DLC2EncCultist05NordMSummoner
;Keyword = Uvi_Wig_Distr_KYWD|DLC2EncCultist05NordMSummoner
;Spell = No Spell for Hairstyle|DLC2EncCultist05NordMSummoner</v>
      </c>
    </row>
    <row r="2098" ht="12.75" customHeight="1">
      <c r="A2098" s="5" t="s">
        <v>6563</v>
      </c>
      <c r="B2098" s="5" t="s">
        <v>6564</v>
      </c>
      <c r="D2098" s="5" t="s">
        <v>45</v>
      </c>
      <c r="E2098" s="5" t="s">
        <v>41</v>
      </c>
      <c r="F2098" s="5" t="s">
        <v>1854</v>
      </c>
      <c r="G2098" s="14" t="str">
        <f t="array" ref="G2098">IF(B2098="", "",
  LET(_xlpm.spell, IFERROR(IF(F2098="", "", INDEX(_xlws.FILTER(Hairstyles!$F:$F, ISNUMBER(SEARCH(F2098, Hairstyles!$B:$B))), 1)), "No Spell for Hairstyle"),
  _xlpm.vanillaPrefix, IF(LEFT(_xlpm.spell, 7)="Uvi_Wig", "", ";"),
  ";" &amp; IF(C2098="", B2098, C2098) &amp; IF(M2098="", "", " ("&amp;M2098&amp;")") &amp; CHAR(10) &amp;
  _xlpm.vanillaPrefix &amp; "Keyword = Uvi_Wig_Distr_KYWD|" &amp; B2098 &amp; CHAR(10) &amp;
  _xlpm.vanillaPrefix &amp; "Spell = " &amp; _xlpm.spell &amp; "|" &amp; B2098
  )
)</f>
        <v>;DLC2EncCultist06DarkElfF
;Keyword = Uvi_Wig_Distr_KYWD|DLC2EncCultist06DarkElfF
;Spell = No Spell for Hairstyle|DLC2EncCultist06DarkElfF</v>
      </c>
    </row>
    <row r="2099" ht="12.75" customHeight="1">
      <c r="A2099" s="15" t="s">
        <v>6565</v>
      </c>
      <c r="B2099" s="5" t="s">
        <v>6566</v>
      </c>
      <c r="D2099" s="5" t="s">
        <v>45</v>
      </c>
      <c r="E2099" s="5" t="s">
        <v>41</v>
      </c>
      <c r="F2099" s="5" t="s">
        <v>92</v>
      </c>
      <c r="G2099" s="14" t="str">
        <f t="array" ref="G2099">IF(B2099="", "",
  LET(_xlpm.spell, IFERROR(IF(F2099="", "", INDEX(_xlws.FILTER(Hairstyles!$F:$F, ISNUMBER(SEARCH(F2099, Hairstyles!$B:$B))), 1)), "No Spell for Hairstyle"),
  _xlpm.vanillaPrefix, IF(LEFT(_xlpm.spell, 7)="Uvi_Wig", "", ";"),
  ";" &amp; IF(C2099="", B2099, C2099) &amp; IF(M2099="", "", " ("&amp;M2099&amp;")") &amp; CHAR(10) &amp;
  _xlpm.vanillaPrefix &amp; "Keyword = Uvi_Wig_Distr_KYWD|" &amp; B2099 &amp; CHAR(10) &amp;
  _xlpm.vanillaPrefix &amp; "Spell = " &amp; _xlpm.spell &amp; "|" &amp; B2099
  )
)</f>
        <v>;DLC2EncCultist06DarkElfFSummoner
;Keyword = Uvi_Wig_Distr_KYWD|DLC2EncCultist06DarkElfFSummoner
;Spell = No Spell for Hairstyle|DLC2EncCultist06DarkElfFSummoner</v>
      </c>
    </row>
    <row r="2100" ht="12.75" customHeight="1">
      <c r="A2100" s="5" t="s">
        <v>6567</v>
      </c>
      <c r="B2100" s="5" t="s">
        <v>6568</v>
      </c>
      <c r="D2100" s="5" t="s">
        <v>45</v>
      </c>
      <c r="E2100" s="5" t="s">
        <v>233</v>
      </c>
      <c r="F2100" s="5" t="s">
        <v>2469</v>
      </c>
      <c r="G2100" s="14" t="str">
        <f t="array" ref="G2100">IF(B2100="", "",
  LET(_xlpm.spell, IFERROR(IF(F2100="", "", INDEX(_xlws.FILTER(Hairstyles!$F:$F, ISNUMBER(SEARCH(F2100, Hairstyles!$B:$B))), 1)), "No Spell for Hairstyle"),
  _xlpm.vanillaPrefix, IF(LEFT(_xlpm.spell, 7)="Uvi_Wig", "", ";"),
  ";" &amp; IF(C2100="", B2100, C2100) &amp; IF(M2100="", "", " ("&amp;M2100&amp;")") &amp; CHAR(10) &amp;
  _xlpm.vanillaPrefix &amp; "Keyword = Uvi_Wig_Distr_KYWD|" &amp; B2100 &amp; CHAR(10) &amp;
  _xlpm.vanillaPrefix &amp; "Spell = " &amp; _xlpm.spell &amp; "|" &amp; B2100
  )
)</f>
        <v>;DLC2EncCultist06DarkElfM
;Keyword = Uvi_Wig_Distr_KYWD|DLC2EncCultist06DarkElfM
;Spell = No Spell for Hairstyle|DLC2EncCultist06DarkElfM</v>
      </c>
    </row>
    <row r="2101" ht="12.75" customHeight="1">
      <c r="A2101" s="15" t="s">
        <v>6569</v>
      </c>
      <c r="B2101" s="5" t="s">
        <v>6570</v>
      </c>
      <c r="D2101" s="5" t="s">
        <v>45</v>
      </c>
      <c r="E2101" s="5" t="s">
        <v>233</v>
      </c>
      <c r="F2101" s="5" t="s">
        <v>1787</v>
      </c>
      <c r="G2101" s="14" t="str">
        <f t="array" ref="G2101">IF(B2101="", "",
  LET(_xlpm.spell, IFERROR(IF(F2101="", "", INDEX(_xlws.FILTER(Hairstyles!$F:$F, ISNUMBER(SEARCH(F2101, Hairstyles!$B:$B))), 1)), "No Spell for Hairstyle"),
  _xlpm.vanillaPrefix, IF(LEFT(_xlpm.spell, 7)="Uvi_Wig", "", ";"),
  ";" &amp; IF(C2101="", B2101, C2101) &amp; IF(M2101="", "", " ("&amp;M2101&amp;")") &amp; CHAR(10) &amp;
  _xlpm.vanillaPrefix &amp; "Keyword = Uvi_Wig_Distr_KYWD|" &amp; B2101 &amp; CHAR(10) &amp;
  _xlpm.vanillaPrefix &amp; "Spell = " &amp; _xlpm.spell &amp; "|" &amp; B2101
  )
)</f>
        <v>;DLC2EncCultist06DarkElfMSummoner
;Keyword = Uvi_Wig_Distr_KYWD|DLC2EncCultist06DarkElfMSummoner
;Spell = No Spell for Hairstyle|DLC2EncCultist06DarkElfMSummoner</v>
      </c>
    </row>
    <row r="2102" ht="12.75" customHeight="1">
      <c r="A2102" s="5" t="s">
        <v>6571</v>
      </c>
      <c r="B2102" s="5" t="s">
        <v>6572</v>
      </c>
      <c r="D2102" s="5" t="s">
        <v>38</v>
      </c>
      <c r="E2102" s="5" t="s">
        <v>233</v>
      </c>
      <c r="F2102" s="5" t="s">
        <v>475</v>
      </c>
      <c r="G2102" s="14" t="str">
        <f t="array" ref="G2102">IF(B2102="", "",
  LET(_xlpm.spell, IFERROR(IF(F2102="", "", INDEX(_xlws.FILTER(Hairstyles!$F:$F, ISNUMBER(SEARCH(F2102, Hairstyles!$B:$B))), 1)), "No Spell for Hairstyle"),
  _xlpm.vanillaPrefix, IF(LEFT(_xlpm.spell, 7)="Uvi_Wig", "", ";"),
  ";" &amp; IF(C2102="", B2102, C2102) &amp; IF(M2102="", "", " ("&amp;M2102&amp;")") &amp; CHAR(10) &amp;
  _xlpm.vanillaPrefix &amp; "Keyword = Uvi_Wig_Distr_KYWD|" &amp; B2102 &amp; CHAR(10) &amp;
  _xlpm.vanillaPrefix &amp; "Spell = " &amp; _xlpm.spell &amp; "|" &amp; B2102
  )
)</f>
        <v>;DLC2EncCultist06NordM
;Keyword = Uvi_Wig_Distr_KYWD|DLC2EncCultist06NordM
;Spell = No Spell for Hairstyle|DLC2EncCultist06NordM</v>
      </c>
    </row>
    <row r="2103" ht="12.75" customHeight="1">
      <c r="A2103" s="15" t="s">
        <v>6573</v>
      </c>
      <c r="B2103" s="5" t="s">
        <v>6574</v>
      </c>
      <c r="D2103" s="5" t="s">
        <v>38</v>
      </c>
      <c r="E2103" s="5" t="s">
        <v>233</v>
      </c>
      <c r="F2103" s="5" t="s">
        <v>40</v>
      </c>
      <c r="G2103" s="14" t="str">
        <f t="array" ref="G2103">IF(B2103="", "",
  LET(_xlpm.spell, IFERROR(IF(F2103="", "", INDEX(_xlws.FILTER(Hairstyles!$F:$F, ISNUMBER(SEARCH(F2103, Hairstyles!$B:$B))), 1)), "No Spell for Hairstyle"),
  _xlpm.vanillaPrefix, IF(LEFT(_xlpm.spell, 7)="Uvi_Wig", "", ";"),
  ";" &amp; IF(C2103="", B2103, C2103) &amp; IF(M2103="", "", " ("&amp;M2103&amp;")") &amp; CHAR(10) &amp;
  _xlpm.vanillaPrefix &amp; "Keyword = Uvi_Wig_Distr_KYWD|" &amp; B2103 &amp; CHAR(10) &amp;
  _xlpm.vanillaPrefix &amp; "Spell = " &amp; _xlpm.spell &amp; "|" &amp; B2103
  )
)</f>
        <v>;DLC2EncCultist06NordMSummoner
;Keyword = Uvi_Wig_Distr_KYWD|DLC2EncCultist06NordMSummoner
;Spell = No Spell for Hairstyle|DLC2EncCultist06NordMSummoner</v>
      </c>
    </row>
    <row r="2104" ht="12.75" customHeight="1">
      <c r="A2104" s="5" t="s">
        <v>6575</v>
      </c>
      <c r="B2104" s="5" t="s">
        <v>6576</v>
      </c>
      <c r="D2104" s="5" t="s">
        <v>45</v>
      </c>
      <c r="E2104" s="5" t="s">
        <v>41</v>
      </c>
      <c r="F2104" s="5" t="s">
        <v>48</v>
      </c>
      <c r="G2104" s="14" t="str">
        <f t="array" ref="G2104">IF(B2104="", "",
  LET(_xlpm.spell, IFERROR(IF(F2104="", "", INDEX(_xlws.FILTER(Hairstyles!$F:$F, ISNUMBER(SEARCH(F2104, Hairstyles!$B:$B))), 1)), "No Spell for Hairstyle"),
  _xlpm.vanillaPrefix, IF(LEFT(_xlpm.spell, 7)="Uvi_Wig", "", ";"),
  ";" &amp; IF(C2104="", B2104, C2104) &amp; IF(M2104="", "", " ("&amp;M2104&amp;")") &amp; CHAR(10) &amp;
  _xlpm.vanillaPrefix &amp; "Keyword = Uvi_Wig_Distr_KYWD|" &amp; B2104 &amp; CHAR(10) &amp;
  _xlpm.vanillaPrefix &amp; "Spell = " &amp; _xlpm.spell &amp; "|" &amp; B2104
  )
)</f>
        <v>;DLC2EncCultist07DarkElfF
;Keyword = Uvi_Wig_Distr_KYWD|DLC2EncCultist07DarkElfF
;Spell = No Spell for Hairstyle|DLC2EncCultist07DarkElfF</v>
      </c>
    </row>
    <row r="2105" ht="12.75" customHeight="1">
      <c r="A2105" s="15" t="s">
        <v>6577</v>
      </c>
      <c r="B2105" s="5" t="s">
        <v>6578</v>
      </c>
      <c r="D2105" s="5" t="s">
        <v>45</v>
      </c>
      <c r="E2105" s="5" t="s">
        <v>41</v>
      </c>
      <c r="F2105" s="5" t="s">
        <v>48</v>
      </c>
      <c r="G2105" s="14" t="str">
        <f t="array" ref="G2105">IF(B2105="", "",
  LET(_xlpm.spell, IFERROR(IF(F2105="", "", INDEX(_xlws.FILTER(Hairstyles!$F:$F, ISNUMBER(SEARCH(F2105, Hairstyles!$B:$B))), 1)), "No Spell for Hairstyle"),
  _xlpm.vanillaPrefix, IF(LEFT(_xlpm.spell, 7)="Uvi_Wig", "", ";"),
  ";" &amp; IF(C2105="", B2105, C2105) &amp; IF(M2105="", "", " ("&amp;M2105&amp;")") &amp; CHAR(10) &amp;
  _xlpm.vanillaPrefix &amp; "Keyword = Uvi_Wig_Distr_KYWD|" &amp; B2105 &amp; CHAR(10) &amp;
  _xlpm.vanillaPrefix &amp; "Spell = " &amp; _xlpm.spell &amp; "|" &amp; B2105
  )
)</f>
        <v>;DLC2EncCultist07DarkElfFSummoner
;Keyword = Uvi_Wig_Distr_KYWD|DLC2EncCultist07DarkElfFSummoner
;Spell = No Spell for Hairstyle|DLC2EncCultist07DarkElfFSummoner</v>
      </c>
    </row>
    <row r="2106" ht="12.75" customHeight="1">
      <c r="A2106" s="5" t="s">
        <v>6579</v>
      </c>
      <c r="B2106" s="5" t="s">
        <v>6580</v>
      </c>
      <c r="D2106" s="5" t="s">
        <v>45</v>
      </c>
      <c r="E2106" s="5" t="s">
        <v>233</v>
      </c>
      <c r="F2106" s="5" t="s">
        <v>91</v>
      </c>
      <c r="G2106" s="14" t="str">
        <f t="array" ref="G2106">IF(B2106="", "",
  LET(_xlpm.spell, IFERROR(IF(F2106="", "", INDEX(_xlws.FILTER(Hairstyles!$F:$F, ISNUMBER(SEARCH(F2106, Hairstyles!$B:$B))), 1)), "No Spell for Hairstyle"),
  _xlpm.vanillaPrefix, IF(LEFT(_xlpm.spell, 7)="Uvi_Wig", "", ";"),
  ";" &amp; IF(C2106="", B2106, C2106) &amp; IF(M2106="", "", " ("&amp;M2106&amp;")") &amp; CHAR(10) &amp;
  _xlpm.vanillaPrefix &amp; "Keyword = Uvi_Wig_Distr_KYWD|" &amp; B2106 &amp; CHAR(10) &amp;
  _xlpm.vanillaPrefix &amp; "Spell = " &amp; _xlpm.spell &amp; "|" &amp; B2106
  )
)</f>
        <v>;DLC2EncCultist07DarkElfM
;Keyword = Uvi_Wig_Distr_KYWD|DLC2EncCultist07DarkElfM
;Spell = No Spell for Hairstyle|DLC2EncCultist07DarkElfM</v>
      </c>
    </row>
    <row r="2107" ht="12.75" customHeight="1">
      <c r="A2107" s="15" t="s">
        <v>6581</v>
      </c>
      <c r="B2107" s="5" t="s">
        <v>6582</v>
      </c>
      <c r="D2107" s="5" t="s">
        <v>45</v>
      </c>
      <c r="E2107" s="5" t="s">
        <v>233</v>
      </c>
      <c r="F2107" s="5" t="s">
        <v>1541</v>
      </c>
      <c r="G2107" s="14" t="str">
        <f t="array" ref="G2107">IF(B2107="", "",
  LET(_xlpm.spell, IFERROR(IF(F2107="", "", INDEX(_xlws.FILTER(Hairstyles!$F:$F, ISNUMBER(SEARCH(F2107, Hairstyles!$B:$B))), 1)), "No Spell for Hairstyle"),
  _xlpm.vanillaPrefix, IF(LEFT(_xlpm.spell, 7)="Uvi_Wig", "", ";"),
  ";" &amp; IF(C2107="", B2107, C2107) &amp; IF(M2107="", "", " ("&amp;M2107&amp;")") &amp; CHAR(10) &amp;
  _xlpm.vanillaPrefix &amp; "Keyword = Uvi_Wig_Distr_KYWD|" &amp; B2107 &amp; CHAR(10) &amp;
  _xlpm.vanillaPrefix &amp; "Spell = " &amp; _xlpm.spell &amp; "|" &amp; B2107
  )
)</f>
        <v>;DLC2EncCultist07DarkElfMSummoner
;Keyword = Uvi_Wig_Distr_KYWD|DLC2EncCultist07DarkElfMSummoner
;Spell = No Spell for Hairstyle|DLC2EncCultist07DarkElfMSummoner</v>
      </c>
    </row>
    <row r="2108" ht="12.75" customHeight="1">
      <c r="A2108" s="5" t="s">
        <v>6583</v>
      </c>
      <c r="B2108" s="5" t="s">
        <v>6584</v>
      </c>
      <c r="D2108" s="5" t="s">
        <v>38</v>
      </c>
      <c r="E2108" s="5" t="s">
        <v>233</v>
      </c>
      <c r="F2108" s="5" t="s">
        <v>1700</v>
      </c>
      <c r="G2108" s="14" t="str">
        <f t="array" ref="G2108">IF(B2108="", "",
  LET(_xlpm.spell, IFERROR(IF(F2108="", "", INDEX(_xlws.FILTER(Hairstyles!$F:$F, ISNUMBER(SEARCH(F2108, Hairstyles!$B:$B))), 1)), "No Spell for Hairstyle"),
  _xlpm.vanillaPrefix, IF(LEFT(_xlpm.spell, 7)="Uvi_Wig", "", ";"),
  ";" &amp; IF(C2108="", B2108, C2108) &amp; IF(M2108="", "", " ("&amp;M2108&amp;")") &amp; CHAR(10) &amp;
  _xlpm.vanillaPrefix &amp; "Keyword = Uvi_Wig_Distr_KYWD|" &amp; B2108 &amp; CHAR(10) &amp;
  _xlpm.vanillaPrefix &amp; "Spell = " &amp; _xlpm.spell &amp; "|" &amp; B2108
  )
)</f>
        <v>;DLC2EncCultist07NordM
;Keyword = Uvi_Wig_Distr_KYWD|DLC2EncCultist07NordM
;Spell = No Spell for Hairstyle|DLC2EncCultist07NordM</v>
      </c>
    </row>
    <row r="2109" ht="12.75" customHeight="1">
      <c r="A2109" s="15" t="s">
        <v>6585</v>
      </c>
      <c r="B2109" s="5" t="s">
        <v>6586</v>
      </c>
      <c r="D2109" s="5" t="s">
        <v>38</v>
      </c>
      <c r="E2109" s="5" t="s">
        <v>233</v>
      </c>
      <c r="F2109" s="5" t="s">
        <v>40</v>
      </c>
      <c r="G2109" s="14" t="str">
        <f t="array" ref="G2109">IF(B2109="", "",
  LET(_xlpm.spell, IFERROR(IF(F2109="", "", INDEX(_xlws.FILTER(Hairstyles!$F:$F, ISNUMBER(SEARCH(F2109, Hairstyles!$B:$B))), 1)), "No Spell for Hairstyle"),
  _xlpm.vanillaPrefix, IF(LEFT(_xlpm.spell, 7)="Uvi_Wig", "", ";"),
  ";" &amp; IF(C2109="", B2109, C2109) &amp; IF(M2109="", "", " ("&amp;M2109&amp;")") &amp; CHAR(10) &amp;
  _xlpm.vanillaPrefix &amp; "Keyword = Uvi_Wig_Distr_KYWD|" &amp; B2109 &amp; CHAR(10) &amp;
  _xlpm.vanillaPrefix &amp; "Spell = " &amp; _xlpm.spell &amp; "|" &amp; B2109
  )
)</f>
        <v>;DLC2EncCultist07NordMSummoner
;Keyword = Uvi_Wig_Distr_KYWD|DLC2EncCultist07NordMSummoner
;Spell = No Spell for Hairstyle|DLC2EncCultist07NordMSummoner</v>
      </c>
    </row>
    <row r="2110" ht="12.75" customHeight="1">
      <c r="A2110" s="5" t="s">
        <v>6587</v>
      </c>
      <c r="B2110" s="5" t="s">
        <v>6588</v>
      </c>
      <c r="D2110" s="5" t="s">
        <v>38</v>
      </c>
      <c r="E2110" s="5" t="s">
        <v>41</v>
      </c>
      <c r="F2110" s="5" t="s">
        <v>905</v>
      </c>
      <c r="G2110" s="14" t="str">
        <f t="array" ref="G2110">IF(B2110="", "",
  LET(_xlpm.spell, IFERROR(IF(F2110="", "", INDEX(_xlws.FILTER(Hairstyles!$F:$F, ISNUMBER(SEARCH(F2110, Hairstyles!$B:$B))), 1)), "No Spell for Hairstyle"),
  _xlpm.vanillaPrefix, IF(LEFT(_xlpm.spell, 7)="Uvi_Wig", "", ";"),
  ";" &amp; IF(C2110="", B2110, C2110) &amp; IF(M2110="", "", " ("&amp;M2110&amp;")") &amp; CHAR(10) &amp;
  _xlpm.vanillaPrefix &amp; "Keyword = Uvi_Wig_Distr_KYWD|" &amp; B2110 &amp; CHAR(10) &amp;
  _xlpm.vanillaPrefix &amp; "Spell = " &amp; _xlpm.spell &amp; "|" &amp; B2110
  )
)</f>
        <v>;DLC2EncHunterNordF1
;Keyword = Uvi_Wig_Distr_KYWD|DLC2EncHunterNordF1
;Spell = No Spell for Hairstyle|DLC2EncHunterNordF1</v>
      </c>
    </row>
    <row r="2111" ht="12.75" customHeight="1">
      <c r="A2111" s="5" t="s">
        <v>6589</v>
      </c>
      <c r="B2111" s="5" t="s">
        <v>6590</v>
      </c>
      <c r="D2111" s="5" t="s">
        <v>38</v>
      </c>
      <c r="E2111" s="5" t="s">
        <v>41</v>
      </c>
      <c r="F2111" s="5" t="s">
        <v>862</v>
      </c>
      <c r="G2111" s="14" t="str">
        <f t="array" ref="G2111">IF(B2111="", "",
  LET(_xlpm.spell, IFERROR(IF(F2111="", "", INDEX(_xlws.FILTER(Hairstyles!$F:$F, ISNUMBER(SEARCH(F2111, Hairstyles!$B:$B))), 1)), "No Spell for Hairstyle"),
  _xlpm.vanillaPrefix, IF(LEFT(_xlpm.spell, 7)="Uvi_Wig", "", ";"),
  ";" &amp; IF(C2111="", B2111, C2111) &amp; IF(M2111="", "", " ("&amp;M2111&amp;")") &amp; CHAR(10) &amp;
  _xlpm.vanillaPrefix &amp; "Keyword = Uvi_Wig_Distr_KYWD|" &amp; B2111 &amp; CHAR(10) &amp;
  _xlpm.vanillaPrefix &amp; "Spell = " &amp; _xlpm.spell &amp; "|" &amp; B2111
  )
)</f>
        <v>;DLC2EncHunterNordF2
;Keyword = Uvi_Wig_Distr_KYWD|DLC2EncHunterNordF2
;Spell = No Spell for Hairstyle|DLC2EncHunterNordF2</v>
      </c>
    </row>
    <row r="2112" ht="12.75" customHeight="1">
      <c r="A2112" s="5" t="s">
        <v>6591</v>
      </c>
      <c r="B2112" s="5" t="s">
        <v>6592</v>
      </c>
      <c r="D2112" s="5" t="s">
        <v>38</v>
      </c>
      <c r="E2112" s="5" t="s">
        <v>233</v>
      </c>
      <c r="F2112" s="5" t="s">
        <v>1566</v>
      </c>
      <c r="G2112" s="14" t="str">
        <f t="array" ref="G2112">IF(B2112="", "",
  LET(_xlpm.spell, IFERROR(IF(F2112="", "", INDEX(_xlws.FILTER(Hairstyles!$F:$F, ISNUMBER(SEARCH(F2112, Hairstyles!$B:$B))), 1)), "No Spell for Hairstyle"),
  _xlpm.vanillaPrefix, IF(LEFT(_xlpm.spell, 7)="Uvi_Wig", "", ";"),
  ";" &amp; IF(C2112="", B2112, C2112) &amp; IF(M2112="", "", " ("&amp;M2112&amp;")") &amp; CHAR(10) &amp;
  _xlpm.vanillaPrefix &amp; "Keyword = Uvi_Wig_Distr_KYWD|" &amp; B2112 &amp; CHAR(10) &amp;
  _xlpm.vanillaPrefix &amp; "Spell = " &amp; _xlpm.spell &amp; "|" &amp; B2112
  )
)</f>
        <v>;DLC2EncHunterNordM1
;Keyword = Uvi_Wig_Distr_KYWD|DLC2EncHunterNordM1
;Spell = No Spell for Hairstyle|DLC2EncHunterNordM1</v>
      </c>
    </row>
    <row r="2113" ht="12.75" customHeight="1">
      <c r="A2113" s="5" t="s">
        <v>6593</v>
      </c>
      <c r="B2113" s="5" t="s">
        <v>6594</v>
      </c>
      <c r="D2113" s="5" t="s">
        <v>38</v>
      </c>
      <c r="E2113" s="5" t="s">
        <v>233</v>
      </c>
      <c r="F2113" s="5" t="s">
        <v>1700</v>
      </c>
      <c r="G2113" s="14" t="str">
        <f t="array" ref="G2113">IF(B2113="", "",
  LET(_xlpm.spell, IFERROR(IF(F2113="", "", INDEX(_xlws.FILTER(Hairstyles!$F:$F, ISNUMBER(SEARCH(F2113, Hairstyles!$B:$B))), 1)), "No Spell for Hairstyle"),
  _xlpm.vanillaPrefix, IF(LEFT(_xlpm.spell, 7)="Uvi_Wig", "", ";"),
  ";" &amp; IF(C2113="", B2113, C2113) &amp; IF(M2113="", "", " ("&amp;M2113&amp;")") &amp; CHAR(10) &amp;
  _xlpm.vanillaPrefix &amp; "Keyword = Uvi_Wig_Distr_KYWD|" &amp; B2113 &amp; CHAR(10) &amp;
  _xlpm.vanillaPrefix &amp; "Spell = " &amp; _xlpm.spell &amp; "|" &amp; B2113
  )
)</f>
        <v>;DLC2EncHunterNordM2
;Keyword = Uvi_Wig_Distr_KYWD|DLC2EncHunterNordM2
;Spell = No Spell for Hairstyle|DLC2EncHunterNordM2</v>
      </c>
    </row>
    <row r="2114" ht="12.75" customHeight="1">
      <c r="A2114" s="5" t="s">
        <v>6595</v>
      </c>
      <c r="B2114" s="5" t="s">
        <v>6596</v>
      </c>
      <c r="D2114" s="5" t="s">
        <v>38</v>
      </c>
      <c r="E2114" s="5" t="s">
        <v>233</v>
      </c>
      <c r="F2114" s="5" t="s">
        <v>1894</v>
      </c>
      <c r="G2114" s="14" t="str">
        <f t="array" ref="G2114">IF(B2114="", "",
  LET(_xlpm.spell, IFERROR(IF(F2114="", "", INDEX(_xlws.FILTER(Hairstyles!$F:$F, ISNUMBER(SEARCH(F2114, Hairstyles!$B:$B))), 1)), "No Spell for Hairstyle"),
  _xlpm.vanillaPrefix, IF(LEFT(_xlpm.spell, 7)="Uvi_Wig", "", ";"),
  ";" &amp; IF(C2114="", B2114, C2114) &amp; IF(M2114="", "", " ("&amp;M2114&amp;")") &amp; CHAR(10) &amp;
  _xlpm.vanillaPrefix &amp; "Keyword = Uvi_Wig_Distr_KYWD|" &amp; B2114 &amp; CHAR(10) &amp;
  _xlpm.vanillaPrefix &amp; "Spell = " &amp; _xlpm.spell &amp; "|" &amp; B2114
  )
)</f>
        <v>;DLC2EncHunterNordM3
;Keyword = Uvi_Wig_Distr_KYWD|DLC2EncHunterNordM3
;Spell = No Spell for Hairstyle|DLC2EncHunterNordM3</v>
      </c>
    </row>
    <row r="2115" ht="12.75" customHeight="1">
      <c r="A2115" s="5" t="s">
        <v>6597</v>
      </c>
      <c r="B2115" s="5" t="s">
        <v>6598</v>
      </c>
      <c r="D2115" s="5" t="s">
        <v>38</v>
      </c>
      <c r="E2115" s="5" t="s">
        <v>233</v>
      </c>
      <c r="F2115" s="5" t="s">
        <v>1088</v>
      </c>
      <c r="G2115" s="14" t="str">
        <f t="array" ref="G2115">IF(B2115="", "",
  LET(_xlpm.spell, IFERROR(IF(F2115="", "", INDEX(_xlws.FILTER(Hairstyles!$F:$F, ISNUMBER(SEARCH(F2115, Hairstyles!$B:$B))), 1)), "No Spell for Hairstyle"),
  _xlpm.vanillaPrefix, IF(LEFT(_xlpm.spell, 7)="Uvi_Wig", "", ";"),
  ";" &amp; IF(C2115="", B2115, C2115) &amp; IF(M2115="", "", " ("&amp;M2115&amp;")") &amp; CHAR(10) &amp;
  _xlpm.vanillaPrefix &amp; "Keyword = Uvi_Wig_Distr_KYWD|" &amp; B2115 &amp; CHAR(10) &amp;
  _xlpm.vanillaPrefix &amp; "Spell = " &amp; _xlpm.spell &amp; "|" &amp; B2115
  )
)</f>
        <v>;DLC2EncHunterNordM4
;Keyword = Uvi_Wig_Distr_KYWD|DLC2EncHunterNordM4
;Spell = No Spell for Hairstyle|DLC2EncHunterNordM4</v>
      </c>
    </row>
    <row r="2116" ht="12.75" customHeight="1">
      <c r="A2116" s="5" t="s">
        <v>6599</v>
      </c>
      <c r="B2116" s="5" t="s">
        <v>6600</v>
      </c>
      <c r="D2116" s="5" t="s">
        <v>45</v>
      </c>
      <c r="E2116" s="5" t="s">
        <v>233</v>
      </c>
      <c r="F2116" s="5" t="s">
        <v>1723</v>
      </c>
      <c r="G2116" s="14" t="str">
        <f t="array" ref="G2116">IF(B2116="", "",
  LET(_xlpm.spell, IFERROR(IF(F2116="", "", INDEX(_xlws.FILTER(Hairstyles!$F:$F, ISNUMBER(SEARCH(F2116, Hairstyles!$B:$B))), 1)), "No Spell for Hairstyle"),
  _xlpm.vanillaPrefix, IF(LEFT(_xlpm.spell, 7)="Uvi_Wig", "", ";"),
  ";" &amp; IF(C2116="", B2116, C2116) &amp; IF(M2116="", "", " ("&amp;M2116&amp;")") &amp; CHAR(10) &amp;
  _xlpm.vanillaPrefix &amp; "Keyword = Uvi_Wig_Distr_KYWD|" &amp; B2116 &amp; CHAR(10) &amp;
  _xlpm.vanillaPrefix &amp; "Spell = " &amp; _xlpm.spell &amp; "|" &amp; B2116
  )
)</f>
        <v>;DLC2KagrumezBanditBoss
;Keyword = Uvi_Wig_Distr_KYWD|DLC2KagrumezBanditBoss
;Spell = No Spell for Hairstyle|DLC2KagrumezBanditBoss</v>
      </c>
    </row>
    <row r="2117" ht="12.75" customHeight="1">
      <c r="A2117" s="5" t="s">
        <v>6601</v>
      </c>
      <c r="B2117" s="5" t="s">
        <v>6602</v>
      </c>
      <c r="D2117" s="5" t="s">
        <v>45</v>
      </c>
      <c r="E2117" s="5" t="s">
        <v>41</v>
      </c>
      <c r="F2117" s="5" t="s">
        <v>2380</v>
      </c>
      <c r="G2117" s="14" t="str">
        <f t="array" ref="G2117">IF(B2117="", "",
  LET(_xlpm.spell, IFERROR(IF(F2117="", "", INDEX(_xlws.FILTER(Hairstyles!$F:$F, ISNUMBER(SEARCH(F2117, Hairstyles!$B:$B))), 1)), "No Spell for Hairstyle"),
  _xlpm.vanillaPrefix, IF(LEFT(_xlpm.spell, 7)="Uvi_Wig", "", ";"),
  ";" &amp; IF(C2117="", B2117, C2117) &amp; IF(M2117="", "", " ("&amp;M2117&amp;")") &amp; CHAR(10) &amp;
  _xlpm.vanillaPrefix &amp; "Keyword = Uvi_Wig_Distr_KYWD|" &amp; B2117 &amp; CHAR(10) &amp;
  _xlpm.vanillaPrefix &amp; "Spell = " &amp; _xlpm.spell &amp; "|" &amp; B2117
  )
)</f>
        <v>;DLC2KagrumezLvlBanditWizard_FemaleDarkElf
;Keyword = Uvi_Wig_Distr_KYWD|DLC2KagrumezLvlBanditWizard_FemaleDarkElf
;Spell = No Spell for Hairstyle|DLC2KagrumezLvlBanditWizard_FemaleDarkElf</v>
      </c>
    </row>
    <row r="2118" ht="12.75" customHeight="1">
      <c r="A2118" s="15" t="s">
        <v>6603</v>
      </c>
      <c r="B2118" s="5" t="s">
        <v>6604</v>
      </c>
      <c r="D2118" s="5" t="s">
        <v>38</v>
      </c>
      <c r="E2118" s="5" t="s">
        <v>233</v>
      </c>
      <c r="F2118" s="5" t="s">
        <v>68</v>
      </c>
      <c r="G2118" s="14" t="str">
        <f t="array" ref="G2118">IF(B2118="", "",
  LET(_xlpm.spell, IFERROR(IF(F2118="", "", INDEX(_xlws.FILTER(Hairstyles!$F:$F, ISNUMBER(SEARCH(F2118, Hairstyles!$B:$B))), 1)), "No Spell for Hairstyle"),
  _xlpm.vanillaPrefix, IF(LEFT(_xlpm.spell, 7)="Uvi_Wig", "", ";"),
  ";" &amp; IF(C2118="", B2118, C2118) &amp; IF(M2118="", "", " ("&amp;M2118&amp;")") &amp; CHAR(10) &amp;
  _xlpm.vanillaPrefix &amp; "Keyword = Uvi_Wig_Distr_KYWD|" &amp; B2118 &amp; CHAR(10) &amp;
  _xlpm.vanillaPrefix &amp; "Spell = " &amp; _xlpm.spell &amp; "|" &amp; B2118
  )
)</f>
        <v>;DLC2MiraakMQ02
;Keyword = Uvi_Wig_Distr_KYWD|DLC2MiraakMQ02
;Spell = No Spell for Hairstyle|DLC2MiraakMQ02</v>
      </c>
    </row>
    <row r="2119" ht="12.75" customHeight="1">
      <c r="A2119" s="5" t="s">
        <v>6605</v>
      </c>
      <c r="B2119" s="5" t="s">
        <v>6606</v>
      </c>
      <c r="D2119" s="5" t="s">
        <v>38</v>
      </c>
      <c r="E2119" s="5" t="s">
        <v>233</v>
      </c>
      <c r="F2119" s="5" t="s">
        <v>68</v>
      </c>
      <c r="G2119" s="14" t="str">
        <f t="array" ref="G2119">IF(B2119="", "",
  LET(_xlpm.spell, IFERROR(IF(F2119="", "", INDEX(_xlws.FILTER(Hairstyles!$F:$F, ISNUMBER(SEARCH(F2119, Hairstyles!$B:$B))), 1)), "No Spell for Hairstyle"),
  _xlpm.vanillaPrefix, IF(LEFT(_xlpm.spell, 7)="Uvi_Wig", "", ";"),
  ";" &amp; IF(C2119="", B2119, C2119) &amp; IF(M2119="", "", " ("&amp;M2119&amp;")") &amp; CHAR(10) &amp;
  _xlpm.vanillaPrefix &amp; "Keyword = Uvi_Wig_Distr_KYWD|" &amp; B2119 &amp; CHAR(10) &amp;
  _xlpm.vanillaPrefix &amp; "Spell = " &amp; _xlpm.spell &amp; "|" &amp; B2119
  )
)</f>
        <v>;DLC2MiraakMQ04
;Keyword = Uvi_Wig_Distr_KYWD|DLC2MiraakMQ04
;Spell = No Spell for Hairstyle|DLC2MiraakMQ04</v>
      </c>
    </row>
    <row r="2120" ht="12.75" customHeight="1">
      <c r="A2120" s="5" t="s">
        <v>6607</v>
      </c>
      <c r="B2120" s="5" t="s">
        <v>6608</v>
      </c>
      <c r="D2120" s="5" t="s">
        <v>38</v>
      </c>
      <c r="E2120" s="5" t="s">
        <v>233</v>
      </c>
      <c r="F2120" s="5" t="s">
        <v>68</v>
      </c>
      <c r="G2120" s="14" t="str">
        <f t="array" ref="G2120">IF(B2120="", "",
  LET(_xlpm.spell, IFERROR(IF(F2120="", "", INDEX(_xlws.FILTER(Hairstyles!$F:$F, ISNUMBER(SEARCH(F2120, Hairstyles!$B:$B))), 1)), "No Spell for Hairstyle"),
  _xlpm.vanillaPrefix, IF(LEFT(_xlpm.spell, 7)="Uvi_Wig", "", ";"),
  ";" &amp; IF(C2120="", B2120, C2120) &amp; IF(M2120="", "", " ("&amp;M2120&amp;")") &amp; CHAR(10) &amp;
  _xlpm.vanillaPrefix &amp; "Keyword = Uvi_Wig_Distr_KYWD|" &amp; B2120 &amp; CHAR(10) &amp;
  _xlpm.vanillaPrefix &amp; "Spell = " &amp; _xlpm.spell &amp; "|" &amp; B2120
  )
)</f>
        <v>;DLC2MiraakSoulSteal
;Keyword = Uvi_Wig_Distr_KYWD|DLC2MiraakSoulSteal
;Spell = No Spell for Hairstyle|DLC2MiraakSoulSteal</v>
      </c>
    </row>
    <row r="2121" ht="12.75" customHeight="1">
      <c r="A2121" s="5" t="s">
        <v>6609</v>
      </c>
      <c r="B2121" s="5" t="s">
        <v>6610</v>
      </c>
      <c r="D2121" s="5" t="s">
        <v>38</v>
      </c>
      <c r="E2121" s="5" t="s">
        <v>233</v>
      </c>
      <c r="F2121" s="5" t="s">
        <v>68</v>
      </c>
      <c r="G2121" s="14" t="str">
        <f t="array" ref="G2121">IF(B2121="", "",
  LET(_xlpm.spell, IFERROR(IF(F2121="", "", INDEX(_xlws.FILTER(Hairstyles!$F:$F, ISNUMBER(SEARCH(F2121, Hairstyles!$B:$B))), 1)), "No Spell for Hairstyle"),
  _xlpm.vanillaPrefix, IF(LEFT(_xlpm.spell, 7)="Uvi_Wig", "", ";"),
  ";" &amp; IF(C2121="", B2121, C2121) &amp; IF(M2121="", "", " ("&amp;M2121&amp;")") &amp; CHAR(10) &amp;
  _xlpm.vanillaPrefix &amp; "Keyword = Uvi_Wig_Distr_KYWD|" &amp; B2121 &amp; CHAR(10) &amp;
  _xlpm.vanillaPrefix &amp; "Spell = " &amp; _xlpm.spell &amp; "|" &amp; B2121
  )
)</f>
        <v>;DLC2MiraakTest
;Keyword = Uvi_Wig_Distr_KYWD|DLC2MiraakTest
;Spell = No Spell for Hairstyle|DLC2MiraakTest</v>
      </c>
    </row>
    <row r="2122" ht="12.75" customHeight="1">
      <c r="A2122" s="5" t="s">
        <v>6611</v>
      </c>
      <c r="B2122" s="5" t="s">
        <v>6612</v>
      </c>
      <c r="D2122" s="5" t="s">
        <v>16</v>
      </c>
      <c r="E2122" s="5" t="s">
        <v>233</v>
      </c>
      <c r="F2122" s="5" t="s">
        <v>521</v>
      </c>
      <c r="G2122" s="14" t="str">
        <f t="array" ref="G2122">IF(B2122="", "",
  LET(_xlpm.spell, IFERROR(IF(F2122="", "", INDEX(_xlws.FILTER(Hairstyles!$F:$F, ISNUMBER(SEARCH(F2122, Hairstyles!$B:$B))), 1)), "No Spell for Hairstyle"),
  _xlpm.vanillaPrefix, IF(LEFT(_xlpm.spell, 7)="Uvi_Wig", "", ";"),
  ";" &amp; IF(C2122="", B2122, C2122) &amp; IF(M2122="", "", " ("&amp;M2122&amp;")") &amp; CHAR(10) &amp;
  _xlpm.vanillaPrefix &amp; "Keyword = Uvi_Wig_Distr_KYWD|" &amp; B2122 &amp; CHAR(10) &amp;
  _xlpm.vanillaPrefix &amp; "Spell = " &amp; _xlpm.spell &amp; "|" &amp; B2122
  )
)</f>
        <v>;DLC2NB01CorpseFall
;Keyword = Uvi_Wig_Distr_KYWD|DLC2NB01CorpseFall
;Spell = No Spell for Hairstyle|DLC2NB01CorpseFall</v>
      </c>
    </row>
    <row r="2123" ht="12.75" customHeight="1">
      <c r="A2123" s="5" t="s">
        <v>6613</v>
      </c>
      <c r="B2123" s="5" t="s">
        <v>6614</v>
      </c>
      <c r="D2123" s="5" t="s">
        <v>45</v>
      </c>
      <c r="E2123" s="5" t="s">
        <v>233</v>
      </c>
      <c r="F2123" s="5" t="s">
        <v>543</v>
      </c>
      <c r="G2123" s="14" t="str">
        <f t="array" ref="G2123">IF(B2123="", "",
  LET(_xlpm.spell, IFERROR(IF(F2123="", "", INDEX(_xlws.FILTER(Hairstyles!$F:$F, ISNUMBER(SEARCH(F2123, Hairstyles!$B:$B))), 1)), "No Spell for Hairstyle"),
  _xlpm.vanillaPrefix, IF(LEFT(_xlpm.spell, 7)="Uvi_Wig", "", ";"),
  ";" &amp; IF(C2123="", B2123, C2123) &amp; IF(M2123="", "", " ("&amp;M2123&amp;")") &amp; CHAR(10) &amp;
  _xlpm.vanillaPrefix &amp; "Keyword = Uvi_Wig_Distr_KYWD|" &amp; B2123 &amp; CHAR(10) &amp;
  _xlpm.vanillaPrefix &amp; "Spell = " &amp; _xlpm.spell &amp; "|" &amp; B2123
  )
)</f>
        <v>;DLC2PillarRRGuardA
;Keyword = Uvi_Wig_Distr_KYWD|DLC2PillarRRGuardA
;Spell = No Spell for Hairstyle|DLC2PillarRRGuardA</v>
      </c>
    </row>
    <row r="2124" ht="12.75" customHeight="1">
      <c r="A2124" s="5" t="s">
        <v>6615</v>
      </c>
      <c r="B2124" s="5" t="s">
        <v>6616</v>
      </c>
      <c r="D2124" s="5" t="s">
        <v>45</v>
      </c>
      <c r="E2124" s="5" t="s">
        <v>233</v>
      </c>
      <c r="F2124" s="5" t="s">
        <v>4186</v>
      </c>
      <c r="G2124" s="14" t="str">
        <f t="array" ref="G2124">IF(B2124="", "",
  LET(_xlpm.spell, IFERROR(IF(F2124="", "", INDEX(_xlws.FILTER(Hairstyles!$F:$F, ISNUMBER(SEARCH(F2124, Hairstyles!$B:$B))), 1)), "No Spell for Hairstyle"),
  _xlpm.vanillaPrefix, IF(LEFT(_xlpm.spell, 7)="Uvi_Wig", "", ";"),
  ";" &amp; IF(C2124="", B2124, C2124) &amp; IF(M2124="", "", " ("&amp;M2124&amp;")") &amp; CHAR(10) &amp;
  _xlpm.vanillaPrefix &amp; "Keyword = Uvi_Wig_Distr_KYWD|" &amp; B2124 &amp; CHAR(10) &amp;
  _xlpm.vanillaPrefix &amp; "Spell = " &amp; _xlpm.spell &amp; "|" &amp; B2124
  )
)</f>
        <v>;DLC2PillarRRGuardB
;Keyword = Uvi_Wig_Distr_KYWD|DLC2PillarRRGuardB
;Spell = No Spell for Hairstyle|DLC2PillarRRGuardB</v>
      </c>
    </row>
    <row r="2125" ht="12.75" customHeight="1">
      <c r="A2125" s="5" t="s">
        <v>6617</v>
      </c>
      <c r="B2125" s="5" t="s">
        <v>6618</v>
      </c>
      <c r="D2125" s="5" t="s">
        <v>45</v>
      </c>
      <c r="E2125" s="5" t="s">
        <v>233</v>
      </c>
      <c r="F2125" s="5" t="s">
        <v>2489</v>
      </c>
      <c r="G2125" s="14" t="str">
        <f t="array" ref="G2125">IF(B2125="", "",
  LET(_xlpm.spell, IFERROR(IF(F2125="", "", INDEX(_xlws.FILTER(Hairstyles!$F:$F, ISNUMBER(SEARCH(F2125, Hairstyles!$B:$B))), 1)), "No Spell for Hairstyle"),
  _xlpm.vanillaPrefix, IF(LEFT(_xlpm.spell, 7)="Uvi_Wig", "", ";"),
  ";" &amp; IF(C2125="", B2125, C2125) &amp; IF(M2125="", "", " ("&amp;M2125&amp;")") &amp; CHAR(10) &amp;
  _xlpm.vanillaPrefix &amp; "Keyword = Uvi_Wig_Distr_KYWD|" &amp; B2125 &amp; CHAR(10) &amp;
  _xlpm.vanillaPrefix &amp; "Spell = " &amp; _xlpm.spell &amp; "|" &amp; B2125
  )
)</f>
        <v>;DLC2PillarRRGuardC
;Keyword = Uvi_Wig_Distr_KYWD|DLC2PillarRRGuardC
;Spell = No Spell for Hairstyle|DLC2PillarRRGuardC</v>
      </c>
    </row>
    <row r="2126" ht="12.75" customHeight="1">
      <c r="A2126" s="5" t="s">
        <v>6619</v>
      </c>
      <c r="B2126" s="5" t="s">
        <v>6620</v>
      </c>
      <c r="D2126" s="5" t="s">
        <v>45</v>
      </c>
      <c r="E2126" s="5" t="s">
        <v>233</v>
      </c>
      <c r="F2126" s="5" t="s">
        <v>47</v>
      </c>
      <c r="G2126" s="14" t="str">
        <f t="array" ref="G2126">IF(B2126="", "",
  LET(_xlpm.spell, IFERROR(IF(F2126="", "", INDEX(_xlws.FILTER(Hairstyles!$F:$F, ISNUMBER(SEARCH(F2126, Hairstyles!$B:$B))), 1)), "No Spell for Hairstyle"),
  _xlpm.vanillaPrefix, IF(LEFT(_xlpm.spell, 7)="Uvi_Wig", "", ";"),
  ";" &amp; IF(C2126="", B2126, C2126) &amp; IF(M2126="", "", " ("&amp;M2126&amp;")") &amp; CHAR(10) &amp;
  _xlpm.vanillaPrefix &amp; "Keyword = Uvi_Wig_Distr_KYWD|" &amp; B2126 &amp; CHAR(10) &amp;
  _xlpm.vanillaPrefix &amp; "Spell = " &amp; _xlpm.spell &amp; "|" &amp; B2126
  )
)</f>
        <v>;DLC2PillarWorkerBandit01
;Keyword = Uvi_Wig_Distr_KYWD|DLC2PillarWorkerBandit01
;Spell = No Spell for Hairstyle|DLC2PillarWorkerBandit01</v>
      </c>
    </row>
    <row r="2127" ht="12.75" customHeight="1">
      <c r="A2127" s="5" t="s">
        <v>6621</v>
      </c>
      <c r="B2127" s="5" t="s">
        <v>6622</v>
      </c>
      <c r="D2127" s="5" t="s">
        <v>38</v>
      </c>
      <c r="E2127" s="5" t="s">
        <v>41</v>
      </c>
      <c r="F2127" s="5" t="s">
        <v>905</v>
      </c>
      <c r="G2127" s="14" t="str">
        <f t="array" ref="G2127">IF(B2127="", "",
  LET(_xlpm.spell, IFERROR(IF(F2127="", "", INDEX(_xlws.FILTER(Hairstyles!$F:$F, ISNUMBER(SEARCH(F2127, Hairstyles!$B:$B))), 1)), "No Spell for Hairstyle"),
  _xlpm.vanillaPrefix, IF(LEFT(_xlpm.spell, 7)="Uvi_Wig", "", ";"),
  ";" &amp; IF(C2127="", B2127, C2127) &amp; IF(M2127="", "", " ("&amp;M2127&amp;")") &amp; CHAR(10) &amp;
  _xlpm.vanillaPrefix &amp; "Keyword = Uvi_Wig_Distr_KYWD|" &amp; B2127 &amp; CHAR(10) &amp;
  _xlpm.vanillaPrefix &amp; "Spell = " &amp; _xlpm.spell &amp; "|" &amp; B2127
  )
)</f>
        <v>;DLC2PillarWorkerBandit02
;Keyword = Uvi_Wig_Distr_KYWD|DLC2PillarWorkerBandit02
;Spell = No Spell for Hairstyle|DLC2PillarWorkerBandit02</v>
      </c>
    </row>
    <row r="2128" ht="12.75" customHeight="1">
      <c r="A2128" s="5" t="s">
        <v>6623</v>
      </c>
      <c r="B2128" s="5" t="s">
        <v>6624</v>
      </c>
      <c r="D2128" s="5" t="s">
        <v>45</v>
      </c>
      <c r="E2128" s="5" t="s">
        <v>233</v>
      </c>
      <c r="F2128" s="5" t="s">
        <v>47</v>
      </c>
      <c r="G2128" s="14" t="str">
        <f t="array" ref="G2128">IF(B2128="", "",
  LET(_xlpm.spell, IFERROR(IF(F2128="", "", INDEX(_xlws.FILTER(Hairstyles!$F:$F, ISNUMBER(SEARCH(F2128, Hairstyles!$B:$B))), 1)), "No Spell for Hairstyle"),
  _xlpm.vanillaPrefix, IF(LEFT(_xlpm.spell, 7)="Uvi_Wig", "", ";"),
  ";" &amp; IF(C2128="", B2128, C2128) &amp; IF(M2128="", "", " ("&amp;M2128&amp;")") &amp; CHAR(10) &amp;
  _xlpm.vanillaPrefix &amp; "Keyword = Uvi_Wig_Distr_KYWD|" &amp; B2128 &amp; CHAR(10) &amp;
  _xlpm.vanillaPrefix &amp; "Spell = " &amp; _xlpm.spell &amp; "|" &amp; B2128
  )
)</f>
        <v>;DLC2PillarWorkerBandit03
;Keyword = Uvi_Wig_Distr_KYWD|DLC2PillarWorkerBandit03
;Spell = No Spell for Hairstyle|DLC2PillarWorkerBandit03</v>
      </c>
    </row>
    <row r="2129" ht="12.75" customHeight="1">
      <c r="A2129" s="5" t="s">
        <v>6625</v>
      </c>
      <c r="B2129" s="5" t="s">
        <v>6626</v>
      </c>
      <c r="D2129" s="5" t="s">
        <v>45</v>
      </c>
      <c r="E2129" s="5" t="s">
        <v>233</v>
      </c>
      <c r="F2129" s="5" t="s">
        <v>1787</v>
      </c>
      <c r="G2129" s="14" t="str">
        <f t="array" ref="G2129">IF(B2129="", "",
  LET(_xlpm.spell, IFERROR(IF(F2129="", "", INDEX(_xlws.FILTER(Hairstyles!$F:$F, ISNUMBER(SEARCH(F2129, Hairstyles!$B:$B))), 1)), "No Spell for Hairstyle"),
  _xlpm.vanillaPrefix, IF(LEFT(_xlpm.spell, 7)="Uvi_Wig", "", ";"),
  ";" &amp; IF(C2129="", B2129, C2129) &amp; IF(M2129="", "", " ("&amp;M2129&amp;")") &amp; CHAR(10) &amp;
  _xlpm.vanillaPrefix &amp; "Keyword = Uvi_Wig_Distr_KYWD|" &amp; B2129 &amp; CHAR(10) &amp;
  _xlpm.vanillaPrefix &amp; "Spell = " &amp; _xlpm.spell &amp; "|" &amp; B2129
  )
)</f>
        <v>;DLC2RieklingCampBanditCorpse
;Keyword = Uvi_Wig_Distr_KYWD|DLC2RieklingCampBanditCorpse
;Spell = No Spell for Hairstyle|DLC2RieklingCampBanditCorpse</v>
      </c>
    </row>
    <row r="2130" ht="12.75" customHeight="1">
      <c r="A2130" s="5" t="s">
        <v>6627</v>
      </c>
      <c r="B2130" s="5" t="s">
        <v>6628</v>
      </c>
      <c r="D2130" s="5" t="s">
        <v>45</v>
      </c>
      <c r="E2130" s="5" t="s">
        <v>233</v>
      </c>
      <c r="F2130" s="5" t="s">
        <v>47</v>
      </c>
      <c r="G2130" s="14" t="str">
        <f t="array" ref="G2130">IF(B2130="", "",
  LET(_xlpm.spell, IFERROR(IF(F2130="", "", INDEX(_xlws.FILTER(Hairstyles!$F:$F, ISNUMBER(SEARCH(F2130, Hairstyles!$B:$B))), 1)), "No Spell for Hairstyle"),
  _xlpm.vanillaPrefix, IF(LEFT(_xlpm.spell, 7)="Uvi_Wig", "", ";"),
  ";" &amp; IF(C2130="", B2130, C2130) &amp; IF(M2130="", "", " ("&amp;M2130&amp;")") &amp; CHAR(10) &amp;
  _xlpm.vanillaPrefix &amp; "Keyword = Uvi_Wig_Distr_KYWD|" &amp; B2130 &amp; CHAR(10) &amp;
  _xlpm.vanillaPrefix &amp; "Spell = " &amp; _xlpm.spell &amp; "|" &amp; B2130
  )
)</f>
        <v>;DLC2RR01DeadGuard
;Keyword = Uvi_Wig_Distr_KYWD|DLC2RR01DeadGuard
;Spell = No Spell for Hairstyle|DLC2RR01DeadGuard</v>
      </c>
    </row>
    <row r="2131" ht="12.75" customHeight="1">
      <c r="A2131" s="5" t="s">
        <v>6629</v>
      </c>
      <c r="B2131" s="5" t="s">
        <v>6630</v>
      </c>
      <c r="D2131" s="5" t="s">
        <v>45</v>
      </c>
      <c r="E2131" s="5" t="s">
        <v>233</v>
      </c>
      <c r="F2131" s="5" t="s">
        <v>47</v>
      </c>
      <c r="G2131" s="14" t="str">
        <f t="array" ref="G2131">IF(B2131="", "",
  LET(_xlpm.spell, IFERROR(IF(F2131="", "", INDEX(_xlws.FILTER(Hairstyles!$F:$F, ISNUMBER(SEARCH(F2131, Hairstyles!$B:$B))), 1)), "No Spell for Hairstyle"),
  _xlpm.vanillaPrefix, IF(LEFT(_xlpm.spell, 7)="Uvi_Wig", "", ";"),
  ";" &amp; IF(C2131="", B2131, C2131) &amp; IF(M2131="", "", " ("&amp;M2131&amp;")") &amp; CHAR(10) &amp;
  _xlpm.vanillaPrefix &amp; "Keyword = Uvi_Wig_Distr_KYWD|" &amp; B2131 &amp; CHAR(10) &amp;
  _xlpm.vanillaPrefix &amp; "Spell = " &amp; _xlpm.spell &amp; "|" &amp; B2131
  )
)</f>
        <v>;DLC2RR02DeadGuard
;Keyword = Uvi_Wig_Distr_KYWD|DLC2RR02DeadGuard
;Spell = No Spell for Hairstyle|DLC2RR02DeadGuard</v>
      </c>
    </row>
    <row r="2132" ht="12.75" customHeight="1">
      <c r="A2132" s="5" t="s">
        <v>6631</v>
      </c>
      <c r="B2132" s="5" t="s">
        <v>6632</v>
      </c>
      <c r="D2132" s="5" t="s">
        <v>38</v>
      </c>
      <c r="E2132" s="5" t="s">
        <v>233</v>
      </c>
      <c r="F2132" s="5" t="s">
        <v>209</v>
      </c>
      <c r="G2132" s="14" t="str">
        <f t="array" ref="G2132">IF(B2132="", "",
  LET(_xlpm.spell, IFERROR(IF(F2132="", "", INDEX(_xlws.FILTER(Hairstyles!$F:$F, ISNUMBER(SEARCH(F2132, Hairstyles!$B:$B))), 1)), "No Spell for Hairstyle"),
  _xlpm.vanillaPrefix, IF(LEFT(_xlpm.spell, 7)="Uvi_Wig", "", ";"),
  ";" &amp; IF(C2132="", B2132, C2132) &amp; IF(M2132="", "", " ("&amp;M2132&amp;")") &amp; CHAR(10) &amp;
  _xlpm.vanillaPrefix &amp; "Keyword = Uvi_Wig_Distr_KYWD|" &amp; B2132 &amp; CHAR(10) &amp;
  _xlpm.vanillaPrefix &amp; "Spell = " &amp; _xlpm.spell &amp; "|" &amp; B2132
  )
)</f>
        <v>;DLC2RRGjalundSaltSageSolstheim
;Keyword = Uvi_Wig_Distr_KYWD|DLC2RRGjalundSaltSageSolstheim
;Spell = No Spell for Hairstyle|DLC2RRGjalundSaltSageSolstheim</v>
      </c>
    </row>
    <row r="2133" ht="12.75" customHeight="1">
      <c r="A2133" s="5" t="s">
        <v>6633</v>
      </c>
      <c r="B2133" s="5" t="s">
        <v>6634</v>
      </c>
      <c r="D2133" s="5" t="s">
        <v>45</v>
      </c>
      <c r="E2133" s="5" t="s">
        <v>233</v>
      </c>
      <c r="F2133" s="5" t="s">
        <v>1787</v>
      </c>
      <c r="G2133" s="14" t="str">
        <f t="array" ref="G2133">IF(B2133="", "",
  LET(_xlpm.spell, IFERROR(IF(F2133="", "", INDEX(_xlws.FILTER(Hairstyles!$F:$F, ISNUMBER(SEARCH(F2133, Hairstyles!$B:$B))), 1)), "No Spell for Hairstyle"),
  _xlpm.vanillaPrefix, IF(LEFT(_xlpm.spell, 7)="Uvi_Wig", "", ";"),
  ";" &amp; IF(C2133="", B2133, C2133) &amp; IF(M2133="", "", " ("&amp;M2133&amp;")") &amp; CHAR(10) &amp;
  _xlpm.vanillaPrefix &amp; "Keyword = Uvi_Wig_Distr_KYWD|" &amp; B2133 &amp; CHAR(10) &amp;
  _xlpm.vanillaPrefix &amp; "Spell = " &amp; _xlpm.spell &amp; "|" &amp; B2133
  )
)</f>
        <v>;DLC2RRGuardBarracks
;Keyword = Uvi_Wig_Distr_KYWD|DLC2RRGuardBarracks
;Spell = No Spell for Hairstyle|DLC2RRGuardBarracks</v>
      </c>
    </row>
    <row r="2134" ht="12.75" customHeight="1">
      <c r="A2134" s="5" t="s">
        <v>6635</v>
      </c>
      <c r="B2134" s="5" t="s">
        <v>6636</v>
      </c>
      <c r="D2134" s="5" t="s">
        <v>45</v>
      </c>
      <c r="E2134" s="5" t="s">
        <v>233</v>
      </c>
      <c r="F2134" s="5" t="s">
        <v>543</v>
      </c>
      <c r="G2134" s="14" t="str">
        <f t="array" ref="G2134">IF(B2134="", "",
  LET(_xlpm.spell, IFERROR(IF(F2134="", "", INDEX(_xlws.FILTER(Hairstyles!$F:$F, ISNUMBER(SEARCH(F2134, Hairstyles!$B:$B))), 1)), "No Spell for Hairstyle"),
  _xlpm.vanillaPrefix, IF(LEFT(_xlpm.spell, 7)="Uvi_Wig", "", ";"),
  ";" &amp; IF(C2134="", B2134, C2134) &amp; IF(M2134="", "", " ("&amp;M2134&amp;")") &amp; CHAR(10) &amp;
  _xlpm.vanillaPrefix &amp; "Keyword = Uvi_Wig_Distr_KYWD|" &amp; B2134 &amp; CHAR(10) &amp;
  _xlpm.vanillaPrefix &amp; "Spell = " &amp; _xlpm.spell &amp; "|" &amp; B2134
  )
)</f>
        <v>;DLC2RRGuardGateExterior
;Keyword = Uvi_Wig_Distr_KYWD|DLC2RRGuardGateExterior
;Spell = No Spell for Hairstyle|DLC2RRGuardGateExterior</v>
      </c>
    </row>
    <row r="2135" ht="12.75" customHeight="1">
      <c r="A2135" s="5" t="s">
        <v>6637</v>
      </c>
      <c r="B2135" s="5" t="s">
        <v>6638</v>
      </c>
      <c r="D2135" s="5" t="s">
        <v>45</v>
      </c>
      <c r="E2135" s="5" t="s">
        <v>233</v>
      </c>
      <c r="F2135" s="5" t="s">
        <v>1541</v>
      </c>
      <c r="G2135" s="14" t="str">
        <f t="array" ref="G2135">IF(B2135="", "",
  LET(_xlpm.spell, IFERROR(IF(F2135="", "", INDEX(_xlws.FILTER(Hairstyles!$F:$F, ISNUMBER(SEARCH(F2135, Hairstyles!$B:$B))), 1)), "No Spell for Hairstyle"),
  _xlpm.vanillaPrefix, IF(LEFT(_xlpm.spell, 7)="Uvi_Wig", "", ";"),
  ";" &amp; IF(C2135="", B2135, C2135) &amp; IF(M2135="", "", " ("&amp;M2135&amp;")") &amp; CHAR(10) &amp;
  _xlpm.vanillaPrefix &amp; "Keyword = Uvi_Wig_Distr_KYWD|" &amp; B2135 &amp; CHAR(10) &amp;
  _xlpm.vanillaPrefix &amp; "Spell = " &amp; _xlpm.spell &amp; "|" &amp; B2135
  )
)</f>
        <v>;DLC2RRGuardJail
;Keyword = Uvi_Wig_Distr_KYWD|DLC2RRGuardJail
;Spell = No Spell for Hairstyle|DLC2RRGuardJail</v>
      </c>
    </row>
    <row r="2136" ht="12.75" customHeight="1">
      <c r="A2136" s="5" t="s">
        <v>6639</v>
      </c>
      <c r="B2136" s="5" t="s">
        <v>6640</v>
      </c>
      <c r="D2136" s="5" t="s">
        <v>45</v>
      </c>
      <c r="E2136" s="5" t="s">
        <v>233</v>
      </c>
      <c r="F2136" s="5" t="s">
        <v>1787</v>
      </c>
      <c r="G2136" s="14" t="str">
        <f t="array" ref="G2136">IF(B2136="", "",
  LET(_xlpm.spell, IFERROR(IF(F2136="", "", INDEX(_xlws.FILTER(Hairstyles!$F:$F, ISNUMBER(SEARCH(F2136, Hairstyles!$B:$B))), 1)), "No Spell for Hairstyle"),
  _xlpm.vanillaPrefix, IF(LEFT(_xlpm.spell, 7)="Uvi_Wig", "", ";"),
  ";" &amp; IF(C2136="", B2136, C2136) &amp; IF(M2136="", "", " ("&amp;M2136&amp;")") &amp; CHAR(10) &amp;
  _xlpm.vanillaPrefix &amp; "Keyword = Uvi_Wig_Distr_KYWD|" &amp; B2136 &amp; CHAR(10) &amp;
  _xlpm.vanillaPrefix &amp; "Spell = " &amp; _xlpm.spell &amp; "|" &amp; B2136
  )
)</f>
        <v>;DLC2RRGuardMarketExterior
;Keyword = Uvi_Wig_Distr_KYWD|DLC2RRGuardMarketExterior
;Spell = No Spell for Hairstyle|DLC2RRGuardMarketExterior</v>
      </c>
    </row>
    <row r="2137" ht="12.75" customHeight="1">
      <c r="A2137" s="5" t="s">
        <v>6641</v>
      </c>
      <c r="B2137" s="5" t="s">
        <v>6642</v>
      </c>
      <c r="D2137" s="5" t="s">
        <v>45</v>
      </c>
      <c r="E2137" s="5" t="s">
        <v>233</v>
      </c>
      <c r="F2137" s="5" t="s">
        <v>2489</v>
      </c>
      <c r="G2137" s="14" t="str">
        <f t="array" ref="G2137">IF(B2137="", "",
  LET(_xlpm.spell, IFERROR(IF(F2137="", "", INDEX(_xlws.FILTER(Hairstyles!$F:$F, ISNUMBER(SEARCH(F2137, Hairstyles!$B:$B))), 1)), "No Spell for Hairstyle"),
  _xlpm.vanillaPrefix, IF(LEFT(_xlpm.spell, 7)="Uvi_Wig", "", ";"),
  ";" &amp; IF(C2137="", B2137, C2137) &amp; IF(M2137="", "", " ("&amp;M2137&amp;")") &amp; CHAR(10) &amp;
  _xlpm.vanillaPrefix &amp; "Keyword = Uvi_Wig_Distr_KYWD|" &amp; B2137 &amp; CHAR(10) &amp;
  _xlpm.vanillaPrefix &amp; "Spell = " &amp; _xlpm.spell &amp; "|" &amp; B2137
  )
)</f>
        <v>;DLC2RRGuardMorvaynManorExterior
;Keyword = Uvi_Wig_Distr_KYWD|DLC2RRGuardMorvaynManorExterior
;Spell = No Spell for Hairstyle|DLC2RRGuardMorvaynManorExterior</v>
      </c>
    </row>
    <row r="2138" ht="12.75" customHeight="1">
      <c r="A2138" s="5" t="s">
        <v>6643</v>
      </c>
      <c r="B2138" s="5" t="s">
        <v>6644</v>
      </c>
      <c r="D2138" s="5" t="s">
        <v>45</v>
      </c>
      <c r="E2138" s="5" t="s">
        <v>233</v>
      </c>
      <c r="F2138" s="5" t="s">
        <v>2489</v>
      </c>
      <c r="G2138" s="14" t="str">
        <f t="array" ref="G2138">IF(B2138="", "",
  LET(_xlpm.spell, IFERROR(IF(F2138="", "", INDEX(_xlws.FILTER(Hairstyles!$F:$F, ISNUMBER(SEARCH(F2138, Hairstyles!$B:$B))), 1)), "No Spell for Hairstyle"),
  _xlpm.vanillaPrefix, IF(LEFT(_xlpm.spell, 7)="Uvi_Wig", "", ";"),
  ";" &amp; IF(C2138="", B2138, C2138) &amp; IF(M2138="", "", " ("&amp;M2138&amp;")") &amp; CHAR(10) &amp;
  _xlpm.vanillaPrefix &amp; "Keyword = Uvi_Wig_Distr_KYWD|" &amp; B2138 &amp; CHAR(10) &amp;
  _xlpm.vanillaPrefix &amp; "Spell = " &amp; _xlpm.spell &amp; "|" &amp; B2138
  )
)</f>
        <v>;DLC2RRGuardMorvaynManorInterior
;Keyword = Uvi_Wig_Distr_KYWD|DLC2RRGuardMorvaynManorInterior
;Spell = No Spell for Hairstyle|DLC2RRGuardMorvaynManorInterior</v>
      </c>
    </row>
    <row r="2139" ht="12.75" customHeight="1">
      <c r="A2139" s="5" t="s">
        <v>6645</v>
      </c>
      <c r="B2139" s="5" t="s">
        <v>6646</v>
      </c>
      <c r="D2139" s="5" t="s">
        <v>45</v>
      </c>
      <c r="E2139" s="5" t="s">
        <v>233</v>
      </c>
      <c r="F2139" s="5" t="s">
        <v>1667</v>
      </c>
      <c r="G2139" s="14" t="str">
        <f t="array" ref="G2139">IF(B2139="", "",
  LET(_xlpm.spell, IFERROR(IF(F2139="", "", INDEX(_xlws.FILTER(Hairstyles!$F:$F, ISNUMBER(SEARCH(F2139, Hairstyles!$B:$B))), 1)), "No Spell for Hairstyle"),
  _xlpm.vanillaPrefix, IF(LEFT(_xlpm.spell, 7)="Uvi_Wig", "", ";"),
  ";" &amp; IF(C2139="", B2139, C2139) &amp; IF(M2139="", "", " ("&amp;M2139&amp;")") &amp; CHAR(10) &amp;
  _xlpm.vanillaPrefix &amp; "Keyword = Uvi_Wig_Distr_KYWD|" &amp; B2139 &amp; CHAR(10) &amp;
  _xlpm.vanillaPrefix &amp; "Spell = " &amp; _xlpm.spell &amp; "|" &amp; B2139
  )
)</f>
        <v>;DLC2RRGuardPatrol
;Keyword = Uvi_Wig_Distr_KYWD|DLC2RRGuardPatrol
;Spell = No Spell for Hairstyle|DLC2RRGuardPatrol</v>
      </c>
    </row>
    <row r="2140" ht="12.75" customHeight="1">
      <c r="A2140" s="5" t="s">
        <v>6647</v>
      </c>
      <c r="B2140" s="5" t="s">
        <v>6648</v>
      </c>
      <c r="D2140" s="5" t="s">
        <v>45</v>
      </c>
      <c r="E2140" s="5" t="s">
        <v>233</v>
      </c>
      <c r="F2140" s="5" t="s">
        <v>1787</v>
      </c>
      <c r="G2140" s="14" t="str">
        <f t="array" ref="G2140">IF(B2140="", "",
  LET(_xlpm.spell, IFERROR(IF(F2140="", "", INDEX(_xlws.FILTER(Hairstyles!$F:$F, ISNUMBER(SEARCH(F2140, Hairstyles!$B:$B))), 1)), "No Spell for Hairstyle"),
  _xlpm.vanillaPrefix, IF(LEFT(_xlpm.spell, 7)="Uvi_Wig", "", ";"),
  ";" &amp; IF(C2140="", B2140, C2140) &amp; IF(M2140="", "", " ("&amp;M2140&amp;")") &amp; CHAR(10) &amp;
  _xlpm.vanillaPrefix &amp; "Keyword = Uvi_Wig_Distr_KYWD|" &amp; B2140 &amp; CHAR(10) &amp;
  _xlpm.vanillaPrefix &amp; "Spell = " &amp; _xlpm.spell &amp; "|" &amp; B2140
  )
)</f>
        <v>;DLC2RRGuardPatrolBulwark
;Keyword = Uvi_Wig_Distr_KYWD|DLC2RRGuardPatrolBulwark
;Spell = No Spell for Hairstyle|DLC2RRGuardPatrolBulwark</v>
      </c>
    </row>
    <row r="2141" ht="12.75" customHeight="1">
      <c r="A2141" s="5" t="s">
        <v>6649</v>
      </c>
      <c r="B2141" s="5" t="s">
        <v>6650</v>
      </c>
      <c r="D2141" s="5" t="s">
        <v>45</v>
      </c>
      <c r="E2141" s="5" t="s">
        <v>233</v>
      </c>
      <c r="F2141" s="5" t="s">
        <v>2559</v>
      </c>
      <c r="G2141" s="14" t="str">
        <f t="array" ref="G2141">IF(B2141="", "",
  LET(_xlpm.spell, IFERROR(IF(F2141="", "", INDEX(_xlws.FILTER(Hairstyles!$F:$F, ISNUMBER(SEARCH(F2141, Hairstyles!$B:$B))), 1)), "No Spell for Hairstyle"),
  _xlpm.vanillaPrefix, IF(LEFT(_xlpm.spell, 7)="Uvi_Wig", "", ";"),
  ";" &amp; IF(C2141="", B2141, C2141) &amp; IF(M2141="", "", " ("&amp;M2141&amp;")") &amp; CHAR(10) &amp;
  _xlpm.vanillaPrefix &amp; "Keyword = Uvi_Wig_Distr_KYWD|" &amp; B2141 &amp; CHAR(10) &amp;
  _xlpm.vanillaPrefix &amp; "Spell = " &amp; _xlpm.spell &amp; "|" &amp; B2141
  )
)</f>
        <v>;DLC2RRGuardPatrolBulwark02
;Keyword = Uvi_Wig_Distr_KYWD|DLC2RRGuardPatrolBulwark02
;Spell = No Spell for Hairstyle|DLC2RRGuardPatrolBulwark02</v>
      </c>
    </row>
    <row r="2142" ht="12.75" customHeight="1">
      <c r="A2142" s="5" t="s">
        <v>6651</v>
      </c>
      <c r="B2142" s="5" t="s">
        <v>6652</v>
      </c>
      <c r="D2142" s="5" t="s">
        <v>45</v>
      </c>
      <c r="E2142" s="5" t="s">
        <v>233</v>
      </c>
      <c r="F2142" s="5" t="s">
        <v>1937</v>
      </c>
      <c r="G2142" s="14" t="str">
        <f t="array" ref="G2142">IF(B2142="", "",
  LET(_xlpm.spell, IFERROR(IF(F2142="", "", INDEX(_xlws.FILTER(Hairstyles!$F:$F, ISNUMBER(SEARCH(F2142, Hairstyles!$B:$B))), 1)), "No Spell for Hairstyle"),
  _xlpm.vanillaPrefix, IF(LEFT(_xlpm.spell, 7)="Uvi_Wig", "", ";"),
  ";" &amp; IF(C2142="", B2142, C2142) &amp; IF(M2142="", "", " ("&amp;M2142&amp;")") &amp; CHAR(10) &amp;
  _xlpm.vanillaPrefix &amp; "Keyword = Uvi_Wig_Distr_KYWD|" &amp; B2142 &amp; CHAR(10) &amp;
  _xlpm.vanillaPrefix &amp; "Spell = " &amp; _xlpm.spell &amp; "|" &amp; B2142
  )
)</f>
        <v>;DLC2RRGuardTempleExterior
;Keyword = Uvi_Wig_Distr_KYWD|DLC2RRGuardTempleExterior
;Spell = No Spell for Hairstyle|DLC2RRGuardTempleExterior</v>
      </c>
    </row>
    <row r="2143" ht="12.75" customHeight="1">
      <c r="A2143" s="5" t="s">
        <v>6653</v>
      </c>
      <c r="B2143" s="5" t="s">
        <v>6654</v>
      </c>
      <c r="D2143" s="5" t="s">
        <v>45</v>
      </c>
      <c r="E2143" s="5" t="s">
        <v>233</v>
      </c>
      <c r="F2143" s="5" t="s">
        <v>2489</v>
      </c>
      <c r="G2143" s="14" t="str">
        <f t="array" ref="G2143">IF(B2143="", "",
  LET(_xlpm.spell, IFERROR(IF(F2143="", "", INDEX(_xlws.FILTER(Hairstyles!$F:$F, ISNUMBER(SEARCH(F2143, Hairstyles!$B:$B))), 1)), "No Spell for Hairstyle"),
  _xlpm.vanillaPrefix, IF(LEFT(_xlpm.spell, 7)="Uvi_Wig", "", ";"),
  ";" &amp; IF(C2143="", B2143, C2143) &amp; IF(M2143="", "", " ("&amp;M2143&amp;")") &amp; CHAR(10) &amp;
  _xlpm.vanillaPrefix &amp; "Keyword = Uvi_Wig_Distr_KYWD|" &amp; B2143 &amp; CHAR(10) &amp;
  _xlpm.vanillaPrefix &amp; "Spell = " &amp; _xlpm.spell &amp; "|" &amp; B2143
  )
)</f>
        <v>;DLC2RRGuardTunnel
;Keyword = Uvi_Wig_Distr_KYWD|DLC2RRGuardTunnel
;Spell = No Spell for Hairstyle|DLC2RRGuardTunnel</v>
      </c>
    </row>
    <row r="2144" ht="12.75" customHeight="1">
      <c r="A2144" s="15" t="s">
        <v>6655</v>
      </c>
      <c r="B2144" s="5" t="s">
        <v>6656</v>
      </c>
      <c r="D2144" s="5" t="s">
        <v>57</v>
      </c>
      <c r="E2144" s="5" t="s">
        <v>233</v>
      </c>
      <c r="F2144" s="5" t="s">
        <v>47</v>
      </c>
      <c r="G2144" s="14" t="str">
        <f t="array" ref="G2144">IF(B2144="", "",
  LET(_xlpm.spell, IFERROR(IF(F2144="", "", INDEX(_xlws.FILTER(Hairstyles!$F:$F, ISNUMBER(SEARCH(F2144, Hairstyles!$B:$B))), 1)), "No Spell for Hairstyle"),
  _xlpm.vanillaPrefix, IF(LEFT(_xlpm.spell, 7)="Uvi_Wig", "", ";"),
  ";" &amp; IF(C2144="", B2144, C2144) &amp; IF(M2144="", "", " ("&amp;M2144&amp;")") &amp; CHAR(10) &amp;
  _xlpm.vanillaPrefix &amp; "Keyword = Uvi_Wig_Distr_KYWD|" &amp; B2144 &amp; CHAR(10) &amp;
  _xlpm.vanillaPrefix &amp; "Spell = " &amp; _xlpm.spell &amp; "|" &amp; B2144
  )
)</f>
        <v>;DLC2SV02LvlThalmorMissile
;Keyword = Uvi_Wig_Distr_KYWD|DLC2SV02LvlThalmorMissile
;Spell = No Spell for Hairstyle|DLC2SV02LvlThalmorMissile</v>
      </c>
    </row>
    <row r="2145" ht="12.75" customHeight="1">
      <c r="A2145" s="15" t="s">
        <v>6657</v>
      </c>
      <c r="B2145" s="5" t="s">
        <v>6658</v>
      </c>
      <c r="D2145" s="5" t="s">
        <v>57</v>
      </c>
      <c r="E2145" s="5" t="s">
        <v>233</v>
      </c>
      <c r="F2145" s="5" t="s">
        <v>47</v>
      </c>
      <c r="G2145" s="14" t="str">
        <f t="array" ref="G2145">IF(B2145="", "",
  LET(_xlpm.spell, IFERROR(IF(F2145="", "", INDEX(_xlws.FILTER(Hairstyles!$F:$F, ISNUMBER(SEARCH(F2145, Hairstyles!$B:$B))), 1)), "No Spell for Hairstyle"),
  _xlpm.vanillaPrefix, IF(LEFT(_xlpm.spell, 7)="Uvi_Wig", "", ";"),
  ";" &amp; IF(C2145="", B2145, C2145) &amp; IF(M2145="", "", " ("&amp;M2145&amp;")") &amp; CHAR(10) &amp;
  _xlpm.vanillaPrefix &amp; "Keyword = Uvi_Wig_Distr_KYWD|" &amp; B2145 &amp; CHAR(10) &amp;
  _xlpm.vanillaPrefix &amp; "Spell = " &amp; _xlpm.spell &amp; "|" &amp; B2145
  )
)</f>
        <v>;DLC2SV02LvlThalmorMissileAggro1024
;Keyword = Uvi_Wig_Distr_KYWD|DLC2SV02LvlThalmorMissileAggro1024
;Spell = No Spell for Hairstyle|DLC2SV02LvlThalmorMissileAggro1024</v>
      </c>
    </row>
    <row r="2146" ht="12.75" customHeight="1">
      <c r="A2146" s="15" t="s">
        <v>6659</v>
      </c>
      <c r="B2146" s="5" t="s">
        <v>6660</v>
      </c>
      <c r="D2146" s="5" t="s">
        <v>45</v>
      </c>
      <c r="E2146" s="5" t="s">
        <v>41</v>
      </c>
      <c r="F2146" s="5" t="s">
        <v>48</v>
      </c>
      <c r="G2146" s="14" t="str">
        <f t="array" ref="G2146">IF(B2146="", "",
  LET(_xlpm.spell, IFERROR(IF(F2146="", "", INDEX(_xlws.FILTER(Hairstyles!$F:$F, ISNUMBER(SEARCH(F2146, Hairstyles!$B:$B))), 1)), "No Spell for Hairstyle"),
  _xlpm.vanillaPrefix, IF(LEFT(_xlpm.spell, 7)="Uvi_Wig", "", ";"),
  ";" &amp; IF(C2146="", B2146, C2146) &amp; IF(M2146="", "", " ("&amp;M2146&amp;")") &amp; CHAR(10) &amp;
  _xlpm.vanillaPrefix &amp; "Keyword = Uvi_Wig_Distr_KYWD|" &amp; B2146 &amp; CHAR(10) &amp;
  _xlpm.vanillaPrefix &amp; "Spell = " &amp; _xlpm.spell &amp; "|" &amp; B2146
  )
)</f>
        <v>;DLC2TempleWorkerBandit01
;Keyword = Uvi_Wig_Distr_KYWD|DLC2TempleWorkerBandit01
;Spell = No Spell for Hairstyle|DLC2TempleWorkerBandit01</v>
      </c>
    </row>
    <row r="2147" ht="12.75" customHeight="1">
      <c r="A2147" s="15" t="s">
        <v>6661</v>
      </c>
      <c r="B2147" s="5" t="s">
        <v>6662</v>
      </c>
      <c r="D2147" s="5" t="s">
        <v>45</v>
      </c>
      <c r="E2147" s="5" t="s">
        <v>233</v>
      </c>
      <c r="F2147" s="5" t="s">
        <v>47</v>
      </c>
      <c r="G2147" s="14" t="str">
        <f t="array" ref="G2147">IF(B2147="", "",
  LET(_xlpm.spell, IFERROR(IF(F2147="", "", INDEX(_xlws.FILTER(Hairstyles!$F:$F, ISNUMBER(SEARCH(F2147, Hairstyles!$B:$B))), 1)), "No Spell for Hairstyle"),
  _xlpm.vanillaPrefix, IF(LEFT(_xlpm.spell, 7)="Uvi_Wig", "", ";"),
  ";" &amp; IF(C2147="", B2147, C2147) &amp; IF(M2147="", "", " ("&amp;M2147&amp;")") &amp; CHAR(10) &amp;
  _xlpm.vanillaPrefix &amp; "Keyword = Uvi_Wig_Distr_KYWD|" &amp; B2147 &amp; CHAR(10) &amp;
  _xlpm.vanillaPrefix &amp; "Spell = " &amp; _xlpm.spell &amp; "|" &amp; B2147
  )
)</f>
        <v>;DLC2TempleWorkerBandit02
;Keyword = Uvi_Wig_Distr_KYWD|DLC2TempleWorkerBandit02
;Spell = No Spell for Hairstyle|DLC2TempleWorkerBandit02</v>
      </c>
    </row>
    <row r="2148" ht="12.75" customHeight="1">
      <c r="A2148" s="15" t="s">
        <v>6663</v>
      </c>
      <c r="B2148" s="5" t="s">
        <v>6664</v>
      </c>
      <c r="D2148" s="5" t="s">
        <v>38</v>
      </c>
      <c r="E2148" s="5" t="s">
        <v>41</v>
      </c>
      <c r="F2148" s="5" t="s">
        <v>905</v>
      </c>
      <c r="G2148" s="14" t="str">
        <f t="array" ref="G2148">IF(B2148="", "",
  LET(_xlpm.spell, IFERROR(IF(F2148="", "", INDEX(_xlws.FILTER(Hairstyles!$F:$F, ISNUMBER(SEARCH(F2148, Hairstyles!$B:$B))), 1)), "No Spell for Hairstyle"),
  _xlpm.vanillaPrefix, IF(LEFT(_xlpm.spell, 7)="Uvi_Wig", "", ";"),
  ";" &amp; IF(C2148="", B2148, C2148) &amp; IF(M2148="", "", " ("&amp;M2148&amp;")") &amp; CHAR(10) &amp;
  _xlpm.vanillaPrefix &amp; "Keyword = Uvi_Wig_Distr_KYWD|" &amp; B2148 &amp; CHAR(10) &amp;
  _xlpm.vanillaPrefix &amp; "Spell = " &amp; _xlpm.spell &amp; "|" &amp; B2148
  )
)</f>
        <v>;DLC2TempleWorkerBandit03
;Keyword = Uvi_Wig_Distr_KYWD|DLC2TempleWorkerBandit03
;Spell = No Spell for Hairstyle|DLC2TempleWorkerBandit03</v>
      </c>
    </row>
    <row r="2149" ht="12.75" customHeight="1">
      <c r="A2149" s="15" t="s">
        <v>6665</v>
      </c>
      <c r="B2149" s="5" t="s">
        <v>6666</v>
      </c>
      <c r="D2149" s="5" t="s">
        <v>45</v>
      </c>
      <c r="E2149" s="5" t="s">
        <v>233</v>
      </c>
      <c r="F2149" s="5" t="s">
        <v>47</v>
      </c>
      <c r="G2149" s="14" t="str">
        <f t="array" ref="G2149">IF(B2149="", "",
  LET(_xlpm.spell, IFERROR(IF(F2149="", "", INDEX(_xlws.FILTER(Hairstyles!$F:$F, ISNUMBER(SEARCH(F2149, Hairstyles!$B:$B))), 1)), "No Spell for Hairstyle"),
  _xlpm.vanillaPrefix, IF(LEFT(_xlpm.spell, 7)="Uvi_Wig", "", ";"),
  ";" &amp; IF(C2149="", B2149, C2149) &amp; IF(M2149="", "", " ("&amp;M2149&amp;")") &amp; CHAR(10) &amp;
  _xlpm.vanillaPrefix &amp; "Keyword = Uvi_Wig_Distr_KYWD|" &amp; B2149 &amp; CHAR(10) &amp;
  _xlpm.vanillaPrefix &amp; "Spell = " &amp; _xlpm.spell &amp; "|" &amp; B2149
  )
)</f>
        <v>;DLC2TempleWorkerBandit04
;Keyword = Uvi_Wig_Distr_KYWD|DLC2TempleWorkerBandit04
;Spell = No Spell for Hairstyle|DLC2TempleWorkerBandit04</v>
      </c>
    </row>
    <row r="2150" ht="12.75" customHeight="1">
      <c r="A2150" s="5" t="s">
        <v>6667</v>
      </c>
      <c r="B2150" s="5" t="s">
        <v>6668</v>
      </c>
      <c r="D2150" s="5" t="s">
        <v>45</v>
      </c>
      <c r="E2150" s="5" t="s">
        <v>41</v>
      </c>
      <c r="F2150" s="5" t="s">
        <v>2373</v>
      </c>
      <c r="G2150" s="14" t="str">
        <f t="array" ref="G2150">IF(B2150="", "",
  LET(_xlpm.spell, IFERROR(IF(F2150="", "", INDEX(_xlws.FILTER(Hairstyles!$F:$F, ISNUMBER(SEARCH(F2150, Hairstyles!$B:$B))), 1)), "No Spell for Hairstyle"),
  _xlpm.vanillaPrefix, IF(LEFT(_xlpm.spell, 7)="Uvi_Wig", "", ";"),
  ";" &amp; IF(C2150="", B2150, C2150) &amp; IF(M2150="", "", " ("&amp;M2150&amp;")") &amp; CHAR(10) &amp;
  _xlpm.vanillaPrefix &amp; "Keyword = Uvi_Wig_Distr_KYWD|" &amp; B2150 &amp; CHAR(10) &amp;
  _xlpm.vanillaPrefix &amp; "Spell = " &amp; _xlpm.spell &amp; "|" &amp; B2150
  )
)</f>
        <v>;DLC2TreasCorpseBanditMagicDarkElfFemale01
;Keyword = Uvi_Wig_Distr_KYWD|DLC2TreasCorpseBanditMagicDarkElfFemale01
;Spell = No Spell for Hairstyle|DLC2TreasCorpseBanditMagicDarkElfFemale01</v>
      </c>
    </row>
    <row r="2151" ht="12.75" customHeight="1">
      <c r="A2151" s="5" t="s">
        <v>6669</v>
      </c>
      <c r="B2151" s="5" t="s">
        <v>6670</v>
      </c>
      <c r="D2151" s="5" t="s">
        <v>45</v>
      </c>
      <c r="E2151" s="5" t="s">
        <v>41</v>
      </c>
      <c r="F2151" s="5" t="s">
        <v>512</v>
      </c>
      <c r="G2151" s="14" t="str">
        <f t="array" ref="G2151">IF(B2151="", "",
  LET(_xlpm.spell, IFERROR(IF(F2151="", "", INDEX(_xlws.FILTER(Hairstyles!$F:$F, ISNUMBER(SEARCH(F2151, Hairstyles!$B:$B))), 1)), "No Spell for Hairstyle"),
  _xlpm.vanillaPrefix, IF(LEFT(_xlpm.spell, 7)="Uvi_Wig", "", ";"),
  ";" &amp; IF(C2151="", B2151, C2151) &amp; IF(M2151="", "", " ("&amp;M2151&amp;")") &amp; CHAR(10) &amp;
  _xlpm.vanillaPrefix &amp; "Keyword = Uvi_Wig_Distr_KYWD|" &amp; B2151 &amp; CHAR(10) &amp;
  _xlpm.vanillaPrefix &amp; "Spell = " &amp; _xlpm.spell &amp; "|" &amp; B2151
  )
)</f>
        <v>;DLC2TreasCorpseBanditMagicDarkElfFemale02
;Keyword = Uvi_Wig_Distr_KYWD|DLC2TreasCorpseBanditMagicDarkElfFemale02
;Spell = No Spell for Hairstyle|DLC2TreasCorpseBanditMagicDarkElfFemale02</v>
      </c>
    </row>
    <row r="2152" ht="12.75" customHeight="1">
      <c r="A2152" s="5" t="s">
        <v>6671</v>
      </c>
      <c r="B2152" s="5" t="s">
        <v>6672</v>
      </c>
      <c r="D2152" s="5" t="s">
        <v>45</v>
      </c>
      <c r="E2152" s="5" t="s">
        <v>41</v>
      </c>
      <c r="F2152" s="5" t="s">
        <v>48</v>
      </c>
      <c r="G2152" s="14" t="str">
        <f t="array" ref="G2152">IF(B2152="", "",
  LET(_xlpm.spell, IFERROR(IF(F2152="", "", INDEX(_xlws.FILTER(Hairstyles!$F:$F, ISNUMBER(SEARCH(F2152, Hairstyles!$B:$B))), 1)), "No Spell for Hairstyle"),
  _xlpm.vanillaPrefix, IF(LEFT(_xlpm.spell, 7)="Uvi_Wig", "", ";"),
  ";" &amp; IF(C2152="", B2152, C2152) &amp; IF(M2152="", "", " ("&amp;M2152&amp;")") &amp; CHAR(10) &amp;
  _xlpm.vanillaPrefix &amp; "Keyword = Uvi_Wig_Distr_KYWD|" &amp; B2152 &amp; CHAR(10) &amp;
  _xlpm.vanillaPrefix &amp; "Spell = " &amp; _xlpm.spell &amp; "|" &amp; B2152
  )
)</f>
        <v>;DLC2TreasCorpseBanditMagicDarkElfFemale03
;Keyword = Uvi_Wig_Distr_KYWD|DLC2TreasCorpseBanditMagicDarkElfFemale03
;Spell = No Spell for Hairstyle|DLC2TreasCorpseBanditMagicDarkElfFemale03</v>
      </c>
    </row>
    <row r="2153" ht="12.75" customHeight="1">
      <c r="A2153" s="5" t="s">
        <v>6673</v>
      </c>
      <c r="B2153" s="5" t="s">
        <v>6674</v>
      </c>
      <c r="D2153" s="5" t="s">
        <v>45</v>
      </c>
      <c r="E2153" s="5" t="s">
        <v>233</v>
      </c>
      <c r="F2153" s="5" t="s">
        <v>47</v>
      </c>
      <c r="G2153" s="14" t="str">
        <f t="array" ref="G2153">IF(B2153="", "",
  LET(_xlpm.spell, IFERROR(IF(F2153="", "", INDEX(_xlws.FILTER(Hairstyles!$F:$F, ISNUMBER(SEARCH(F2153, Hairstyles!$B:$B))), 1)), "No Spell for Hairstyle"),
  _xlpm.vanillaPrefix, IF(LEFT(_xlpm.spell, 7)="Uvi_Wig", "", ";"),
  ";" &amp; IF(C2153="", B2153, C2153) &amp; IF(M2153="", "", " ("&amp;M2153&amp;")") &amp; CHAR(10) &amp;
  _xlpm.vanillaPrefix &amp; "Keyword = Uvi_Wig_Distr_KYWD|" &amp; B2153 &amp; CHAR(10) &amp;
  _xlpm.vanillaPrefix &amp; "Spell = " &amp; _xlpm.spell &amp; "|" &amp; B2153
  )
)</f>
        <v>;DLC2TreasCorpseBanditMagicDarkElfMale01
;Keyword = Uvi_Wig_Distr_KYWD|DLC2TreasCorpseBanditMagicDarkElfMale01
;Spell = No Spell for Hairstyle|DLC2TreasCorpseBanditMagicDarkElfMale01</v>
      </c>
    </row>
    <row r="2154" ht="12.75" customHeight="1">
      <c r="A2154" s="5" t="s">
        <v>6675</v>
      </c>
      <c r="B2154" s="5" t="s">
        <v>6676</v>
      </c>
      <c r="D2154" s="5" t="s">
        <v>45</v>
      </c>
      <c r="E2154" s="5" t="s">
        <v>233</v>
      </c>
      <c r="F2154" s="5" t="s">
        <v>47</v>
      </c>
      <c r="G2154" s="14" t="str">
        <f t="array" ref="G2154">IF(B2154="", "",
  LET(_xlpm.spell, IFERROR(IF(F2154="", "", INDEX(_xlws.FILTER(Hairstyles!$F:$F, ISNUMBER(SEARCH(F2154, Hairstyles!$B:$B))), 1)), "No Spell for Hairstyle"),
  _xlpm.vanillaPrefix, IF(LEFT(_xlpm.spell, 7)="Uvi_Wig", "", ";"),
  ";" &amp; IF(C2154="", B2154, C2154) &amp; IF(M2154="", "", " ("&amp;M2154&amp;")") &amp; CHAR(10) &amp;
  _xlpm.vanillaPrefix &amp; "Keyword = Uvi_Wig_Distr_KYWD|" &amp; B2154 &amp; CHAR(10) &amp;
  _xlpm.vanillaPrefix &amp; "Spell = " &amp; _xlpm.spell &amp; "|" &amp; B2154
  )
)</f>
        <v>;DLC2TreasCorpseBanditMagicDarkElfMale02
;Keyword = Uvi_Wig_Distr_KYWD|DLC2TreasCorpseBanditMagicDarkElfMale02
;Spell = No Spell for Hairstyle|DLC2TreasCorpseBanditMagicDarkElfMale02</v>
      </c>
    </row>
    <row r="2155" ht="12.75" customHeight="1">
      <c r="A2155" s="5" t="s">
        <v>6677</v>
      </c>
      <c r="B2155" s="5" t="s">
        <v>6678</v>
      </c>
      <c r="D2155" s="5" t="s">
        <v>45</v>
      </c>
      <c r="E2155" s="5" t="s">
        <v>233</v>
      </c>
      <c r="F2155" s="5" t="s">
        <v>47</v>
      </c>
      <c r="G2155" s="14" t="str">
        <f t="array" ref="G2155">IF(B2155="", "",
  LET(_xlpm.spell, IFERROR(IF(F2155="", "", INDEX(_xlws.FILTER(Hairstyles!$F:$F, ISNUMBER(SEARCH(F2155, Hairstyles!$B:$B))), 1)), "No Spell for Hairstyle"),
  _xlpm.vanillaPrefix, IF(LEFT(_xlpm.spell, 7)="Uvi_Wig", "", ";"),
  ";" &amp; IF(C2155="", B2155, C2155) &amp; IF(M2155="", "", " ("&amp;M2155&amp;")") &amp; CHAR(10) &amp;
  _xlpm.vanillaPrefix &amp; "Keyword = Uvi_Wig_Distr_KYWD|" &amp; B2155 &amp; CHAR(10) &amp;
  _xlpm.vanillaPrefix &amp; "Spell = " &amp; _xlpm.spell &amp; "|" &amp; B2155
  )
)</f>
        <v>;DLC2TreasCorpseBanditMagicDarkElfMale03
;Keyword = Uvi_Wig_Distr_KYWD|DLC2TreasCorpseBanditMagicDarkElfMale03
;Spell = No Spell for Hairstyle|DLC2TreasCorpseBanditMagicDarkElfMale03</v>
      </c>
    </row>
    <row r="2156" ht="12.75" customHeight="1">
      <c r="A2156" s="5" t="s">
        <v>6679</v>
      </c>
      <c r="B2156" s="5" t="s">
        <v>6680</v>
      </c>
      <c r="D2156" s="5" t="s">
        <v>45</v>
      </c>
      <c r="E2156" s="5" t="s">
        <v>233</v>
      </c>
      <c r="F2156" s="5" t="s">
        <v>47</v>
      </c>
      <c r="G2156" s="14" t="str">
        <f t="array" ref="G2156">IF(B2156="", "",
  LET(_xlpm.spell, IFERROR(IF(F2156="", "", INDEX(_xlws.FILTER(Hairstyles!$F:$F, ISNUMBER(SEARCH(F2156, Hairstyles!$B:$B))), 1)), "No Spell for Hairstyle"),
  _xlpm.vanillaPrefix, IF(LEFT(_xlpm.spell, 7)="Uvi_Wig", "", ";"),
  ";" &amp; IF(C2156="", B2156, C2156) &amp; IF(M2156="", "", " ("&amp;M2156&amp;")") &amp; CHAR(10) &amp;
  _xlpm.vanillaPrefix &amp; "Keyword = Uvi_Wig_Distr_KYWD|" &amp; B2156 &amp; CHAR(10) &amp;
  _xlpm.vanillaPrefix &amp; "Spell = " &amp; _xlpm.spell &amp; "|" &amp; B2156
  )
)</f>
        <v>;DLC2TreasCorpseBanditMagicDarkElfMale04
;Keyword = Uvi_Wig_Distr_KYWD|DLC2TreasCorpseBanditMagicDarkElfMale04
;Spell = No Spell for Hairstyle|DLC2TreasCorpseBanditMagicDarkElfMale04</v>
      </c>
    </row>
    <row r="2157" ht="12.75" customHeight="1">
      <c r="A2157" s="5" t="s">
        <v>6681</v>
      </c>
      <c r="B2157" s="5" t="s">
        <v>6682</v>
      </c>
      <c r="D2157" s="5" t="s">
        <v>45</v>
      </c>
      <c r="E2157" s="5" t="s">
        <v>41</v>
      </c>
      <c r="F2157" s="5" t="s">
        <v>48</v>
      </c>
      <c r="G2157" s="14" t="str">
        <f t="array" ref="G2157">IF(B2157="", "",
  LET(_xlpm.spell, IFERROR(IF(F2157="", "", INDEX(_xlws.FILTER(Hairstyles!$F:$F, ISNUMBER(SEARCH(F2157, Hairstyles!$B:$B))), 1)), "No Spell for Hairstyle"),
  _xlpm.vanillaPrefix, IF(LEFT(_xlpm.spell, 7)="Uvi_Wig", "", ";"),
  ";" &amp; IF(C2157="", B2157, C2157) &amp; IF(M2157="", "", " ("&amp;M2157&amp;")") &amp; CHAR(10) &amp;
  _xlpm.vanillaPrefix &amp; "Keyword = Uvi_Wig_Distr_KYWD|" &amp; B2157 &amp; CHAR(10) &amp;
  _xlpm.vanillaPrefix &amp; "Spell = " &amp; _xlpm.spell &amp; "|" &amp; B2157
  )
)</f>
        <v>;DLC2TreasCorpseBanditMelee1HDarkElfFemale01
;Keyword = Uvi_Wig_Distr_KYWD|DLC2TreasCorpseBanditMelee1HDarkElfFemale01
;Spell = No Spell for Hairstyle|DLC2TreasCorpseBanditMelee1HDarkElfFemale01</v>
      </c>
    </row>
    <row r="2158" ht="12.75" customHeight="1">
      <c r="A2158" s="5" t="s">
        <v>6683</v>
      </c>
      <c r="B2158" s="5" t="s">
        <v>6684</v>
      </c>
      <c r="D2158" s="5" t="s">
        <v>45</v>
      </c>
      <c r="E2158" s="5" t="s">
        <v>41</v>
      </c>
      <c r="F2158" s="5" t="s">
        <v>48</v>
      </c>
      <c r="G2158" s="14" t="str">
        <f t="array" ref="G2158">IF(B2158="", "",
  LET(_xlpm.spell, IFERROR(IF(F2158="", "", INDEX(_xlws.FILTER(Hairstyles!$F:$F, ISNUMBER(SEARCH(F2158, Hairstyles!$B:$B))), 1)), "No Spell for Hairstyle"),
  _xlpm.vanillaPrefix, IF(LEFT(_xlpm.spell, 7)="Uvi_Wig", "", ";"),
  ";" &amp; IF(C2158="", B2158, C2158) &amp; IF(M2158="", "", " ("&amp;M2158&amp;")") &amp; CHAR(10) &amp;
  _xlpm.vanillaPrefix &amp; "Keyword = Uvi_Wig_Distr_KYWD|" &amp; B2158 &amp; CHAR(10) &amp;
  _xlpm.vanillaPrefix &amp; "Spell = " &amp; _xlpm.spell &amp; "|" &amp; B2158
  )
)</f>
        <v>;DLC2TreasCorpseBanditMelee1HDarkElfFemale02
;Keyword = Uvi_Wig_Distr_KYWD|DLC2TreasCorpseBanditMelee1HDarkElfFemale02
;Spell = No Spell for Hairstyle|DLC2TreasCorpseBanditMelee1HDarkElfFemale02</v>
      </c>
    </row>
    <row r="2159" ht="12.75" customHeight="1">
      <c r="A2159" s="5" t="s">
        <v>6685</v>
      </c>
      <c r="B2159" s="5" t="s">
        <v>6686</v>
      </c>
      <c r="D2159" s="5" t="s">
        <v>45</v>
      </c>
      <c r="E2159" s="5" t="s">
        <v>41</v>
      </c>
      <c r="F2159" s="5" t="s">
        <v>48</v>
      </c>
      <c r="G2159" s="14" t="str">
        <f t="array" ref="G2159">IF(B2159="", "",
  LET(_xlpm.spell, IFERROR(IF(F2159="", "", INDEX(_xlws.FILTER(Hairstyles!$F:$F, ISNUMBER(SEARCH(F2159, Hairstyles!$B:$B))), 1)), "No Spell for Hairstyle"),
  _xlpm.vanillaPrefix, IF(LEFT(_xlpm.spell, 7)="Uvi_Wig", "", ";"),
  ";" &amp; IF(C2159="", B2159, C2159) &amp; IF(M2159="", "", " ("&amp;M2159&amp;")") &amp; CHAR(10) &amp;
  _xlpm.vanillaPrefix &amp; "Keyword = Uvi_Wig_Distr_KYWD|" &amp; B2159 &amp; CHAR(10) &amp;
  _xlpm.vanillaPrefix &amp; "Spell = " &amp; _xlpm.spell &amp; "|" &amp; B2159
  )
)</f>
        <v>;DLC2TreasCorpseBanditMelee1HDarkElfFemale03
;Keyword = Uvi_Wig_Distr_KYWD|DLC2TreasCorpseBanditMelee1HDarkElfFemale03
;Spell = No Spell for Hairstyle|DLC2TreasCorpseBanditMelee1HDarkElfFemale03</v>
      </c>
    </row>
    <row r="2160" ht="12.75" customHeight="1">
      <c r="A2160" s="5" t="s">
        <v>6687</v>
      </c>
      <c r="B2160" s="5" t="s">
        <v>6688</v>
      </c>
      <c r="D2160" s="5" t="s">
        <v>45</v>
      </c>
      <c r="E2160" s="5" t="s">
        <v>233</v>
      </c>
      <c r="F2160" s="5" t="s">
        <v>47</v>
      </c>
      <c r="G2160" s="14" t="str">
        <f t="array" ref="G2160">IF(B2160="", "",
  LET(_xlpm.spell, IFERROR(IF(F2160="", "", INDEX(_xlws.FILTER(Hairstyles!$F:$F, ISNUMBER(SEARCH(F2160, Hairstyles!$B:$B))), 1)), "No Spell for Hairstyle"),
  _xlpm.vanillaPrefix, IF(LEFT(_xlpm.spell, 7)="Uvi_Wig", "", ";"),
  ";" &amp; IF(C2160="", B2160, C2160) &amp; IF(M2160="", "", " ("&amp;M2160&amp;")") &amp; CHAR(10) &amp;
  _xlpm.vanillaPrefix &amp; "Keyword = Uvi_Wig_Distr_KYWD|" &amp; B2160 &amp; CHAR(10) &amp;
  _xlpm.vanillaPrefix &amp; "Spell = " &amp; _xlpm.spell &amp; "|" &amp; B2160
  )
)</f>
        <v>;DLC2TreasCorpseBanditMelee1HDarkElfMale01
;Keyword = Uvi_Wig_Distr_KYWD|DLC2TreasCorpseBanditMelee1HDarkElfMale01
;Spell = No Spell for Hairstyle|DLC2TreasCorpseBanditMelee1HDarkElfMale01</v>
      </c>
    </row>
    <row r="2161" ht="12.75" customHeight="1">
      <c r="A2161" s="5" t="s">
        <v>6689</v>
      </c>
      <c r="B2161" s="5" t="s">
        <v>6690</v>
      </c>
      <c r="D2161" s="5" t="s">
        <v>45</v>
      </c>
      <c r="E2161" s="5" t="s">
        <v>233</v>
      </c>
      <c r="F2161" s="5" t="s">
        <v>47</v>
      </c>
      <c r="G2161" s="14" t="str">
        <f t="array" ref="G2161">IF(B2161="", "",
  LET(_xlpm.spell, IFERROR(IF(F2161="", "", INDEX(_xlws.FILTER(Hairstyles!$F:$F, ISNUMBER(SEARCH(F2161, Hairstyles!$B:$B))), 1)), "No Spell for Hairstyle"),
  _xlpm.vanillaPrefix, IF(LEFT(_xlpm.spell, 7)="Uvi_Wig", "", ";"),
  ";" &amp; IF(C2161="", B2161, C2161) &amp; IF(M2161="", "", " ("&amp;M2161&amp;")") &amp; CHAR(10) &amp;
  _xlpm.vanillaPrefix &amp; "Keyword = Uvi_Wig_Distr_KYWD|" &amp; B2161 &amp; CHAR(10) &amp;
  _xlpm.vanillaPrefix &amp; "Spell = " &amp; _xlpm.spell &amp; "|" &amp; B2161
  )
)</f>
        <v>;DLC2TreasCorpseBanditMelee1HDarkElfMale02
;Keyword = Uvi_Wig_Distr_KYWD|DLC2TreasCorpseBanditMelee1HDarkElfMale02
;Spell = No Spell for Hairstyle|DLC2TreasCorpseBanditMelee1HDarkElfMale02</v>
      </c>
    </row>
    <row r="2162" ht="12.75" customHeight="1">
      <c r="A2162" s="5" t="s">
        <v>6691</v>
      </c>
      <c r="B2162" s="5" t="s">
        <v>6692</v>
      </c>
      <c r="D2162" s="5" t="s">
        <v>45</v>
      </c>
      <c r="E2162" s="5" t="s">
        <v>233</v>
      </c>
      <c r="F2162" s="5" t="s">
        <v>47</v>
      </c>
      <c r="G2162" s="14" t="str">
        <f t="array" ref="G2162">IF(B2162="", "",
  LET(_xlpm.spell, IFERROR(IF(F2162="", "", INDEX(_xlws.FILTER(Hairstyles!$F:$F, ISNUMBER(SEARCH(F2162, Hairstyles!$B:$B))), 1)), "No Spell for Hairstyle"),
  _xlpm.vanillaPrefix, IF(LEFT(_xlpm.spell, 7)="Uvi_Wig", "", ";"),
  ";" &amp; IF(C2162="", B2162, C2162) &amp; IF(M2162="", "", " ("&amp;M2162&amp;")") &amp; CHAR(10) &amp;
  _xlpm.vanillaPrefix &amp; "Keyword = Uvi_Wig_Distr_KYWD|" &amp; B2162 &amp; CHAR(10) &amp;
  _xlpm.vanillaPrefix &amp; "Spell = " &amp; _xlpm.spell &amp; "|" &amp; B2162
  )
)</f>
        <v>;DLC2TreasCorpseBanditMelee1HDarkElfMale03
;Keyword = Uvi_Wig_Distr_KYWD|DLC2TreasCorpseBanditMelee1HDarkElfMale03
;Spell = No Spell for Hairstyle|DLC2TreasCorpseBanditMelee1HDarkElfMale03</v>
      </c>
    </row>
    <row r="2163" ht="12.75" customHeight="1">
      <c r="A2163" s="5" t="s">
        <v>6693</v>
      </c>
      <c r="B2163" s="5" t="s">
        <v>6694</v>
      </c>
      <c r="D2163" s="5" t="s">
        <v>45</v>
      </c>
      <c r="E2163" s="5" t="s">
        <v>233</v>
      </c>
      <c r="F2163" s="5" t="s">
        <v>47</v>
      </c>
      <c r="G2163" s="14" t="str">
        <f t="array" ref="G2163">IF(B2163="", "",
  LET(_xlpm.spell, IFERROR(IF(F2163="", "", INDEX(_xlws.FILTER(Hairstyles!$F:$F, ISNUMBER(SEARCH(F2163, Hairstyles!$B:$B))), 1)), "No Spell for Hairstyle"),
  _xlpm.vanillaPrefix, IF(LEFT(_xlpm.spell, 7)="Uvi_Wig", "", ";"),
  ";" &amp; IF(C2163="", B2163, C2163) &amp; IF(M2163="", "", " ("&amp;M2163&amp;")") &amp; CHAR(10) &amp;
  _xlpm.vanillaPrefix &amp; "Keyword = Uvi_Wig_Distr_KYWD|" &amp; B2163 &amp; CHAR(10) &amp;
  _xlpm.vanillaPrefix &amp; "Spell = " &amp; _xlpm.spell &amp; "|" &amp; B2163
  )
)</f>
        <v>;DLC2TreasCorpseBanditMelee1HDarkElfMale04
;Keyword = Uvi_Wig_Distr_KYWD|DLC2TreasCorpseBanditMelee1HDarkElfMale04
;Spell = No Spell for Hairstyle|DLC2TreasCorpseBanditMelee1HDarkElfMale04</v>
      </c>
    </row>
    <row r="2164" ht="12.75" customHeight="1">
      <c r="A2164" s="5" t="s">
        <v>6695</v>
      </c>
      <c r="B2164" s="5" t="s">
        <v>6696</v>
      </c>
      <c r="D2164" s="5" t="s">
        <v>45</v>
      </c>
      <c r="E2164" s="5" t="s">
        <v>41</v>
      </c>
      <c r="F2164" s="5" t="s">
        <v>48</v>
      </c>
      <c r="G2164" s="14" t="str">
        <f t="array" ref="G2164">IF(B2164="", "",
  LET(_xlpm.spell, IFERROR(IF(F2164="", "", INDEX(_xlws.FILTER(Hairstyles!$F:$F, ISNUMBER(SEARCH(F2164, Hairstyles!$B:$B))), 1)), "No Spell for Hairstyle"),
  _xlpm.vanillaPrefix, IF(LEFT(_xlpm.spell, 7)="Uvi_Wig", "", ";"),
  ";" &amp; IF(C2164="", B2164, C2164) &amp; IF(M2164="", "", " ("&amp;M2164&amp;")") &amp; CHAR(10) &amp;
  _xlpm.vanillaPrefix &amp; "Keyword = Uvi_Wig_Distr_KYWD|" &amp; B2164 &amp; CHAR(10) &amp;
  _xlpm.vanillaPrefix &amp; "Spell = " &amp; _xlpm.spell &amp; "|" &amp; B2164
  )
)</f>
        <v>;DLC2TreasCorpseBanditMissileDarkElfFemale01
;Keyword = Uvi_Wig_Distr_KYWD|DLC2TreasCorpseBanditMissileDarkElfFemale01
;Spell = No Spell for Hairstyle|DLC2TreasCorpseBanditMissileDarkElfFemale01</v>
      </c>
    </row>
    <row r="2165" ht="12.75" customHeight="1">
      <c r="A2165" s="5" t="s">
        <v>6697</v>
      </c>
      <c r="B2165" s="5" t="s">
        <v>6698</v>
      </c>
      <c r="D2165" s="5" t="s">
        <v>45</v>
      </c>
      <c r="E2165" s="5" t="s">
        <v>41</v>
      </c>
      <c r="F2165" s="5" t="s">
        <v>48</v>
      </c>
      <c r="G2165" s="14" t="str">
        <f t="array" ref="G2165">IF(B2165="", "",
  LET(_xlpm.spell, IFERROR(IF(F2165="", "", INDEX(_xlws.FILTER(Hairstyles!$F:$F, ISNUMBER(SEARCH(F2165, Hairstyles!$B:$B))), 1)), "No Spell for Hairstyle"),
  _xlpm.vanillaPrefix, IF(LEFT(_xlpm.spell, 7)="Uvi_Wig", "", ";"),
  ";" &amp; IF(C2165="", B2165, C2165) &amp; IF(M2165="", "", " ("&amp;M2165&amp;")") &amp; CHAR(10) &amp;
  _xlpm.vanillaPrefix &amp; "Keyword = Uvi_Wig_Distr_KYWD|" &amp; B2165 &amp; CHAR(10) &amp;
  _xlpm.vanillaPrefix &amp; "Spell = " &amp; _xlpm.spell &amp; "|" &amp; B2165
  )
)</f>
        <v>;DLC2TreasCorpseBanditMissileDarkElfFemale02
;Keyword = Uvi_Wig_Distr_KYWD|DLC2TreasCorpseBanditMissileDarkElfFemale02
;Spell = No Spell for Hairstyle|DLC2TreasCorpseBanditMissileDarkElfFemale02</v>
      </c>
    </row>
    <row r="2166" ht="12.75" customHeight="1">
      <c r="A2166" s="5" t="s">
        <v>6699</v>
      </c>
      <c r="B2166" s="5" t="s">
        <v>6700</v>
      </c>
      <c r="D2166" s="5" t="s">
        <v>45</v>
      </c>
      <c r="E2166" s="5" t="s">
        <v>41</v>
      </c>
      <c r="F2166" s="5" t="s">
        <v>48</v>
      </c>
      <c r="G2166" s="14" t="str">
        <f t="array" ref="G2166">IF(B2166="", "",
  LET(_xlpm.spell, IFERROR(IF(F2166="", "", INDEX(_xlws.FILTER(Hairstyles!$F:$F, ISNUMBER(SEARCH(F2166, Hairstyles!$B:$B))), 1)), "No Spell for Hairstyle"),
  _xlpm.vanillaPrefix, IF(LEFT(_xlpm.spell, 7)="Uvi_Wig", "", ";"),
  ";" &amp; IF(C2166="", B2166, C2166) &amp; IF(M2166="", "", " ("&amp;M2166&amp;")") &amp; CHAR(10) &amp;
  _xlpm.vanillaPrefix &amp; "Keyword = Uvi_Wig_Distr_KYWD|" &amp; B2166 &amp; CHAR(10) &amp;
  _xlpm.vanillaPrefix &amp; "Spell = " &amp; _xlpm.spell &amp; "|" &amp; B2166
  )
)</f>
        <v>;DLC2TreasCorpseBanditMissileDarkElfFemale03
;Keyword = Uvi_Wig_Distr_KYWD|DLC2TreasCorpseBanditMissileDarkElfFemale03
;Spell = No Spell for Hairstyle|DLC2TreasCorpseBanditMissileDarkElfFemale03</v>
      </c>
    </row>
    <row r="2167" ht="12.75" customHeight="1">
      <c r="A2167" s="5" t="s">
        <v>6701</v>
      </c>
      <c r="B2167" s="5" t="s">
        <v>6702</v>
      </c>
      <c r="D2167" s="5" t="s">
        <v>45</v>
      </c>
      <c r="E2167" s="5" t="s">
        <v>233</v>
      </c>
      <c r="F2167" s="5" t="s">
        <v>47</v>
      </c>
      <c r="G2167" s="14" t="str">
        <f t="array" ref="G2167">IF(B2167="", "",
  LET(_xlpm.spell, IFERROR(IF(F2167="", "", INDEX(_xlws.FILTER(Hairstyles!$F:$F, ISNUMBER(SEARCH(F2167, Hairstyles!$B:$B))), 1)), "No Spell for Hairstyle"),
  _xlpm.vanillaPrefix, IF(LEFT(_xlpm.spell, 7)="Uvi_Wig", "", ";"),
  ";" &amp; IF(C2167="", B2167, C2167) &amp; IF(M2167="", "", " ("&amp;M2167&amp;")") &amp; CHAR(10) &amp;
  _xlpm.vanillaPrefix &amp; "Keyword = Uvi_Wig_Distr_KYWD|" &amp; B2167 &amp; CHAR(10) &amp;
  _xlpm.vanillaPrefix &amp; "Spell = " &amp; _xlpm.spell &amp; "|" &amp; B2167
  )
)</f>
        <v>;DLC2TreasCorpseBanditMissileDarkElfMale01
;Keyword = Uvi_Wig_Distr_KYWD|DLC2TreasCorpseBanditMissileDarkElfMale01
;Spell = No Spell for Hairstyle|DLC2TreasCorpseBanditMissileDarkElfMale01</v>
      </c>
    </row>
    <row r="2168" ht="12.75" customHeight="1">
      <c r="A2168" s="5" t="s">
        <v>6703</v>
      </c>
      <c r="B2168" s="5" t="s">
        <v>6704</v>
      </c>
      <c r="D2168" s="5" t="s">
        <v>45</v>
      </c>
      <c r="E2168" s="5" t="s">
        <v>233</v>
      </c>
      <c r="F2168" s="5" t="s">
        <v>47</v>
      </c>
      <c r="G2168" s="14" t="str">
        <f t="array" ref="G2168">IF(B2168="", "",
  LET(_xlpm.spell, IFERROR(IF(F2168="", "", INDEX(_xlws.FILTER(Hairstyles!$F:$F, ISNUMBER(SEARCH(F2168, Hairstyles!$B:$B))), 1)), "No Spell for Hairstyle"),
  _xlpm.vanillaPrefix, IF(LEFT(_xlpm.spell, 7)="Uvi_Wig", "", ";"),
  ";" &amp; IF(C2168="", B2168, C2168) &amp; IF(M2168="", "", " ("&amp;M2168&amp;")") &amp; CHAR(10) &amp;
  _xlpm.vanillaPrefix &amp; "Keyword = Uvi_Wig_Distr_KYWD|" &amp; B2168 &amp; CHAR(10) &amp;
  _xlpm.vanillaPrefix &amp; "Spell = " &amp; _xlpm.spell &amp; "|" &amp; B2168
  )
)</f>
        <v>;DLC2TreasCorpseBanditMissileDarkElfMale02
;Keyword = Uvi_Wig_Distr_KYWD|DLC2TreasCorpseBanditMissileDarkElfMale02
;Spell = No Spell for Hairstyle|DLC2TreasCorpseBanditMissileDarkElfMale02</v>
      </c>
    </row>
    <row r="2169" ht="12.75" customHeight="1">
      <c r="A2169" s="5" t="s">
        <v>6705</v>
      </c>
      <c r="B2169" s="5" t="s">
        <v>6706</v>
      </c>
      <c r="D2169" s="5" t="s">
        <v>45</v>
      </c>
      <c r="E2169" s="5" t="s">
        <v>233</v>
      </c>
      <c r="F2169" s="5" t="s">
        <v>47</v>
      </c>
      <c r="G2169" s="14" t="str">
        <f t="array" ref="G2169">IF(B2169="", "",
  LET(_xlpm.spell, IFERROR(IF(F2169="", "", INDEX(_xlws.FILTER(Hairstyles!$F:$F, ISNUMBER(SEARCH(F2169, Hairstyles!$B:$B))), 1)), "No Spell for Hairstyle"),
  _xlpm.vanillaPrefix, IF(LEFT(_xlpm.spell, 7)="Uvi_Wig", "", ";"),
  ";" &amp; IF(C2169="", B2169, C2169) &amp; IF(M2169="", "", " ("&amp;M2169&amp;")") &amp; CHAR(10) &amp;
  _xlpm.vanillaPrefix &amp; "Keyword = Uvi_Wig_Distr_KYWD|" &amp; B2169 &amp; CHAR(10) &amp;
  _xlpm.vanillaPrefix &amp; "Spell = " &amp; _xlpm.spell &amp; "|" &amp; B2169
  )
)</f>
        <v>;DLC2TreasCorpseBanditMissileDarkElfMale03
;Keyword = Uvi_Wig_Distr_KYWD|DLC2TreasCorpseBanditMissileDarkElfMale03
;Spell = No Spell for Hairstyle|DLC2TreasCorpseBanditMissileDarkElfMale03</v>
      </c>
    </row>
    <row r="2170" ht="12.75" customHeight="1">
      <c r="A2170" s="5" t="s">
        <v>6707</v>
      </c>
      <c r="B2170" s="5" t="s">
        <v>6708</v>
      </c>
      <c r="D2170" s="5" t="s">
        <v>45</v>
      </c>
      <c r="E2170" s="5" t="s">
        <v>233</v>
      </c>
      <c r="F2170" s="5" t="s">
        <v>47</v>
      </c>
      <c r="G2170" s="14" t="str">
        <f t="array" ref="G2170">IF(B2170="", "",
  LET(_xlpm.spell, IFERROR(IF(F2170="", "", INDEX(_xlws.FILTER(Hairstyles!$F:$F, ISNUMBER(SEARCH(F2170, Hairstyles!$B:$B))), 1)), "No Spell for Hairstyle"),
  _xlpm.vanillaPrefix, IF(LEFT(_xlpm.spell, 7)="Uvi_Wig", "", ";"),
  ";" &amp; IF(C2170="", B2170, C2170) &amp; IF(M2170="", "", " ("&amp;M2170&amp;")") &amp; CHAR(10) &amp;
  _xlpm.vanillaPrefix &amp; "Keyword = Uvi_Wig_Distr_KYWD|" &amp; B2170 &amp; CHAR(10) &amp;
  _xlpm.vanillaPrefix &amp; "Spell = " &amp; _xlpm.spell &amp; "|" &amp; B2170
  )
)</f>
        <v>;DLC2TreasCorpseBanditMissileDarkElfMale04
;Keyword = Uvi_Wig_Distr_KYWD|DLC2TreasCorpseBanditMissileDarkElfMale04
;Spell = No Spell for Hairstyle|DLC2TreasCorpseBanditMissileDarkElfMale04</v>
      </c>
    </row>
    <row r="2171" ht="12.75" customHeight="1">
      <c r="A2171" s="15" t="s">
        <v>6709</v>
      </c>
      <c r="B2171" s="5" t="s">
        <v>6710</v>
      </c>
      <c r="D2171" s="5" t="s">
        <v>45</v>
      </c>
      <c r="E2171" s="5" t="s">
        <v>233</v>
      </c>
      <c r="F2171" s="5" t="s">
        <v>525</v>
      </c>
      <c r="G2171" s="14" t="str">
        <f t="array" ref="G2171">IF(B2171="", "",
  LET(_xlpm.spell, IFERROR(IF(F2171="", "", INDEX(_xlws.FILTER(Hairstyles!$F:$F, ISNUMBER(SEARCH(F2171, Hairstyles!$B:$B))), 1)), "No Spell for Hairstyle"),
  _xlpm.vanillaPrefix, IF(LEFT(_xlpm.spell, 7)="Uvi_Wig", "", ";"),
  ";" &amp; IF(C2171="", B2171, C2171) &amp; IF(M2171="", "", " ("&amp;M2171&amp;")") &amp; CHAR(10) &amp;
  _xlpm.vanillaPrefix &amp; "Keyword = Uvi_Wig_Distr_KYWD|" &amp; B2171 &amp; CHAR(10) &amp;
  _xlpm.vanillaPrefix &amp; "Spell = " &amp; _xlpm.spell &amp; "|" &amp; B2171
  )
)</f>
        <v>;DLC2WE13dunHaknirShoal_LvlBanditWizardMaleDarkElfCynical
;Keyword = Uvi_Wig_Distr_KYWD|DLC2WE13dunHaknirShoal_LvlBanditWizardMaleDarkElfCynical
;Spell = No Spell for Hairstyle|DLC2WE13dunHaknirShoal_LvlBanditWizardMaleDarkElfCynical</v>
      </c>
    </row>
    <row r="2172" ht="12.75" customHeight="1">
      <c r="A2172" s="5" t="s">
        <v>6711</v>
      </c>
      <c r="B2172" s="5" t="s">
        <v>6712</v>
      </c>
      <c r="D2172" s="5" t="s">
        <v>89</v>
      </c>
      <c r="E2172" s="5" t="s">
        <v>41</v>
      </c>
      <c r="F2172" s="5" t="s">
        <v>371</v>
      </c>
      <c r="G2172" s="14" t="str">
        <f t="array" ref="G2172">IF(B2172="", "",
  LET(_xlpm.spell, IFERROR(IF(F2172="", "", INDEX(_xlws.FILTER(Hairstyles!$F:$F, ISNUMBER(SEARCH(F2172, Hairstyles!$B:$B))), 1)), "No Spell for Hairstyle"),
  _xlpm.vanillaPrefix, IF(LEFT(_xlpm.spell, 7)="Uvi_Wig", "", ";"),
  ";" &amp; IF(C2172="", B2172, C2172) &amp; IF(M2172="", "", " ("&amp;M2172&amp;")") &amp; CHAR(10) &amp;
  _xlpm.vanillaPrefix &amp; "Keyword = Uvi_Wig_Distr_KYWD|" &amp; B2172 &amp; CHAR(10) &amp;
  _xlpm.vanillaPrefix &amp; "Spell = " &amp; _xlpm.spell &amp; "|" &amp; B2172
  )
)</f>
        <v>;dunBloodletThroneSceneVampire
;Keyword = Uvi_Wig_Distr_KYWD|dunBloodletThroneSceneVampire
;Spell = No Spell for Hairstyle|dunBloodletThroneSceneVampire</v>
      </c>
    </row>
    <row r="2173" ht="12.75" customHeight="1">
      <c r="A2173" s="5" t="s">
        <v>6713</v>
      </c>
      <c r="B2173" s="5" t="s">
        <v>6714</v>
      </c>
      <c r="D2173" s="5" t="s">
        <v>55</v>
      </c>
      <c r="E2173" s="5" t="s">
        <v>233</v>
      </c>
      <c r="F2173" s="5" t="s">
        <v>762</v>
      </c>
      <c r="G2173" s="14" t="str">
        <f t="array" ref="G2173">IF(B2173="", "",
  LET(_xlpm.spell, IFERROR(IF(F2173="", "", INDEX(_xlws.FILTER(Hairstyles!$F:$F, ISNUMBER(SEARCH(F2173, Hairstyles!$B:$B))), 1)), "No Spell for Hairstyle"),
  _xlpm.vanillaPrefix, IF(LEFT(_xlpm.spell, 7)="Uvi_Wig", "", ";"),
  ";" &amp; IF(C2173="", B2173, C2173) &amp; IF(M2173="", "", " ("&amp;M2173&amp;")") &amp; CHAR(10) &amp;
  _xlpm.vanillaPrefix &amp; "Keyword = Uvi_Wig_Distr_KYWD|" &amp; B2173 &amp; CHAR(10) &amp;
  _xlpm.vanillaPrefix &amp; "Spell = " &amp; _xlpm.spell &amp; "|" &amp; B2173
  )
)</f>
        <v>;dunBloodletThroneVampireBoss
;Keyword = Uvi_Wig_Distr_KYWD|dunBloodletThroneVampireBoss
;Spell = No Spell for Hairstyle|dunBloodletThroneVampireBoss</v>
      </c>
    </row>
    <row r="2174" ht="12.75" customHeight="1">
      <c r="A2174" s="5" t="s">
        <v>6715</v>
      </c>
      <c r="B2174" s="5" t="s">
        <v>6716</v>
      </c>
      <c r="D2174" s="5" t="s">
        <v>38</v>
      </c>
      <c r="E2174" s="5" t="s">
        <v>233</v>
      </c>
      <c r="F2174" s="5" t="s">
        <v>1622</v>
      </c>
      <c r="G2174" s="14" t="str">
        <f t="array" ref="G2174">IF(B2174="", "",
  LET(_xlpm.spell, IFERROR(IF(F2174="", "", INDEX(_xlws.FILTER(Hairstyles!$F:$F, ISNUMBER(SEARCH(F2174, Hairstyles!$B:$B))), 1)), "No Spell for Hairstyle"),
  _xlpm.vanillaPrefix, IF(LEFT(_xlpm.spell, 7)="Uvi_Wig", "", ";"),
  ";" &amp; IF(C2174="", B2174, C2174) &amp; IF(M2174="", "", " ("&amp;M2174&amp;")") &amp; CHAR(10) &amp;
  _xlpm.vanillaPrefix &amp; "Keyword = Uvi_Wig_Distr_KYWD|" &amp; B2174 &amp; CHAR(10) &amp;
  _xlpm.vanillaPrefix &amp; "Spell = " &amp; _xlpm.spell &amp; "|" &amp; B2174
  )
)</f>
        <v>;DunBrokenOarLvlBanditMissileHoldPos256LinkRef
;Keyword = Uvi_Wig_Distr_KYWD|DunBrokenOarLvlBanditMissileHoldPos256LinkRef
;Spell = No Spell for Hairstyle|DunBrokenOarLvlBanditMissileHoldPos256LinkRef</v>
      </c>
    </row>
    <row r="2175" ht="12.75" customHeight="1">
      <c r="A2175" s="5" t="s">
        <v>6717</v>
      </c>
      <c r="B2175" s="5" t="s">
        <v>6718</v>
      </c>
      <c r="D2175" s="5" t="s">
        <v>38</v>
      </c>
      <c r="E2175" s="5" t="s">
        <v>233</v>
      </c>
      <c r="F2175" s="5" t="s">
        <v>68</v>
      </c>
      <c r="G2175" s="14" t="str">
        <f t="array" ref="G2175">IF(B2175="", "",
  LET(_xlpm.spell, IFERROR(IF(F2175="", "", INDEX(_xlws.FILTER(Hairstyles!$F:$F, ISNUMBER(SEARCH(F2175, Hairstyles!$B:$B))), 1)), "No Spell for Hairstyle"),
  _xlpm.vanillaPrefix, IF(LEFT(_xlpm.spell, 7)="Uvi_Wig", "", ";"),
  ";" &amp; IF(C2175="", B2175, C2175) &amp; IF(M2175="", "", " ("&amp;M2175&amp;")") &amp; CHAR(10) &amp;
  _xlpm.vanillaPrefix &amp; "Keyword = Uvi_Wig_Distr_KYWD|" &amp; B2175 &amp; CHAR(10) &amp;
  _xlpm.vanillaPrefix &amp; "Spell = " &amp; _xlpm.spell &amp; "|" &amp; B2175
  )
)</f>
        <v>;dunCGStormcloakTowerA
;Keyword = Uvi_Wig_Distr_KYWD|dunCGStormcloakTowerA
;Spell = No Spell for Hairstyle|dunCGStormcloakTowerA</v>
      </c>
    </row>
    <row r="2176" ht="12.75" customHeight="1">
      <c r="A2176" s="5" t="s">
        <v>6719</v>
      </c>
      <c r="B2176" s="5" t="s">
        <v>6720</v>
      </c>
      <c r="D2176" s="5" t="s">
        <v>57</v>
      </c>
      <c r="E2176" s="5" t="s">
        <v>41</v>
      </c>
      <c r="F2176" s="5" t="s">
        <v>512</v>
      </c>
      <c r="G2176" s="14" t="str">
        <f t="array" ref="G2176">IF(B2176="", "",
  LET(_xlpm.spell, IFERROR(IF(F2176="", "", INDEX(_xlws.FILTER(Hairstyles!$F:$F, ISNUMBER(SEARCH(F2176, Hairstyles!$B:$B))), 1)), "No Spell for Hairstyle"),
  _xlpm.vanillaPrefix, IF(LEFT(_xlpm.spell, 7)="Uvi_Wig", "", ";"),
  ";" &amp; IF(C2176="", B2176, C2176) &amp; IF(M2176="", "", " ("&amp;M2176&amp;")") &amp; CHAR(10) &amp;
  _xlpm.vanillaPrefix &amp; "Keyword = Uvi_Wig_Distr_KYWD|" &amp; B2176 &amp; CHAR(10) &amp;
  _xlpm.vanillaPrefix &amp; "Spell = " &amp; _xlpm.spell &amp; "|" &amp; B2176
  )
)</f>
        <v>;dunClearpinePondAlchemist
;Keyword = Uvi_Wig_Distr_KYWD|dunClearpinePondAlchemist
;Spell = No Spell for Hairstyle|dunClearpinePondAlchemist</v>
      </c>
    </row>
    <row r="2177" ht="12.75" customHeight="1">
      <c r="A2177" s="5" t="s">
        <v>6721</v>
      </c>
      <c r="B2177" s="5" t="s">
        <v>6722</v>
      </c>
      <c r="D2177" s="5" t="s">
        <v>38</v>
      </c>
      <c r="E2177" s="5" t="s">
        <v>233</v>
      </c>
      <c r="F2177" s="5" t="s">
        <v>224</v>
      </c>
      <c r="G2177" s="14" t="str">
        <f t="array" ref="G2177">IF(B2177="", "",
  LET(_xlpm.spell, IFERROR(IF(F2177="", "", INDEX(_xlws.FILTER(Hairstyles!$F:$F, ISNUMBER(SEARCH(F2177, Hairstyles!$B:$B))), 1)), "No Spell for Hairstyle"),
  _xlpm.vanillaPrefix, IF(LEFT(_xlpm.spell, 7)="Uvi_Wig", "", ";"),
  ";" &amp; IF(C2177="", B2177, C2177) &amp; IF(M2177="", "", " ("&amp;M2177&amp;")") &amp; CHAR(10) &amp;
  _xlpm.vanillaPrefix &amp; "Keyword = Uvi_Wig_Distr_KYWD|" &amp; B2177 &amp; CHAR(10) &amp;
  _xlpm.vanillaPrefix &amp; "Spell = " &amp; _xlpm.spell &amp; "|" &amp; B2177
  )
)</f>
        <v>;dunDA14DrinkingNPC01
;Keyword = Uvi_Wig_Distr_KYWD|dunDA14DrinkingNPC01
;Spell = No Spell for Hairstyle|dunDA14DrinkingNPC01</v>
      </c>
    </row>
    <row r="2178" ht="12.75" customHeight="1">
      <c r="A2178" s="5" t="s">
        <v>6723</v>
      </c>
      <c r="B2178" s="5" t="s">
        <v>6724</v>
      </c>
      <c r="D2178" s="5" t="s">
        <v>38</v>
      </c>
      <c r="E2178" s="5" t="s">
        <v>233</v>
      </c>
      <c r="F2178" s="5" t="s">
        <v>224</v>
      </c>
      <c r="G2178" s="14" t="str">
        <f t="array" ref="G2178">IF(B2178="", "",
  LET(_xlpm.spell, IFERROR(IF(F2178="", "", INDEX(_xlws.FILTER(Hairstyles!$F:$F, ISNUMBER(SEARCH(F2178, Hairstyles!$B:$B))), 1)), "No Spell for Hairstyle"),
  _xlpm.vanillaPrefix, IF(LEFT(_xlpm.spell, 7)="Uvi_Wig", "", ";"),
  ";" &amp; IF(C2178="", B2178, C2178) &amp; IF(M2178="", "", " ("&amp;M2178&amp;")") &amp; CHAR(10) &amp;
  _xlpm.vanillaPrefix &amp; "Keyword = Uvi_Wig_Distr_KYWD|" &amp; B2178 &amp; CHAR(10) &amp;
  _xlpm.vanillaPrefix &amp; "Spell = " &amp; _xlpm.spell &amp; "|" &amp; B2178
  )
)</f>
        <v>;dunDA14DrinkingNPC02
;Keyword = Uvi_Wig_Distr_KYWD|dunDA14DrinkingNPC02
;Spell = No Spell for Hairstyle|dunDA14DrinkingNPC02</v>
      </c>
    </row>
    <row r="2179" ht="12.75" customHeight="1">
      <c r="A2179" s="5" t="s">
        <v>6725</v>
      </c>
      <c r="B2179" s="5" t="s">
        <v>6726</v>
      </c>
      <c r="D2179" s="5" t="s">
        <v>38</v>
      </c>
      <c r="E2179" s="5" t="s">
        <v>233</v>
      </c>
      <c r="F2179" s="5" t="s">
        <v>224</v>
      </c>
      <c r="G2179" s="14" t="str">
        <f t="array" ref="G2179">IF(B2179="", "",
  LET(_xlpm.spell, IFERROR(IF(F2179="", "", INDEX(_xlws.FILTER(Hairstyles!$F:$F, ISNUMBER(SEARCH(F2179, Hairstyles!$B:$B))), 1)), "No Spell for Hairstyle"),
  _xlpm.vanillaPrefix, IF(LEFT(_xlpm.spell, 7)="Uvi_Wig", "", ";"),
  ";" &amp; IF(C2179="", B2179, C2179) &amp; IF(M2179="", "", " ("&amp;M2179&amp;")") &amp; CHAR(10) &amp;
  _xlpm.vanillaPrefix &amp; "Keyword = Uvi_Wig_Distr_KYWD|" &amp; B2179 &amp; CHAR(10) &amp;
  _xlpm.vanillaPrefix &amp; "Spell = " &amp; _xlpm.spell &amp; "|" &amp; B2179
  )
)</f>
        <v>;dunDA14DrinkingNPC03
;Keyword = Uvi_Wig_Distr_KYWD|dunDA14DrinkingNPC03
;Spell = No Spell for Hairstyle|dunDA14DrinkingNPC03</v>
      </c>
    </row>
    <row r="2180" ht="12.75" customHeight="1">
      <c r="A2180" s="5" t="s">
        <v>6727</v>
      </c>
      <c r="B2180" s="5" t="s">
        <v>6728</v>
      </c>
      <c r="D2180" s="5" t="s">
        <v>38</v>
      </c>
      <c r="E2180" s="5" t="s">
        <v>233</v>
      </c>
      <c r="F2180" s="5" t="s">
        <v>224</v>
      </c>
      <c r="G2180" s="14" t="str">
        <f t="array" ref="G2180">IF(B2180="", "",
  LET(_xlpm.spell, IFERROR(IF(F2180="", "", INDEX(_xlws.FILTER(Hairstyles!$F:$F, ISNUMBER(SEARCH(F2180, Hairstyles!$B:$B))), 1)), "No Spell for Hairstyle"),
  _xlpm.vanillaPrefix, IF(LEFT(_xlpm.spell, 7)="Uvi_Wig", "", ";"),
  ";" &amp; IF(C2180="", B2180, C2180) &amp; IF(M2180="", "", " ("&amp;M2180&amp;")") &amp; CHAR(10) &amp;
  _xlpm.vanillaPrefix &amp; "Keyword = Uvi_Wig_Distr_KYWD|" &amp; B2180 &amp; CHAR(10) &amp;
  _xlpm.vanillaPrefix &amp; "Spell = " &amp; _xlpm.spell &amp; "|" &amp; B2180
  )
)</f>
        <v>;dunDA14DrinkingNPC04
;Keyword = Uvi_Wig_Distr_KYWD|dunDA14DrinkingNPC04
;Spell = No Spell for Hairstyle|dunDA14DrinkingNPC04</v>
      </c>
    </row>
    <row r="2181" ht="12.75" customHeight="1">
      <c r="A2181" s="5" t="s">
        <v>6729</v>
      </c>
      <c r="B2181" s="5" t="s">
        <v>6730</v>
      </c>
      <c r="D2181" s="5" t="s">
        <v>45</v>
      </c>
      <c r="E2181" s="5" t="s">
        <v>41</v>
      </c>
      <c r="F2181" s="5" t="s">
        <v>48</v>
      </c>
      <c r="G2181" s="14" t="str">
        <f t="array" ref="G2181">IF(B2181="", "",
  LET(_xlpm.spell, IFERROR(IF(F2181="", "", INDEX(_xlws.FILTER(Hairstyles!$F:$F, ISNUMBER(SEARCH(F2181, Hairstyles!$B:$B))), 1)), "No Spell for Hairstyle"),
  _xlpm.vanillaPrefix, IF(LEFT(_xlpm.spell, 7)="Uvi_Wig", "", ";"),
  ";" &amp; IF(C2181="", B2181, C2181) &amp; IF(M2181="", "", " ("&amp;M2181&amp;")") &amp; CHAR(10) &amp;
  _xlpm.vanillaPrefix &amp; "Keyword = Uvi_Wig_Distr_KYWD|" &amp; B2181 &amp; CHAR(10) &amp;
  _xlpm.vanillaPrefix &amp; "Spell = " &amp; _xlpm.spell &amp; "|" &amp; B2181
  )
)</f>
        <v>;dunDarklight_LvlWitchCondescending
;Keyword = Uvi_Wig_Distr_KYWD|dunDarklight_LvlWitchCondescending
;Spell = No Spell for Hairstyle|dunDarklight_LvlWitchCondescending</v>
      </c>
    </row>
    <row r="2182" ht="12.75" customHeight="1">
      <c r="A2182" s="5" t="s">
        <v>6731</v>
      </c>
      <c r="B2182" s="5" t="s">
        <v>6732</v>
      </c>
      <c r="D2182" s="5" t="s">
        <v>45</v>
      </c>
      <c r="E2182" s="5" t="s">
        <v>41</v>
      </c>
      <c r="F2182" s="5" t="s">
        <v>2034</v>
      </c>
      <c r="G2182" s="14" t="str">
        <f t="array" ref="G2182">IF(B2182="", "",
  LET(_xlpm.spell, IFERROR(IF(F2182="", "", INDEX(_xlws.FILTER(Hairstyles!$F:$F, ISNUMBER(SEARCH(F2182, Hairstyles!$B:$B))), 1)), "No Spell for Hairstyle"),
  _xlpm.vanillaPrefix, IF(LEFT(_xlpm.spell, 7)="Uvi_Wig", "", ";"),
  ";" &amp; IF(C2182="", B2182, C2182) &amp; IF(M2182="", "", " ("&amp;M2182&amp;")") &amp; CHAR(10) &amp;
  _xlpm.vanillaPrefix &amp; "Keyword = Uvi_Wig_Distr_KYWD|" &amp; B2182 &amp; CHAR(10) &amp;
  _xlpm.vanillaPrefix &amp; "Spell = " &amp; _xlpm.spell &amp; "|" &amp; B2182
  )
)</f>
        <v>;dunDarklightDeadWitch
;Keyword = Uvi_Wig_Distr_KYWD|dunDarklightDeadWitch
;Spell = No Spell for Hairstyle|dunDarklightDeadWitch</v>
      </c>
    </row>
    <row r="2183" ht="12.75" customHeight="1">
      <c r="A2183" s="5" t="s">
        <v>6733</v>
      </c>
      <c r="B2183" s="5" t="s">
        <v>6734</v>
      </c>
      <c r="D2183" s="5" t="s">
        <v>80</v>
      </c>
      <c r="E2183" s="5" t="s">
        <v>233</v>
      </c>
      <c r="F2183" s="5" t="s">
        <v>81</v>
      </c>
      <c r="G2183" s="14" t="str">
        <f t="array" ref="G2183">IF(B2183="", "",
  LET(_xlpm.spell, IFERROR(IF(F2183="", "", INDEX(_xlws.FILTER(Hairstyles!$F:$F, ISNUMBER(SEARCH(F2183, Hairstyles!$B:$B))), 1)), "No Spell for Hairstyle"),
  _xlpm.vanillaPrefix, IF(LEFT(_xlpm.spell, 7)="Uvi_Wig", "", ";"),
  ";" &amp; IF(C2183="", B2183, C2183) &amp; IF(M2183="", "", " ("&amp;M2183&amp;")") &amp; CHAR(10) &amp;
  _xlpm.vanillaPrefix &amp; "Keyword = Uvi_Wig_Distr_KYWD|" &amp; B2183 &amp; CHAR(10) &amp;
  _xlpm.vanillaPrefix &amp; "Spell = " &amp; _xlpm.spell &amp; "|" &amp; B2183
  )
)</f>
        <v>;dunDuskglowBandit02
;Keyword = Uvi_Wig_Distr_KYWD|dunDuskglowBandit02
;Spell = No Spell for Hairstyle|dunDuskglowBandit02</v>
      </c>
    </row>
    <row r="2184" ht="12.75" customHeight="1">
      <c r="A2184" s="5" t="s">
        <v>6735</v>
      </c>
      <c r="B2184" s="5" t="s">
        <v>6736</v>
      </c>
      <c r="D2184" s="5" t="s">
        <v>45</v>
      </c>
      <c r="E2184" s="5" t="s">
        <v>41</v>
      </c>
      <c r="F2184" s="5" t="s">
        <v>1732</v>
      </c>
      <c r="G2184" s="14" t="str">
        <f t="array" ref="G2184">IF(B2184="", "",
  LET(_xlpm.spell, IFERROR(IF(F2184="", "", INDEX(_xlws.FILTER(Hairstyles!$F:$F, ISNUMBER(SEARCH(F2184, Hairstyles!$B:$B))), 1)), "No Spell for Hairstyle"),
  _xlpm.vanillaPrefix, IF(LEFT(_xlpm.spell, 7)="Uvi_Wig", "", ";"),
  ";" &amp; IF(C2184="", B2184, C2184) &amp; IF(M2184="", "", " ("&amp;M2184&amp;")") &amp; CHAR(10) &amp;
  _xlpm.vanillaPrefix &amp; "Keyword = Uvi_Wig_Distr_KYWD|" &amp; B2184 &amp; CHAR(10) &amp;
  _xlpm.vanillaPrefix &amp; "Spell = " &amp; _xlpm.spell &amp; "|" &amp; B2184
  )
)</f>
        <v>;dunFellglow_LvlWarlockElementalAmbushCondescendingFHoldPosition
;Keyword = Uvi_Wig_Distr_KYWD|dunFellglow_LvlWarlockElementalAmbushCondescendingFHoldPosition
;Spell = No Spell for Hairstyle|dunFellglow_LvlWarlockElementalAmbushCondescendingFHoldPosition</v>
      </c>
    </row>
    <row r="2185" ht="12.75" customHeight="1">
      <c r="A2185" s="5" t="s">
        <v>6737</v>
      </c>
      <c r="B2185" s="5" t="s">
        <v>6738</v>
      </c>
      <c r="D2185" s="5" t="s">
        <v>65</v>
      </c>
      <c r="E2185" s="5" t="s">
        <v>233</v>
      </c>
      <c r="F2185" s="4" t="s">
        <v>1741</v>
      </c>
      <c r="G2185" s="14" t="str">
        <f t="array" ref="G2185">IF(B2185="", "",
  LET(_xlpm.spell, IFERROR(IF(F2185="", "", INDEX(_xlws.FILTER(Hairstyles!$F:$F, ISNUMBER(SEARCH(F2185, Hairstyles!$B:$B))), 1)), "No Spell for Hairstyle"),
  _xlpm.vanillaPrefix, IF(LEFT(_xlpm.spell, 7)="Uvi_Wig", "", ";"),
  ";" &amp; IF(C2185="", B2185, C2185) &amp; IF(M2185="", "", " ("&amp;M2185&amp;")") &amp; CHAR(10) &amp;
  _xlpm.vanillaPrefix &amp; "Keyword = Uvi_Wig_Distr_KYWD|" &amp; B2185 &amp; CHAR(10) &amp;
  _xlpm.vanillaPrefix &amp; "Spell = " &amp; _xlpm.spell &amp; "|" &amp; B2185
  )
)</f>
        <v>;dunFellglow_TreasCorpseCommonerKhajiitMalePrisoner
;Keyword = Uvi_Wig_Distr_KYWD|dunFellglow_TreasCorpseCommonerKhajiitMalePrisoner
;Spell = No Spell for Hairstyle|dunFellglow_TreasCorpseCommonerKhajiitMalePrisoner</v>
      </c>
    </row>
    <row r="2186" ht="12.75" customHeight="1">
      <c r="A2186" s="5" t="s">
        <v>6739</v>
      </c>
      <c r="B2186" s="5" t="s">
        <v>6740</v>
      </c>
      <c r="D2186" s="5" t="s">
        <v>34</v>
      </c>
      <c r="E2186" s="5" t="s">
        <v>41</v>
      </c>
      <c r="F2186" s="5" t="s">
        <v>2118</v>
      </c>
      <c r="G2186" s="14" t="str">
        <f t="array" ref="G2186">IF(B2186="", "",
  LET(_xlpm.spell, IFERROR(IF(F2186="", "", INDEX(_xlws.FILTER(Hairstyles!$F:$F, ISNUMBER(SEARCH(F2186, Hairstyles!$B:$B))), 1)), "No Spell for Hairstyle"),
  _xlpm.vanillaPrefix, IF(LEFT(_xlpm.spell, 7)="Uvi_Wig", "", ";"),
  ";" &amp; IF(C2186="", B2186, C2186) &amp; IF(M2186="", "", " ("&amp;M2186&amp;")") &amp; CHAR(10) &amp;
  _xlpm.vanillaPrefix &amp; "Keyword = Uvi_Wig_Distr_KYWD|" &amp; B2186 &amp; CHAR(10) &amp;
  _xlpm.vanillaPrefix &amp; "Spell = " &amp; _xlpm.spell &amp; "|" &amp; B2186
  )
)</f>
        <v>;dunFellglow_TreasCorpseVampire01
;Keyword = Uvi_Wig_Distr_KYWD|dunFellglow_TreasCorpseVampire01
;Spell = No Spell for Hairstyle|dunFellglow_TreasCorpseVampire01</v>
      </c>
    </row>
    <row r="2187" ht="12.75" customHeight="1">
      <c r="A2187" s="15" t="s">
        <v>6741</v>
      </c>
      <c r="B2187" s="5" t="s">
        <v>6742</v>
      </c>
      <c r="D2187" s="5" t="s">
        <v>50</v>
      </c>
      <c r="E2187" s="5" t="s">
        <v>233</v>
      </c>
      <c r="F2187" s="5" t="s">
        <v>47</v>
      </c>
      <c r="G2187" s="14" t="str">
        <f t="array" ref="G2187">IF(B2187="", "",
  LET(_xlpm.spell, IFERROR(IF(F2187="", "", INDEX(_xlws.FILTER(Hairstyles!$F:$F, ISNUMBER(SEARCH(F2187, Hairstyles!$B:$B))), 1)), "No Spell for Hairstyle"),
  _xlpm.vanillaPrefix, IF(LEFT(_xlpm.spell, 7)="Uvi_Wig", "", ";"),
  ";" &amp; IF(C2187="", B2187, C2187) &amp; IF(M2187="", "", " ("&amp;M2187&amp;")") &amp; CHAR(10) &amp;
  _xlpm.vanillaPrefix &amp; "Keyword = Uvi_Wig_Distr_KYWD|" &amp; B2187 &amp; CHAR(10) &amp;
  _xlpm.vanillaPrefix &amp; "Spell = " &amp; _xlpm.spell &amp; "|" &amp; B2187
  )
)</f>
        <v>;dunFellglow_TreasCorpseVampire02
;Keyword = Uvi_Wig_Distr_KYWD|dunFellglow_TreasCorpseVampire02
;Spell = No Spell for Hairstyle|dunFellglow_TreasCorpseVampire02</v>
      </c>
    </row>
    <row r="2188" ht="12.75" customHeight="1">
      <c r="A2188" s="5" t="s">
        <v>6743</v>
      </c>
      <c r="B2188" s="5" t="s">
        <v>6744</v>
      </c>
      <c r="D2188" s="5" t="s">
        <v>63</v>
      </c>
      <c r="E2188" s="5" t="s">
        <v>233</v>
      </c>
      <c r="F2188" s="5" t="s">
        <v>1566</v>
      </c>
      <c r="G2188" s="14" t="str">
        <f t="array" ref="G2188">IF(B2188="", "",
  LET(_xlpm.spell, IFERROR(IF(F2188="", "", INDEX(_xlws.FILTER(Hairstyles!$F:$F, ISNUMBER(SEARCH(F2188, Hairstyles!$B:$B))), 1)), "No Spell for Hairstyle"),
  _xlpm.vanillaPrefix, IF(LEFT(_xlpm.spell, 7)="Uvi_Wig", "", ";"),
  ";" &amp; IF(C2188="", B2188, C2188) &amp; IF(M2188="", "", " ("&amp;M2188&amp;")") &amp; CHAR(10) &amp;
  _xlpm.vanillaPrefix &amp; "Keyword = Uvi_Wig_Distr_KYWD|" &amp; B2188 &amp; CHAR(10) &amp;
  _xlpm.vanillaPrefix &amp; "Spell = " &amp; _xlpm.spell &amp; "|" &amp; B2188
  )
)</f>
        <v>;dunFellglow_TreasCorpseVampire03
;Keyword = Uvi_Wig_Distr_KYWD|dunFellglow_TreasCorpseVampire03
;Spell = No Spell for Hairstyle|dunFellglow_TreasCorpseVampire03</v>
      </c>
    </row>
    <row r="2189" ht="12.75" customHeight="1">
      <c r="A2189" s="5" t="s">
        <v>6745</v>
      </c>
      <c r="B2189" s="5" t="s">
        <v>6746</v>
      </c>
      <c r="D2189" s="5" t="s">
        <v>58</v>
      </c>
      <c r="E2189" s="5" t="s">
        <v>41</v>
      </c>
      <c r="F2189" s="5" t="s">
        <v>6747</v>
      </c>
      <c r="G2189" s="14" t="str">
        <f t="array" ref="G2189">IF(B2189="", "",
  LET(_xlpm.spell, IFERROR(IF(F2189="", "", INDEX(_xlws.FILTER(Hairstyles!$F:$F, ISNUMBER(SEARCH(F2189, Hairstyles!$B:$B))), 1)), "No Spell for Hairstyle"),
  _xlpm.vanillaPrefix, IF(LEFT(_xlpm.spell, 7)="Uvi_Wig", "", ";"),
  ";" &amp; IF(C2189="", B2189, C2189) &amp; IF(M2189="", "", " ("&amp;M2189&amp;")") &amp; CHAR(10) &amp;
  _xlpm.vanillaPrefix &amp; "Keyword = Uvi_Wig_Distr_KYWD|" &amp; B2189 &amp; CHAR(10) &amp;
  _xlpm.vanillaPrefix &amp; "Spell = " &amp; _xlpm.spell &amp; "|" &amp; B2189
  )
)</f>
        <v>;dunFellglow_TreasCorpseVampire04
;Keyword = Uvi_Wig_Distr_KYWD|dunFellglow_TreasCorpseVampire04
;Spell = No Spell for Hairstyle|dunFellglow_TreasCorpseVampire04</v>
      </c>
    </row>
    <row r="2190" ht="12.75" customHeight="1">
      <c r="A2190" s="5" t="s">
        <v>6748</v>
      </c>
      <c r="B2190" s="5" t="s">
        <v>6749</v>
      </c>
      <c r="D2190" s="5" t="s">
        <v>57</v>
      </c>
      <c r="E2190" s="5" t="s">
        <v>233</v>
      </c>
      <c r="F2190" s="5" t="s">
        <v>543</v>
      </c>
      <c r="G2190" s="14" t="str">
        <f t="array" ref="G2190">IF(B2190="", "",
  LET(_xlpm.spell, IFERROR(IF(F2190="", "", INDEX(_xlws.FILTER(Hairstyles!$F:$F, ISNUMBER(SEARCH(F2190, Hairstyles!$B:$B))), 1)), "No Spell for Hairstyle"),
  _xlpm.vanillaPrefix, IF(LEFT(_xlpm.spell, 7)="Uvi_Wig", "", ";"),
  ";" &amp; IF(C2190="", B2190, C2190) &amp; IF(M2190="", "", " ("&amp;M2190&amp;")") &amp; CHAR(10) &amp;
  _xlpm.vanillaPrefix &amp; "Keyword = Uvi_Wig_Distr_KYWD|" &amp; B2190 &amp; CHAR(10) &amp;
  _xlpm.vanillaPrefix &amp; "Spell = " &amp; _xlpm.spell &amp; "|" &amp; B2190
  )
)</f>
        <v>;dunFellglowJailor
;Keyword = Uvi_Wig_Distr_KYWD|dunFellglowJailor
;Spell = No Spell for Hairstyle|dunFellglowJailor</v>
      </c>
    </row>
    <row r="2191" ht="12.75" customHeight="1">
      <c r="A2191" s="5" t="s">
        <v>6750</v>
      </c>
      <c r="B2191" s="5" t="s">
        <v>6751</v>
      </c>
      <c r="D2191" s="5" t="s">
        <v>59</v>
      </c>
      <c r="E2191" s="5" t="s">
        <v>233</v>
      </c>
      <c r="F2191" s="5" t="s">
        <v>84</v>
      </c>
      <c r="G2191" s="14" t="str">
        <f t="array" ref="G2191">IF(B2191="", "",
  LET(_xlpm.spell, IFERROR(IF(F2191="", "", INDEX(_xlws.FILTER(Hairstyles!$F:$F, ISNUMBER(SEARCH(F2191, Hairstyles!$B:$B))), 1)), "No Spell for Hairstyle"),
  _xlpm.vanillaPrefix, IF(LEFT(_xlpm.spell, 7)="Uvi_Wig", "", ";"),
  ";" &amp; IF(C2191="", B2191, C2191) &amp; IF(M2191="", "", " ("&amp;M2191&amp;")") &amp; CHAR(10) &amp;
  _xlpm.vanillaPrefix &amp; "Keyword = Uvi_Wig_Distr_KYWD|" &amp; B2191 &amp; CHAR(10) &amp;
  _xlpm.vanillaPrefix &amp; "Spell = " &amp; _xlpm.spell &amp; "|" &amp; B2191
  )
)</f>
        <v>;dunFellglowPetSceneWarlock
;Keyword = Uvi_Wig_Distr_KYWD|dunFellglowPetSceneWarlock
;Spell = No Spell for Hairstyle|dunFellglowPetSceneWarlock</v>
      </c>
    </row>
    <row r="2192" ht="12.75" customHeight="1">
      <c r="A2192" s="5" t="s">
        <v>6752</v>
      </c>
      <c r="B2192" s="5" t="s">
        <v>6753</v>
      </c>
      <c r="D2192" s="5" t="s">
        <v>38</v>
      </c>
      <c r="E2192" s="5" t="s">
        <v>233</v>
      </c>
      <c r="F2192" s="5" t="s">
        <v>1919</v>
      </c>
      <c r="G2192" s="14" t="str">
        <f t="array" ref="G2192">IF(B2192="", "",
  LET(_xlpm.spell, IFERROR(IF(F2192="", "", INDEX(_xlws.FILTER(Hairstyles!$F:$F, ISNUMBER(SEARCH(F2192, Hairstyles!$B:$B))), 1)), "No Spell for Hairstyle"),
  _xlpm.vanillaPrefix, IF(LEFT(_xlpm.spell, 7)="Uvi_Wig", "", ";"),
  ";" &amp; IF(C2192="", B2192, C2192) &amp; IF(M2192="", "", " ("&amp;M2192&amp;")") &amp; CHAR(10) &amp;
  _xlpm.vanillaPrefix &amp; "Keyword = Uvi_Wig_Distr_KYWD|" &amp; B2192 &amp; CHAR(10) &amp;
  _xlpm.vanillaPrefix &amp; "Spell = " &amp; _xlpm.spell &amp; "|" &amp; B2192
  )
)</f>
        <v>;dunForelhostLvlGhostMelee1HFemale
;Keyword = Uvi_Wig_Distr_KYWD|dunForelhostLvlGhostMelee1HFemale
;Spell = No Spell for Hairstyle|dunForelhostLvlGhostMelee1HFemale</v>
      </c>
    </row>
    <row r="2193" ht="12.75" customHeight="1">
      <c r="A2193" s="5" t="s">
        <v>6754</v>
      </c>
      <c r="B2193" s="5" t="s">
        <v>6755</v>
      </c>
      <c r="D2193" s="5" t="s">
        <v>38</v>
      </c>
      <c r="E2193" s="5" t="s">
        <v>233</v>
      </c>
      <c r="F2193" s="5" t="s">
        <v>1919</v>
      </c>
      <c r="G2193" s="14" t="str">
        <f t="array" ref="G2193">IF(B2193="", "",
  LET(_xlpm.spell, IFERROR(IF(F2193="", "", INDEX(_xlws.FILTER(Hairstyles!$F:$F, ISNUMBER(SEARCH(F2193, Hairstyles!$B:$B))), 1)), "No Spell for Hairstyle"),
  _xlpm.vanillaPrefix, IF(LEFT(_xlpm.spell, 7)="Uvi_Wig", "", ";"),
  ";" &amp; IF(C2193="", B2193, C2193) &amp; IF(M2193="", "", " ("&amp;M2193&amp;")") &amp; CHAR(10) &amp;
  _xlpm.vanillaPrefix &amp; "Keyword = Uvi_Wig_Distr_KYWD|" &amp; B2193 &amp; CHAR(10) &amp;
  _xlpm.vanillaPrefix &amp; "Spell = " &amp; _xlpm.spell &amp; "|" &amp; B2193
  )
)</f>
        <v>;dunForelhostLvlGhostMelee1HMale
;Keyword = Uvi_Wig_Distr_KYWD|dunForelhostLvlGhostMelee1HMale
;Spell = No Spell for Hairstyle|dunForelhostLvlGhostMelee1HMale</v>
      </c>
    </row>
    <row r="2194" ht="12.75" customHeight="1">
      <c r="A2194" s="5" t="s">
        <v>6756</v>
      </c>
      <c r="B2194" s="5" t="s">
        <v>6757</v>
      </c>
      <c r="D2194" s="5" t="s">
        <v>38</v>
      </c>
      <c r="E2194" s="5" t="s">
        <v>41</v>
      </c>
      <c r="F2194" s="5" t="s">
        <v>905</v>
      </c>
      <c r="G2194" s="14" t="str">
        <f t="array" ref="G2194">IF(B2194="", "",
  LET(_xlpm.spell, IFERROR(IF(F2194="", "", INDEX(_xlws.FILTER(Hairstyles!$F:$F, ISNUMBER(SEARCH(F2194, Hairstyles!$B:$B))), 1)), "No Spell for Hairstyle"),
  _xlpm.vanillaPrefix, IF(LEFT(_xlpm.spell, 7)="Uvi_Wig", "", ";"),
  ";" &amp; IF(C2194="", B2194, C2194) &amp; IF(M2194="", "", " ("&amp;M2194&amp;")") &amp; CHAR(10) &amp;
  _xlpm.vanillaPrefix &amp; "Keyword = Uvi_Wig_Distr_KYWD|" &amp; B2194 &amp; CHAR(10) &amp;
  _xlpm.vanillaPrefix &amp; "Spell = " &amp; _xlpm.spell &amp; "|" &amp; B2194
  )
)</f>
        <v>;dunForelhostLvlGhostTankFemale
;Keyword = Uvi_Wig_Distr_KYWD|dunForelhostLvlGhostTankFemale
;Spell = No Spell for Hairstyle|dunForelhostLvlGhostTankFemale</v>
      </c>
    </row>
    <row r="2195" ht="12.75" customHeight="1">
      <c r="A2195" s="5" t="s">
        <v>6758</v>
      </c>
      <c r="B2195" s="5" t="s">
        <v>6759</v>
      </c>
      <c r="D2195" s="5" t="s">
        <v>38</v>
      </c>
      <c r="E2195" s="5" t="s">
        <v>233</v>
      </c>
      <c r="F2195" s="5" t="s">
        <v>1919</v>
      </c>
      <c r="G2195" s="14" t="str">
        <f t="array" ref="G2195">IF(B2195="", "",
  LET(_xlpm.spell, IFERROR(IF(F2195="", "", INDEX(_xlws.FILTER(Hairstyles!$F:$F, ISNUMBER(SEARCH(F2195, Hairstyles!$B:$B))), 1)), "No Spell for Hairstyle"),
  _xlpm.vanillaPrefix, IF(LEFT(_xlpm.spell, 7)="Uvi_Wig", "", ";"),
  ";" &amp; IF(C2195="", B2195, C2195) &amp; IF(M2195="", "", " ("&amp;M2195&amp;")") &amp; CHAR(10) &amp;
  _xlpm.vanillaPrefix &amp; "Keyword = Uvi_Wig_Distr_KYWD|" &amp; B2195 &amp; CHAR(10) &amp;
  _xlpm.vanillaPrefix &amp; "Spell = " &amp; _xlpm.spell &amp; "|" &amp; B2195
  )
)</f>
        <v>;dunForelhostLvlGhostTankMale
;Keyword = Uvi_Wig_Distr_KYWD|dunForelhostLvlGhostTankMale
;Spell = No Spell for Hairstyle|dunForelhostLvlGhostTankMale</v>
      </c>
    </row>
    <row r="2196" ht="12.75" customHeight="1">
      <c r="A2196" s="5" t="s">
        <v>6760</v>
      </c>
      <c r="B2196" s="5" t="s">
        <v>6761</v>
      </c>
      <c r="D2196" s="5" t="s">
        <v>38</v>
      </c>
      <c r="E2196" s="5" t="s">
        <v>41</v>
      </c>
      <c r="F2196" s="5" t="s">
        <v>42</v>
      </c>
      <c r="G2196" s="14" t="str">
        <f t="array" ref="G2196">IF(B2196="", "",
  LET(_xlpm.spell, IFERROR(IF(F2196="", "", INDEX(_xlws.FILTER(Hairstyles!$F:$F, ISNUMBER(SEARCH(F2196, Hairstyles!$B:$B))), 1)), "No Spell for Hairstyle"),
  _xlpm.vanillaPrefix, IF(LEFT(_xlpm.spell, 7)="Uvi_Wig", "", ";"),
  ";" &amp; IF(C2196="", B2196, C2196) &amp; IF(M2196="", "", " ("&amp;M2196&amp;")") &amp; CHAR(10) &amp;
  _xlpm.vanillaPrefix &amp; "Keyword = Uvi_Wig_Distr_KYWD|" &amp; B2196 &amp; CHAR(10) &amp;
  _xlpm.vanillaPrefix &amp; "Spell = " &amp; _xlpm.spell &amp; "|" &amp; B2196
  )
)</f>
        <v>;dunForelhostLvlGhostWizardFemale
;Keyword = Uvi_Wig_Distr_KYWD|dunForelhostLvlGhostWizardFemale
;Spell = No Spell for Hairstyle|dunForelhostLvlGhostWizardFemale</v>
      </c>
    </row>
    <row r="2197" ht="12.75" customHeight="1">
      <c r="A2197" s="5" t="s">
        <v>6762</v>
      </c>
      <c r="B2197" s="5" t="s">
        <v>6763</v>
      </c>
      <c r="D2197" s="5" t="s">
        <v>38</v>
      </c>
      <c r="E2197" s="5" t="s">
        <v>233</v>
      </c>
      <c r="F2197" s="5" t="s">
        <v>1919</v>
      </c>
      <c r="G2197" s="14" t="str">
        <f t="array" ref="G2197">IF(B2197="", "",
  LET(_xlpm.spell, IFERROR(IF(F2197="", "", INDEX(_xlws.FILTER(Hairstyles!$F:$F, ISNUMBER(SEARCH(F2197, Hairstyles!$B:$B))), 1)), "No Spell for Hairstyle"),
  _xlpm.vanillaPrefix, IF(LEFT(_xlpm.spell, 7)="Uvi_Wig", "", ";"),
  ";" &amp; IF(C2197="", B2197, C2197) &amp; IF(M2197="", "", " ("&amp;M2197&amp;")") &amp; CHAR(10) &amp;
  _xlpm.vanillaPrefix &amp; "Keyword = Uvi_Wig_Distr_KYWD|" &amp; B2197 &amp; CHAR(10) &amp;
  _xlpm.vanillaPrefix &amp; "Spell = " &amp; _xlpm.spell &amp; "|" &amp; B2197
  )
)</f>
        <v>;dunForelhostLvlGhostWizardMale
;Keyword = Uvi_Wig_Distr_KYWD|dunForelhostLvlGhostWizardMale
;Spell = No Spell for Hairstyle|dunForelhostLvlGhostWizardMale</v>
      </c>
    </row>
    <row r="2198" ht="12.75" customHeight="1">
      <c r="A2198" s="15" t="s">
        <v>6764</v>
      </c>
      <c r="B2198" s="5" t="s">
        <v>6765</v>
      </c>
      <c r="D2198" s="5" t="s">
        <v>38</v>
      </c>
      <c r="E2198" s="5" t="s">
        <v>233</v>
      </c>
      <c r="F2198" s="5" t="s">
        <v>990</v>
      </c>
      <c r="G2198" s="14" t="str">
        <f t="array" ref="G2198">IF(B2198="", "",
  LET(_xlpm.spell, IFERROR(IF(F2198="", "", INDEX(_xlws.FILTER(Hairstyles!$F:$F, ISNUMBER(SEARCH(F2198, Hairstyles!$B:$B))), 1)), "No Spell for Hairstyle"),
  _xlpm.vanillaPrefix, IF(LEFT(_xlpm.spell, 7)="Uvi_Wig", "", ";"),
  ";" &amp; IF(C2198="", B2198, C2198) &amp; IF(M2198="", "", " ("&amp;M2198&amp;")") &amp; CHAR(10) &amp;
  _xlpm.vanillaPrefix &amp; "Keyword = Uvi_Wig_Distr_KYWD|" &amp; B2198 &amp; CHAR(10) &amp;
  _xlpm.vanillaPrefix &amp; "Spell = " &amp; _xlpm.spell &amp; "|" &amp; B2198
  )
)</f>
        <v>;dunGeirmundsHallAdventurer
;Keyword = Uvi_Wig_Distr_KYWD|dunGeirmundsHallAdventurer
;Spell = No Spell for Hairstyle|dunGeirmundsHallAdventurer</v>
      </c>
    </row>
    <row r="2199" ht="12.75" customHeight="1">
      <c r="A2199" s="15" t="s">
        <v>6766</v>
      </c>
      <c r="B2199" s="5" t="s">
        <v>6767</v>
      </c>
      <c r="D2199" s="5" t="s">
        <v>34</v>
      </c>
      <c r="E2199" s="5" t="s">
        <v>233</v>
      </c>
      <c r="F2199" s="4" t="s">
        <v>1741</v>
      </c>
      <c r="G2199" s="14" t="str">
        <f t="array" ref="G2199">IF(B2199="", "",
  LET(_xlpm.spell, IFERROR(IF(F2199="", "", INDEX(_xlws.FILTER(Hairstyles!$F:$F, ISNUMBER(SEARCH(F2199, Hairstyles!$B:$B))), 1)), "No Spell for Hairstyle"),
  _xlpm.vanillaPrefix, IF(LEFT(_xlpm.spell, 7)="Uvi_Wig", "", ";"),
  ";" &amp; IF(C2199="", B2199, C2199) &amp; IF(M2199="", "", " ("&amp;M2199&amp;")") &amp; CHAR(10) &amp;
  _xlpm.vanillaPrefix &amp; "Keyword = Uvi_Wig_Distr_KYWD|" &amp; B2199 &amp; CHAR(10) &amp;
  _xlpm.vanillaPrefix &amp; "Spell = " &amp; _xlpm.spell &amp; "|" &amp; B2199
  )
)</f>
        <v>;dunHaemarsShame_LvlVampireBoss
;Keyword = Uvi_Wig_Distr_KYWD|dunHaemarsShame_LvlVampireBoss
;Spell = No Spell for Hairstyle|dunHaemarsShame_LvlVampireBoss</v>
      </c>
    </row>
    <row r="2200" ht="12.75" customHeight="1">
      <c r="A2200" s="5" t="s">
        <v>6768</v>
      </c>
      <c r="B2200" s="5" t="s">
        <v>6769</v>
      </c>
      <c r="D2200" s="5" t="s">
        <v>16</v>
      </c>
      <c r="E2200" s="5" t="s">
        <v>41</v>
      </c>
      <c r="F2200" s="5" t="s">
        <v>69</v>
      </c>
      <c r="G2200" s="14" t="str">
        <f t="array" ref="G2200">IF(B2200="", "",
  LET(_xlpm.spell, IFERROR(IF(F2200="", "", INDEX(_xlws.FILTER(Hairstyles!$F:$F, ISNUMBER(SEARCH(F2200, Hairstyles!$B:$B))), 1)), "No Spell for Hairstyle"),
  _xlpm.vanillaPrefix, IF(LEFT(_xlpm.spell, 7)="Uvi_Wig", "", ";"),
  ";" &amp; IF(C2200="", B2200, C2200) &amp; IF(M2200="", "", " ("&amp;M2200&amp;")") &amp; CHAR(10) &amp;
  _xlpm.vanillaPrefix &amp; "Keyword = Uvi_Wig_Distr_KYWD|" &amp; B2200 &amp; CHAR(10) &amp;
  _xlpm.vanillaPrefix &amp; "Spell = " &amp; _xlpm.spell &amp; "|" &amp; B2200
  )
)</f>
        <v>;dunHagsEndSacrifice
;Keyword = Uvi_Wig_Distr_KYWD|dunHagsEndSacrifice
;Spell = No Spell for Hairstyle|dunHagsEndSacrifice</v>
      </c>
    </row>
    <row r="2201" ht="12.75" customHeight="1">
      <c r="A2201" s="5" t="s">
        <v>6770</v>
      </c>
      <c r="B2201" s="5" t="s">
        <v>6771</v>
      </c>
      <c r="D2201" s="5" t="s">
        <v>38</v>
      </c>
      <c r="E2201" s="5" t="s">
        <v>233</v>
      </c>
      <c r="F2201" s="5" t="s">
        <v>1622</v>
      </c>
      <c r="G2201" s="14" t="str">
        <f t="array" ref="G2201">IF(B2201="", "",
  LET(_xlpm.spell, IFERROR(IF(F2201="", "", INDEX(_xlws.FILTER(Hairstyles!$F:$F, ISNUMBER(SEARCH(F2201, Hairstyles!$B:$B))), 1)), "No Spell for Hairstyle"),
  _xlpm.vanillaPrefix, IF(LEFT(_xlpm.spell, 7)="Uvi_Wig", "", ";"),
  ";" &amp; IF(C2201="", B2201, C2201) &amp; IF(M2201="", "", " ("&amp;M2201&amp;")") &amp; CHAR(10) &amp;
  _xlpm.vanillaPrefix &amp; "Keyword = Uvi_Wig_Distr_KYWD|" &amp; B2201 &amp; CHAR(10) &amp;
  _xlpm.vanillaPrefix &amp; "Spell = " &amp; _xlpm.spell &amp; "|" &amp; B2201
  )
)</f>
        <v>;dunHalldirs_LvlBanditGhostMelee1H
;Keyword = Uvi_Wig_Distr_KYWD|dunHalldirs_LvlBanditGhostMelee1H
;Spell = No Spell for Hairstyle|dunHalldirs_LvlBanditGhostMelee1H</v>
      </c>
    </row>
    <row r="2202" ht="12.75" customHeight="1">
      <c r="A2202" s="5" t="s">
        <v>6772</v>
      </c>
      <c r="B2202" s="5" t="s">
        <v>6773</v>
      </c>
      <c r="D2202" s="5" t="s">
        <v>38</v>
      </c>
      <c r="E2202" s="5" t="s">
        <v>233</v>
      </c>
      <c r="F2202" s="5" t="s">
        <v>1622</v>
      </c>
      <c r="G2202" s="14" t="str">
        <f t="array" ref="G2202">IF(B2202="", "",
  LET(_xlpm.spell, IFERROR(IF(F2202="", "", INDEX(_xlws.FILTER(Hairstyles!$F:$F, ISNUMBER(SEARCH(F2202, Hairstyles!$B:$B))), 1)), "No Spell for Hairstyle"),
  _xlpm.vanillaPrefix, IF(LEFT(_xlpm.spell, 7)="Uvi_Wig", "", ";"),
  ";" &amp; IF(C2202="", B2202, C2202) &amp; IF(M2202="", "", " ("&amp;M2202&amp;")") &amp; CHAR(10) &amp;
  _xlpm.vanillaPrefix &amp; "Keyword = Uvi_Wig_Distr_KYWD|" &amp; B2202 &amp; CHAR(10) &amp;
  _xlpm.vanillaPrefix &amp; "Spell = " &amp; _xlpm.spell &amp; "|" &amp; B2202
  )
)</f>
        <v>;dunHalldirs_LvlBanditGhostMelee1HAmbush
;Keyword = Uvi_Wig_Distr_KYWD|dunHalldirs_LvlBanditGhostMelee1HAmbush
;Spell = No Spell for Hairstyle|dunHalldirs_LvlBanditGhostMelee1HAmbush</v>
      </c>
    </row>
    <row r="2203" ht="12.75" customHeight="1">
      <c r="A2203" s="5" t="s">
        <v>6774</v>
      </c>
      <c r="B2203" s="5" t="s">
        <v>6775</v>
      </c>
      <c r="D2203" s="5" t="s">
        <v>38</v>
      </c>
      <c r="E2203" s="5" t="s">
        <v>233</v>
      </c>
      <c r="F2203" s="5" t="s">
        <v>346</v>
      </c>
      <c r="G2203" s="14" t="str">
        <f t="array" ref="G2203">IF(B2203="", "",
  LET(_xlpm.spell, IFERROR(IF(F2203="", "", INDEX(_xlws.FILTER(Hairstyles!$F:$F, ISNUMBER(SEARCH(F2203, Hairstyles!$B:$B))), 1)), "No Spell for Hairstyle"),
  _xlpm.vanillaPrefix, IF(LEFT(_xlpm.spell, 7)="Uvi_Wig", "", ";"),
  ";" &amp; IF(C2203="", B2203, C2203) &amp; IF(M2203="", "", " ("&amp;M2203&amp;")") &amp; CHAR(10) &amp;
  _xlpm.vanillaPrefix &amp; "Keyword = Uvi_Wig_Distr_KYWD|" &amp; B2203 &amp; CHAR(10) &amp;
  _xlpm.vanillaPrefix &amp; "Spell = " &amp; _xlpm.spell &amp; "|" &amp; B2203
  )
)</f>
        <v>;dunHalldirs_LvlBanditGhostMeleeBerserker
;Keyword = Uvi_Wig_Distr_KYWD|dunHalldirs_LvlBanditGhostMeleeBerserker
;Spell = No Spell for Hairstyle|dunHalldirs_LvlBanditGhostMeleeBerserker</v>
      </c>
    </row>
    <row r="2204" ht="12.75" customHeight="1">
      <c r="A2204" s="5" t="s">
        <v>6776</v>
      </c>
      <c r="B2204" s="5" t="s">
        <v>6777</v>
      </c>
      <c r="D2204" s="5" t="s">
        <v>38</v>
      </c>
      <c r="E2204" s="5" t="s">
        <v>233</v>
      </c>
      <c r="F2204" s="5" t="s">
        <v>346</v>
      </c>
      <c r="G2204" s="14" t="str">
        <f t="array" ref="G2204">IF(B2204="", "",
  LET(_xlpm.spell, IFERROR(IF(F2204="", "", INDEX(_xlws.FILTER(Hairstyles!$F:$F, ISNUMBER(SEARCH(F2204, Hairstyles!$B:$B))), 1)), "No Spell for Hairstyle"),
  _xlpm.vanillaPrefix, IF(LEFT(_xlpm.spell, 7)="Uvi_Wig", "", ";"),
  ";" &amp; IF(C2204="", B2204, C2204) &amp; IF(M2204="", "", " ("&amp;M2204&amp;")") &amp; CHAR(10) &amp;
  _xlpm.vanillaPrefix &amp; "Keyword = Uvi_Wig_Distr_KYWD|" &amp; B2204 &amp; CHAR(10) &amp;
  _xlpm.vanillaPrefix &amp; "Spell = " &amp; _xlpm.spell &amp; "|" &amp; B2204
  )
)</f>
        <v>;dunHalldirs_LvlBanditGhostMeleeBerserkerAmbush
;Keyword = Uvi_Wig_Distr_KYWD|dunHalldirs_LvlBanditGhostMeleeBerserkerAmbush
;Spell = No Spell for Hairstyle|dunHalldirs_LvlBanditGhostMeleeBerserkerAmbush</v>
      </c>
    </row>
    <row r="2205" ht="12.75" customHeight="1">
      <c r="A2205" s="5" t="s">
        <v>6778</v>
      </c>
      <c r="B2205" s="5" t="s">
        <v>6779</v>
      </c>
      <c r="D2205" s="5" t="s">
        <v>38</v>
      </c>
      <c r="E2205" s="5" t="s">
        <v>233</v>
      </c>
      <c r="F2205" s="5" t="s">
        <v>68</v>
      </c>
      <c r="G2205" s="14" t="str">
        <f t="array" ref="G2205">IF(B2205="", "",
  LET(_xlpm.spell, IFERROR(IF(F2205="", "", INDEX(_xlws.FILTER(Hairstyles!$F:$F, ISNUMBER(SEARCH(F2205, Hairstyles!$B:$B))), 1)), "No Spell for Hairstyle"),
  _xlpm.vanillaPrefix, IF(LEFT(_xlpm.spell, 7)="Uvi_Wig", "", ";"),
  ";" &amp; IF(C2205="", B2205, C2205) &amp; IF(M2205="", "", " ("&amp;M2205&amp;")") &amp; CHAR(10) &amp;
  _xlpm.vanillaPrefix &amp; "Keyword = Uvi_Wig_Distr_KYWD|" &amp; B2205 &amp; CHAR(10) &amp;
  _xlpm.vanillaPrefix &amp; "Spell = " &amp; _xlpm.spell &amp; "|" &amp; B2205
  )
)</f>
        <v>;dunHalldirs_LvlBanditGhostMeleeTank
;Keyword = Uvi_Wig_Distr_KYWD|dunHalldirs_LvlBanditGhostMeleeTank
;Spell = No Spell for Hairstyle|dunHalldirs_LvlBanditGhostMeleeTank</v>
      </c>
    </row>
    <row r="2206" ht="12.75" customHeight="1">
      <c r="A2206" s="5" t="s">
        <v>6780</v>
      </c>
      <c r="B2206" s="5" t="s">
        <v>6781</v>
      </c>
      <c r="D2206" s="5" t="s">
        <v>38</v>
      </c>
      <c r="E2206" s="5" t="s">
        <v>233</v>
      </c>
      <c r="F2206" s="5" t="s">
        <v>68</v>
      </c>
      <c r="G2206" s="14" t="str">
        <f t="array" ref="G2206">IF(B2206="", "",
  LET(_xlpm.spell, IFERROR(IF(F2206="", "", INDEX(_xlws.FILTER(Hairstyles!$F:$F, ISNUMBER(SEARCH(F2206, Hairstyles!$B:$B))), 1)), "No Spell for Hairstyle"),
  _xlpm.vanillaPrefix, IF(LEFT(_xlpm.spell, 7)="Uvi_Wig", "", ";"),
  ";" &amp; IF(C2206="", B2206, C2206) &amp; IF(M2206="", "", " ("&amp;M2206&amp;")") &amp; CHAR(10) &amp;
  _xlpm.vanillaPrefix &amp; "Keyword = Uvi_Wig_Distr_KYWD|" &amp; B2206 &amp; CHAR(10) &amp;
  _xlpm.vanillaPrefix &amp; "Spell = " &amp; _xlpm.spell &amp; "|" &amp; B2206
  )
)</f>
        <v>;dunHalldirs_LvlBanditGhostMeleeTankAmbush
;Keyword = Uvi_Wig_Distr_KYWD|dunHalldirs_LvlBanditGhostMeleeTankAmbush
;Spell = No Spell for Hairstyle|dunHalldirs_LvlBanditGhostMeleeTankAmbush</v>
      </c>
    </row>
    <row r="2207" ht="12.75" customHeight="1">
      <c r="A2207" s="5" t="s">
        <v>6782</v>
      </c>
      <c r="B2207" s="5" t="s">
        <v>6783</v>
      </c>
      <c r="D2207" s="5" t="s">
        <v>38</v>
      </c>
      <c r="E2207" s="5" t="s">
        <v>233</v>
      </c>
      <c r="F2207" s="5" t="s">
        <v>990</v>
      </c>
      <c r="G2207" s="14" t="str">
        <f t="array" ref="G2207">IF(B2207="", "",
  LET(_xlpm.spell, IFERROR(IF(F2207="", "", INDEX(_xlws.FILTER(Hairstyles!$F:$F, ISNUMBER(SEARCH(F2207, Hairstyles!$B:$B))), 1)), "No Spell for Hairstyle"),
  _xlpm.vanillaPrefix, IF(LEFT(_xlpm.spell, 7)="Uvi_Wig", "", ";"),
  ";" &amp; IF(C2207="", B2207, C2207) &amp; IF(M2207="", "", " ("&amp;M2207&amp;")") &amp; CHAR(10) &amp;
  _xlpm.vanillaPrefix &amp; "Keyword = Uvi_Wig_Distr_KYWD|" &amp; B2207 &amp; CHAR(10) &amp;
  _xlpm.vanillaPrefix &amp; "Spell = " &amp; _xlpm.spell &amp; "|" &amp; B2207
  )
)</f>
        <v>;dunHalldirs_LvlBanditGhostMissile
;Keyword = Uvi_Wig_Distr_KYWD|dunHalldirs_LvlBanditGhostMissile
;Spell = No Spell for Hairstyle|dunHalldirs_LvlBanditGhostMissile</v>
      </c>
    </row>
    <row r="2208" ht="12.75" customHeight="1">
      <c r="A2208" s="5" t="s">
        <v>6784</v>
      </c>
      <c r="B2208" s="5" t="s">
        <v>6785</v>
      </c>
      <c r="D2208" s="5" t="s">
        <v>38</v>
      </c>
      <c r="E2208" s="5" t="s">
        <v>233</v>
      </c>
      <c r="F2208" s="5" t="s">
        <v>990</v>
      </c>
      <c r="G2208" s="14" t="str">
        <f t="array" ref="G2208">IF(B2208="", "",
  LET(_xlpm.spell, IFERROR(IF(F2208="", "", INDEX(_xlws.FILTER(Hairstyles!$F:$F, ISNUMBER(SEARCH(F2208, Hairstyles!$B:$B))), 1)), "No Spell for Hairstyle"),
  _xlpm.vanillaPrefix, IF(LEFT(_xlpm.spell, 7)="Uvi_Wig", "", ";"),
  ";" &amp; IF(C2208="", B2208, C2208) &amp; IF(M2208="", "", " ("&amp;M2208&amp;")") &amp; CHAR(10) &amp;
  _xlpm.vanillaPrefix &amp; "Keyword = Uvi_Wig_Distr_KYWD|" &amp; B2208 &amp; CHAR(10) &amp;
  _xlpm.vanillaPrefix &amp; "Spell = " &amp; _xlpm.spell &amp; "|" &amp; B2208
  )
)</f>
        <v>;dunHalldirs_LvlBanditGhostMissileAmbush
;Keyword = Uvi_Wig_Distr_KYWD|dunHalldirs_LvlBanditGhostMissileAmbush
;Spell = No Spell for Hairstyle|dunHalldirs_LvlBanditGhostMissileAmbush</v>
      </c>
    </row>
    <row r="2209" ht="12.75" customHeight="1">
      <c r="A2209" s="5" t="s">
        <v>6786</v>
      </c>
      <c r="B2209" s="5" t="s">
        <v>6787</v>
      </c>
      <c r="D2209" s="5" t="s">
        <v>38</v>
      </c>
      <c r="E2209" s="5" t="s">
        <v>233</v>
      </c>
      <c r="F2209" s="5" t="s">
        <v>990</v>
      </c>
      <c r="G2209" s="14" t="str">
        <f t="array" ref="G2209">IF(B2209="", "",
  LET(_xlpm.spell, IFERROR(IF(F2209="", "", INDEX(_xlws.FILTER(Hairstyles!$F:$F, ISNUMBER(SEARCH(F2209, Hairstyles!$B:$B))), 1)), "No Spell for Hairstyle"),
  _xlpm.vanillaPrefix, IF(LEFT(_xlpm.spell, 7)="Uvi_Wig", "", ";"),
  ";" &amp; IF(C2209="", B2209, C2209) &amp; IF(M2209="", "", " ("&amp;M2209&amp;")") &amp; CHAR(10) &amp;
  _xlpm.vanillaPrefix &amp; "Keyword = Uvi_Wig_Distr_KYWD|" &amp; B2209 &amp; CHAR(10) &amp;
  _xlpm.vanillaPrefix &amp; "Spell = " &amp; _xlpm.spell &amp; "|" &amp; B2209
  )
)</f>
        <v>;dunHalldirs_LvlBanditGhostMissileAmbushHoldPos256
;Keyword = Uvi_Wig_Distr_KYWD|dunHalldirs_LvlBanditGhostMissileAmbushHoldPos256
;Spell = No Spell for Hairstyle|dunHalldirs_LvlBanditGhostMissileAmbushHoldPos256</v>
      </c>
    </row>
    <row r="2210" ht="12.75" customHeight="1">
      <c r="A2210" s="5" t="s">
        <v>6788</v>
      </c>
      <c r="B2210" s="5" t="s">
        <v>6789</v>
      </c>
      <c r="D2210" s="5" t="s">
        <v>59</v>
      </c>
      <c r="E2210" s="5" t="s">
        <v>233</v>
      </c>
      <c r="F2210" s="5" t="s">
        <v>218</v>
      </c>
      <c r="G2210" s="14" t="str">
        <f t="array" ref="G2210">IF(B2210="", "",
  LET(_xlpm.spell, IFERROR(IF(F2210="", "", INDEX(_xlws.FILTER(Hairstyles!$F:$F, ISNUMBER(SEARCH(F2210, Hairstyles!$B:$B))), 1)), "No Spell for Hairstyle"),
  _xlpm.vanillaPrefix, IF(LEFT(_xlpm.spell, 7)="Uvi_Wig", "", ";"),
  ";" &amp; IF(C2210="", B2210, C2210) &amp; IF(M2210="", "", " ("&amp;M2210&amp;")") &amp; CHAR(10) &amp;
  _xlpm.vanillaPrefix &amp; "Keyword = Uvi_Wig_Distr_KYWD|" &amp; B2210 &amp; CHAR(10) &amp;
  _xlpm.vanillaPrefix &amp; "Spell = " &amp; _xlpm.spell &amp; "|" &amp; B2210
  )
)</f>
        <v>;dunKilkreathTreasCorpseImperial
;Keyword = Uvi_Wig_Distr_KYWD|dunKilkreathTreasCorpseImperial
;Spell = No Spell for Hairstyle|dunKilkreathTreasCorpseImperial</v>
      </c>
    </row>
    <row r="2211" ht="12.75" customHeight="1">
      <c r="A2211" s="5" t="s">
        <v>6790</v>
      </c>
      <c r="B2211" s="5" t="s">
        <v>6791</v>
      </c>
      <c r="D2211" s="5" t="s">
        <v>59</v>
      </c>
      <c r="E2211" s="5" t="s">
        <v>41</v>
      </c>
      <c r="F2211" s="5" t="s">
        <v>371</v>
      </c>
      <c r="G2211" s="14" t="str">
        <f t="array" ref="G2211">IF(B2211="", "",
  LET(_xlpm.spell, IFERROR(IF(F2211="", "", INDEX(_xlws.FILTER(Hairstyles!$F:$F, ISNUMBER(SEARCH(F2211, Hairstyles!$B:$B))), 1)), "No Spell for Hairstyle"),
  _xlpm.vanillaPrefix, IF(LEFT(_xlpm.spell, 7)="Uvi_Wig", "", ";"),
  ";" &amp; IF(C2211="", B2211, C2211) &amp; IF(M2211="", "", " ("&amp;M2211&amp;")") &amp; CHAR(10) &amp;
  _xlpm.vanillaPrefix &amp; "Keyword = Uvi_Wig_Distr_KYWD|" &amp; B2211 &amp; CHAR(10) &amp;
  _xlpm.vanillaPrefix &amp; "Spell = " &amp; _xlpm.spell &amp; "|" &amp; B2211
  )
)</f>
        <v>;dunKilkreathTreasCorpseImperialF
;Keyword = Uvi_Wig_Distr_KYWD|dunKilkreathTreasCorpseImperialF
;Spell = No Spell for Hairstyle|dunKilkreathTreasCorpseImperialF</v>
      </c>
    </row>
    <row r="2212" ht="12.75" customHeight="1">
      <c r="A2212" s="5" t="s">
        <v>6792</v>
      </c>
      <c r="B2212" s="5" t="s">
        <v>6793</v>
      </c>
      <c r="D2212" s="5" t="s">
        <v>59</v>
      </c>
      <c r="E2212" s="5" t="s">
        <v>233</v>
      </c>
      <c r="F2212" s="5" t="s">
        <v>19</v>
      </c>
      <c r="G2212" s="14" t="str">
        <f t="array" ref="G2212">IF(B2212="", "",
  LET(_xlpm.spell, IFERROR(IF(F2212="", "", INDEX(_xlws.FILTER(Hairstyles!$F:$F, ISNUMBER(SEARCH(F2212, Hairstyles!$B:$B))), 1)), "No Spell for Hairstyle"),
  _xlpm.vanillaPrefix, IF(LEFT(_xlpm.spell, 7)="Uvi_Wig", "", ";"),
  ";" &amp; IF(C2212="", B2212, C2212) &amp; IF(M2212="", "", " ("&amp;M2212&amp;")") &amp; CHAR(10) &amp;
  _xlpm.vanillaPrefix &amp; "Keyword = Uvi_Wig_Distr_KYWD|" &amp; B2212 &amp; CHAR(10) &amp;
  _xlpm.vanillaPrefix &amp; "Spell = " &amp; _xlpm.spell &amp; "|" &amp; B2212
  )
)</f>
        <v>;dunKilkreathTreasCorpseSons
;Keyword = Uvi_Wig_Distr_KYWD|dunKilkreathTreasCorpseSons
;Spell = No Spell for Hairstyle|dunKilkreathTreasCorpseSons</v>
      </c>
    </row>
    <row r="2213" ht="12.75" customHeight="1">
      <c r="A2213" s="5" t="s">
        <v>6794</v>
      </c>
      <c r="B2213" s="5" t="s">
        <v>6795</v>
      </c>
      <c r="D2213" s="5" t="s">
        <v>59</v>
      </c>
      <c r="E2213" s="5" t="s">
        <v>41</v>
      </c>
      <c r="F2213" s="5" t="s">
        <v>1694</v>
      </c>
      <c r="G2213" s="14" t="str">
        <f t="array" ref="G2213">IF(B2213="", "",
  LET(_xlpm.spell, IFERROR(IF(F2213="", "", INDEX(_xlws.FILTER(Hairstyles!$F:$F, ISNUMBER(SEARCH(F2213, Hairstyles!$B:$B))), 1)), "No Spell for Hairstyle"),
  _xlpm.vanillaPrefix, IF(LEFT(_xlpm.spell, 7)="Uvi_Wig", "", ";"),
  ";" &amp; IF(C2213="", B2213, C2213) &amp; IF(M2213="", "", " ("&amp;M2213&amp;")") &amp; CHAR(10) &amp;
  _xlpm.vanillaPrefix &amp; "Keyword = Uvi_Wig_Distr_KYWD|" &amp; B2213 &amp; CHAR(10) &amp;
  _xlpm.vanillaPrefix &amp; "Spell = " &amp; _xlpm.spell &amp; "|" &amp; B2213
  )
)</f>
        <v>;dunKilkreathTreasCorpseSonsF
;Keyword = Uvi_Wig_Distr_KYWD|dunKilkreathTreasCorpseSonsF
;Spell = No Spell for Hairstyle|dunKilkreathTreasCorpseSonsF</v>
      </c>
    </row>
    <row r="2214" ht="12.75" customHeight="1">
      <c r="A2214" s="5" t="s">
        <v>6796</v>
      </c>
      <c r="B2214" s="5" t="s">
        <v>6797</v>
      </c>
      <c r="D2214" s="5" t="s">
        <v>59</v>
      </c>
      <c r="E2214" s="5" t="s">
        <v>233</v>
      </c>
      <c r="F2214" s="5" t="s">
        <v>84</v>
      </c>
      <c r="G2214" s="14" t="str">
        <f t="array" ref="G2214">IF(B2214="", "",
  LET(_xlpm.spell, IFERROR(IF(F2214="", "", INDEX(_xlws.FILTER(Hairstyles!$F:$F, ISNUMBER(SEARCH(F2214, Hairstyles!$B:$B))), 1)), "No Spell for Hairstyle"),
  _xlpm.vanillaPrefix, IF(LEFT(_xlpm.spell, 7)="Uvi_Wig", "", ";"),
  ";" &amp; IF(C2214="", B2214, C2214) &amp; IF(M2214="", "", " ("&amp;M2214&amp;")") &amp; CHAR(10) &amp;
  _xlpm.vanillaPrefix &amp; "Keyword = Uvi_Wig_Distr_KYWD|" &amp; B2214 &amp; CHAR(10) &amp;
  _xlpm.vanillaPrefix &amp; "Spell = " &amp; _xlpm.spell &amp; "|" &amp; B2214
  )
)</f>
        <v>;dunKorvanjundImpSoldierDead
;Keyword = Uvi_Wig_Distr_KYWD|dunKorvanjundImpSoldierDead
;Spell = No Spell for Hairstyle|dunKorvanjundImpSoldierDead</v>
      </c>
    </row>
    <row r="2215" ht="12.75" customHeight="1">
      <c r="A2215" s="5" t="s">
        <v>6798</v>
      </c>
      <c r="B2215" s="5" t="s">
        <v>6799</v>
      </c>
      <c r="D2215" s="5" t="s">
        <v>38</v>
      </c>
      <c r="E2215" s="5" t="s">
        <v>233</v>
      </c>
      <c r="F2215" s="5" t="s">
        <v>695</v>
      </c>
      <c r="G2215" s="14" t="str">
        <f t="array" ref="G2215">IF(B2215="", "",
  LET(_xlpm.spell, IFERROR(IF(F2215="", "", INDEX(_xlws.FILTER(Hairstyles!$F:$F, ISNUMBER(SEARCH(F2215, Hairstyles!$B:$B))), 1)), "No Spell for Hairstyle"),
  _xlpm.vanillaPrefix, IF(LEFT(_xlpm.spell, 7)="Uvi_Wig", "", ";"),
  ";" &amp; IF(C2215="", B2215, C2215) &amp; IF(M2215="", "", " ("&amp;M2215&amp;")") &amp; CHAR(10) &amp;
  _xlpm.vanillaPrefix &amp; "Keyword = Uvi_Wig_Distr_KYWD|" &amp; B2215 &amp; CHAR(10) &amp;
  _xlpm.vanillaPrefix &amp; "Spell = " &amp; _xlpm.spell &amp; "|" &amp; B2215
  )
)</f>
        <v>;dunKorvanjundSonsSoldierDead
;Keyword = Uvi_Wig_Distr_KYWD|dunKorvanjundSonsSoldierDead
;Spell = No Spell for Hairstyle|dunKorvanjundSonsSoldierDead</v>
      </c>
    </row>
    <row r="2216" ht="12.75" customHeight="1">
      <c r="A2216" s="5" t="s">
        <v>6800</v>
      </c>
      <c r="B2216" s="5" t="s">
        <v>6801</v>
      </c>
      <c r="D2216" s="5" t="s">
        <v>16</v>
      </c>
      <c r="E2216" s="5" t="s">
        <v>41</v>
      </c>
      <c r="F2216" s="5" t="s">
        <v>1063</v>
      </c>
      <c r="G2216" s="14" t="str">
        <f t="array" ref="G2216">IF(B2216="", "",
  LET(_xlpm.spell, IFERROR(IF(F2216="", "", INDEX(_xlws.FILTER(Hairstyles!$F:$F, ISNUMBER(SEARCH(F2216, Hairstyles!$B:$B))), 1)), "No Spell for Hairstyle"),
  _xlpm.vanillaPrefix, IF(LEFT(_xlpm.spell, 7)="Uvi_Wig", "", ";"),
  ";" &amp; IF(C2216="", B2216, C2216) &amp; IF(M2216="", "", " ("&amp;M2216&amp;")") &amp; CHAR(10) &amp;
  _xlpm.vanillaPrefix &amp; "Keyword = Uvi_Wig_Distr_KYWD|" &amp; B2216 &amp; CHAR(10) &amp;
  _xlpm.vanillaPrefix &amp; "Spell = " &amp; _xlpm.spell &amp; "|" &amp; B2216
  )
)</f>
        <v>;dunLiarsRetreatWenchCorpse
;Keyword = Uvi_Wig_Distr_KYWD|dunLiarsRetreatWenchCorpse
;Spell = No Spell for Hairstyle|dunLiarsRetreatWenchCorpse</v>
      </c>
    </row>
    <row r="2217" ht="12.75" customHeight="1">
      <c r="A2217" s="5" t="s">
        <v>6802</v>
      </c>
      <c r="B2217" s="5" t="s">
        <v>6803</v>
      </c>
      <c r="D2217" s="5" t="s">
        <v>38</v>
      </c>
      <c r="E2217" s="5" t="s">
        <v>233</v>
      </c>
      <c r="F2217" s="5" t="s">
        <v>68</v>
      </c>
      <c r="G2217" s="14" t="str">
        <f t="array" ref="G2217">IF(B2217="", "",
  LET(_xlpm.spell, IFERROR(IF(F2217="", "", INDEX(_xlws.FILTER(Hairstyles!$F:$F, ISNUMBER(SEARCH(F2217, Hairstyles!$B:$B))), 1)), "No Spell for Hairstyle"),
  _xlpm.vanillaPrefix, IF(LEFT(_xlpm.spell, 7)="Uvi_Wig", "", ";"),
  ";" &amp; IF(C2217="", B2217, C2217) &amp; IF(M2217="", "", " ("&amp;M2217&amp;")") &amp; CHAR(10) &amp;
  _xlpm.vanillaPrefix &amp; "Keyword = Uvi_Wig_Distr_KYWD|" &amp; B2217 &amp; CHAR(10) &amp;
  _xlpm.vanillaPrefix &amp; "Spell = " &amp; _xlpm.spell &amp; "|" &amp; B2217
  )
)</f>
        <v>;DunLostKnifeBanditBoss
;Keyword = Uvi_Wig_Distr_KYWD|DunLostKnifeBanditBoss
;Spell = No Spell for Hairstyle|DunLostKnifeBanditBoss</v>
      </c>
    </row>
    <row r="2218" ht="12.75" customHeight="1">
      <c r="A2218" s="5" t="s">
        <v>6804</v>
      </c>
      <c r="B2218" s="5" t="s">
        <v>6805</v>
      </c>
      <c r="D2218" s="5" t="s">
        <v>38</v>
      </c>
      <c r="E2218" s="5" t="s">
        <v>233</v>
      </c>
      <c r="F2218" s="5" t="s">
        <v>1553</v>
      </c>
      <c r="G2218" s="14" t="str">
        <f t="array" ref="G2218">IF(B2218="", "",
  LET(_xlpm.spell, IFERROR(IF(F2218="", "", INDEX(_xlws.FILTER(Hairstyles!$F:$F, ISNUMBER(SEARCH(F2218, Hairstyles!$B:$B))), 1)), "No Spell for Hairstyle"),
  _xlpm.vanillaPrefix, IF(LEFT(_xlpm.spell, 7)="Uvi_Wig", "", ";"),
  ";" &amp; IF(C2218="", B2218, C2218) &amp; IF(M2218="", "", " ("&amp;M2218&amp;")") &amp; CHAR(10) &amp;
  _xlpm.vanillaPrefix &amp; "Keyword = Uvi_Wig_Distr_KYWD|" &amp; B2218 &amp; CHAR(10) &amp;
  _xlpm.vanillaPrefix &amp; "Spell = " &amp; _xlpm.spell &amp; "|" &amp; B2218
  )
)</f>
        <v>;DunLostKnifeBanditTalk01a
;Keyword = Uvi_Wig_Distr_KYWD|DunLostKnifeBanditTalk01a
;Spell = No Spell for Hairstyle|DunLostKnifeBanditTalk01a</v>
      </c>
    </row>
    <row r="2219" ht="12.75" customHeight="1">
      <c r="A2219" s="5" t="s">
        <v>6806</v>
      </c>
      <c r="B2219" s="5" t="s">
        <v>6807</v>
      </c>
      <c r="D2219" s="5" t="s">
        <v>38</v>
      </c>
      <c r="E2219" s="5" t="s">
        <v>233</v>
      </c>
      <c r="F2219" s="5" t="s">
        <v>424</v>
      </c>
      <c r="G2219" s="14" t="str">
        <f t="array" ref="G2219">IF(B2219="", "",
  LET(_xlpm.spell, IFERROR(IF(F2219="", "", INDEX(_xlws.FILTER(Hairstyles!$F:$F, ISNUMBER(SEARCH(F2219, Hairstyles!$B:$B))), 1)), "No Spell for Hairstyle"),
  _xlpm.vanillaPrefix, IF(LEFT(_xlpm.spell, 7)="Uvi_Wig", "", ";"),
  ";" &amp; IF(C2219="", B2219, C2219) &amp; IF(M2219="", "", " ("&amp;M2219&amp;")") &amp; CHAR(10) &amp;
  _xlpm.vanillaPrefix &amp; "Keyword = Uvi_Wig_Distr_KYWD|" &amp; B2219 &amp; CHAR(10) &amp;
  _xlpm.vanillaPrefix &amp; "Spell = " &amp; _xlpm.spell &amp; "|" &amp; B2219
  )
)</f>
        <v>;DunLostKnifeBanditTalk01b
;Keyword = Uvi_Wig_Distr_KYWD|DunLostKnifeBanditTalk01b
;Spell = No Spell for Hairstyle|DunLostKnifeBanditTalk01b</v>
      </c>
    </row>
    <row r="2220" ht="12.75" customHeight="1">
      <c r="A2220" s="5" t="s">
        <v>6808</v>
      </c>
      <c r="B2220" s="5" t="s">
        <v>6809</v>
      </c>
      <c r="D2220" s="5" t="s">
        <v>38</v>
      </c>
      <c r="E2220" s="5" t="s">
        <v>233</v>
      </c>
      <c r="F2220" s="5" t="s">
        <v>1622</v>
      </c>
      <c r="G2220" s="14" t="str">
        <f t="array" ref="G2220">IF(B2220="", "",
  LET(_xlpm.spell, IFERROR(IF(F2220="", "", INDEX(_xlws.FILTER(Hairstyles!$F:$F, ISNUMBER(SEARCH(F2220, Hairstyles!$B:$B))), 1)), "No Spell for Hairstyle"),
  _xlpm.vanillaPrefix, IF(LEFT(_xlpm.spell, 7)="Uvi_Wig", "", ";"),
  ";" &amp; IF(C2220="", B2220, C2220) &amp; IF(M2220="", "", " ("&amp;M2220&amp;")") &amp; CHAR(10) &amp;
  _xlpm.vanillaPrefix &amp; "Keyword = Uvi_Wig_Distr_KYWD|" &amp; B2220 &amp; CHAR(10) &amp;
  _xlpm.vanillaPrefix &amp; "Spell = " &amp; _xlpm.spell &amp; "|" &amp; B2220
  )
)</f>
        <v>;DunLostKnifeBanditTalk02a
;Keyword = Uvi_Wig_Distr_KYWD|DunLostKnifeBanditTalk02a
;Spell = No Spell for Hairstyle|DunLostKnifeBanditTalk02a</v>
      </c>
    </row>
    <row r="2221" ht="12.75" customHeight="1">
      <c r="A2221" s="5" t="s">
        <v>6810</v>
      </c>
      <c r="B2221" s="5" t="s">
        <v>6811</v>
      </c>
      <c r="D2221" s="5" t="s">
        <v>16</v>
      </c>
      <c r="E2221" s="5" t="s">
        <v>233</v>
      </c>
      <c r="F2221" s="5" t="s">
        <v>19</v>
      </c>
      <c r="G2221" s="14" t="str">
        <f t="array" ref="G2221">IF(B2221="", "",
  LET(_xlpm.spell, IFERROR(IF(F2221="", "", INDEX(_xlws.FILTER(Hairstyles!$F:$F, ISNUMBER(SEARCH(F2221, Hairstyles!$B:$B))), 1)), "No Spell for Hairstyle"),
  _xlpm.vanillaPrefix, IF(LEFT(_xlpm.spell, 7)="Uvi_Wig", "", ";"),
  ";" &amp; IF(C2221="", B2221, C2221) &amp; IF(M2221="", "", " ("&amp;M2221&amp;")") &amp; CHAR(10) &amp;
  _xlpm.vanillaPrefix &amp; "Keyword = Uvi_Wig_Distr_KYWD|" &amp; B2221 &amp; CHAR(10) &amp;
  _xlpm.vanillaPrefix &amp; "Spell = " &amp; _xlpm.spell &amp; "|" &amp; B2221
  )
)</f>
        <v>;dunLostValleyRedoubForswornBerserker
;Keyword = Uvi_Wig_Distr_KYWD|dunLostValleyRedoubForswornBerserker
;Spell = No Spell for Hairstyle|dunLostValleyRedoubForswornBerserker</v>
      </c>
    </row>
    <row r="2222" ht="12.75" customHeight="1">
      <c r="A2222" s="5" t="s">
        <v>6812</v>
      </c>
      <c r="B2222" s="5" t="s">
        <v>6813</v>
      </c>
      <c r="D2222" s="5" t="s">
        <v>79</v>
      </c>
      <c r="E2222" s="5" t="s">
        <v>233</v>
      </c>
      <c r="F2222" s="4" t="s">
        <v>1741</v>
      </c>
      <c r="G2222" s="14" t="str">
        <f t="array" ref="G2222">IF(B2222="", "",
  LET(_xlpm.spell, IFERROR(IF(F2222="", "", INDEX(_xlws.FILTER(Hairstyles!$F:$F, ISNUMBER(SEARCH(F2222, Hairstyles!$B:$B))), 1)), "No Spell for Hairstyle"),
  _xlpm.vanillaPrefix, IF(LEFT(_xlpm.spell, 7)="Uvi_Wig", "", ";"),
  ";" &amp; IF(C2222="", B2222, C2222) &amp; IF(M2222="", "", " ("&amp;M2222&amp;")") &amp; CHAR(10) &amp;
  _xlpm.vanillaPrefix &amp; "Keyword = Uvi_Wig_Distr_KYWD|" &amp; B2222 &amp; CHAR(10) &amp;
  _xlpm.vanillaPrefix &amp; "Spell = " &amp; _xlpm.spell &amp; "|" &amp; B2222
  )
)</f>
        <v>;dunMovarthVampireBoss
;Keyword = Uvi_Wig_Distr_KYWD|dunMovarthVampireBoss
;Spell = No Spell for Hairstyle|dunMovarthVampireBoss</v>
      </c>
    </row>
    <row r="2223" ht="12.75" customHeight="1">
      <c r="A2223" s="5" t="s">
        <v>6814</v>
      </c>
      <c r="B2223" s="5" t="s">
        <v>6815</v>
      </c>
      <c r="D2223" s="5" t="s">
        <v>90</v>
      </c>
      <c r="E2223" s="5" t="s">
        <v>233</v>
      </c>
      <c r="F2223" s="5" t="s">
        <v>1667</v>
      </c>
      <c r="G2223" s="14" t="str">
        <f t="array" ref="G2223">IF(B2223="", "",
  LET(_xlpm.spell, IFERROR(IF(F2223="", "", INDEX(_xlws.FILTER(Hairstyles!$F:$F, ISNUMBER(SEARCH(F2223, Hairstyles!$B:$B))), 1)), "No Spell for Hairstyle"),
  _xlpm.vanillaPrefix, IF(LEFT(_xlpm.spell, 7)="Uvi_Wig", "", ";"),
  ";" &amp; IF(C2223="", B2223, C2223) &amp; IF(M2223="", "", " ("&amp;M2223&amp;")") &amp; CHAR(10) &amp;
  _xlpm.vanillaPrefix &amp; "Keyword = Uvi_Wig_Distr_KYWD|" &amp; B2223 &amp; CHAR(10) &amp;
  _xlpm.vanillaPrefix &amp; "Spell = " &amp; _xlpm.spell &amp; "|" &amp; B2223
  )
)</f>
        <v>;dunPOIBanditCorpse2
;Keyword = Uvi_Wig_Distr_KYWD|dunPOIBanditCorpse2
;Spell = No Spell for Hairstyle|dunPOIBanditCorpse2</v>
      </c>
    </row>
    <row r="2224" ht="12.75" customHeight="1">
      <c r="A2224" s="5" t="s">
        <v>6816</v>
      </c>
      <c r="B2224" s="5" t="s">
        <v>6817</v>
      </c>
      <c r="D2224" s="5" t="s">
        <v>38</v>
      </c>
      <c r="E2224" s="5" t="s">
        <v>233</v>
      </c>
      <c r="F2224" s="5" t="s">
        <v>1894</v>
      </c>
      <c r="G2224" s="14" t="str">
        <f t="array" ref="G2224">IF(B2224="", "",
  LET(_xlpm.spell, IFERROR(IF(F2224="", "", INDEX(_xlws.FILTER(Hairstyles!$F:$F, ISNUMBER(SEARCH(F2224, Hairstyles!$B:$B))), 1)), "No Spell for Hairstyle"),
  _xlpm.vanillaPrefix, IF(LEFT(_xlpm.spell, 7)="Uvi_Wig", "", ";"),
  ";" &amp; IF(C2224="", B2224, C2224) &amp; IF(M2224="", "", " ("&amp;M2224&amp;")") &amp; CHAR(10) &amp;
  _xlpm.vanillaPrefix &amp; "Keyword = Uvi_Wig_Distr_KYWD|" &amp; B2224 &amp; CHAR(10) &amp;
  _xlpm.vanillaPrefix &amp; "Spell = " &amp; _xlpm.spell &amp; "|" &amp; B2224
  )
)</f>
        <v>;dunPOIDeadHunter
;Keyword = Uvi_Wig_Distr_KYWD|dunPOIDeadHunter
;Spell = No Spell for Hairstyle|dunPOIDeadHunter</v>
      </c>
    </row>
    <row r="2225" ht="12.75" customHeight="1">
      <c r="A2225" s="5" t="s">
        <v>6818</v>
      </c>
      <c r="B2225" s="5" t="s">
        <v>6819</v>
      </c>
      <c r="D2225" s="5" t="s">
        <v>38</v>
      </c>
      <c r="E2225" s="5" t="s">
        <v>41</v>
      </c>
      <c r="F2225" s="5" t="s">
        <v>1694</v>
      </c>
      <c r="G2225" s="14" t="str">
        <f t="array" ref="G2225">IF(B2225="", "",
  LET(_xlpm.spell, IFERROR(IF(F2225="", "", INDEX(_xlws.FILTER(Hairstyles!$F:$F, ISNUMBER(SEARCH(F2225, Hairstyles!$B:$B))), 1)), "No Spell for Hairstyle"),
  _xlpm.vanillaPrefix, IF(LEFT(_xlpm.spell, 7)="Uvi_Wig", "", ";"),
  ";" &amp; IF(C2225="", B2225, C2225) &amp; IF(M2225="", "", " ("&amp;M2225&amp;")") &amp; CHAR(10) &amp;
  _xlpm.vanillaPrefix &amp; "Keyword = Uvi_Wig_Distr_KYWD|" &amp; B2225 &amp; CHAR(10) &amp;
  _xlpm.vanillaPrefix &amp; "Spell = " &amp; _xlpm.spell &amp; "|" &amp; B2225
  )
)</f>
        <v>;dunPOIReachLoversCorpse01
;Keyword = Uvi_Wig_Distr_KYWD|dunPOIReachLoversCorpse01
;Spell = No Spell for Hairstyle|dunPOIReachLoversCorpse01</v>
      </c>
    </row>
    <row r="2226" ht="12.75" customHeight="1">
      <c r="A2226" s="5" t="s">
        <v>6820</v>
      </c>
      <c r="B2226" s="5" t="s">
        <v>6821</v>
      </c>
      <c r="D2226" s="5" t="s">
        <v>80</v>
      </c>
      <c r="E2226" s="5" t="s">
        <v>233</v>
      </c>
      <c r="F2226" s="5" t="s">
        <v>537</v>
      </c>
      <c r="G2226" s="14" t="str">
        <f t="array" ref="G2226">IF(B2226="", "",
  LET(_xlpm.spell, IFERROR(IF(F2226="", "", INDEX(_xlws.FILTER(Hairstyles!$F:$F, ISNUMBER(SEARCH(F2226, Hairstyles!$B:$B))), 1)), "No Spell for Hairstyle"),
  _xlpm.vanillaPrefix, IF(LEFT(_xlpm.spell, 7)="Uvi_Wig", "", ";"),
  ";" &amp; IF(C2226="", B2226, C2226) &amp; IF(M2226="", "", " ("&amp;M2226&amp;")") &amp; CHAR(10) &amp;
  _xlpm.vanillaPrefix &amp; "Keyword = Uvi_Wig_Distr_KYWD|" &amp; B2226 &amp; CHAR(10) &amp;
  _xlpm.vanillaPrefix &amp; "Spell = " &amp; _xlpm.spell &amp; "|" &amp; B2226
  )
)</f>
        <v>;DunRannveigsFastTreasCorpseBanditOrcMale
;Keyword = Uvi_Wig_Distr_KYWD|DunRannveigsFastTreasCorpseBanditOrcMale
;Spell = No Spell for Hairstyle|DunRannveigsFastTreasCorpseBanditOrcMale</v>
      </c>
    </row>
    <row r="2227" ht="12.75" customHeight="1">
      <c r="A2227" s="5" t="s">
        <v>6822</v>
      </c>
      <c r="B2227" s="5" t="s">
        <v>6823</v>
      </c>
      <c r="D2227" s="5" t="s">
        <v>80</v>
      </c>
      <c r="E2227" s="5" t="s">
        <v>233</v>
      </c>
      <c r="F2227" s="5" t="s">
        <v>6824</v>
      </c>
      <c r="G2227" s="14" t="str">
        <f t="array" ref="G2227">IF(B2227="", "",
  LET(_xlpm.spell, IFERROR(IF(F2227="", "", INDEX(_xlws.FILTER(Hairstyles!$F:$F, ISNUMBER(SEARCH(F2227, Hairstyles!$B:$B))), 1)), "No Spell for Hairstyle"),
  _xlpm.vanillaPrefix, IF(LEFT(_xlpm.spell, 7)="Uvi_Wig", "", ";"),
  ";" &amp; IF(C2227="", B2227, C2227) &amp; IF(M2227="", "", " ("&amp;M2227&amp;")") &amp; CHAR(10) &amp;
  _xlpm.vanillaPrefix &amp; "Keyword = Uvi_Wig_Distr_KYWD|" &amp; B2227 &amp; CHAR(10) &amp;
  _xlpm.vanillaPrefix &amp; "Spell = " &amp; _xlpm.spell &amp; "|" &amp; B2227
  )
)</f>
        <v>;dunSouthfringeBoss
;Keyword = Uvi_Wig_Distr_KYWD|dunSouthfringeBoss
;Spell = No Spell for Hairstyle|dunSouthfringeBoss</v>
      </c>
    </row>
    <row r="2228" ht="12.75" customHeight="1">
      <c r="A2228" s="5" t="s">
        <v>6825</v>
      </c>
      <c r="B2228" s="5" t="s">
        <v>6826</v>
      </c>
      <c r="D2228" s="5" t="s">
        <v>90</v>
      </c>
      <c r="E2228" s="5" t="s">
        <v>233</v>
      </c>
      <c r="F2228" s="5" t="s">
        <v>1667</v>
      </c>
      <c r="G2228" s="14" t="str">
        <f t="array" ref="G2228">IF(B2228="", "",
  LET(_xlpm.spell, IFERROR(IF(F2228="", "", INDEX(_xlws.FILTER(Hairstyles!$F:$F, ISNUMBER(SEARCH(F2228, Hairstyles!$B:$B))), 1)), "No Spell for Hairstyle"),
  _xlpm.vanillaPrefix, IF(LEFT(_xlpm.spell, 7)="Uvi_Wig", "", ";"),
  ";" &amp; IF(C2228="", B2228, C2228) &amp; IF(M2228="", "", " ("&amp;M2228&amp;")") &amp; CHAR(10) &amp;
  _xlpm.vanillaPrefix &amp; "Keyword = Uvi_Wig_Distr_KYWD|" &amp; B2228 &amp; CHAR(10) &amp;
  _xlpm.vanillaPrefix &amp; "Spell = " &amp; _xlpm.spell &amp; "|" &amp; B2228
  )
)</f>
        <v>;dunSteepfallBurrowHunter
;Keyword = Uvi_Wig_Distr_KYWD|dunSteepfallBurrowHunter
;Spell = No Spell for Hairstyle|dunSteepfallBurrowHunter</v>
      </c>
    </row>
    <row r="2229" ht="12.75" customHeight="1">
      <c r="A2229" s="5" t="s">
        <v>6827</v>
      </c>
      <c r="B2229" s="5" t="s">
        <v>6828</v>
      </c>
      <c r="D2229" s="5" t="s">
        <v>45</v>
      </c>
      <c r="E2229" s="5" t="s">
        <v>233</v>
      </c>
      <c r="F2229" s="5" t="s">
        <v>47</v>
      </c>
      <c r="G2229" s="14" t="str">
        <f t="array" ref="G2229">IF(B2229="", "",
  LET(_xlpm.spell, IFERROR(IF(F2229="", "", INDEX(_xlws.FILTER(Hairstyles!$F:$F, ISNUMBER(SEARCH(F2229, Hairstyles!$B:$B))), 1)), "No Spell for Hairstyle"),
  _xlpm.vanillaPrefix, IF(LEFT(_xlpm.spell, 7)="Uvi_Wig", "", ";"),
  ";" &amp; IF(C2229="", B2229, C2229) &amp; IF(M2229="", "", " ("&amp;M2229&amp;")") &amp; CHAR(10) &amp;
  _xlpm.vanillaPrefix &amp; "Keyword = Uvi_Wig_Distr_KYWD|" &amp; B2229 &amp; CHAR(10) &amp;
  _xlpm.vanillaPrefix &amp; "Spell = " &amp; _xlpm.spell &amp; "|" &amp; B2229
  )
)</f>
        <v>;dunTolvaldsCaveGhost01
;Keyword = Uvi_Wig_Distr_KYWD|dunTolvaldsCaveGhost01
;Spell = No Spell for Hairstyle|dunTolvaldsCaveGhost01</v>
      </c>
    </row>
    <row r="2230" ht="12.75" customHeight="1">
      <c r="A2230" s="5" t="s">
        <v>6829</v>
      </c>
      <c r="B2230" s="5" t="s">
        <v>6830</v>
      </c>
      <c r="D2230" s="5" t="s">
        <v>45</v>
      </c>
      <c r="E2230" s="5" t="s">
        <v>41</v>
      </c>
      <c r="F2230" s="5" t="s">
        <v>48</v>
      </c>
      <c r="G2230" s="14" t="str">
        <f t="array" ref="G2230">IF(B2230="", "",
  LET(_xlpm.spell, IFERROR(IF(F2230="", "", INDEX(_xlws.FILTER(Hairstyles!$F:$F, ISNUMBER(SEARCH(F2230, Hairstyles!$B:$B))), 1)), "No Spell for Hairstyle"),
  _xlpm.vanillaPrefix, IF(LEFT(_xlpm.spell, 7)="Uvi_Wig", "", ";"),
  ";" &amp; IF(C2230="", B2230, C2230) &amp; IF(M2230="", "", " ("&amp;M2230&amp;")") &amp; CHAR(10) &amp;
  _xlpm.vanillaPrefix &amp; "Keyword = Uvi_Wig_Distr_KYWD|" &amp; B2230 &amp; CHAR(10) &amp;
  _xlpm.vanillaPrefix &amp; "Spell = " &amp; _xlpm.spell &amp; "|" &amp; B2230
  )
)</f>
        <v>;dunTolvaldsCaveGhost02
;Keyword = Uvi_Wig_Distr_KYWD|dunTolvaldsCaveGhost02
;Spell = No Spell for Hairstyle|dunTolvaldsCaveGhost02</v>
      </c>
    </row>
    <row r="2231" ht="12.75" customHeight="1">
      <c r="A2231" s="5" t="s">
        <v>6831</v>
      </c>
      <c r="B2231" s="5" t="s">
        <v>6832</v>
      </c>
      <c r="D2231" s="5" t="s">
        <v>45</v>
      </c>
      <c r="E2231" s="5" t="s">
        <v>233</v>
      </c>
      <c r="F2231" s="5" t="s">
        <v>525</v>
      </c>
      <c r="G2231" s="14" t="str">
        <f t="array" ref="G2231">IF(B2231="", "",
  LET(_xlpm.spell, IFERROR(IF(F2231="", "", INDEX(_xlws.FILTER(Hairstyles!$F:$F, ISNUMBER(SEARCH(F2231, Hairstyles!$B:$B))), 1)), "No Spell for Hairstyle"),
  _xlpm.vanillaPrefix, IF(LEFT(_xlpm.spell, 7)="Uvi_Wig", "", ";"),
  ";" &amp; IF(C2231="", B2231, C2231) &amp; IF(M2231="", "", " ("&amp;M2231&amp;")") &amp; CHAR(10) &amp;
  _xlpm.vanillaPrefix &amp; "Keyword = Uvi_Wig_Distr_KYWD|" &amp; B2231 &amp; CHAR(10) &amp;
  _xlpm.vanillaPrefix &amp; "Spell = " &amp; _xlpm.spell &amp; "|" &amp; B2231
  )
)</f>
        <v>;dunTolvaldsCaveGhost03
;Keyword = Uvi_Wig_Distr_KYWD|dunTolvaldsCaveGhost03
;Spell = No Spell for Hairstyle|dunTolvaldsCaveGhost03</v>
      </c>
    </row>
    <row r="2232" ht="12.75" customHeight="1">
      <c r="A2232" s="15" t="s">
        <v>6833</v>
      </c>
      <c r="B2232" s="5" t="s">
        <v>6834</v>
      </c>
      <c r="D2232" s="5" t="s">
        <v>38</v>
      </c>
      <c r="E2232" s="5" t="s">
        <v>233</v>
      </c>
      <c r="F2232" s="5" t="s">
        <v>1709</v>
      </c>
      <c r="G2232" s="14" t="str">
        <f t="array" ref="G2232">IF(B2232="", "",
  LET(_xlpm.spell, IFERROR(IF(F2232="", "", INDEX(_xlws.FILTER(Hairstyles!$F:$F, ISNUMBER(SEARCH(F2232, Hairstyles!$B:$B))), 1)), "No Spell for Hairstyle"),
  _xlpm.vanillaPrefix, IF(LEFT(_xlpm.spell, 7)="Uvi_Wig", "", ";"),
  ";" &amp; IF(C2232="", B2232, C2232) &amp; IF(M2232="", "", " ("&amp;M2232&amp;")") &amp; CHAR(10) &amp;
  _xlpm.vanillaPrefix &amp; "Keyword = Uvi_Wig_Distr_KYWD|" &amp; B2232 &amp; CHAR(10) &amp;
  _xlpm.vanillaPrefix &amp; "Spell = " &amp; _xlpm.spell &amp; "|" &amp; B2232
  )
)</f>
        <v>;dunVolskyggeBanditGate01
;Keyword = Uvi_Wig_Distr_KYWD|dunVolskyggeBanditGate01
;Spell = No Spell for Hairstyle|dunVolskyggeBanditGate01</v>
      </c>
    </row>
    <row r="2233" ht="12.75" customHeight="1">
      <c r="A2233" s="15" t="s">
        <v>6835</v>
      </c>
      <c r="B2233" s="5" t="s">
        <v>6836</v>
      </c>
      <c r="D2233" s="5" t="s">
        <v>80</v>
      </c>
      <c r="E2233" s="5" t="s">
        <v>233</v>
      </c>
      <c r="F2233" s="5" t="s">
        <v>81</v>
      </c>
      <c r="G2233" s="14" t="str">
        <f t="array" ref="G2233">IF(B2233="", "",
  LET(_xlpm.spell, IFERROR(IF(F2233="", "", INDEX(_xlws.FILTER(Hairstyles!$F:$F, ISNUMBER(SEARCH(F2233, Hairstyles!$B:$B))), 1)), "No Spell for Hairstyle"),
  _xlpm.vanillaPrefix, IF(LEFT(_xlpm.spell, 7)="Uvi_Wig", "", ";"),
  ";" &amp; IF(C2233="", B2233, C2233) &amp; IF(M2233="", "", " ("&amp;M2233&amp;")") &amp; CHAR(10) &amp;
  _xlpm.vanillaPrefix &amp; "Keyword = Uvi_Wig_Distr_KYWD|" &amp; B2233 &amp; CHAR(10) &amp;
  _xlpm.vanillaPrefix &amp; "Spell = " &amp; _xlpm.spell &amp; "|" &amp; B2233
  )
)</f>
        <v>;dunVolskyggeBanditGate02
;Keyword = Uvi_Wig_Distr_KYWD|dunVolskyggeBanditGate02
;Spell = No Spell for Hairstyle|dunVolskyggeBanditGate02</v>
      </c>
    </row>
    <row r="2234" ht="12.75" customHeight="1">
      <c r="A2234" s="5" t="s">
        <v>6837</v>
      </c>
      <c r="B2234" s="5" t="s">
        <v>6838</v>
      </c>
      <c r="D2234" s="5" t="s">
        <v>59</v>
      </c>
      <c r="E2234" s="5" t="s">
        <v>41</v>
      </c>
      <c r="F2234" s="5" t="s">
        <v>2912</v>
      </c>
      <c r="G2234" s="14" t="str">
        <f t="array" ref="G2234">IF(B2234="", "",
  LET(_xlpm.spell, IFERROR(IF(F2234="", "", INDEX(_xlws.FILTER(Hairstyles!$F:$F, ISNUMBER(SEARCH(F2234, Hairstyles!$B:$B))), 1)), "No Spell for Hairstyle"),
  _xlpm.vanillaPrefix, IF(LEFT(_xlpm.spell, 7)="Uvi_Wig", "", ";"),
  ";" &amp; IF(C2234="", B2234, C2234) &amp; IF(M2234="", "", " ("&amp;M2234&amp;")") &amp; CHAR(10) &amp;
  _xlpm.vanillaPrefix &amp; "Keyword = Uvi_Wig_Distr_KYWD|" &amp; B2234 &amp; CHAR(10) &amp;
  _xlpm.vanillaPrefix &amp; "Spell = " &amp; _xlpm.spell &amp; "|" &amp; B2234
  )
)</f>
        <v>;dunVolskyggeBanditScene01a
;Keyword = Uvi_Wig_Distr_KYWD|dunVolskyggeBanditScene01a
;Spell = No Spell for Hairstyle|dunVolskyggeBanditScene01a</v>
      </c>
    </row>
    <row r="2235" ht="12.75" customHeight="1">
      <c r="A2235" s="5" t="s">
        <v>6839</v>
      </c>
      <c r="B2235" s="5" t="s">
        <v>6840</v>
      </c>
      <c r="D2235" s="5" t="s">
        <v>59</v>
      </c>
      <c r="E2235" s="5" t="s">
        <v>233</v>
      </c>
      <c r="F2235" s="5" t="s">
        <v>695</v>
      </c>
      <c r="G2235" s="14" t="str">
        <f t="array" ref="G2235">IF(B2235="", "",
  LET(_xlpm.spell, IFERROR(IF(F2235="", "", INDEX(_xlws.FILTER(Hairstyles!$F:$F, ISNUMBER(SEARCH(F2235, Hairstyles!$B:$B))), 1)), "No Spell for Hairstyle"),
  _xlpm.vanillaPrefix, IF(LEFT(_xlpm.spell, 7)="Uvi_Wig", "", ";"),
  ";" &amp; IF(C2235="", B2235, C2235) &amp; IF(M2235="", "", " ("&amp;M2235&amp;")") &amp; CHAR(10) &amp;
  _xlpm.vanillaPrefix &amp; "Keyword = Uvi_Wig_Distr_KYWD|" &amp; B2235 &amp; CHAR(10) &amp;
  _xlpm.vanillaPrefix &amp; "Spell = " &amp; _xlpm.spell &amp; "|" &amp; B2235
  )
)</f>
        <v>;dunVolskyggeBanditScene01b
;Keyword = Uvi_Wig_Distr_KYWD|dunVolskyggeBanditScene01b
;Spell = No Spell for Hairstyle|dunVolskyggeBanditScene01b</v>
      </c>
    </row>
    <row r="2236" ht="12.75" customHeight="1">
      <c r="A2236" s="5" t="s">
        <v>6841</v>
      </c>
      <c r="B2236" s="5" t="s">
        <v>6842</v>
      </c>
      <c r="D2236" s="5" t="s">
        <v>38</v>
      </c>
      <c r="E2236" s="5" t="s">
        <v>233</v>
      </c>
      <c r="F2236" s="5" t="s">
        <v>68</v>
      </c>
      <c r="G2236" s="14" t="str">
        <f t="array" ref="G2236">IF(B2236="", "",
  LET(_xlpm.spell, IFERROR(IF(F2236="", "", INDEX(_xlws.FILTER(Hairstyles!$F:$F, ISNUMBER(SEARCH(F2236, Hairstyles!$B:$B))), 1)), "No Spell for Hairstyle"),
  _xlpm.vanillaPrefix, IF(LEFT(_xlpm.spell, 7)="Uvi_Wig", "", ";"),
  ";" &amp; IF(C2236="", B2236, C2236) &amp; IF(M2236="", "", " ("&amp;M2236&amp;")") &amp; CHAR(10) &amp;
  _xlpm.vanillaPrefix &amp; "Keyword = Uvi_Wig_Distr_KYWD|" &amp; B2236 &amp; CHAR(10) &amp;
  _xlpm.vanillaPrefix &amp; "Spell = " &amp; _xlpm.spell &amp; "|" &amp; B2236
  )
)</f>
        <v>;DunVolunruudBoss
;Keyword = Uvi_Wig_Distr_KYWD|DunVolunruudBoss
;Spell = No Spell for Hairstyle|DunVolunruudBoss</v>
      </c>
    </row>
    <row r="2237" ht="12.75" customHeight="1">
      <c r="A2237" s="5" t="s">
        <v>6843</v>
      </c>
      <c r="B2237" s="5" t="s">
        <v>6844</v>
      </c>
      <c r="D2237" s="5" t="s">
        <v>59</v>
      </c>
      <c r="E2237" s="5" t="s">
        <v>233</v>
      </c>
      <c r="F2237" s="5" t="s">
        <v>695</v>
      </c>
      <c r="G2237" s="14" t="str">
        <f t="array" ref="G2237">IF(B2237="", "",
  LET(_xlpm.spell, IFERROR(IF(F2237="", "", INDEX(_xlws.FILTER(Hairstyles!$F:$F, ISNUMBER(SEARCH(F2237, Hairstyles!$B:$B))), 1)), "No Spell for Hairstyle"),
  _xlpm.vanillaPrefix, IF(LEFT(_xlpm.spell, 7)="Uvi_Wig", "", ";"),
  ";" &amp; IF(C2237="", B2237, C2237) &amp; IF(M2237="", "", " ("&amp;M2237&amp;")") &amp; CHAR(10) &amp;
  _xlpm.vanillaPrefix &amp; "Keyword = Uvi_Wig_Distr_KYWD|" &amp; B2237 &amp; CHAR(10) &amp;
  _xlpm.vanillaPrefix &amp; "Spell = " &amp; _xlpm.spell &amp; "|" &amp; B2237
  )
)</f>
        <v>;dunWhiteRiverWatchCagedBandit
;Keyword = Uvi_Wig_Distr_KYWD|dunWhiteRiverWatchCagedBandit
;Spell = No Spell for Hairstyle|dunWhiteRiverWatchCagedBandit</v>
      </c>
    </row>
    <row r="2238" ht="12.75" customHeight="1">
      <c r="A2238" s="5" t="s">
        <v>6845</v>
      </c>
      <c r="B2238" s="5" t="s">
        <v>6846</v>
      </c>
      <c r="D2238" s="5" t="s">
        <v>38</v>
      </c>
      <c r="E2238" s="5" t="s">
        <v>233</v>
      </c>
      <c r="F2238" s="5" t="s">
        <v>1894</v>
      </c>
      <c r="G2238" s="14" t="str">
        <f t="array" ref="G2238">IF(B2238="", "",
  LET(_xlpm.spell, IFERROR(IF(F2238="", "", INDEX(_xlws.FILTER(Hairstyles!$F:$F, ISNUMBER(SEARCH(F2238, Hairstyles!$B:$B))), 1)), "No Spell for Hairstyle"),
  _xlpm.vanillaPrefix, IF(LEFT(_xlpm.spell, 7)="Uvi_Wig", "", ";"),
  ";" &amp; IF(C2238="", B2238, C2238) &amp; IF(M2238="", "", " ("&amp;M2238&amp;")") &amp; CHAR(10) &amp;
  _xlpm.vanillaPrefix &amp; "Keyword = Uvi_Wig_Distr_KYWD|" &amp; B2238 &amp; CHAR(10) &amp;
  _xlpm.vanillaPrefix &amp; "Spell = " &amp; _xlpm.spell &amp; "|" &amp; B2238
  )
)</f>
        <v>;E3DemoBanditCampfire01
;Keyword = Uvi_Wig_Distr_KYWD|E3DemoBanditCampfire01
;Spell = No Spell for Hairstyle|E3DemoBanditCampfire01</v>
      </c>
    </row>
    <row r="2239" ht="12.75" customHeight="1">
      <c r="A2239" s="5" t="s">
        <v>6847</v>
      </c>
      <c r="B2239" s="5" t="s">
        <v>6848</v>
      </c>
      <c r="D2239" s="5" t="s">
        <v>38</v>
      </c>
      <c r="E2239" s="5" t="s">
        <v>41</v>
      </c>
      <c r="F2239" s="5" t="s">
        <v>42</v>
      </c>
      <c r="G2239" s="14" t="str">
        <f t="array" ref="G2239">IF(B2239="", "",
  LET(_xlpm.spell, IFERROR(IF(F2239="", "", INDEX(_xlws.FILTER(Hairstyles!$F:$F, ISNUMBER(SEARCH(F2239, Hairstyles!$B:$B))), 1)), "No Spell for Hairstyle"),
  _xlpm.vanillaPrefix, IF(LEFT(_xlpm.spell, 7)="Uvi_Wig", "", ";"),
  ";" &amp; IF(C2239="", B2239, C2239) &amp; IF(M2239="", "", " ("&amp;M2239&amp;")") &amp; CHAR(10) &amp;
  _xlpm.vanillaPrefix &amp; "Keyword = Uvi_Wig_Distr_KYWD|" &amp; B2239 &amp; CHAR(10) &amp;
  _xlpm.vanillaPrefix &amp; "Spell = " &amp; _xlpm.spell &amp; "|" &amp; B2239
  )
)</f>
        <v>;E3DemoBanditCampfire02
;Keyword = Uvi_Wig_Distr_KYWD|E3DemoBanditCampfire02
;Spell = No Spell for Hairstyle|E3DemoBanditCampfire02</v>
      </c>
    </row>
    <row r="2240" ht="12.75" customHeight="1">
      <c r="A2240" s="5" t="s">
        <v>6849</v>
      </c>
      <c r="B2240" s="5" t="s">
        <v>6850</v>
      </c>
      <c r="D2240" s="5" t="s">
        <v>83</v>
      </c>
      <c r="E2240" s="5" t="s">
        <v>233</v>
      </c>
      <c r="F2240" s="5" t="s">
        <v>2107</v>
      </c>
      <c r="G2240" s="14" t="str">
        <f t="array" ref="G2240">IF(B2240="", "",
  LET(_xlpm.spell, IFERROR(IF(F2240="", "", INDEX(_xlws.FILTER(Hairstyles!$F:$F, ISNUMBER(SEARCH(F2240, Hairstyles!$B:$B))), 1)), "No Spell for Hairstyle"),
  _xlpm.vanillaPrefix, IF(LEFT(_xlpm.spell, 7)="Uvi_Wig", "", ";"),
  ";" &amp; IF(C2240="", B2240, C2240) &amp; IF(M2240="", "", " ("&amp;M2240&amp;")") &amp; CHAR(10) &amp;
  _xlpm.vanillaPrefix &amp; "Keyword = Uvi_Wig_Distr_KYWD|" &amp; B2240 &amp; CHAR(10) &amp;
  _xlpm.vanillaPrefix &amp; "Spell = " &amp; _xlpm.spell &amp; "|" &amp; B2240
  )
)</f>
        <v>;E3DemoDecapitateMeBandit
;Keyword = Uvi_Wig_Distr_KYWD|E3DemoDecapitateMeBandit
;Spell = No Spell for Hairstyle|E3DemoDecapitateMeBandit</v>
      </c>
    </row>
    <row r="2241" ht="12.75" customHeight="1">
      <c r="A2241" s="15" t="s">
        <v>6851</v>
      </c>
      <c r="B2241" s="5" t="s">
        <v>6852</v>
      </c>
      <c r="D2241" s="5" t="s">
        <v>16</v>
      </c>
      <c r="E2241" s="5" t="s">
        <v>233</v>
      </c>
      <c r="F2241" s="5" t="s">
        <v>1894</v>
      </c>
      <c r="G2241" s="14" t="str">
        <f t="array" ref="G2241">IF(B2241="", "",
  LET(_xlpm.spell, IFERROR(IF(F2241="", "", INDEX(_xlws.FILTER(Hairstyles!$F:$F, ISNUMBER(SEARCH(F2241, Hairstyles!$B:$B))), 1)), "No Spell for Hairstyle"),
  _xlpm.vanillaPrefix, IF(LEFT(_xlpm.spell, 7)="Uvi_Wig", "", ";"),
  ";" &amp; IF(C2241="", B2241, C2241) &amp; IF(M2241="", "", " ("&amp;M2241&amp;")") &amp; CHAR(10) &amp;
  _xlpm.vanillaPrefix &amp; "Keyword = Uvi_Wig_Distr_KYWD|" &amp; B2241 &amp; CHAR(10) &amp;
  _xlpm.vanillaPrefix &amp; "Spell = " &amp; _xlpm.spell &amp; "|" &amp; B2241
  )
)</f>
        <v>;EltrysDead
;Keyword = Uvi_Wig_Distr_KYWD|EltrysDead
;Spell = No Spell for Hairstyle|EltrysDead</v>
      </c>
    </row>
    <row r="2242" ht="12.75" customHeight="1">
      <c r="A2242" s="15" t="s">
        <v>6853</v>
      </c>
      <c r="B2242" s="5" t="s">
        <v>6854</v>
      </c>
      <c r="D2242" s="5" t="s">
        <v>83</v>
      </c>
      <c r="E2242" s="5" t="s">
        <v>233</v>
      </c>
      <c r="F2242" s="5" t="s">
        <v>167</v>
      </c>
      <c r="G2242" s="14" t="str">
        <f t="array" ref="G2242">IF(B2242="", "",
  LET(_xlpm.spell, IFERROR(IF(F2242="", "", INDEX(_xlws.FILTER(Hairstyles!$F:$F, ISNUMBER(SEARCH(F2242, Hairstyles!$B:$B))), 1)), "No Spell for Hairstyle"),
  _xlpm.vanillaPrefix, IF(LEFT(_xlpm.spell, 7)="Uvi_Wig", "", ";"),
  ";" &amp; IF(C2242="", B2242, C2242) &amp; IF(M2242="", "", " ("&amp;M2242&amp;")") &amp; CHAR(10) &amp;
  _xlpm.vanillaPrefix &amp; "Keyword = Uvi_Wig_Distr_KYWD|" &amp; B2242 &amp; CHAR(10) &amp;
  _xlpm.vanillaPrefix &amp; "Spell = " &amp; _xlpm.spell &amp; "|" &amp; B2242
  )
)</f>
        <v>;EncAlikr01MagicRedguardM
;Keyword = Uvi_Wig_Distr_KYWD|EncAlikr01MagicRedguardM
;Spell = No Spell for Hairstyle|EncAlikr01MagicRedguardM</v>
      </c>
    </row>
    <row r="2243" ht="12.75" customHeight="1">
      <c r="A2243" s="15" t="s">
        <v>6855</v>
      </c>
      <c r="B2243" s="5" t="s">
        <v>6856</v>
      </c>
      <c r="D2243" s="5" t="s">
        <v>83</v>
      </c>
      <c r="E2243" s="5" t="s">
        <v>233</v>
      </c>
      <c r="F2243" s="5" t="s">
        <v>1622</v>
      </c>
      <c r="G2243" s="14" t="str">
        <f t="array" ref="G2243">IF(B2243="", "",
  LET(_xlpm.spell, IFERROR(IF(F2243="", "", INDEX(_xlws.FILTER(Hairstyles!$F:$F, ISNUMBER(SEARCH(F2243, Hairstyles!$B:$B))), 1)), "No Spell for Hairstyle"),
  _xlpm.vanillaPrefix, IF(LEFT(_xlpm.spell, 7)="Uvi_Wig", "", ";"),
  ";" &amp; IF(C2243="", B2243, C2243) &amp; IF(M2243="", "", " ("&amp;M2243&amp;")") &amp; CHAR(10) &amp;
  _xlpm.vanillaPrefix &amp; "Keyword = Uvi_Wig_Distr_KYWD|" &amp; B2243 &amp; CHAR(10) &amp;
  _xlpm.vanillaPrefix &amp; "Spell = " &amp; _xlpm.spell &amp; "|" &amp; B2243
  )
)</f>
        <v>;EncAlikr01Melee1HRedguardM01
;Keyword = Uvi_Wig_Distr_KYWD|EncAlikr01Melee1HRedguardM01
;Spell = No Spell for Hairstyle|EncAlikr01Melee1HRedguardM01</v>
      </c>
    </row>
    <row r="2244" ht="12.75" customHeight="1">
      <c r="A2244" s="15" t="s">
        <v>6857</v>
      </c>
      <c r="B2244" s="5" t="s">
        <v>6858</v>
      </c>
      <c r="D2244" s="5" t="s">
        <v>83</v>
      </c>
      <c r="E2244" s="5" t="s">
        <v>233</v>
      </c>
      <c r="F2244" s="5" t="s">
        <v>3700</v>
      </c>
      <c r="G2244" s="14" t="str">
        <f t="array" ref="G2244">IF(B2244="", "",
  LET(_xlpm.spell, IFERROR(IF(F2244="", "", INDEX(_xlws.FILTER(Hairstyles!$F:$F, ISNUMBER(SEARCH(F2244, Hairstyles!$B:$B))), 1)), "No Spell for Hairstyle"),
  _xlpm.vanillaPrefix, IF(LEFT(_xlpm.spell, 7)="Uvi_Wig", "", ";"),
  ";" &amp; IF(C2244="", B2244, C2244) &amp; IF(M2244="", "", " ("&amp;M2244&amp;")") &amp; CHAR(10) &amp;
  _xlpm.vanillaPrefix &amp; "Keyword = Uvi_Wig_Distr_KYWD|" &amp; B2244 &amp; CHAR(10) &amp;
  _xlpm.vanillaPrefix &amp; "Spell = " &amp; _xlpm.spell &amp; "|" &amp; B2244
  )
)</f>
        <v>;EncAlikr01Melee1HRedguardM02
;Keyword = Uvi_Wig_Distr_KYWD|EncAlikr01Melee1HRedguardM02
;Spell = No Spell for Hairstyle|EncAlikr01Melee1HRedguardM02</v>
      </c>
    </row>
    <row r="2245" ht="12.75" customHeight="1">
      <c r="A2245" s="15" t="s">
        <v>6859</v>
      </c>
      <c r="B2245" s="5" t="s">
        <v>6860</v>
      </c>
      <c r="D2245" s="5" t="s">
        <v>83</v>
      </c>
      <c r="E2245" s="5" t="s">
        <v>233</v>
      </c>
      <c r="F2245" s="5" t="s">
        <v>3700</v>
      </c>
      <c r="G2245" s="14" t="str">
        <f t="array" ref="G2245">IF(B2245="", "",
  LET(_xlpm.spell, IFERROR(IF(F2245="", "", INDEX(_xlws.FILTER(Hairstyles!$F:$F, ISNUMBER(SEARCH(F2245, Hairstyles!$B:$B))), 1)), "No Spell for Hairstyle"),
  _xlpm.vanillaPrefix, IF(LEFT(_xlpm.spell, 7)="Uvi_Wig", "", ";"),
  ";" &amp; IF(C2245="", B2245, C2245) &amp; IF(M2245="", "", " ("&amp;M2245&amp;")") &amp; CHAR(10) &amp;
  _xlpm.vanillaPrefix &amp; "Keyword = Uvi_Wig_Distr_KYWD|" &amp; B2245 &amp; CHAR(10) &amp;
  _xlpm.vanillaPrefix &amp; "Spell = " &amp; _xlpm.spell &amp; "|" &amp; B2245
  )
)</f>
        <v>;EncAlikr01Melee2HBerserkRedguardM01
;Keyword = Uvi_Wig_Distr_KYWD|EncAlikr01Melee2HBerserkRedguardM01
;Spell = No Spell for Hairstyle|EncAlikr01Melee2HBerserkRedguardM01</v>
      </c>
    </row>
    <row r="2246" ht="12.75" customHeight="1">
      <c r="A2246" s="15" t="s">
        <v>6861</v>
      </c>
      <c r="B2246" s="5" t="s">
        <v>6862</v>
      </c>
      <c r="D2246" s="5" t="s">
        <v>83</v>
      </c>
      <c r="E2246" s="5" t="s">
        <v>233</v>
      </c>
      <c r="F2246" s="5" t="s">
        <v>3700</v>
      </c>
      <c r="G2246" s="14" t="str">
        <f t="array" ref="G2246">IF(B2246="", "",
  LET(_xlpm.spell, IFERROR(IF(F2246="", "", INDEX(_xlws.FILTER(Hairstyles!$F:$F, ISNUMBER(SEARCH(F2246, Hairstyles!$B:$B))), 1)), "No Spell for Hairstyle"),
  _xlpm.vanillaPrefix, IF(LEFT(_xlpm.spell, 7)="Uvi_Wig", "", ";"),
  ";" &amp; IF(C2246="", B2246, C2246) &amp; IF(M2246="", "", " ("&amp;M2246&amp;")") &amp; CHAR(10) &amp;
  _xlpm.vanillaPrefix &amp; "Keyword = Uvi_Wig_Distr_KYWD|" &amp; B2246 &amp; CHAR(10) &amp;
  _xlpm.vanillaPrefix &amp; "Spell = " &amp; _xlpm.spell &amp; "|" &amp; B2246
  )
)</f>
        <v>;EncAlikr01Melee2HBerserkRedguardM02
;Keyword = Uvi_Wig_Distr_KYWD|EncAlikr01Melee2HBerserkRedguardM02
;Spell = No Spell for Hairstyle|EncAlikr01Melee2HBerserkRedguardM02</v>
      </c>
    </row>
    <row r="2247" ht="12.75" customHeight="1">
      <c r="A2247" s="15" t="s">
        <v>6863</v>
      </c>
      <c r="B2247" s="5" t="s">
        <v>6864</v>
      </c>
      <c r="D2247" s="5" t="s">
        <v>83</v>
      </c>
      <c r="E2247" s="5" t="s">
        <v>233</v>
      </c>
      <c r="F2247" s="5" t="s">
        <v>167</v>
      </c>
      <c r="G2247" s="14" t="str">
        <f t="array" ref="G2247">IF(B2247="", "",
  LET(_xlpm.spell, IFERROR(IF(F2247="", "", INDEX(_xlws.FILTER(Hairstyles!$F:$F, ISNUMBER(SEARCH(F2247, Hairstyles!$B:$B))), 1)), "No Spell for Hairstyle"),
  _xlpm.vanillaPrefix, IF(LEFT(_xlpm.spell, 7)="Uvi_Wig", "", ";"),
  ";" &amp; IF(C2247="", B2247, C2247) &amp; IF(M2247="", "", " ("&amp;M2247&amp;")") &amp; CHAR(10) &amp;
  _xlpm.vanillaPrefix &amp; "Keyword = Uvi_Wig_Distr_KYWD|" &amp; B2247 &amp; CHAR(10) &amp;
  _xlpm.vanillaPrefix &amp; "Spell = " &amp; _xlpm.spell &amp; "|" &amp; B2247
  )
)</f>
        <v>;EncAlikr01MissileRedguardM01
;Keyword = Uvi_Wig_Distr_KYWD|EncAlikr01MissileRedguardM01
;Spell = No Spell for Hairstyle|EncAlikr01MissileRedguardM01</v>
      </c>
    </row>
    <row r="2248" ht="12.75" customHeight="1">
      <c r="A2248" s="15" t="s">
        <v>6865</v>
      </c>
      <c r="B2248" s="5" t="s">
        <v>6866</v>
      </c>
      <c r="D2248" s="5" t="s">
        <v>83</v>
      </c>
      <c r="E2248" s="5" t="s">
        <v>233</v>
      </c>
      <c r="F2248" s="5" t="s">
        <v>238</v>
      </c>
      <c r="G2248" s="14" t="str">
        <f t="array" ref="G2248">IF(B2248="", "",
  LET(_xlpm.spell, IFERROR(IF(F2248="", "", INDEX(_xlws.FILTER(Hairstyles!$F:$F, ISNUMBER(SEARCH(F2248, Hairstyles!$B:$B))), 1)), "No Spell for Hairstyle"),
  _xlpm.vanillaPrefix, IF(LEFT(_xlpm.spell, 7)="Uvi_Wig", "", ";"),
  ";" &amp; IF(C2248="", B2248, C2248) &amp; IF(M2248="", "", " ("&amp;M2248&amp;")") &amp; CHAR(10) &amp;
  _xlpm.vanillaPrefix &amp; "Keyword = Uvi_Wig_Distr_KYWD|" &amp; B2248 &amp; CHAR(10) &amp;
  _xlpm.vanillaPrefix &amp; "Spell = " &amp; _xlpm.spell &amp; "|" &amp; B2248
  )
)</f>
        <v>;EncAlikr01MissileRedguardM02
;Keyword = Uvi_Wig_Distr_KYWD|EncAlikr01MissileRedguardM02
;Spell = No Spell for Hairstyle|EncAlikr01MissileRedguardM02</v>
      </c>
    </row>
    <row r="2249" ht="12.75" customHeight="1">
      <c r="A2249" s="5" t="s">
        <v>6867</v>
      </c>
      <c r="B2249" s="5" t="s">
        <v>6868</v>
      </c>
      <c r="D2249" s="5" t="s">
        <v>83</v>
      </c>
      <c r="E2249" s="5" t="s">
        <v>233</v>
      </c>
      <c r="F2249" s="5" t="s">
        <v>762</v>
      </c>
      <c r="G2249" s="14" t="str">
        <f t="array" ref="G2249">IF(B2249="", "",
  LET(_xlpm.spell, IFERROR(IF(F2249="", "", INDEX(_xlws.FILTER(Hairstyles!$F:$F, ISNUMBER(SEARCH(F2249, Hairstyles!$B:$B))), 1)), "No Spell for Hairstyle"),
  _xlpm.vanillaPrefix, IF(LEFT(_xlpm.spell, 7)="Uvi_Wig", "", ";"),
  ";" &amp; IF(C2249="", B2249, C2249) &amp; IF(M2249="", "", " ("&amp;M2249&amp;")") &amp; CHAR(10) &amp;
  _xlpm.vanillaPrefix &amp; "Keyword = Uvi_Wig_Distr_KYWD|" &amp; B2249 &amp; CHAR(10) &amp;
  _xlpm.vanillaPrefix &amp; "Spell = " &amp; _xlpm.spell &amp; "|" &amp; B2249
  )
)</f>
        <v>;EncAlikr02MagicRedguardM
;Keyword = Uvi_Wig_Distr_KYWD|EncAlikr02MagicRedguardM
;Spell = No Spell for Hairstyle|EncAlikr02MagicRedguardM</v>
      </c>
    </row>
    <row r="2250" ht="12.75" customHeight="1">
      <c r="A2250" s="15" t="s">
        <v>6869</v>
      </c>
      <c r="B2250" s="5" t="s">
        <v>6870</v>
      </c>
      <c r="D2250" s="5" t="s">
        <v>83</v>
      </c>
      <c r="E2250" s="5" t="s">
        <v>233</v>
      </c>
      <c r="F2250" s="5" t="s">
        <v>84</v>
      </c>
      <c r="G2250" s="14" t="str">
        <f t="array" ref="G2250">IF(B2250="", "",
  LET(_xlpm.spell, IFERROR(IF(F2250="", "", INDEX(_xlws.FILTER(Hairstyles!$F:$F, ISNUMBER(SEARCH(F2250, Hairstyles!$B:$B))), 1)), "No Spell for Hairstyle"),
  _xlpm.vanillaPrefix, IF(LEFT(_xlpm.spell, 7)="Uvi_Wig", "", ";"),
  ";" &amp; IF(C2250="", B2250, C2250) &amp; IF(M2250="", "", " ("&amp;M2250&amp;")") &amp; CHAR(10) &amp;
  _xlpm.vanillaPrefix &amp; "Keyword = Uvi_Wig_Distr_KYWD|" &amp; B2250 &amp; CHAR(10) &amp;
  _xlpm.vanillaPrefix &amp; "Spell = " &amp; _xlpm.spell &amp; "|" &amp; B2250
  )
)</f>
        <v>;EncAlikr02Melee1HRedguardM01
;Keyword = Uvi_Wig_Distr_KYWD|EncAlikr02Melee1HRedguardM01
;Spell = No Spell for Hairstyle|EncAlikr02Melee1HRedguardM01</v>
      </c>
    </row>
    <row r="2251" ht="12.75" customHeight="1">
      <c r="A2251" s="5" t="s">
        <v>6871</v>
      </c>
      <c r="B2251" s="5" t="s">
        <v>6872</v>
      </c>
      <c r="D2251" s="5" t="s">
        <v>83</v>
      </c>
      <c r="E2251" s="5" t="s">
        <v>233</v>
      </c>
      <c r="F2251" s="5" t="s">
        <v>2107</v>
      </c>
      <c r="G2251" s="14" t="str">
        <f t="array" ref="G2251">IF(B2251="", "",
  LET(_xlpm.spell, IFERROR(IF(F2251="", "", INDEX(_xlws.FILTER(Hairstyles!$F:$F, ISNUMBER(SEARCH(F2251, Hairstyles!$B:$B))), 1)), "No Spell for Hairstyle"),
  _xlpm.vanillaPrefix, IF(LEFT(_xlpm.spell, 7)="Uvi_Wig", "", ";"),
  ";" &amp; IF(C2251="", B2251, C2251) &amp; IF(M2251="", "", " ("&amp;M2251&amp;")") &amp; CHAR(10) &amp;
  _xlpm.vanillaPrefix &amp; "Keyword = Uvi_Wig_Distr_KYWD|" &amp; B2251 &amp; CHAR(10) &amp;
  _xlpm.vanillaPrefix &amp; "Spell = " &amp; _xlpm.spell &amp; "|" &amp; B2251
  )
)</f>
        <v>;EncAlikr02Melee1HRedguardM02
;Keyword = Uvi_Wig_Distr_KYWD|EncAlikr02Melee1HRedguardM02
;Spell = No Spell for Hairstyle|EncAlikr02Melee1HRedguardM02</v>
      </c>
    </row>
    <row r="2252" ht="12.75" customHeight="1">
      <c r="A2252" s="15" t="s">
        <v>6873</v>
      </c>
      <c r="B2252" s="5" t="s">
        <v>6874</v>
      </c>
      <c r="D2252" s="5" t="s">
        <v>83</v>
      </c>
      <c r="E2252" s="5" t="s">
        <v>233</v>
      </c>
      <c r="F2252" s="5" t="s">
        <v>2107</v>
      </c>
      <c r="G2252" s="14" t="str">
        <f t="array" ref="G2252">IF(B2252="", "",
  LET(_xlpm.spell, IFERROR(IF(F2252="", "", INDEX(_xlws.FILTER(Hairstyles!$F:$F, ISNUMBER(SEARCH(F2252, Hairstyles!$B:$B))), 1)), "No Spell for Hairstyle"),
  _xlpm.vanillaPrefix, IF(LEFT(_xlpm.spell, 7)="Uvi_Wig", "", ";"),
  ";" &amp; IF(C2252="", B2252, C2252) &amp; IF(M2252="", "", " ("&amp;M2252&amp;")") &amp; CHAR(10) &amp;
  _xlpm.vanillaPrefix &amp; "Keyword = Uvi_Wig_Distr_KYWD|" &amp; B2252 &amp; CHAR(10) &amp;
  _xlpm.vanillaPrefix &amp; "Spell = " &amp; _xlpm.spell &amp; "|" &amp; B2252
  )
)</f>
        <v>;EncAlikr02Melee2HBerserkRedguardM01
;Keyword = Uvi_Wig_Distr_KYWD|EncAlikr02Melee2HBerserkRedguardM01
;Spell = No Spell for Hairstyle|EncAlikr02Melee2HBerserkRedguardM01</v>
      </c>
    </row>
    <row r="2253" ht="12.75" customHeight="1">
      <c r="A2253" s="5" t="s">
        <v>6875</v>
      </c>
      <c r="B2253" s="5" t="s">
        <v>6876</v>
      </c>
      <c r="D2253" s="5" t="s">
        <v>83</v>
      </c>
      <c r="E2253" s="5" t="s">
        <v>233</v>
      </c>
      <c r="F2253" s="5" t="s">
        <v>3700</v>
      </c>
      <c r="G2253" s="14" t="str">
        <f t="array" ref="G2253">IF(B2253="", "",
  LET(_xlpm.spell, IFERROR(IF(F2253="", "", INDEX(_xlws.FILTER(Hairstyles!$F:$F, ISNUMBER(SEARCH(F2253, Hairstyles!$B:$B))), 1)), "No Spell for Hairstyle"),
  _xlpm.vanillaPrefix, IF(LEFT(_xlpm.spell, 7)="Uvi_Wig", "", ";"),
  ";" &amp; IF(C2253="", B2253, C2253) &amp; IF(M2253="", "", " ("&amp;M2253&amp;")") &amp; CHAR(10) &amp;
  _xlpm.vanillaPrefix &amp; "Keyword = Uvi_Wig_Distr_KYWD|" &amp; B2253 &amp; CHAR(10) &amp;
  _xlpm.vanillaPrefix &amp; "Spell = " &amp; _xlpm.spell &amp; "|" &amp; B2253
  )
)</f>
        <v>;EncAlikr02Melee2HBerserkRedguardM02
;Keyword = Uvi_Wig_Distr_KYWD|EncAlikr02Melee2HBerserkRedguardM02
;Spell = No Spell for Hairstyle|EncAlikr02Melee2HBerserkRedguardM02</v>
      </c>
    </row>
    <row r="2254" ht="12.75" customHeight="1">
      <c r="A2254" s="5" t="s">
        <v>6877</v>
      </c>
      <c r="B2254" s="5" t="s">
        <v>6878</v>
      </c>
      <c r="D2254" s="5" t="s">
        <v>83</v>
      </c>
      <c r="E2254" s="5" t="s">
        <v>233</v>
      </c>
      <c r="F2254" s="5" t="s">
        <v>245</v>
      </c>
      <c r="G2254" s="14" t="str">
        <f t="array" ref="G2254">IF(B2254="", "",
  LET(_xlpm.spell, IFERROR(IF(F2254="", "", INDEX(_xlws.FILTER(Hairstyles!$F:$F, ISNUMBER(SEARCH(F2254, Hairstyles!$B:$B))), 1)), "No Spell for Hairstyle"),
  _xlpm.vanillaPrefix, IF(LEFT(_xlpm.spell, 7)="Uvi_Wig", "", ";"),
  ";" &amp; IF(C2254="", B2254, C2254) &amp; IF(M2254="", "", " ("&amp;M2254&amp;")") &amp; CHAR(10) &amp;
  _xlpm.vanillaPrefix &amp; "Keyword = Uvi_Wig_Distr_KYWD|" &amp; B2254 &amp; CHAR(10) &amp;
  _xlpm.vanillaPrefix &amp; "Spell = " &amp; _xlpm.spell &amp; "|" &amp; B2254
  )
)</f>
        <v>;EncAlikr02MissileRedguardM01
;Keyword = Uvi_Wig_Distr_KYWD|EncAlikr02MissileRedguardM01
;Spell = No Spell for Hairstyle|EncAlikr02MissileRedguardM01</v>
      </c>
    </row>
    <row r="2255" ht="12.75" customHeight="1">
      <c r="A2255" s="5" t="s">
        <v>6879</v>
      </c>
      <c r="B2255" s="5" t="s">
        <v>6880</v>
      </c>
      <c r="D2255" s="5" t="s">
        <v>83</v>
      </c>
      <c r="E2255" s="5" t="s">
        <v>233</v>
      </c>
      <c r="F2255" s="5" t="s">
        <v>762</v>
      </c>
      <c r="G2255" s="14" t="str">
        <f t="array" ref="G2255">IF(B2255="", "",
  LET(_xlpm.spell, IFERROR(IF(F2255="", "", INDEX(_xlws.FILTER(Hairstyles!$F:$F, ISNUMBER(SEARCH(F2255, Hairstyles!$B:$B))), 1)), "No Spell for Hairstyle"),
  _xlpm.vanillaPrefix, IF(LEFT(_xlpm.spell, 7)="Uvi_Wig", "", ";"),
  ";" &amp; IF(C2255="", B2255, C2255) &amp; IF(M2255="", "", " ("&amp;M2255&amp;")") &amp; CHAR(10) &amp;
  _xlpm.vanillaPrefix &amp; "Keyword = Uvi_Wig_Distr_KYWD|" &amp; B2255 &amp; CHAR(10) &amp;
  _xlpm.vanillaPrefix &amp; "Spell = " &amp; _xlpm.spell &amp; "|" &amp; B2255
  )
)</f>
        <v>;EncAlikr02MissileRedguardM02
;Keyword = Uvi_Wig_Distr_KYWD|EncAlikr02MissileRedguardM02
;Spell = No Spell for Hairstyle|EncAlikr02MissileRedguardM02</v>
      </c>
    </row>
    <row r="2256" ht="12.75" customHeight="1">
      <c r="A2256" s="5" t="s">
        <v>6881</v>
      </c>
      <c r="B2256" s="5" t="s">
        <v>6882</v>
      </c>
      <c r="D2256" s="5" t="s">
        <v>83</v>
      </c>
      <c r="E2256" s="5" t="s">
        <v>233</v>
      </c>
      <c r="F2256" s="5" t="s">
        <v>84</v>
      </c>
      <c r="G2256" s="14" t="str">
        <f t="array" ref="G2256">IF(B2256="", "",
  LET(_xlpm.spell, IFERROR(IF(F2256="", "", INDEX(_xlws.FILTER(Hairstyles!$F:$F, ISNUMBER(SEARCH(F2256, Hairstyles!$B:$B))), 1)), "No Spell for Hairstyle"),
  _xlpm.vanillaPrefix, IF(LEFT(_xlpm.spell, 7)="Uvi_Wig", "", ";"),
  ";" &amp; IF(C2256="", B2256, C2256) &amp; IF(M2256="", "", " ("&amp;M2256&amp;")") &amp; CHAR(10) &amp;
  _xlpm.vanillaPrefix &amp; "Keyword = Uvi_Wig_Distr_KYWD|" &amp; B2256 &amp; CHAR(10) &amp;
  _xlpm.vanillaPrefix &amp; "Spell = " &amp; _xlpm.spell &amp; "|" &amp; B2256
  )
)</f>
        <v>;EncAlikr03MagicRedguardM
;Keyword = Uvi_Wig_Distr_KYWD|EncAlikr03MagicRedguardM
;Spell = No Spell for Hairstyle|EncAlikr03MagicRedguardM</v>
      </c>
    </row>
    <row r="2257" ht="12.75" customHeight="1">
      <c r="A2257" s="15" t="s">
        <v>6883</v>
      </c>
      <c r="B2257" s="5" t="s">
        <v>6884</v>
      </c>
      <c r="D2257" s="5" t="s">
        <v>83</v>
      </c>
      <c r="E2257" s="5" t="s">
        <v>233</v>
      </c>
      <c r="F2257" s="5" t="s">
        <v>238</v>
      </c>
      <c r="G2257" s="14" t="str">
        <f t="array" ref="G2257">IF(B2257="", "",
  LET(_xlpm.spell, IFERROR(IF(F2257="", "", INDEX(_xlws.FILTER(Hairstyles!$F:$F, ISNUMBER(SEARCH(F2257, Hairstyles!$B:$B))), 1)), "No Spell for Hairstyle"),
  _xlpm.vanillaPrefix, IF(LEFT(_xlpm.spell, 7)="Uvi_Wig", "", ";"),
  ";" &amp; IF(C2257="", B2257, C2257) &amp; IF(M2257="", "", " ("&amp;M2257&amp;")") &amp; CHAR(10) &amp;
  _xlpm.vanillaPrefix &amp; "Keyword = Uvi_Wig_Distr_KYWD|" &amp; B2257 &amp; CHAR(10) &amp;
  _xlpm.vanillaPrefix &amp; "Spell = " &amp; _xlpm.spell &amp; "|" &amp; B2257
  )
)</f>
        <v>;EncAlikr03Melee1HRedguardM01
;Keyword = Uvi_Wig_Distr_KYWD|EncAlikr03Melee1HRedguardM01
;Spell = No Spell for Hairstyle|EncAlikr03Melee1HRedguardM01</v>
      </c>
    </row>
    <row r="2258" ht="12.75" customHeight="1">
      <c r="A2258" s="15" t="s">
        <v>6885</v>
      </c>
      <c r="B2258" s="5" t="s">
        <v>6886</v>
      </c>
      <c r="D2258" s="5" t="s">
        <v>83</v>
      </c>
      <c r="E2258" s="5" t="s">
        <v>233</v>
      </c>
      <c r="F2258" s="5" t="s">
        <v>84</v>
      </c>
      <c r="G2258" s="14" t="str">
        <f t="array" ref="G2258">IF(B2258="", "",
  LET(_xlpm.spell, IFERROR(IF(F2258="", "", INDEX(_xlws.FILTER(Hairstyles!$F:$F, ISNUMBER(SEARCH(F2258, Hairstyles!$B:$B))), 1)), "No Spell for Hairstyle"),
  _xlpm.vanillaPrefix, IF(LEFT(_xlpm.spell, 7)="Uvi_Wig", "", ";"),
  ";" &amp; IF(C2258="", B2258, C2258) &amp; IF(M2258="", "", " ("&amp;M2258&amp;")") &amp; CHAR(10) &amp;
  _xlpm.vanillaPrefix &amp; "Keyword = Uvi_Wig_Distr_KYWD|" &amp; B2258 &amp; CHAR(10) &amp;
  _xlpm.vanillaPrefix &amp; "Spell = " &amp; _xlpm.spell &amp; "|" &amp; B2258
  )
)</f>
        <v>;EncAlikr03Melee1HRedguardM02
;Keyword = Uvi_Wig_Distr_KYWD|EncAlikr03Melee1HRedguardM02
;Spell = No Spell for Hairstyle|EncAlikr03Melee1HRedguardM02</v>
      </c>
    </row>
    <row r="2259" ht="12.75" customHeight="1">
      <c r="A2259" s="15" t="s">
        <v>6887</v>
      </c>
      <c r="B2259" s="5" t="s">
        <v>6888</v>
      </c>
      <c r="D2259" s="5" t="s">
        <v>83</v>
      </c>
      <c r="E2259" s="5" t="s">
        <v>233</v>
      </c>
      <c r="F2259" s="5" t="s">
        <v>3700</v>
      </c>
      <c r="G2259" s="14" t="str">
        <f t="array" ref="G2259">IF(B2259="", "",
  LET(_xlpm.spell, IFERROR(IF(F2259="", "", INDEX(_xlws.FILTER(Hairstyles!$F:$F, ISNUMBER(SEARCH(F2259, Hairstyles!$B:$B))), 1)), "No Spell for Hairstyle"),
  _xlpm.vanillaPrefix, IF(LEFT(_xlpm.spell, 7)="Uvi_Wig", "", ";"),
  ";" &amp; IF(C2259="", B2259, C2259) &amp; IF(M2259="", "", " ("&amp;M2259&amp;")") &amp; CHAR(10) &amp;
  _xlpm.vanillaPrefix &amp; "Keyword = Uvi_Wig_Distr_KYWD|" &amp; B2259 &amp; CHAR(10) &amp;
  _xlpm.vanillaPrefix &amp; "Spell = " &amp; _xlpm.spell &amp; "|" &amp; B2259
  )
)</f>
        <v>;EncAlikr03Melee2HBerserkRedguardM01
;Keyword = Uvi_Wig_Distr_KYWD|EncAlikr03Melee2HBerserkRedguardM01
;Spell = No Spell for Hairstyle|EncAlikr03Melee2HBerserkRedguardM01</v>
      </c>
    </row>
    <row r="2260" ht="12.75" customHeight="1">
      <c r="A2260" s="15" t="s">
        <v>6889</v>
      </c>
      <c r="B2260" s="5" t="s">
        <v>6890</v>
      </c>
      <c r="D2260" s="5" t="s">
        <v>83</v>
      </c>
      <c r="E2260" s="5" t="s">
        <v>233</v>
      </c>
      <c r="F2260" s="5" t="s">
        <v>475</v>
      </c>
      <c r="G2260" s="14" t="str">
        <f t="array" ref="G2260">IF(B2260="", "",
  LET(_xlpm.spell, IFERROR(IF(F2260="", "", INDEX(_xlws.FILTER(Hairstyles!$F:$F, ISNUMBER(SEARCH(F2260, Hairstyles!$B:$B))), 1)), "No Spell for Hairstyle"),
  _xlpm.vanillaPrefix, IF(LEFT(_xlpm.spell, 7)="Uvi_Wig", "", ";"),
  ";" &amp; IF(C2260="", B2260, C2260) &amp; IF(M2260="", "", " ("&amp;M2260&amp;")") &amp; CHAR(10) &amp;
  _xlpm.vanillaPrefix &amp; "Keyword = Uvi_Wig_Distr_KYWD|" &amp; B2260 &amp; CHAR(10) &amp;
  _xlpm.vanillaPrefix &amp; "Spell = " &amp; _xlpm.spell &amp; "|" &amp; B2260
  )
)</f>
        <v>;EncAlikr03Melee2HBerserkRedguardM02
;Keyword = Uvi_Wig_Distr_KYWD|EncAlikr03Melee2HBerserkRedguardM02
;Spell = No Spell for Hairstyle|EncAlikr03Melee2HBerserkRedguardM02</v>
      </c>
    </row>
    <row r="2261" ht="12.75" customHeight="1">
      <c r="A2261" s="15" t="s">
        <v>6891</v>
      </c>
      <c r="B2261" s="5" t="s">
        <v>6892</v>
      </c>
      <c r="D2261" s="5" t="s">
        <v>83</v>
      </c>
      <c r="E2261" s="5" t="s">
        <v>233</v>
      </c>
      <c r="F2261" s="5" t="s">
        <v>167</v>
      </c>
      <c r="G2261" s="14" t="str">
        <f t="array" ref="G2261">IF(B2261="", "",
  LET(_xlpm.spell, IFERROR(IF(F2261="", "", INDEX(_xlws.FILTER(Hairstyles!$F:$F, ISNUMBER(SEARCH(F2261, Hairstyles!$B:$B))), 1)), "No Spell for Hairstyle"),
  _xlpm.vanillaPrefix, IF(LEFT(_xlpm.spell, 7)="Uvi_Wig", "", ";"),
  ";" &amp; IF(C2261="", B2261, C2261) &amp; IF(M2261="", "", " ("&amp;M2261&amp;")") &amp; CHAR(10) &amp;
  _xlpm.vanillaPrefix &amp; "Keyword = Uvi_Wig_Distr_KYWD|" &amp; B2261 &amp; CHAR(10) &amp;
  _xlpm.vanillaPrefix &amp; "Spell = " &amp; _xlpm.spell &amp; "|" &amp; B2261
  )
)</f>
        <v>;EncAlikr03MissileRedguardM01
;Keyword = Uvi_Wig_Distr_KYWD|EncAlikr03MissileRedguardM01
;Spell = No Spell for Hairstyle|EncAlikr03MissileRedguardM01</v>
      </c>
    </row>
    <row r="2262" ht="12.75" customHeight="1">
      <c r="A2262" s="15" t="s">
        <v>6893</v>
      </c>
      <c r="B2262" s="5" t="s">
        <v>6894</v>
      </c>
      <c r="D2262" s="5" t="s">
        <v>83</v>
      </c>
      <c r="E2262" s="5" t="s">
        <v>233</v>
      </c>
      <c r="F2262" s="5" t="s">
        <v>84</v>
      </c>
      <c r="G2262" s="14" t="str">
        <f t="array" ref="G2262">IF(B2262="", "",
  LET(_xlpm.spell, IFERROR(IF(F2262="", "", INDEX(_xlws.FILTER(Hairstyles!$F:$F, ISNUMBER(SEARCH(F2262, Hairstyles!$B:$B))), 1)), "No Spell for Hairstyle"),
  _xlpm.vanillaPrefix, IF(LEFT(_xlpm.spell, 7)="Uvi_Wig", "", ";"),
  ";" &amp; IF(C2262="", B2262, C2262) &amp; IF(M2262="", "", " ("&amp;M2262&amp;")") &amp; CHAR(10) &amp;
  _xlpm.vanillaPrefix &amp; "Keyword = Uvi_Wig_Distr_KYWD|" &amp; B2262 &amp; CHAR(10) &amp;
  _xlpm.vanillaPrefix &amp; "Spell = " &amp; _xlpm.spell &amp; "|" &amp; B2262
  )
)</f>
        <v>;EncAlikr03MissileRedguardM02
;Keyword = Uvi_Wig_Distr_KYWD|EncAlikr03MissileRedguardM02
;Spell = No Spell for Hairstyle|EncAlikr03MissileRedguardM02</v>
      </c>
    </row>
    <row r="2263" ht="12.75" customHeight="1">
      <c r="A2263" s="15" t="s">
        <v>6895</v>
      </c>
      <c r="B2263" s="5" t="s">
        <v>6896</v>
      </c>
      <c r="D2263" s="5" t="s">
        <v>83</v>
      </c>
      <c r="E2263" s="5" t="s">
        <v>233</v>
      </c>
      <c r="F2263" s="5" t="s">
        <v>762</v>
      </c>
      <c r="G2263" s="14" t="str">
        <f t="array" ref="G2263">IF(B2263="", "",
  LET(_xlpm.spell, IFERROR(IF(F2263="", "", INDEX(_xlws.FILTER(Hairstyles!$F:$F, ISNUMBER(SEARCH(F2263, Hairstyles!$B:$B))), 1)), "No Spell for Hairstyle"),
  _xlpm.vanillaPrefix, IF(LEFT(_xlpm.spell, 7)="Uvi_Wig", "", ";"),
  ";" &amp; IF(C2263="", B2263, C2263) &amp; IF(M2263="", "", " ("&amp;M2263&amp;")") &amp; CHAR(10) &amp;
  _xlpm.vanillaPrefix &amp; "Keyword = Uvi_Wig_Distr_KYWD|" &amp; B2263 &amp; CHAR(10) &amp;
  _xlpm.vanillaPrefix &amp; "Spell = " &amp; _xlpm.spell &amp; "|" &amp; B2263
  )
)</f>
        <v>;EncAlikr04MagicRedguardM
;Keyword = Uvi_Wig_Distr_KYWD|EncAlikr04MagicRedguardM
;Spell = No Spell for Hairstyle|EncAlikr04MagicRedguardM</v>
      </c>
    </row>
    <row r="2264" ht="12.75" customHeight="1">
      <c r="A2264" s="15" t="s">
        <v>6897</v>
      </c>
      <c r="B2264" s="5" t="s">
        <v>6898</v>
      </c>
      <c r="D2264" s="5" t="s">
        <v>83</v>
      </c>
      <c r="E2264" s="5" t="s">
        <v>233</v>
      </c>
      <c r="F2264" s="5" t="s">
        <v>3700</v>
      </c>
      <c r="G2264" s="14" t="str">
        <f t="array" ref="G2264">IF(B2264="", "",
  LET(_xlpm.spell, IFERROR(IF(F2264="", "", INDEX(_xlws.FILTER(Hairstyles!$F:$F, ISNUMBER(SEARCH(F2264, Hairstyles!$B:$B))), 1)), "No Spell for Hairstyle"),
  _xlpm.vanillaPrefix, IF(LEFT(_xlpm.spell, 7)="Uvi_Wig", "", ";"),
  ";" &amp; IF(C2264="", B2264, C2264) &amp; IF(M2264="", "", " ("&amp;M2264&amp;")") &amp; CHAR(10) &amp;
  _xlpm.vanillaPrefix &amp; "Keyword = Uvi_Wig_Distr_KYWD|" &amp; B2264 &amp; CHAR(10) &amp;
  _xlpm.vanillaPrefix &amp; "Spell = " &amp; _xlpm.spell &amp; "|" &amp; B2264
  )
)</f>
        <v>;EncAlikr04Melee1HRedguardM01
;Keyword = Uvi_Wig_Distr_KYWD|EncAlikr04Melee1HRedguardM01
;Spell = No Spell for Hairstyle|EncAlikr04Melee1HRedguardM01</v>
      </c>
    </row>
    <row r="2265" ht="12.75" customHeight="1">
      <c r="A2265" s="5" t="s">
        <v>6899</v>
      </c>
      <c r="B2265" s="5" t="s">
        <v>6900</v>
      </c>
      <c r="D2265" s="5" t="s">
        <v>83</v>
      </c>
      <c r="E2265" s="5" t="s">
        <v>233</v>
      </c>
      <c r="F2265" s="5" t="s">
        <v>84</v>
      </c>
      <c r="G2265" s="14" t="str">
        <f t="array" ref="G2265">IF(B2265="", "",
  LET(_xlpm.spell, IFERROR(IF(F2265="", "", INDEX(_xlws.FILTER(Hairstyles!$F:$F, ISNUMBER(SEARCH(F2265, Hairstyles!$B:$B))), 1)), "No Spell for Hairstyle"),
  _xlpm.vanillaPrefix, IF(LEFT(_xlpm.spell, 7)="Uvi_Wig", "", ";"),
  ";" &amp; IF(C2265="", B2265, C2265) &amp; IF(M2265="", "", " ("&amp;M2265&amp;")") &amp; CHAR(10) &amp;
  _xlpm.vanillaPrefix &amp; "Keyword = Uvi_Wig_Distr_KYWD|" &amp; B2265 &amp; CHAR(10) &amp;
  _xlpm.vanillaPrefix &amp; "Spell = " &amp; _xlpm.spell &amp; "|" &amp; B2265
  )
)</f>
        <v>;EncAlikr04Melee1HRedguardM02
;Keyword = Uvi_Wig_Distr_KYWD|EncAlikr04Melee1HRedguardM02
;Spell = No Spell for Hairstyle|EncAlikr04Melee1HRedguardM02</v>
      </c>
    </row>
    <row r="2266" ht="12.75" customHeight="1">
      <c r="A2266" s="15" t="s">
        <v>6901</v>
      </c>
      <c r="B2266" s="5" t="s">
        <v>6902</v>
      </c>
      <c r="D2266" s="5" t="s">
        <v>83</v>
      </c>
      <c r="E2266" s="5" t="s">
        <v>233</v>
      </c>
      <c r="F2266" s="5" t="s">
        <v>475</v>
      </c>
      <c r="G2266" s="14" t="str">
        <f t="array" ref="G2266">IF(B2266="", "",
  LET(_xlpm.spell, IFERROR(IF(F2266="", "", INDEX(_xlws.FILTER(Hairstyles!$F:$F, ISNUMBER(SEARCH(F2266, Hairstyles!$B:$B))), 1)), "No Spell for Hairstyle"),
  _xlpm.vanillaPrefix, IF(LEFT(_xlpm.spell, 7)="Uvi_Wig", "", ";"),
  ";" &amp; IF(C2266="", B2266, C2266) &amp; IF(M2266="", "", " ("&amp;M2266&amp;")") &amp; CHAR(10) &amp;
  _xlpm.vanillaPrefix &amp; "Keyword = Uvi_Wig_Distr_KYWD|" &amp; B2266 &amp; CHAR(10) &amp;
  _xlpm.vanillaPrefix &amp; "Spell = " &amp; _xlpm.spell &amp; "|" &amp; B2266
  )
)</f>
        <v>;EncAlikr04Melee2HBerserkRedguardM01
;Keyword = Uvi_Wig_Distr_KYWD|EncAlikr04Melee2HBerserkRedguardM01
;Spell = No Spell for Hairstyle|EncAlikr04Melee2HBerserkRedguardM01</v>
      </c>
    </row>
    <row r="2267" ht="12.75" customHeight="1">
      <c r="A2267" s="5" t="s">
        <v>6903</v>
      </c>
      <c r="B2267" s="5" t="s">
        <v>6904</v>
      </c>
      <c r="D2267" s="5" t="s">
        <v>83</v>
      </c>
      <c r="E2267" s="5" t="s">
        <v>233</v>
      </c>
      <c r="F2267" s="5" t="s">
        <v>84</v>
      </c>
      <c r="G2267" s="14" t="str">
        <f t="array" ref="G2267">IF(B2267="", "",
  LET(_xlpm.spell, IFERROR(IF(F2267="", "", INDEX(_xlws.FILTER(Hairstyles!$F:$F, ISNUMBER(SEARCH(F2267, Hairstyles!$B:$B))), 1)), "No Spell for Hairstyle"),
  _xlpm.vanillaPrefix, IF(LEFT(_xlpm.spell, 7)="Uvi_Wig", "", ";"),
  ";" &amp; IF(C2267="", B2267, C2267) &amp; IF(M2267="", "", " ("&amp;M2267&amp;")") &amp; CHAR(10) &amp;
  _xlpm.vanillaPrefix &amp; "Keyword = Uvi_Wig_Distr_KYWD|" &amp; B2267 &amp; CHAR(10) &amp;
  _xlpm.vanillaPrefix &amp; "Spell = " &amp; _xlpm.spell &amp; "|" &amp; B2267
  )
)</f>
        <v>;EncAlikr04Melee2HBerserkRedguardM02
;Keyword = Uvi_Wig_Distr_KYWD|EncAlikr04Melee2HBerserkRedguardM02
;Spell = No Spell for Hairstyle|EncAlikr04Melee2HBerserkRedguardM02</v>
      </c>
    </row>
    <row r="2268" ht="12.75" customHeight="1">
      <c r="A2268" s="15" t="s">
        <v>6905</v>
      </c>
      <c r="B2268" s="5" t="s">
        <v>6906</v>
      </c>
      <c r="D2268" s="5" t="s">
        <v>83</v>
      </c>
      <c r="E2268" s="5" t="s">
        <v>233</v>
      </c>
      <c r="F2268" s="5" t="s">
        <v>1553</v>
      </c>
      <c r="G2268" s="14" t="str">
        <f t="array" ref="G2268">IF(B2268="", "",
  LET(_xlpm.spell, IFERROR(IF(F2268="", "", INDEX(_xlws.FILTER(Hairstyles!$F:$F, ISNUMBER(SEARCH(F2268, Hairstyles!$B:$B))), 1)), "No Spell for Hairstyle"),
  _xlpm.vanillaPrefix, IF(LEFT(_xlpm.spell, 7)="Uvi_Wig", "", ";"),
  ";" &amp; IF(C2268="", B2268, C2268) &amp; IF(M2268="", "", " ("&amp;M2268&amp;")") &amp; CHAR(10) &amp;
  _xlpm.vanillaPrefix &amp; "Keyword = Uvi_Wig_Distr_KYWD|" &amp; B2268 &amp; CHAR(10) &amp;
  _xlpm.vanillaPrefix &amp; "Spell = " &amp; _xlpm.spell &amp; "|" &amp; B2268
  )
)</f>
        <v>;EncAlikr04MissileRedguardM01
;Keyword = Uvi_Wig_Distr_KYWD|EncAlikr04MissileRedguardM01
;Spell = No Spell for Hairstyle|EncAlikr04MissileRedguardM01</v>
      </c>
    </row>
    <row r="2269" ht="12.75" customHeight="1">
      <c r="A2269" s="5" t="s">
        <v>6907</v>
      </c>
      <c r="B2269" s="5" t="s">
        <v>6908</v>
      </c>
      <c r="D2269" s="5" t="s">
        <v>83</v>
      </c>
      <c r="E2269" s="5" t="s">
        <v>233</v>
      </c>
      <c r="F2269" s="5" t="s">
        <v>762</v>
      </c>
      <c r="G2269" s="14" t="str">
        <f t="array" ref="G2269">IF(B2269="", "",
  LET(_xlpm.spell, IFERROR(IF(F2269="", "", INDEX(_xlws.FILTER(Hairstyles!$F:$F, ISNUMBER(SEARCH(F2269, Hairstyles!$B:$B))), 1)), "No Spell for Hairstyle"),
  _xlpm.vanillaPrefix, IF(LEFT(_xlpm.spell, 7)="Uvi_Wig", "", ";"),
  ";" &amp; IF(C2269="", B2269, C2269) &amp; IF(M2269="", "", " ("&amp;M2269&amp;")") &amp; CHAR(10) &amp;
  _xlpm.vanillaPrefix &amp; "Keyword = Uvi_Wig_Distr_KYWD|" &amp; B2269 &amp; CHAR(10) &amp;
  _xlpm.vanillaPrefix &amp; "Spell = " &amp; _xlpm.spell &amp; "|" &amp; B2269
  )
)</f>
        <v>;EncAlikr04MissileRedguardM02
;Keyword = Uvi_Wig_Distr_KYWD|EncAlikr04MissileRedguardM02
;Spell = No Spell for Hairstyle|EncAlikr04MissileRedguardM02</v>
      </c>
    </row>
    <row r="2270" ht="12.75" customHeight="1">
      <c r="A2270" s="5" t="s">
        <v>6909</v>
      </c>
      <c r="B2270" s="5" t="s">
        <v>6910</v>
      </c>
      <c r="D2270" s="5" t="s">
        <v>83</v>
      </c>
      <c r="E2270" s="5" t="s">
        <v>233</v>
      </c>
      <c r="F2270" s="5" t="s">
        <v>3700</v>
      </c>
      <c r="G2270" s="14" t="str">
        <f t="array" ref="G2270">IF(B2270="", "",
  LET(_xlpm.spell, IFERROR(IF(F2270="", "", INDEX(_xlws.FILTER(Hairstyles!$F:$F, ISNUMBER(SEARCH(F2270, Hairstyles!$B:$B))), 1)), "No Spell for Hairstyle"),
  _xlpm.vanillaPrefix, IF(LEFT(_xlpm.spell, 7)="Uvi_Wig", "", ";"),
  ";" &amp; IF(C2270="", B2270, C2270) &amp; IF(M2270="", "", " ("&amp;M2270&amp;")") &amp; CHAR(10) &amp;
  _xlpm.vanillaPrefix &amp; "Keyword = Uvi_Wig_Distr_KYWD|" &amp; B2270 &amp; CHAR(10) &amp;
  _xlpm.vanillaPrefix &amp; "Spell = " &amp; _xlpm.spell &amp; "|" &amp; B2270
  )
)</f>
        <v>;EncAlikr05MagicRedguardM
;Keyword = Uvi_Wig_Distr_KYWD|EncAlikr05MagicRedguardM
;Spell = No Spell for Hairstyle|EncAlikr05MagicRedguardM</v>
      </c>
    </row>
    <row r="2271" ht="12.75" customHeight="1">
      <c r="A2271" s="5" t="s">
        <v>6911</v>
      </c>
      <c r="B2271" s="5" t="s">
        <v>6912</v>
      </c>
      <c r="D2271" s="5" t="s">
        <v>83</v>
      </c>
      <c r="E2271" s="5" t="s">
        <v>233</v>
      </c>
      <c r="F2271" s="5" t="s">
        <v>238</v>
      </c>
      <c r="G2271" s="14" t="str">
        <f t="array" ref="G2271">IF(B2271="", "",
  LET(_xlpm.spell, IFERROR(IF(F2271="", "", INDEX(_xlws.FILTER(Hairstyles!$F:$F, ISNUMBER(SEARCH(F2271, Hairstyles!$B:$B))), 1)), "No Spell for Hairstyle"),
  _xlpm.vanillaPrefix, IF(LEFT(_xlpm.spell, 7)="Uvi_Wig", "", ";"),
  ";" &amp; IF(C2271="", B2271, C2271) &amp; IF(M2271="", "", " ("&amp;M2271&amp;")") &amp; CHAR(10) &amp;
  _xlpm.vanillaPrefix &amp; "Keyword = Uvi_Wig_Distr_KYWD|" &amp; B2271 &amp; CHAR(10) &amp;
  _xlpm.vanillaPrefix &amp; "Spell = " &amp; _xlpm.spell &amp; "|" &amp; B2271
  )
)</f>
        <v>;EncAlikr05Melee1HRedguardM01
;Keyword = Uvi_Wig_Distr_KYWD|EncAlikr05Melee1HRedguardM01
;Spell = No Spell for Hairstyle|EncAlikr05Melee1HRedguardM01</v>
      </c>
    </row>
    <row r="2272" ht="12.75" customHeight="1">
      <c r="A2272" s="15" t="s">
        <v>6913</v>
      </c>
      <c r="B2272" s="5" t="s">
        <v>6914</v>
      </c>
      <c r="D2272" s="5" t="s">
        <v>83</v>
      </c>
      <c r="E2272" s="5" t="s">
        <v>233</v>
      </c>
      <c r="F2272" s="5" t="s">
        <v>174</v>
      </c>
      <c r="G2272" s="14" t="str">
        <f t="array" ref="G2272">IF(B2272="", "",
  LET(_xlpm.spell, IFERROR(IF(F2272="", "", INDEX(_xlws.FILTER(Hairstyles!$F:$F, ISNUMBER(SEARCH(F2272, Hairstyles!$B:$B))), 1)), "No Spell for Hairstyle"),
  _xlpm.vanillaPrefix, IF(LEFT(_xlpm.spell, 7)="Uvi_Wig", "", ";"),
  ";" &amp; IF(C2272="", B2272, C2272) &amp; IF(M2272="", "", " ("&amp;M2272&amp;")") &amp; CHAR(10) &amp;
  _xlpm.vanillaPrefix &amp; "Keyword = Uvi_Wig_Distr_KYWD|" &amp; B2272 &amp; CHAR(10) &amp;
  _xlpm.vanillaPrefix &amp; "Spell = " &amp; _xlpm.spell &amp; "|" &amp; B2272
  )
)</f>
        <v>;EncAlikr05Melee1HRedguardM02
;Keyword = Uvi_Wig_Distr_KYWD|EncAlikr05Melee1HRedguardM02
;Spell = No Spell for Hairstyle|EncAlikr05Melee1HRedguardM02</v>
      </c>
    </row>
    <row r="2273" ht="12.75" customHeight="1">
      <c r="A2273" s="5" t="s">
        <v>6915</v>
      </c>
      <c r="B2273" s="5" t="s">
        <v>6916</v>
      </c>
      <c r="D2273" s="5" t="s">
        <v>83</v>
      </c>
      <c r="E2273" s="5" t="s">
        <v>233</v>
      </c>
      <c r="F2273" s="5" t="s">
        <v>695</v>
      </c>
      <c r="G2273" s="14" t="str">
        <f t="array" ref="G2273">IF(B2273="", "",
  LET(_xlpm.spell, IFERROR(IF(F2273="", "", INDEX(_xlws.FILTER(Hairstyles!$F:$F, ISNUMBER(SEARCH(F2273, Hairstyles!$B:$B))), 1)), "No Spell for Hairstyle"),
  _xlpm.vanillaPrefix, IF(LEFT(_xlpm.spell, 7)="Uvi_Wig", "", ";"),
  ";" &amp; IF(C2273="", B2273, C2273) &amp; IF(M2273="", "", " ("&amp;M2273&amp;")") &amp; CHAR(10) &amp;
  _xlpm.vanillaPrefix &amp; "Keyword = Uvi_Wig_Distr_KYWD|" &amp; B2273 &amp; CHAR(10) &amp;
  _xlpm.vanillaPrefix &amp; "Spell = " &amp; _xlpm.spell &amp; "|" &amp; B2273
  )
)</f>
        <v>;EncAlikr05Melee2HBerserkRedguardM01
;Keyword = Uvi_Wig_Distr_KYWD|EncAlikr05Melee2HBerserkRedguardM01
;Spell = No Spell for Hairstyle|EncAlikr05Melee2HBerserkRedguardM01</v>
      </c>
    </row>
    <row r="2274" ht="12.75" customHeight="1">
      <c r="A2274" s="15" t="s">
        <v>6917</v>
      </c>
      <c r="B2274" s="5" t="s">
        <v>6918</v>
      </c>
      <c r="D2274" s="5" t="s">
        <v>83</v>
      </c>
      <c r="E2274" s="5" t="s">
        <v>233</v>
      </c>
      <c r="F2274" s="5" t="s">
        <v>245</v>
      </c>
      <c r="G2274" s="14" t="str">
        <f t="array" ref="G2274">IF(B2274="", "",
  LET(_xlpm.spell, IFERROR(IF(F2274="", "", INDEX(_xlws.FILTER(Hairstyles!$F:$F, ISNUMBER(SEARCH(F2274, Hairstyles!$B:$B))), 1)), "No Spell for Hairstyle"),
  _xlpm.vanillaPrefix, IF(LEFT(_xlpm.spell, 7)="Uvi_Wig", "", ";"),
  ";" &amp; IF(C2274="", B2274, C2274) &amp; IF(M2274="", "", " ("&amp;M2274&amp;")") &amp; CHAR(10) &amp;
  _xlpm.vanillaPrefix &amp; "Keyword = Uvi_Wig_Distr_KYWD|" &amp; B2274 &amp; CHAR(10) &amp;
  _xlpm.vanillaPrefix &amp; "Spell = " &amp; _xlpm.spell &amp; "|" &amp; B2274
  )
)</f>
        <v>;EncAlikr05Melee2HBerserkRedguardM02
;Keyword = Uvi_Wig_Distr_KYWD|EncAlikr05Melee2HBerserkRedguardM02
;Spell = No Spell for Hairstyle|EncAlikr05Melee2HBerserkRedguardM02</v>
      </c>
    </row>
    <row r="2275" ht="12.75" customHeight="1">
      <c r="A2275" s="15" t="s">
        <v>6919</v>
      </c>
      <c r="B2275" s="5" t="s">
        <v>6920</v>
      </c>
      <c r="D2275" s="5" t="s">
        <v>83</v>
      </c>
      <c r="E2275" s="5" t="s">
        <v>233</v>
      </c>
      <c r="F2275" s="5" t="s">
        <v>245</v>
      </c>
      <c r="G2275" s="14" t="str">
        <f t="array" ref="G2275">IF(B2275="", "",
  LET(_xlpm.spell, IFERROR(IF(F2275="", "", INDEX(_xlws.FILTER(Hairstyles!$F:$F, ISNUMBER(SEARCH(F2275, Hairstyles!$B:$B))), 1)), "No Spell for Hairstyle"),
  _xlpm.vanillaPrefix, IF(LEFT(_xlpm.spell, 7)="Uvi_Wig", "", ";"),
  ";" &amp; IF(C2275="", B2275, C2275) &amp; IF(M2275="", "", " ("&amp;M2275&amp;")") &amp; CHAR(10) &amp;
  _xlpm.vanillaPrefix &amp; "Keyword = Uvi_Wig_Distr_KYWD|" &amp; B2275 &amp; CHAR(10) &amp;
  _xlpm.vanillaPrefix &amp; "Spell = " &amp; _xlpm.spell &amp; "|" &amp; B2275
  )
)</f>
        <v>;EncAlikr05MissileRedguardM01
;Keyword = Uvi_Wig_Distr_KYWD|EncAlikr05MissileRedguardM01
;Spell = No Spell for Hairstyle|EncAlikr05MissileRedguardM01</v>
      </c>
    </row>
    <row r="2276" ht="12.75" customHeight="1">
      <c r="A2276" s="15" t="s">
        <v>6921</v>
      </c>
      <c r="B2276" s="5" t="s">
        <v>6922</v>
      </c>
      <c r="D2276" s="5" t="s">
        <v>83</v>
      </c>
      <c r="E2276" s="5" t="s">
        <v>233</v>
      </c>
      <c r="F2276" s="5" t="s">
        <v>475</v>
      </c>
      <c r="G2276" s="14" t="str">
        <f t="array" ref="G2276">IF(B2276="", "",
  LET(_xlpm.spell, IFERROR(IF(F2276="", "", INDEX(_xlws.FILTER(Hairstyles!$F:$F, ISNUMBER(SEARCH(F2276, Hairstyles!$B:$B))), 1)), "No Spell for Hairstyle"),
  _xlpm.vanillaPrefix, IF(LEFT(_xlpm.spell, 7)="Uvi_Wig", "", ";"),
  ";" &amp; IF(C2276="", B2276, C2276) &amp; IF(M2276="", "", " ("&amp;M2276&amp;")") &amp; CHAR(10) &amp;
  _xlpm.vanillaPrefix &amp; "Keyword = Uvi_Wig_Distr_KYWD|" &amp; B2276 &amp; CHAR(10) &amp;
  _xlpm.vanillaPrefix &amp; "Spell = " &amp; _xlpm.spell &amp; "|" &amp; B2276
  )
)</f>
        <v>;EncAlikr05MissileRedguardM02
;Keyword = Uvi_Wig_Distr_KYWD|EncAlikr05MissileRedguardM02
;Spell = No Spell for Hairstyle|EncAlikr05MissileRedguardM02</v>
      </c>
    </row>
    <row r="2277" ht="12.75" customHeight="1">
      <c r="A2277" s="15" t="s">
        <v>6923</v>
      </c>
      <c r="B2277" s="5" t="s">
        <v>6924</v>
      </c>
      <c r="D2277" s="5" t="s">
        <v>83</v>
      </c>
      <c r="E2277" s="5" t="s">
        <v>233</v>
      </c>
      <c r="F2277" s="5" t="s">
        <v>167</v>
      </c>
      <c r="G2277" s="14" t="str">
        <f t="array" ref="G2277">IF(B2277="", "",
  LET(_xlpm.spell, IFERROR(IF(F2277="", "", INDEX(_xlws.FILTER(Hairstyles!$F:$F, ISNUMBER(SEARCH(F2277, Hairstyles!$B:$B))), 1)), "No Spell for Hairstyle"),
  _xlpm.vanillaPrefix, IF(LEFT(_xlpm.spell, 7)="Uvi_Wig", "", ";"),
  ";" &amp; IF(C2277="", B2277, C2277) &amp; IF(M2277="", "", " ("&amp;M2277&amp;")") &amp; CHAR(10) &amp;
  _xlpm.vanillaPrefix &amp; "Keyword = Uvi_Wig_Distr_KYWD|" &amp; B2277 &amp; CHAR(10) &amp;
  _xlpm.vanillaPrefix &amp; "Spell = " &amp; _xlpm.spell &amp; "|" &amp; B2277
  )
)</f>
        <v>;EncAlikr06MagicRedguardM
;Keyword = Uvi_Wig_Distr_KYWD|EncAlikr06MagicRedguardM
;Spell = No Spell for Hairstyle|EncAlikr06MagicRedguardM</v>
      </c>
    </row>
    <row r="2278" ht="12.75" customHeight="1">
      <c r="A2278" s="15" t="s">
        <v>6925</v>
      </c>
      <c r="B2278" s="5" t="s">
        <v>6926</v>
      </c>
      <c r="D2278" s="5" t="s">
        <v>83</v>
      </c>
      <c r="E2278" s="5" t="s">
        <v>233</v>
      </c>
      <c r="F2278" s="5" t="s">
        <v>174</v>
      </c>
      <c r="G2278" s="14" t="str">
        <f t="array" ref="G2278">IF(B2278="", "",
  LET(_xlpm.spell, IFERROR(IF(F2278="", "", INDEX(_xlws.FILTER(Hairstyles!$F:$F, ISNUMBER(SEARCH(F2278, Hairstyles!$B:$B))), 1)), "No Spell for Hairstyle"),
  _xlpm.vanillaPrefix, IF(LEFT(_xlpm.spell, 7)="Uvi_Wig", "", ";"),
  ";" &amp; IF(C2278="", B2278, C2278) &amp; IF(M2278="", "", " ("&amp;M2278&amp;")") &amp; CHAR(10) &amp;
  _xlpm.vanillaPrefix &amp; "Keyword = Uvi_Wig_Distr_KYWD|" &amp; B2278 &amp; CHAR(10) &amp;
  _xlpm.vanillaPrefix &amp; "Spell = " &amp; _xlpm.spell &amp; "|" &amp; B2278
  )
)</f>
        <v>;EncAlikr06Melee1HRedguardM01
;Keyword = Uvi_Wig_Distr_KYWD|EncAlikr06Melee1HRedguardM01
;Spell = No Spell for Hairstyle|EncAlikr06Melee1HRedguardM01</v>
      </c>
    </row>
    <row r="2279" ht="12.75" customHeight="1">
      <c r="A2279" s="15" t="s">
        <v>6927</v>
      </c>
      <c r="B2279" s="5" t="s">
        <v>6928</v>
      </c>
      <c r="D2279" s="5" t="s">
        <v>83</v>
      </c>
      <c r="E2279" s="5" t="s">
        <v>233</v>
      </c>
      <c r="F2279" s="5" t="s">
        <v>84</v>
      </c>
      <c r="G2279" s="14" t="str">
        <f t="array" ref="G2279">IF(B2279="", "",
  LET(_xlpm.spell, IFERROR(IF(F2279="", "", INDEX(_xlws.FILTER(Hairstyles!$F:$F, ISNUMBER(SEARCH(F2279, Hairstyles!$B:$B))), 1)), "No Spell for Hairstyle"),
  _xlpm.vanillaPrefix, IF(LEFT(_xlpm.spell, 7)="Uvi_Wig", "", ";"),
  ";" &amp; IF(C2279="", B2279, C2279) &amp; IF(M2279="", "", " ("&amp;M2279&amp;")") &amp; CHAR(10) &amp;
  _xlpm.vanillaPrefix &amp; "Keyword = Uvi_Wig_Distr_KYWD|" &amp; B2279 &amp; CHAR(10) &amp;
  _xlpm.vanillaPrefix &amp; "Spell = " &amp; _xlpm.spell &amp; "|" &amp; B2279
  )
)</f>
        <v>;EncAlikr06Melee1HRedguardM02
;Keyword = Uvi_Wig_Distr_KYWD|EncAlikr06Melee1HRedguardM02
;Spell = No Spell for Hairstyle|EncAlikr06Melee1HRedguardM02</v>
      </c>
    </row>
    <row r="2280" ht="12.75" customHeight="1">
      <c r="A2280" s="15" t="s">
        <v>6929</v>
      </c>
      <c r="B2280" s="5" t="s">
        <v>6930</v>
      </c>
      <c r="D2280" s="5" t="s">
        <v>83</v>
      </c>
      <c r="E2280" s="5" t="s">
        <v>233</v>
      </c>
      <c r="F2280" s="5" t="s">
        <v>2107</v>
      </c>
      <c r="G2280" s="14" t="str">
        <f t="array" ref="G2280">IF(B2280="", "",
  LET(_xlpm.spell, IFERROR(IF(F2280="", "", INDEX(_xlws.FILTER(Hairstyles!$F:$F, ISNUMBER(SEARCH(F2280, Hairstyles!$B:$B))), 1)), "No Spell for Hairstyle"),
  _xlpm.vanillaPrefix, IF(LEFT(_xlpm.spell, 7)="Uvi_Wig", "", ";"),
  ";" &amp; IF(C2280="", B2280, C2280) &amp; IF(M2280="", "", " ("&amp;M2280&amp;")") &amp; CHAR(10) &amp;
  _xlpm.vanillaPrefix &amp; "Keyword = Uvi_Wig_Distr_KYWD|" &amp; B2280 &amp; CHAR(10) &amp;
  _xlpm.vanillaPrefix &amp; "Spell = " &amp; _xlpm.spell &amp; "|" &amp; B2280
  )
)</f>
        <v>;EncAlikr06Melee2HBerserkRedguardM01
;Keyword = Uvi_Wig_Distr_KYWD|EncAlikr06Melee2HBerserkRedguardM01
;Spell = No Spell for Hairstyle|EncAlikr06Melee2HBerserkRedguardM01</v>
      </c>
    </row>
    <row r="2281" ht="12.75" customHeight="1">
      <c r="A2281" s="15" t="s">
        <v>6931</v>
      </c>
      <c r="B2281" s="5" t="s">
        <v>6932</v>
      </c>
      <c r="D2281" s="5" t="s">
        <v>83</v>
      </c>
      <c r="E2281" s="5" t="s">
        <v>233</v>
      </c>
      <c r="F2281" s="5" t="s">
        <v>2107</v>
      </c>
      <c r="G2281" s="14" t="str">
        <f t="array" ref="G2281">IF(B2281="", "",
  LET(_xlpm.spell, IFERROR(IF(F2281="", "", INDEX(_xlws.FILTER(Hairstyles!$F:$F, ISNUMBER(SEARCH(F2281, Hairstyles!$B:$B))), 1)), "No Spell for Hairstyle"),
  _xlpm.vanillaPrefix, IF(LEFT(_xlpm.spell, 7)="Uvi_Wig", "", ";"),
  ";" &amp; IF(C2281="", B2281, C2281) &amp; IF(M2281="", "", " ("&amp;M2281&amp;")") &amp; CHAR(10) &amp;
  _xlpm.vanillaPrefix &amp; "Keyword = Uvi_Wig_Distr_KYWD|" &amp; B2281 &amp; CHAR(10) &amp;
  _xlpm.vanillaPrefix &amp; "Spell = " &amp; _xlpm.spell &amp; "|" &amp; B2281
  )
)</f>
        <v>;EncAlikr06Melee2HBerserkRedguardM02
;Keyword = Uvi_Wig_Distr_KYWD|EncAlikr06Melee2HBerserkRedguardM02
;Spell = No Spell for Hairstyle|EncAlikr06Melee2HBerserkRedguardM02</v>
      </c>
    </row>
    <row r="2282" ht="12.75" customHeight="1">
      <c r="A2282" s="15" t="s">
        <v>6933</v>
      </c>
      <c r="B2282" s="5" t="s">
        <v>6934</v>
      </c>
      <c r="D2282" s="5" t="s">
        <v>83</v>
      </c>
      <c r="E2282" s="5" t="s">
        <v>233</v>
      </c>
      <c r="F2282" s="5" t="s">
        <v>174</v>
      </c>
      <c r="G2282" s="14" t="str">
        <f t="array" ref="G2282">IF(B2282="", "",
  LET(_xlpm.spell, IFERROR(IF(F2282="", "", INDEX(_xlws.FILTER(Hairstyles!$F:$F, ISNUMBER(SEARCH(F2282, Hairstyles!$B:$B))), 1)), "No Spell for Hairstyle"),
  _xlpm.vanillaPrefix, IF(LEFT(_xlpm.spell, 7)="Uvi_Wig", "", ";"),
  ";" &amp; IF(C2282="", B2282, C2282) &amp; IF(M2282="", "", " ("&amp;M2282&amp;")") &amp; CHAR(10) &amp;
  _xlpm.vanillaPrefix &amp; "Keyword = Uvi_Wig_Distr_KYWD|" &amp; B2282 &amp; CHAR(10) &amp;
  _xlpm.vanillaPrefix &amp; "Spell = " &amp; _xlpm.spell &amp; "|" &amp; B2282
  )
)</f>
        <v>;EncAlikr06MissileRedguardM01
;Keyword = Uvi_Wig_Distr_KYWD|EncAlikr06MissileRedguardM01
;Spell = No Spell for Hairstyle|EncAlikr06MissileRedguardM01</v>
      </c>
    </row>
    <row r="2283" ht="12.75" customHeight="1">
      <c r="A2283" s="5" t="s">
        <v>6935</v>
      </c>
      <c r="B2283" s="5" t="s">
        <v>6936</v>
      </c>
      <c r="D2283" s="5" t="s">
        <v>83</v>
      </c>
      <c r="E2283" s="5" t="s">
        <v>233</v>
      </c>
      <c r="F2283" s="5" t="s">
        <v>1553</v>
      </c>
      <c r="G2283" s="14" t="str">
        <f t="array" ref="G2283">IF(B2283="", "",
  LET(_xlpm.spell, IFERROR(IF(F2283="", "", INDEX(_xlws.FILTER(Hairstyles!$F:$F, ISNUMBER(SEARCH(F2283, Hairstyles!$B:$B))), 1)), "No Spell for Hairstyle"),
  _xlpm.vanillaPrefix, IF(LEFT(_xlpm.spell, 7)="Uvi_Wig", "", ";"),
  ";" &amp; IF(C2283="", B2283, C2283) &amp; IF(M2283="", "", " ("&amp;M2283&amp;")") &amp; CHAR(10) &amp;
  _xlpm.vanillaPrefix &amp; "Keyword = Uvi_Wig_Distr_KYWD|" &amp; B2283 &amp; CHAR(10) &amp;
  _xlpm.vanillaPrefix &amp; "Spell = " &amp; _xlpm.spell &amp; "|" &amp; B2283
  )
)</f>
        <v>;EncAlikr06MissileRedguardM02
;Keyword = Uvi_Wig_Distr_KYWD|EncAlikr06MissileRedguardM02
;Spell = No Spell for Hairstyle|EncAlikr06MissileRedguardM02</v>
      </c>
    </row>
    <row r="2284" ht="12.75" customHeight="1">
      <c r="A2284" s="5" t="s">
        <v>6937</v>
      </c>
      <c r="B2284" s="5" t="s">
        <v>6938</v>
      </c>
      <c r="D2284" s="5" t="s">
        <v>10</v>
      </c>
      <c r="E2284" s="5" t="s">
        <v>233</v>
      </c>
      <c r="F2284" s="5" t="s">
        <v>6939</v>
      </c>
      <c r="G2284" s="14" t="str">
        <f t="array" ref="G2284">IF(B2284="", "",
  LET(_xlpm.spell, IFERROR(IF(F2284="", "", INDEX(_xlws.FILTER(Hairstyles!$F:$F, ISNUMBER(SEARCH(F2284, Hairstyles!$B:$B))), 1)), "No Spell for Hairstyle"),
  _xlpm.vanillaPrefix, IF(LEFT(_xlpm.spell, 7)="Uvi_Wig", "", ";"),
  ";" &amp; IF(C2284="", B2284, C2284) &amp; IF(M2284="", "", " ("&amp;M2284&amp;")") &amp; CHAR(10) &amp;
  _xlpm.vanillaPrefix &amp; "Keyword = Uvi_Wig_Distr_KYWD|" &amp; B2284 &amp; CHAR(10) &amp;
  _xlpm.vanillaPrefix &amp; "Spell = " &amp; _xlpm.spell &amp; "|" &amp; B2284
  )
)</f>
        <v>;EncBandit01MagicArgonianM
;Keyword = Uvi_Wig_Distr_KYWD|EncBandit01MagicArgonianM
;Spell = No Spell for Hairstyle|EncBandit01MagicArgonianM</v>
      </c>
    </row>
    <row r="2285" ht="12.75" customHeight="1">
      <c r="A2285" s="5" t="s">
        <v>6940</v>
      </c>
      <c r="B2285" s="5" t="s">
        <v>6941</v>
      </c>
      <c r="D2285" s="5" t="s">
        <v>16</v>
      </c>
      <c r="E2285" s="5" t="s">
        <v>41</v>
      </c>
      <c r="F2285" s="5" t="s">
        <v>1041</v>
      </c>
      <c r="G2285" s="14" t="str">
        <f t="array" ref="G2285">IF(B2285="", "",
  LET(_xlpm.spell, IFERROR(IF(F2285="", "", INDEX(_xlws.FILTER(Hairstyles!$F:$F, ISNUMBER(SEARCH(F2285, Hairstyles!$B:$B))), 1)), "No Spell for Hairstyle"),
  _xlpm.vanillaPrefix, IF(LEFT(_xlpm.spell, 7)="Uvi_Wig", "", ";"),
  ";" &amp; IF(C2285="", B2285, C2285) &amp; IF(M2285="", "", " ("&amp;M2285&amp;")") &amp; CHAR(10) &amp;
  _xlpm.vanillaPrefix &amp; "Keyword = Uvi_Wig_Distr_KYWD|" &amp; B2285 &amp; CHAR(10) &amp;
  _xlpm.vanillaPrefix &amp; "Spell = " &amp; _xlpm.spell &amp; "|" &amp; B2285
  )
)</f>
        <v>;EncBandit01MagicBretonF
;Keyword = Uvi_Wig_Distr_KYWD|EncBandit01MagicBretonF
;Spell = No Spell for Hairstyle|EncBandit01MagicBretonF</v>
      </c>
    </row>
    <row r="2286" ht="12.75" customHeight="1">
      <c r="A2286" s="5" t="s">
        <v>6942</v>
      </c>
      <c r="B2286" s="5" t="s">
        <v>6943</v>
      </c>
      <c r="D2286" s="5" t="s">
        <v>16</v>
      </c>
      <c r="E2286" s="5" t="s">
        <v>233</v>
      </c>
      <c r="F2286" s="5" t="s">
        <v>235</v>
      </c>
      <c r="G2286" s="14" t="str">
        <f t="array" ref="G2286">IF(B2286="", "",
  LET(_xlpm.spell, IFERROR(IF(F2286="", "", INDEX(_xlws.FILTER(Hairstyles!$F:$F, ISNUMBER(SEARCH(F2286, Hairstyles!$B:$B))), 1)), "No Spell for Hairstyle"),
  _xlpm.vanillaPrefix, IF(LEFT(_xlpm.spell, 7)="Uvi_Wig", "", ";"),
  ";" &amp; IF(C2286="", B2286, C2286) &amp; IF(M2286="", "", " ("&amp;M2286&amp;")") &amp; CHAR(10) &amp;
  _xlpm.vanillaPrefix &amp; "Keyword = Uvi_Wig_Distr_KYWD|" &amp; B2286 &amp; CHAR(10) &amp;
  _xlpm.vanillaPrefix &amp; "Spell = " &amp; _xlpm.spell &amp; "|" &amp; B2286
  )
)</f>
        <v>;EncBandit01MagicBretonM
;Keyword = Uvi_Wig_Distr_KYWD|EncBandit01MagicBretonM
;Spell = No Spell for Hairstyle|EncBandit01MagicBretonM</v>
      </c>
    </row>
    <row r="2287" ht="12.75" customHeight="1">
      <c r="A2287" s="5" t="s">
        <v>6944</v>
      </c>
      <c r="B2287" s="5" t="s">
        <v>6945</v>
      </c>
      <c r="D2287" s="5" t="s">
        <v>45</v>
      </c>
      <c r="E2287" s="5" t="s">
        <v>41</v>
      </c>
      <c r="F2287" s="5" t="s">
        <v>512</v>
      </c>
      <c r="G2287" s="14" t="str">
        <f t="array" ref="G2287">IF(B2287="", "",
  LET(_xlpm.spell, IFERROR(IF(F2287="", "", INDEX(_xlws.FILTER(Hairstyles!$F:$F, ISNUMBER(SEARCH(F2287, Hairstyles!$B:$B))), 1)), "No Spell for Hairstyle"),
  _xlpm.vanillaPrefix, IF(LEFT(_xlpm.spell, 7)="Uvi_Wig", "", ";"),
  ";" &amp; IF(C2287="", B2287, C2287) &amp; IF(M2287="", "", " ("&amp;M2287&amp;")") &amp; CHAR(10) &amp;
  _xlpm.vanillaPrefix &amp; "Keyword = Uvi_Wig_Distr_KYWD|" &amp; B2287 &amp; CHAR(10) &amp;
  _xlpm.vanillaPrefix &amp; "Spell = " &amp; _xlpm.spell &amp; "|" &amp; B2287
  )
)</f>
        <v>;EncBandit01MagicDarkElfF
;Keyword = Uvi_Wig_Distr_KYWD|EncBandit01MagicDarkElfF
;Spell = No Spell for Hairstyle|EncBandit01MagicDarkElfF</v>
      </c>
    </row>
    <row r="2288" ht="12.75" customHeight="1">
      <c r="A2288" s="5" t="s">
        <v>6946</v>
      </c>
      <c r="B2288" s="5" t="s">
        <v>6947</v>
      </c>
      <c r="D2288" s="5" t="s">
        <v>45</v>
      </c>
      <c r="E2288" s="5" t="s">
        <v>233</v>
      </c>
      <c r="F2288" s="5" t="s">
        <v>47</v>
      </c>
      <c r="G2288" s="14" t="str">
        <f t="array" ref="G2288">IF(B2288="", "",
  LET(_xlpm.spell, IFERROR(IF(F2288="", "", INDEX(_xlws.FILTER(Hairstyles!$F:$F, ISNUMBER(SEARCH(F2288, Hairstyles!$B:$B))), 1)), "No Spell for Hairstyle"),
  _xlpm.vanillaPrefix, IF(LEFT(_xlpm.spell, 7)="Uvi_Wig", "", ";"),
  ";" &amp; IF(C2288="", B2288, C2288) &amp; IF(M2288="", "", " ("&amp;M2288&amp;")") &amp; CHAR(10) &amp;
  _xlpm.vanillaPrefix &amp; "Keyword = Uvi_Wig_Distr_KYWD|" &amp; B2288 &amp; CHAR(10) &amp;
  _xlpm.vanillaPrefix &amp; "Spell = " &amp; _xlpm.spell &amp; "|" &amp; B2288
  )
)</f>
        <v>;EncBandit01MagicDarkElfM
;Keyword = Uvi_Wig_Distr_KYWD|EncBandit01MagicDarkElfM
;Spell = No Spell for Hairstyle|EncBandit01MagicDarkElfM</v>
      </c>
    </row>
    <row r="2289" ht="12.75" customHeight="1">
      <c r="A2289" s="5" t="s">
        <v>6948</v>
      </c>
      <c r="B2289" s="5" t="s">
        <v>6949</v>
      </c>
      <c r="D2289" s="5" t="s">
        <v>38</v>
      </c>
      <c r="E2289" s="5" t="s">
        <v>41</v>
      </c>
      <c r="F2289" s="5" t="s">
        <v>44</v>
      </c>
      <c r="G2289" s="14" t="str">
        <f t="array" ref="G2289">IF(B2289="", "",
  LET(_xlpm.spell, IFERROR(IF(F2289="", "", INDEX(_xlws.FILTER(Hairstyles!$F:$F, ISNUMBER(SEARCH(F2289, Hairstyles!$B:$B))), 1)), "No Spell for Hairstyle"),
  _xlpm.vanillaPrefix, IF(LEFT(_xlpm.spell, 7)="Uvi_Wig", "", ";"),
  ";" &amp; IF(C2289="", B2289, C2289) &amp; IF(M2289="", "", " ("&amp;M2289&amp;")") &amp; CHAR(10) &amp;
  _xlpm.vanillaPrefix &amp; "Keyword = Uvi_Wig_Distr_KYWD|" &amp; B2289 &amp; CHAR(10) &amp;
  _xlpm.vanillaPrefix &amp; "Spell = " &amp; _xlpm.spell &amp; "|" &amp; B2289
  )
)</f>
        <v>;EncBandit01MagicNordF
;Keyword = Uvi_Wig_Distr_KYWD|EncBandit01MagicNordF
;Spell = No Spell for Hairstyle|EncBandit01MagicNordF</v>
      </c>
    </row>
    <row r="2290" ht="12.75" customHeight="1">
      <c r="A2290" s="5" t="s">
        <v>6950</v>
      </c>
      <c r="B2290" s="5" t="s">
        <v>6951</v>
      </c>
      <c r="D2290" s="5" t="s">
        <v>38</v>
      </c>
      <c r="E2290" s="5" t="s">
        <v>233</v>
      </c>
      <c r="F2290" s="5" t="s">
        <v>84</v>
      </c>
      <c r="G2290" s="14" t="str">
        <f t="array" ref="G2290">IF(B2290="", "",
  LET(_xlpm.spell, IFERROR(IF(F2290="", "", INDEX(_xlws.FILTER(Hairstyles!$F:$F, ISNUMBER(SEARCH(F2290, Hairstyles!$B:$B))), 1)), "No Spell for Hairstyle"),
  _xlpm.vanillaPrefix, IF(LEFT(_xlpm.spell, 7)="Uvi_Wig", "", ";"),
  ";" &amp; IF(C2290="", B2290, C2290) &amp; IF(M2290="", "", " ("&amp;M2290&amp;")") &amp; CHAR(10) &amp;
  _xlpm.vanillaPrefix &amp; "Keyword = Uvi_Wig_Distr_KYWD|" &amp; B2290 &amp; CHAR(10) &amp;
  _xlpm.vanillaPrefix &amp; "Spell = " &amp; _xlpm.spell &amp; "|" &amp; B2290
  )
)</f>
        <v>;EncBandit01MagicNordM
;Keyword = Uvi_Wig_Distr_KYWD|EncBandit01MagicNordM
;Spell = No Spell for Hairstyle|EncBandit01MagicNordM</v>
      </c>
    </row>
    <row r="2291" ht="12.75" customHeight="1">
      <c r="A2291" s="5" t="s">
        <v>6952</v>
      </c>
      <c r="B2291" s="5" t="s">
        <v>6953</v>
      </c>
      <c r="D2291" s="5" t="s">
        <v>59</v>
      </c>
      <c r="E2291" s="5" t="s">
        <v>41</v>
      </c>
      <c r="F2291" s="5" t="s">
        <v>862</v>
      </c>
      <c r="G2291" s="14" t="str">
        <f t="array" ref="G2291">IF(B2291="", "",
  LET(_xlpm.spell, IFERROR(IF(F2291="", "", INDEX(_xlws.FILTER(Hairstyles!$F:$F, ISNUMBER(SEARCH(F2291, Hairstyles!$B:$B))), 1)), "No Spell for Hairstyle"),
  _xlpm.vanillaPrefix, IF(LEFT(_xlpm.spell, 7)="Uvi_Wig", "", ";"),
  ";" &amp; IF(C2291="", B2291, C2291) &amp; IF(M2291="", "", " ("&amp;M2291&amp;")") &amp; CHAR(10) &amp;
  _xlpm.vanillaPrefix &amp; "Keyword = Uvi_Wig_Distr_KYWD|" &amp; B2291 &amp; CHAR(10) &amp;
  _xlpm.vanillaPrefix &amp; "Spell = " &amp; _xlpm.spell &amp; "|" &amp; B2291
  )
)</f>
        <v>;EncBandit01Melee1HImperialF
;Keyword = Uvi_Wig_Distr_KYWD|EncBandit01Melee1HImperialF
;Spell = No Spell for Hairstyle|EncBandit01Melee1HImperialF</v>
      </c>
    </row>
    <row r="2292" ht="12.75" customHeight="1">
      <c r="A2292" s="5" t="s">
        <v>6954</v>
      </c>
      <c r="B2292" s="5" t="s">
        <v>6955</v>
      </c>
      <c r="D2292" s="5" t="s">
        <v>59</v>
      </c>
      <c r="E2292" s="5" t="s">
        <v>233</v>
      </c>
      <c r="F2292" s="5" t="s">
        <v>695</v>
      </c>
      <c r="G2292" s="14" t="str">
        <f t="array" ref="G2292">IF(B2292="", "",
  LET(_xlpm.spell, IFERROR(IF(F2292="", "", INDEX(_xlws.FILTER(Hairstyles!$F:$F, ISNUMBER(SEARCH(F2292, Hairstyles!$B:$B))), 1)), "No Spell for Hairstyle"),
  _xlpm.vanillaPrefix, IF(LEFT(_xlpm.spell, 7)="Uvi_Wig", "", ";"),
  ";" &amp; IF(C2292="", B2292, C2292) &amp; IF(M2292="", "", " ("&amp;M2292&amp;")") &amp; CHAR(10) &amp;
  _xlpm.vanillaPrefix &amp; "Keyword = Uvi_Wig_Distr_KYWD|" &amp; B2292 &amp; CHAR(10) &amp;
  _xlpm.vanillaPrefix &amp; "Spell = " &amp; _xlpm.spell &amp; "|" &amp; B2292
  )
)</f>
        <v>;EncBandit01Melee1HImperialM
;Keyword = Uvi_Wig_Distr_KYWD|EncBandit01Melee1HImperialM
;Spell = No Spell for Hairstyle|EncBandit01Melee1HImperialM</v>
      </c>
    </row>
    <row r="2293" ht="12.75" customHeight="1">
      <c r="A2293" s="5" t="s">
        <v>6956</v>
      </c>
      <c r="B2293" s="5" t="s">
        <v>6957</v>
      </c>
      <c r="D2293" s="5" t="s">
        <v>65</v>
      </c>
      <c r="E2293" s="5" t="s">
        <v>233</v>
      </c>
      <c r="F2293" s="5" t="s">
        <v>4587</v>
      </c>
      <c r="G2293" s="14" t="str">
        <f t="array" ref="G2293">IF(B2293="", "",
  LET(_xlpm.spell, IFERROR(IF(F2293="", "", INDEX(_xlws.FILTER(Hairstyles!$F:$F, ISNUMBER(SEARCH(F2293, Hairstyles!$B:$B))), 1)), "No Spell for Hairstyle"),
  _xlpm.vanillaPrefix, IF(LEFT(_xlpm.spell, 7)="Uvi_Wig", "", ";"),
  ";" &amp; IF(C2293="", B2293, C2293) &amp; IF(M2293="", "", " ("&amp;M2293&amp;")") &amp; CHAR(10) &amp;
  _xlpm.vanillaPrefix &amp; "Keyword = Uvi_Wig_Distr_KYWD|" &amp; B2293 &amp; CHAR(10) &amp;
  _xlpm.vanillaPrefix &amp; "Spell = " &amp; _xlpm.spell &amp; "|" &amp; B2293
  )
)</f>
        <v>;EncBandit01Melee1HKhajiitM
;Keyword = Uvi_Wig_Distr_KYWD|EncBandit01Melee1HKhajiitM
;Spell = No Spell for Hairstyle|EncBandit01Melee1HKhajiitM</v>
      </c>
    </row>
    <row r="2294" ht="12.75" customHeight="1">
      <c r="A2294" s="5" t="s">
        <v>6958</v>
      </c>
      <c r="B2294" s="5" t="s">
        <v>6959</v>
      </c>
      <c r="D2294" s="5" t="s">
        <v>38</v>
      </c>
      <c r="E2294" s="5" t="s">
        <v>41</v>
      </c>
      <c r="F2294" s="5" t="s">
        <v>1759</v>
      </c>
      <c r="G2294" s="14" t="str">
        <f t="array" ref="G2294">IF(B2294="", "",
  LET(_xlpm.spell, IFERROR(IF(F2294="", "", INDEX(_xlws.FILTER(Hairstyles!$F:$F, ISNUMBER(SEARCH(F2294, Hairstyles!$B:$B))), 1)), "No Spell for Hairstyle"),
  _xlpm.vanillaPrefix, IF(LEFT(_xlpm.spell, 7)="Uvi_Wig", "", ";"),
  ";" &amp; IF(C2294="", B2294, C2294) &amp; IF(M2294="", "", " ("&amp;M2294&amp;")") &amp; CHAR(10) &amp;
  _xlpm.vanillaPrefix &amp; "Keyword = Uvi_Wig_Distr_KYWD|" &amp; B2294 &amp; CHAR(10) &amp;
  _xlpm.vanillaPrefix &amp; "Spell = " &amp; _xlpm.spell &amp; "|" &amp; B2294
  )
)</f>
        <v>;EncBandit01Melee1HNordF
;Keyword = Uvi_Wig_Distr_KYWD|EncBandit01Melee1HNordF
;Spell = No Spell for Hairstyle|EncBandit01Melee1HNordF</v>
      </c>
    </row>
    <row r="2295" ht="12.75" customHeight="1">
      <c r="A2295" s="5" t="s">
        <v>6960</v>
      </c>
      <c r="B2295" s="5" t="s">
        <v>6961</v>
      </c>
      <c r="D2295" s="5" t="s">
        <v>38</v>
      </c>
      <c r="E2295" s="5" t="s">
        <v>233</v>
      </c>
      <c r="F2295" s="5" t="s">
        <v>762</v>
      </c>
      <c r="G2295" s="14" t="str">
        <f t="array" ref="G2295">IF(B2295="", "",
  LET(_xlpm.spell, IFERROR(IF(F2295="", "", INDEX(_xlws.FILTER(Hairstyles!$F:$F, ISNUMBER(SEARCH(F2295, Hairstyles!$B:$B))), 1)), "No Spell for Hairstyle"),
  _xlpm.vanillaPrefix, IF(LEFT(_xlpm.spell, 7)="Uvi_Wig", "", ";"),
  ";" &amp; IF(C2295="", B2295, C2295) &amp; IF(M2295="", "", " ("&amp;M2295&amp;")") &amp; CHAR(10) &amp;
  _xlpm.vanillaPrefix &amp; "Keyword = Uvi_Wig_Distr_KYWD|" &amp; B2295 &amp; CHAR(10) &amp;
  _xlpm.vanillaPrefix &amp; "Spell = " &amp; _xlpm.spell &amp; "|" &amp; B2295
  )
)</f>
        <v>;EncBandit01Melee1HNordM
;Keyword = Uvi_Wig_Distr_KYWD|EncBandit01Melee1HNordM
;Spell = No Spell for Hairstyle|EncBandit01Melee1HNordM</v>
      </c>
    </row>
    <row r="2296" ht="12.75" customHeight="1">
      <c r="A2296" s="5" t="s">
        <v>6962</v>
      </c>
      <c r="B2296" s="5" t="s">
        <v>6963</v>
      </c>
      <c r="D2296" s="5" t="s">
        <v>80</v>
      </c>
      <c r="E2296" s="5" t="s">
        <v>233</v>
      </c>
      <c r="F2296" s="5" t="s">
        <v>537</v>
      </c>
      <c r="G2296" s="14" t="str">
        <f t="array" ref="G2296">IF(B2296="", "",
  LET(_xlpm.spell, IFERROR(IF(F2296="", "", INDEX(_xlws.FILTER(Hairstyles!$F:$F, ISNUMBER(SEARCH(F2296, Hairstyles!$B:$B))), 1)), "No Spell for Hairstyle"),
  _xlpm.vanillaPrefix, IF(LEFT(_xlpm.spell, 7)="Uvi_Wig", "", ";"),
  ";" &amp; IF(C2296="", B2296, C2296) &amp; IF(M2296="", "", " ("&amp;M2296&amp;")") &amp; CHAR(10) &amp;
  _xlpm.vanillaPrefix &amp; "Keyword = Uvi_Wig_Distr_KYWD|" &amp; B2296 &amp; CHAR(10) &amp;
  _xlpm.vanillaPrefix &amp; "Spell = " &amp; _xlpm.spell &amp; "|" &amp; B2296
  )
)</f>
        <v>;EncBandit01Melee1HOrcM
;Keyword = Uvi_Wig_Distr_KYWD|EncBandit01Melee1HOrcM
;Spell = No Spell for Hairstyle|EncBandit01Melee1HOrcM</v>
      </c>
    </row>
    <row r="2297" ht="12.75" customHeight="1">
      <c r="A2297" s="5" t="s">
        <v>6964</v>
      </c>
      <c r="B2297" s="5" t="s">
        <v>6965</v>
      </c>
      <c r="D2297" s="5" t="s">
        <v>83</v>
      </c>
      <c r="E2297" s="5" t="s">
        <v>41</v>
      </c>
      <c r="F2297" s="5" t="s">
        <v>905</v>
      </c>
      <c r="G2297" s="14" t="str">
        <f t="array" ref="G2297">IF(B2297="", "",
  LET(_xlpm.spell, IFERROR(IF(F2297="", "", INDEX(_xlws.FILTER(Hairstyles!$F:$F, ISNUMBER(SEARCH(F2297, Hairstyles!$B:$B))), 1)), "No Spell for Hairstyle"),
  _xlpm.vanillaPrefix, IF(LEFT(_xlpm.spell, 7)="Uvi_Wig", "", ";"),
  ";" &amp; IF(C2297="", B2297, C2297) &amp; IF(M2297="", "", " ("&amp;M2297&amp;")") &amp; CHAR(10) &amp;
  _xlpm.vanillaPrefix &amp; "Keyword = Uvi_Wig_Distr_KYWD|" &amp; B2297 &amp; CHAR(10) &amp;
  _xlpm.vanillaPrefix &amp; "Spell = " &amp; _xlpm.spell &amp; "|" &amp; B2297
  )
)</f>
        <v>;EncBandit01Melee1HRedguardF
;Keyword = Uvi_Wig_Distr_KYWD|EncBandit01Melee1HRedguardF
;Spell = No Spell for Hairstyle|EncBandit01Melee1HRedguardF</v>
      </c>
    </row>
    <row r="2298" ht="12.75" customHeight="1">
      <c r="A2298" s="5" t="s">
        <v>6966</v>
      </c>
      <c r="B2298" s="5" t="s">
        <v>6967</v>
      </c>
      <c r="D2298" s="5" t="s">
        <v>83</v>
      </c>
      <c r="E2298" s="5" t="s">
        <v>233</v>
      </c>
      <c r="F2298" s="5" t="s">
        <v>3700</v>
      </c>
      <c r="G2298" s="14" t="str">
        <f t="array" ref="G2298">IF(B2298="", "",
  LET(_xlpm.spell, IFERROR(IF(F2298="", "", INDEX(_xlws.FILTER(Hairstyles!$F:$F, ISNUMBER(SEARCH(F2298, Hairstyles!$B:$B))), 1)), "No Spell for Hairstyle"),
  _xlpm.vanillaPrefix, IF(LEFT(_xlpm.spell, 7)="Uvi_Wig", "", ";"),
  ";" &amp; IF(C2298="", B2298, C2298) &amp; IF(M2298="", "", " ("&amp;M2298&amp;")") &amp; CHAR(10) &amp;
  _xlpm.vanillaPrefix &amp; "Keyword = Uvi_Wig_Distr_KYWD|" &amp; B2298 &amp; CHAR(10) &amp;
  _xlpm.vanillaPrefix &amp; "Spell = " &amp; _xlpm.spell &amp; "|" &amp; B2298
  )
)</f>
        <v>;EncBandit01Melee1HRedguardM
;Keyword = Uvi_Wig_Distr_KYWD|EncBandit01Melee1HRedguardM
;Spell = No Spell for Hairstyle|EncBandit01Melee1HRedguardM</v>
      </c>
    </row>
    <row r="2299" ht="12.75" customHeight="1">
      <c r="A2299" s="5" t="s">
        <v>6968</v>
      </c>
      <c r="B2299" s="5" t="s">
        <v>6969</v>
      </c>
      <c r="D2299" s="5" t="s">
        <v>59</v>
      </c>
      <c r="E2299" s="5" t="s">
        <v>41</v>
      </c>
      <c r="F2299" s="5" t="s">
        <v>862</v>
      </c>
      <c r="G2299" s="14" t="str">
        <f t="array" ref="G2299">IF(B2299="", "",
  LET(_xlpm.spell, IFERROR(IF(F2299="", "", INDEX(_xlws.FILTER(Hairstyles!$F:$F, ISNUMBER(SEARCH(F2299, Hairstyles!$B:$B))), 1)), "No Spell for Hairstyle"),
  _xlpm.vanillaPrefix, IF(LEFT(_xlpm.spell, 7)="Uvi_Wig", "", ";"),
  ";" &amp; IF(C2299="", B2299, C2299) &amp; IF(M2299="", "", " ("&amp;M2299&amp;")") &amp; CHAR(10) &amp;
  _xlpm.vanillaPrefix &amp; "Keyword = Uvi_Wig_Distr_KYWD|" &amp; B2299 &amp; CHAR(10) &amp;
  _xlpm.vanillaPrefix &amp; "Spell = " &amp; _xlpm.spell &amp; "|" &amp; B2299
  )
)</f>
        <v>;EncBandit01Melee1HTankImperialF
;Keyword = Uvi_Wig_Distr_KYWD|EncBandit01Melee1HTankImperialF
;Spell = No Spell for Hairstyle|EncBandit01Melee1HTankImperialF</v>
      </c>
    </row>
    <row r="2300" ht="12.75" customHeight="1">
      <c r="A2300" s="5" t="s">
        <v>6970</v>
      </c>
      <c r="B2300" s="5" t="s">
        <v>6971</v>
      </c>
      <c r="D2300" s="5" t="s">
        <v>59</v>
      </c>
      <c r="E2300" s="5" t="s">
        <v>233</v>
      </c>
      <c r="F2300" s="5" t="s">
        <v>695</v>
      </c>
      <c r="G2300" s="14" t="str">
        <f t="array" ref="G2300">IF(B2300="", "",
  LET(_xlpm.spell, IFERROR(IF(F2300="", "", INDEX(_xlws.FILTER(Hairstyles!$F:$F, ISNUMBER(SEARCH(F2300, Hairstyles!$B:$B))), 1)), "No Spell for Hairstyle"),
  _xlpm.vanillaPrefix, IF(LEFT(_xlpm.spell, 7)="Uvi_Wig", "", ";"),
  ";" &amp; IF(C2300="", B2300, C2300) &amp; IF(M2300="", "", " ("&amp;M2300&amp;")") &amp; CHAR(10) &amp;
  _xlpm.vanillaPrefix &amp; "Keyword = Uvi_Wig_Distr_KYWD|" &amp; B2300 &amp; CHAR(10) &amp;
  _xlpm.vanillaPrefix &amp; "Spell = " &amp; _xlpm.spell &amp; "|" &amp; B2300
  )
)</f>
        <v>;EncBandit01Melee1HTankImperialM
;Keyword = Uvi_Wig_Distr_KYWD|EncBandit01Melee1HTankImperialM
;Spell = No Spell for Hairstyle|EncBandit01Melee1HTankImperialM</v>
      </c>
    </row>
    <row r="2301" ht="12.75" customHeight="1">
      <c r="A2301" s="5" t="s">
        <v>6972</v>
      </c>
      <c r="B2301" s="5" t="s">
        <v>6973</v>
      </c>
      <c r="D2301" s="5" t="s">
        <v>38</v>
      </c>
      <c r="E2301" s="5" t="s">
        <v>41</v>
      </c>
      <c r="F2301" s="5" t="s">
        <v>1759</v>
      </c>
      <c r="G2301" s="14" t="str">
        <f t="array" ref="G2301">IF(B2301="", "",
  LET(_xlpm.spell, IFERROR(IF(F2301="", "", INDEX(_xlws.FILTER(Hairstyles!$F:$F, ISNUMBER(SEARCH(F2301, Hairstyles!$B:$B))), 1)), "No Spell for Hairstyle"),
  _xlpm.vanillaPrefix, IF(LEFT(_xlpm.spell, 7)="Uvi_Wig", "", ";"),
  ";" &amp; IF(C2301="", B2301, C2301) &amp; IF(M2301="", "", " ("&amp;M2301&amp;")") &amp; CHAR(10) &amp;
  _xlpm.vanillaPrefix &amp; "Keyword = Uvi_Wig_Distr_KYWD|" &amp; B2301 &amp; CHAR(10) &amp;
  _xlpm.vanillaPrefix &amp; "Spell = " &amp; _xlpm.spell &amp; "|" &amp; B2301
  )
)</f>
        <v>;EncBandit01Melee1HTankNordF
;Keyword = Uvi_Wig_Distr_KYWD|EncBandit01Melee1HTankNordF
;Spell = No Spell for Hairstyle|EncBandit01Melee1HTankNordF</v>
      </c>
    </row>
    <row r="2302" ht="12.75" customHeight="1">
      <c r="A2302" s="5" t="s">
        <v>6974</v>
      </c>
      <c r="B2302" s="5" t="s">
        <v>6975</v>
      </c>
      <c r="D2302" s="5" t="s">
        <v>38</v>
      </c>
      <c r="E2302" s="5" t="s">
        <v>233</v>
      </c>
      <c r="F2302" s="5" t="s">
        <v>762</v>
      </c>
      <c r="G2302" s="14" t="str">
        <f t="array" ref="G2302">IF(B2302="", "",
  LET(_xlpm.spell, IFERROR(IF(F2302="", "", INDEX(_xlws.FILTER(Hairstyles!$F:$F, ISNUMBER(SEARCH(F2302, Hairstyles!$B:$B))), 1)), "No Spell for Hairstyle"),
  _xlpm.vanillaPrefix, IF(LEFT(_xlpm.spell, 7)="Uvi_Wig", "", ";"),
  ";" &amp; IF(C2302="", B2302, C2302) &amp; IF(M2302="", "", " ("&amp;M2302&amp;")") &amp; CHAR(10) &amp;
  _xlpm.vanillaPrefix &amp; "Keyword = Uvi_Wig_Distr_KYWD|" &amp; B2302 &amp; CHAR(10) &amp;
  _xlpm.vanillaPrefix &amp; "Spell = " &amp; _xlpm.spell &amp; "|" &amp; B2302
  )
)</f>
        <v>;EncBandit01Melee1HTankNordM
;Keyword = Uvi_Wig_Distr_KYWD|EncBandit01Melee1HTankNordM
;Spell = No Spell for Hairstyle|EncBandit01Melee1HTankNordM</v>
      </c>
    </row>
    <row r="2303" ht="12.75" customHeight="1">
      <c r="A2303" s="5" t="s">
        <v>6976</v>
      </c>
      <c r="B2303" s="5" t="s">
        <v>6977</v>
      </c>
      <c r="D2303" s="5" t="s">
        <v>80</v>
      </c>
      <c r="E2303" s="5" t="s">
        <v>233</v>
      </c>
      <c r="F2303" s="5" t="s">
        <v>537</v>
      </c>
      <c r="G2303" s="14" t="str">
        <f t="array" ref="G2303">IF(B2303="", "",
  LET(_xlpm.spell, IFERROR(IF(F2303="", "", INDEX(_xlws.FILTER(Hairstyles!$F:$F, ISNUMBER(SEARCH(F2303, Hairstyles!$B:$B))), 1)), "No Spell for Hairstyle"),
  _xlpm.vanillaPrefix, IF(LEFT(_xlpm.spell, 7)="Uvi_Wig", "", ";"),
  ";" &amp; IF(C2303="", B2303, C2303) &amp; IF(M2303="", "", " ("&amp;M2303&amp;")") &amp; CHAR(10) &amp;
  _xlpm.vanillaPrefix &amp; "Keyword = Uvi_Wig_Distr_KYWD|" &amp; B2303 &amp; CHAR(10) &amp;
  _xlpm.vanillaPrefix &amp; "Spell = " &amp; _xlpm.spell &amp; "|" &amp; B2303
  )
)</f>
        <v>;EncBandit01Melee1HTankOrcM
;Keyword = Uvi_Wig_Distr_KYWD|EncBandit01Melee1HTankOrcM
;Spell = No Spell for Hairstyle|EncBandit01Melee1HTankOrcM</v>
      </c>
    </row>
    <row r="2304" ht="12.75" customHeight="1">
      <c r="A2304" s="5" t="s">
        <v>6978</v>
      </c>
      <c r="B2304" s="5" t="s">
        <v>6979</v>
      </c>
      <c r="D2304" s="5" t="s">
        <v>83</v>
      </c>
      <c r="E2304" s="5" t="s">
        <v>41</v>
      </c>
      <c r="F2304" s="5" t="s">
        <v>905</v>
      </c>
      <c r="G2304" s="14" t="str">
        <f t="array" ref="G2304">IF(B2304="", "",
  LET(_xlpm.spell, IFERROR(IF(F2304="", "", INDEX(_xlws.FILTER(Hairstyles!$F:$F, ISNUMBER(SEARCH(F2304, Hairstyles!$B:$B))), 1)), "No Spell for Hairstyle"),
  _xlpm.vanillaPrefix, IF(LEFT(_xlpm.spell, 7)="Uvi_Wig", "", ";"),
  ";" &amp; IF(C2304="", B2304, C2304) &amp; IF(M2304="", "", " ("&amp;M2304&amp;")") &amp; CHAR(10) &amp;
  _xlpm.vanillaPrefix &amp; "Keyword = Uvi_Wig_Distr_KYWD|" &amp; B2304 &amp; CHAR(10) &amp;
  _xlpm.vanillaPrefix &amp; "Spell = " &amp; _xlpm.spell &amp; "|" &amp; B2304
  )
)</f>
        <v>;EncBandit01Melee1HTankRedguardF
;Keyword = Uvi_Wig_Distr_KYWD|EncBandit01Melee1HTankRedguardF
;Spell = No Spell for Hairstyle|EncBandit01Melee1HTankRedguardF</v>
      </c>
    </row>
    <row r="2305" ht="12.75" customHeight="1">
      <c r="A2305" s="5" t="s">
        <v>6980</v>
      </c>
      <c r="B2305" s="5" t="s">
        <v>6981</v>
      </c>
      <c r="D2305" s="5" t="s">
        <v>83</v>
      </c>
      <c r="E2305" s="5" t="s">
        <v>233</v>
      </c>
      <c r="F2305" s="5" t="s">
        <v>3700</v>
      </c>
      <c r="G2305" s="14" t="str">
        <f t="array" ref="G2305">IF(B2305="", "",
  LET(_xlpm.spell, IFERROR(IF(F2305="", "", INDEX(_xlws.FILTER(Hairstyles!$F:$F, ISNUMBER(SEARCH(F2305, Hairstyles!$B:$B))), 1)), "No Spell for Hairstyle"),
  _xlpm.vanillaPrefix, IF(LEFT(_xlpm.spell, 7)="Uvi_Wig", "", ";"),
  ";" &amp; IF(C2305="", B2305, C2305) &amp; IF(M2305="", "", " ("&amp;M2305&amp;")") &amp; CHAR(10) &amp;
  _xlpm.vanillaPrefix &amp; "Keyword = Uvi_Wig_Distr_KYWD|" &amp; B2305 &amp; CHAR(10) &amp;
  _xlpm.vanillaPrefix &amp; "Spell = " &amp; _xlpm.spell &amp; "|" &amp; B2305
  )
)</f>
        <v>;EncBandit01Melee1HTankRedguardM
;Keyword = Uvi_Wig_Distr_KYWD|EncBandit01Melee1HTankRedguardM
;Spell = No Spell for Hairstyle|EncBandit01Melee1HTankRedguardM</v>
      </c>
    </row>
    <row r="2306" ht="12.75" customHeight="1">
      <c r="A2306" s="5" t="s">
        <v>6982</v>
      </c>
      <c r="B2306" s="5" t="s">
        <v>6983</v>
      </c>
      <c r="D2306" s="5" t="s">
        <v>38</v>
      </c>
      <c r="E2306" s="5" t="s">
        <v>41</v>
      </c>
      <c r="F2306" s="5" t="s">
        <v>1759</v>
      </c>
      <c r="G2306" s="14" t="str">
        <f t="array" ref="G2306">IF(B2306="", "",
  LET(_xlpm.spell, IFERROR(IF(F2306="", "", INDEX(_xlws.FILTER(Hairstyles!$F:$F, ISNUMBER(SEARCH(F2306, Hairstyles!$B:$B))), 1)), "No Spell for Hairstyle"),
  _xlpm.vanillaPrefix, IF(LEFT(_xlpm.spell, 7)="Uvi_Wig", "", ";"),
  ";" &amp; IF(C2306="", B2306, C2306) &amp; IF(M2306="", "", " ("&amp;M2306&amp;")") &amp; CHAR(10) &amp;
  _xlpm.vanillaPrefix &amp; "Keyword = Uvi_Wig_Distr_KYWD|" &amp; B2306 &amp; CHAR(10) &amp;
  _xlpm.vanillaPrefix &amp; "Spell = " &amp; _xlpm.spell &amp; "|" &amp; B2306
  )
)</f>
        <v>;EncBandit01Melee2HBerserkNordF
;Keyword = Uvi_Wig_Distr_KYWD|EncBandit01Melee2HBerserkNordF
;Spell = No Spell for Hairstyle|EncBandit01Melee2HBerserkNordF</v>
      </c>
    </row>
    <row r="2307" ht="12.75" customHeight="1">
      <c r="A2307" s="5" t="s">
        <v>6984</v>
      </c>
      <c r="B2307" s="5" t="s">
        <v>6985</v>
      </c>
      <c r="D2307" s="5" t="s">
        <v>38</v>
      </c>
      <c r="E2307" s="5" t="s">
        <v>233</v>
      </c>
      <c r="F2307" s="5" t="s">
        <v>762</v>
      </c>
      <c r="G2307" s="14" t="str">
        <f t="array" ref="G2307">IF(B2307="", "",
  LET(_xlpm.spell, IFERROR(IF(F2307="", "", INDEX(_xlws.FILTER(Hairstyles!$F:$F, ISNUMBER(SEARCH(F2307, Hairstyles!$B:$B))), 1)), "No Spell for Hairstyle"),
  _xlpm.vanillaPrefix, IF(LEFT(_xlpm.spell, 7)="Uvi_Wig", "", ";"),
  ";" &amp; IF(C2307="", B2307, C2307) &amp; IF(M2307="", "", " ("&amp;M2307&amp;")") &amp; CHAR(10) &amp;
  _xlpm.vanillaPrefix &amp; "Keyword = Uvi_Wig_Distr_KYWD|" &amp; B2307 &amp; CHAR(10) &amp;
  _xlpm.vanillaPrefix &amp; "Spell = " &amp; _xlpm.spell &amp; "|" &amp; B2307
  )
)</f>
        <v>;EncBandit01Melee2HBerserkNordM
;Keyword = Uvi_Wig_Distr_KYWD|EncBandit01Melee2HBerserkNordM
;Spell = No Spell for Hairstyle|EncBandit01Melee2HBerserkNordM</v>
      </c>
    </row>
    <row r="2308" ht="12.75" customHeight="1">
      <c r="A2308" s="5" t="s">
        <v>6986</v>
      </c>
      <c r="B2308" s="5" t="s">
        <v>6987</v>
      </c>
      <c r="D2308" s="5" t="s">
        <v>80</v>
      </c>
      <c r="E2308" s="5" t="s">
        <v>233</v>
      </c>
      <c r="F2308" s="5" t="s">
        <v>537</v>
      </c>
      <c r="G2308" s="14" t="str">
        <f t="array" ref="G2308">IF(B2308="", "",
  LET(_xlpm.spell, IFERROR(IF(F2308="", "", INDEX(_xlws.FILTER(Hairstyles!$F:$F, ISNUMBER(SEARCH(F2308, Hairstyles!$B:$B))), 1)), "No Spell for Hairstyle"),
  _xlpm.vanillaPrefix, IF(LEFT(_xlpm.spell, 7)="Uvi_Wig", "", ";"),
  ";" &amp; IF(C2308="", B2308, C2308) &amp; IF(M2308="", "", " ("&amp;M2308&amp;")") &amp; CHAR(10) &amp;
  _xlpm.vanillaPrefix &amp; "Keyword = Uvi_Wig_Distr_KYWD|" &amp; B2308 &amp; CHAR(10) &amp;
  _xlpm.vanillaPrefix &amp; "Spell = " &amp; _xlpm.spell &amp; "|" &amp; B2308
  )
)</f>
        <v>;EncBandit01Melee2HBerserkOrcM
;Keyword = Uvi_Wig_Distr_KYWD|EncBandit01Melee2HBerserkOrcM
;Spell = No Spell for Hairstyle|EncBandit01Melee2HBerserkOrcM</v>
      </c>
    </row>
    <row r="2309" ht="12.75" customHeight="1">
      <c r="A2309" s="5" t="s">
        <v>6988</v>
      </c>
      <c r="B2309" s="5" t="s">
        <v>6989</v>
      </c>
      <c r="D2309" s="5" t="s">
        <v>83</v>
      </c>
      <c r="E2309" s="5" t="s">
        <v>41</v>
      </c>
      <c r="F2309" s="5" t="s">
        <v>905</v>
      </c>
      <c r="G2309" s="14" t="str">
        <f t="array" ref="G2309">IF(B2309="", "",
  LET(_xlpm.spell, IFERROR(IF(F2309="", "", INDEX(_xlws.FILTER(Hairstyles!$F:$F, ISNUMBER(SEARCH(F2309, Hairstyles!$B:$B))), 1)), "No Spell for Hairstyle"),
  _xlpm.vanillaPrefix, IF(LEFT(_xlpm.spell, 7)="Uvi_Wig", "", ";"),
  ";" &amp; IF(C2309="", B2309, C2309) &amp; IF(M2309="", "", " ("&amp;M2309&amp;")") &amp; CHAR(10) &amp;
  _xlpm.vanillaPrefix &amp; "Keyword = Uvi_Wig_Distr_KYWD|" &amp; B2309 &amp; CHAR(10) &amp;
  _xlpm.vanillaPrefix &amp; "Spell = " &amp; _xlpm.spell &amp; "|" &amp; B2309
  )
)</f>
        <v>;EncBandit01Melee2HBerserkRedguardF
;Keyword = Uvi_Wig_Distr_KYWD|EncBandit01Melee2HBerserkRedguardF
;Spell = No Spell for Hairstyle|EncBandit01Melee2HBerserkRedguardF</v>
      </c>
    </row>
    <row r="2310" ht="12.75" customHeight="1">
      <c r="A2310" s="5" t="s">
        <v>6990</v>
      </c>
      <c r="B2310" s="5" t="s">
        <v>6991</v>
      </c>
      <c r="D2310" s="5" t="s">
        <v>83</v>
      </c>
      <c r="E2310" s="5" t="s">
        <v>233</v>
      </c>
      <c r="F2310" s="5" t="s">
        <v>3700</v>
      </c>
      <c r="G2310" s="14" t="str">
        <f t="array" ref="G2310">IF(B2310="", "",
  LET(_xlpm.spell, IFERROR(IF(F2310="", "", INDEX(_xlws.FILTER(Hairstyles!$F:$F, ISNUMBER(SEARCH(F2310, Hairstyles!$B:$B))), 1)), "No Spell for Hairstyle"),
  _xlpm.vanillaPrefix, IF(LEFT(_xlpm.spell, 7)="Uvi_Wig", "", ";"),
  ";" &amp; IF(C2310="", B2310, C2310) &amp; IF(M2310="", "", " ("&amp;M2310&amp;")") &amp; CHAR(10) &amp;
  _xlpm.vanillaPrefix &amp; "Keyword = Uvi_Wig_Distr_KYWD|" &amp; B2310 &amp; CHAR(10) &amp;
  _xlpm.vanillaPrefix &amp; "Spell = " &amp; _xlpm.spell &amp; "|" &amp; B2310
  )
)</f>
        <v>;EncBandit01Melee2HBerserkRedguardM
;Keyword = Uvi_Wig_Distr_KYWD|EncBandit01Melee2HBerserkRedguardM
;Spell = No Spell for Hairstyle|EncBandit01Melee2HBerserkRedguardM</v>
      </c>
    </row>
    <row r="2311" ht="12.75" customHeight="1">
      <c r="A2311" s="5" t="s">
        <v>6992</v>
      </c>
      <c r="B2311" s="5" t="s">
        <v>6993</v>
      </c>
      <c r="D2311" s="5" t="s">
        <v>38</v>
      </c>
      <c r="E2311" s="5" t="s">
        <v>41</v>
      </c>
      <c r="F2311" s="5" t="s">
        <v>1759</v>
      </c>
      <c r="G2311" s="14" t="str">
        <f t="array" ref="G2311">IF(B2311="", "",
  LET(_xlpm.spell, IFERROR(IF(F2311="", "", INDEX(_xlws.FILTER(Hairstyles!$F:$F, ISNUMBER(SEARCH(F2311, Hairstyles!$B:$B))), 1)), "No Spell for Hairstyle"),
  _xlpm.vanillaPrefix, IF(LEFT(_xlpm.spell, 7)="Uvi_Wig", "", ";"),
  ";" &amp; IF(C2311="", B2311, C2311) &amp; IF(M2311="", "", " ("&amp;M2311&amp;")") &amp; CHAR(10) &amp;
  _xlpm.vanillaPrefix &amp; "Keyword = Uvi_Wig_Distr_KYWD|" &amp; B2311 &amp; CHAR(10) &amp;
  _xlpm.vanillaPrefix &amp; "Spell = " &amp; _xlpm.spell &amp; "|" &amp; B2311
  )
)</f>
        <v>;EncBandit01Melee2HNordF
;Keyword = Uvi_Wig_Distr_KYWD|EncBandit01Melee2HNordF
;Spell = No Spell for Hairstyle|EncBandit01Melee2HNordF</v>
      </c>
    </row>
    <row r="2312" ht="12.75" customHeight="1">
      <c r="A2312" s="5" t="s">
        <v>6994</v>
      </c>
      <c r="B2312" s="5" t="s">
        <v>6995</v>
      </c>
      <c r="D2312" s="5" t="s">
        <v>38</v>
      </c>
      <c r="E2312" s="5" t="s">
        <v>233</v>
      </c>
      <c r="F2312" s="5" t="s">
        <v>762</v>
      </c>
      <c r="G2312" s="14" t="str">
        <f t="array" ref="G2312">IF(B2312="", "",
  LET(_xlpm.spell, IFERROR(IF(F2312="", "", INDEX(_xlws.FILTER(Hairstyles!$F:$F, ISNUMBER(SEARCH(F2312, Hairstyles!$B:$B))), 1)), "No Spell for Hairstyle"),
  _xlpm.vanillaPrefix, IF(LEFT(_xlpm.spell, 7)="Uvi_Wig", "", ";"),
  ";" &amp; IF(C2312="", B2312, C2312) &amp; IF(M2312="", "", " ("&amp;M2312&amp;")") &amp; CHAR(10) &amp;
  _xlpm.vanillaPrefix &amp; "Keyword = Uvi_Wig_Distr_KYWD|" &amp; B2312 &amp; CHAR(10) &amp;
  _xlpm.vanillaPrefix &amp; "Spell = " &amp; _xlpm.spell &amp; "|" &amp; B2312
  )
)</f>
        <v>;EncBandit01Melee2HNordM
;Keyword = Uvi_Wig_Distr_KYWD|EncBandit01Melee2HNordM
;Spell = No Spell for Hairstyle|EncBandit01Melee2HNordM</v>
      </c>
    </row>
    <row r="2313" ht="12.75" customHeight="1">
      <c r="A2313" s="5" t="s">
        <v>6996</v>
      </c>
      <c r="B2313" s="5" t="s">
        <v>6997</v>
      </c>
      <c r="D2313" s="5" t="s">
        <v>80</v>
      </c>
      <c r="E2313" s="5" t="s">
        <v>233</v>
      </c>
      <c r="F2313" s="5" t="s">
        <v>537</v>
      </c>
      <c r="G2313" s="14" t="str">
        <f t="array" ref="G2313">IF(B2313="", "",
  LET(_xlpm.spell, IFERROR(IF(F2313="", "", INDEX(_xlws.FILTER(Hairstyles!$F:$F, ISNUMBER(SEARCH(F2313, Hairstyles!$B:$B))), 1)), "No Spell for Hairstyle"),
  _xlpm.vanillaPrefix, IF(LEFT(_xlpm.spell, 7)="Uvi_Wig", "", ";"),
  ";" &amp; IF(C2313="", B2313, C2313) &amp; IF(M2313="", "", " ("&amp;M2313&amp;")") &amp; CHAR(10) &amp;
  _xlpm.vanillaPrefix &amp; "Keyword = Uvi_Wig_Distr_KYWD|" &amp; B2313 &amp; CHAR(10) &amp;
  _xlpm.vanillaPrefix &amp; "Spell = " &amp; _xlpm.spell &amp; "|" &amp; B2313
  )
)</f>
        <v>;EncBandit01Melee2HOrcM
;Keyword = Uvi_Wig_Distr_KYWD|EncBandit01Melee2HOrcM
;Spell = No Spell for Hairstyle|EncBandit01Melee2HOrcM</v>
      </c>
    </row>
    <row r="2314" ht="12.75" customHeight="1">
      <c r="A2314" s="5" t="s">
        <v>6998</v>
      </c>
      <c r="B2314" s="5" t="s">
        <v>6999</v>
      </c>
      <c r="D2314" s="5" t="s">
        <v>83</v>
      </c>
      <c r="E2314" s="5" t="s">
        <v>41</v>
      </c>
      <c r="F2314" s="5" t="s">
        <v>905</v>
      </c>
      <c r="G2314" s="14" t="str">
        <f t="array" ref="G2314">IF(B2314="", "",
  LET(_xlpm.spell, IFERROR(IF(F2314="", "", INDEX(_xlws.FILTER(Hairstyles!$F:$F, ISNUMBER(SEARCH(F2314, Hairstyles!$B:$B))), 1)), "No Spell for Hairstyle"),
  _xlpm.vanillaPrefix, IF(LEFT(_xlpm.spell, 7)="Uvi_Wig", "", ";"),
  ";" &amp; IF(C2314="", B2314, C2314) &amp; IF(M2314="", "", " ("&amp;M2314&amp;")") &amp; CHAR(10) &amp;
  _xlpm.vanillaPrefix &amp; "Keyword = Uvi_Wig_Distr_KYWD|" &amp; B2314 &amp; CHAR(10) &amp;
  _xlpm.vanillaPrefix &amp; "Spell = " &amp; _xlpm.spell &amp; "|" &amp; B2314
  )
)</f>
        <v>;EncBandit01Melee2HRedguardF
;Keyword = Uvi_Wig_Distr_KYWD|EncBandit01Melee2HRedguardF
;Spell = No Spell for Hairstyle|EncBandit01Melee2HRedguardF</v>
      </c>
    </row>
    <row r="2315" ht="12.75" customHeight="1">
      <c r="A2315" s="5" t="s">
        <v>7000</v>
      </c>
      <c r="B2315" s="5" t="s">
        <v>7001</v>
      </c>
      <c r="D2315" s="5" t="s">
        <v>83</v>
      </c>
      <c r="E2315" s="5" t="s">
        <v>233</v>
      </c>
      <c r="F2315" s="5" t="s">
        <v>3700</v>
      </c>
      <c r="G2315" s="14" t="str">
        <f t="array" ref="G2315">IF(B2315="", "",
  LET(_xlpm.spell, IFERROR(IF(F2315="", "", INDEX(_xlws.FILTER(Hairstyles!$F:$F, ISNUMBER(SEARCH(F2315, Hairstyles!$B:$B))), 1)), "No Spell for Hairstyle"),
  _xlpm.vanillaPrefix, IF(LEFT(_xlpm.spell, 7)="Uvi_Wig", "", ";"),
  ";" &amp; IF(C2315="", B2315, C2315) &amp; IF(M2315="", "", " ("&amp;M2315&amp;")") &amp; CHAR(10) &amp;
  _xlpm.vanillaPrefix &amp; "Keyword = Uvi_Wig_Distr_KYWD|" &amp; B2315 &amp; CHAR(10) &amp;
  _xlpm.vanillaPrefix &amp; "Spell = " &amp; _xlpm.spell &amp; "|" &amp; B2315
  )
)</f>
        <v>;EncBandit01Melee2HRedguardM
;Keyword = Uvi_Wig_Distr_KYWD|EncBandit01Melee2HRedguardM
;Spell = No Spell for Hairstyle|EncBandit01Melee2HRedguardM</v>
      </c>
    </row>
    <row r="2316" ht="12.75" customHeight="1">
      <c r="A2316" s="5" t="s">
        <v>7002</v>
      </c>
      <c r="B2316" s="5" t="s">
        <v>7003</v>
      </c>
      <c r="D2316" s="5" t="s">
        <v>59</v>
      </c>
      <c r="E2316" s="5" t="s">
        <v>41</v>
      </c>
      <c r="F2316" s="5" t="s">
        <v>42</v>
      </c>
      <c r="G2316" s="14" t="str">
        <f t="array" ref="G2316">IF(B2316="", "",
  LET(_xlpm.spell, IFERROR(IF(F2316="", "", INDEX(_xlws.FILTER(Hairstyles!$F:$F, ISNUMBER(SEARCH(F2316, Hairstyles!$B:$B))), 1)), "No Spell for Hairstyle"),
  _xlpm.vanillaPrefix, IF(LEFT(_xlpm.spell, 7)="Uvi_Wig", "", ";"),
  ";" &amp; IF(C2316="", B2316, C2316) &amp; IF(M2316="", "", " ("&amp;M2316&amp;")") &amp; CHAR(10) &amp;
  _xlpm.vanillaPrefix &amp; "Keyword = Uvi_Wig_Distr_KYWD|" &amp; B2316 &amp; CHAR(10) &amp;
  _xlpm.vanillaPrefix &amp; "Spell = " &amp; _xlpm.spell &amp; "|" &amp; B2316
  )
)</f>
        <v>;EncBandit01MissileImperialF
;Keyword = Uvi_Wig_Distr_KYWD|EncBandit01MissileImperialF
;Spell = No Spell for Hairstyle|EncBandit01MissileImperialF</v>
      </c>
    </row>
    <row r="2317" ht="12.75" customHeight="1">
      <c r="A2317" s="5" t="s">
        <v>7004</v>
      </c>
      <c r="B2317" s="5" t="s">
        <v>7005</v>
      </c>
      <c r="D2317" s="5" t="s">
        <v>59</v>
      </c>
      <c r="E2317" s="5" t="s">
        <v>233</v>
      </c>
      <c r="F2317" s="5" t="s">
        <v>19</v>
      </c>
      <c r="G2317" s="14" t="str">
        <f t="array" ref="G2317">IF(B2317="", "",
  LET(_xlpm.spell, IFERROR(IF(F2317="", "", INDEX(_xlws.FILTER(Hairstyles!$F:$F, ISNUMBER(SEARCH(F2317, Hairstyles!$B:$B))), 1)), "No Spell for Hairstyle"),
  _xlpm.vanillaPrefix, IF(LEFT(_xlpm.spell, 7)="Uvi_Wig", "", ";"),
  ";" &amp; IF(C2317="", B2317, C2317) &amp; IF(M2317="", "", " ("&amp;M2317&amp;")") &amp; CHAR(10) &amp;
  _xlpm.vanillaPrefix &amp; "Keyword = Uvi_Wig_Distr_KYWD|" &amp; B2317 &amp; CHAR(10) &amp;
  _xlpm.vanillaPrefix &amp; "Spell = " &amp; _xlpm.spell &amp; "|" &amp; B2317
  )
)</f>
        <v>;EncBandit01MissileImperialM
;Keyword = Uvi_Wig_Distr_KYWD|EncBandit01MissileImperialM
;Spell = No Spell for Hairstyle|EncBandit01MissileImperialM</v>
      </c>
    </row>
    <row r="2318" ht="12.75" customHeight="1">
      <c r="A2318" s="5" t="s">
        <v>7006</v>
      </c>
      <c r="B2318" s="5" t="s">
        <v>7007</v>
      </c>
      <c r="D2318" s="5" t="s">
        <v>65</v>
      </c>
      <c r="E2318" s="5" t="s">
        <v>233</v>
      </c>
      <c r="F2318" s="5" t="s">
        <v>328</v>
      </c>
      <c r="G2318" s="14" t="str">
        <f t="array" ref="G2318">IF(B2318="", "",
  LET(_xlpm.spell, IFERROR(IF(F2318="", "", INDEX(_xlws.FILTER(Hairstyles!$F:$F, ISNUMBER(SEARCH(F2318, Hairstyles!$B:$B))), 1)), "No Spell for Hairstyle"),
  _xlpm.vanillaPrefix, IF(LEFT(_xlpm.spell, 7)="Uvi_Wig", "", ";"),
  ";" &amp; IF(C2318="", B2318, C2318) &amp; IF(M2318="", "", " ("&amp;M2318&amp;")") &amp; CHAR(10) &amp;
  _xlpm.vanillaPrefix &amp; "Keyword = Uvi_Wig_Distr_KYWD|" &amp; B2318 &amp; CHAR(10) &amp;
  _xlpm.vanillaPrefix &amp; "Spell = " &amp; _xlpm.spell &amp; "|" &amp; B2318
  )
)</f>
        <v>;EncBandit01MissileKhajiitM
;Keyword = Uvi_Wig_Distr_KYWD|EncBandit01MissileKhajiitM
;Spell = No Spell for Hairstyle|EncBandit01MissileKhajiitM</v>
      </c>
    </row>
    <row r="2319" ht="12.75" customHeight="1">
      <c r="A2319" s="5" t="s">
        <v>7008</v>
      </c>
      <c r="B2319" s="5" t="s">
        <v>7009</v>
      </c>
      <c r="D2319" s="5" t="s">
        <v>38</v>
      </c>
      <c r="E2319" s="5" t="s">
        <v>41</v>
      </c>
      <c r="F2319" s="5" t="s">
        <v>69</v>
      </c>
      <c r="G2319" s="14" t="str">
        <f t="array" ref="G2319">IF(B2319="", "",
  LET(_xlpm.spell, IFERROR(IF(F2319="", "", INDEX(_xlws.FILTER(Hairstyles!$F:$F, ISNUMBER(SEARCH(F2319, Hairstyles!$B:$B))), 1)), "No Spell for Hairstyle"),
  _xlpm.vanillaPrefix, IF(LEFT(_xlpm.spell, 7)="Uvi_Wig", "", ";"),
  ";" &amp; IF(C2319="", B2319, C2319) &amp; IF(M2319="", "", " ("&amp;M2319&amp;")") &amp; CHAR(10) &amp;
  _xlpm.vanillaPrefix &amp; "Keyword = Uvi_Wig_Distr_KYWD|" &amp; B2319 &amp; CHAR(10) &amp;
  _xlpm.vanillaPrefix &amp; "Spell = " &amp; _xlpm.spell &amp; "|" &amp; B2319
  )
)</f>
        <v>;EncBandit01MissileNordF
;Keyword = Uvi_Wig_Distr_KYWD|EncBandit01MissileNordF
;Spell = No Spell for Hairstyle|EncBandit01MissileNordF</v>
      </c>
    </row>
    <row r="2320" ht="12.75" customHeight="1">
      <c r="A2320" s="5" t="s">
        <v>7010</v>
      </c>
      <c r="B2320" s="5" t="s">
        <v>7011</v>
      </c>
      <c r="D2320" s="5" t="s">
        <v>38</v>
      </c>
      <c r="E2320" s="5" t="s">
        <v>233</v>
      </c>
      <c r="F2320" s="5" t="s">
        <v>68</v>
      </c>
      <c r="G2320" s="14" t="str">
        <f t="array" ref="G2320">IF(B2320="", "",
  LET(_xlpm.spell, IFERROR(IF(F2320="", "", INDEX(_xlws.FILTER(Hairstyles!$F:$F, ISNUMBER(SEARCH(F2320, Hairstyles!$B:$B))), 1)), "No Spell for Hairstyle"),
  _xlpm.vanillaPrefix, IF(LEFT(_xlpm.spell, 7)="Uvi_Wig", "", ";"),
  ";" &amp; IF(C2320="", B2320, C2320) &amp; IF(M2320="", "", " ("&amp;M2320&amp;")") &amp; CHAR(10) &amp;
  _xlpm.vanillaPrefix &amp; "Keyword = Uvi_Wig_Distr_KYWD|" &amp; B2320 &amp; CHAR(10) &amp;
  _xlpm.vanillaPrefix &amp; "Spell = " &amp; _xlpm.spell &amp; "|" &amp; B2320
  )
)</f>
        <v>;EncBandit01MissileNordM
;Keyword = Uvi_Wig_Distr_KYWD|EncBandit01MissileNordM
;Spell = No Spell for Hairstyle|EncBandit01MissileNordM</v>
      </c>
    </row>
    <row r="2321" ht="12.75" customHeight="1">
      <c r="A2321" s="5" t="s">
        <v>7012</v>
      </c>
      <c r="B2321" s="5" t="s">
        <v>7013</v>
      </c>
      <c r="D2321" s="5" t="s">
        <v>83</v>
      </c>
      <c r="E2321" s="5" t="s">
        <v>41</v>
      </c>
      <c r="F2321" s="5" t="s">
        <v>85</v>
      </c>
      <c r="G2321" s="14" t="str">
        <f t="array" ref="G2321">IF(B2321="", "",
  LET(_xlpm.spell, IFERROR(IF(F2321="", "", INDEX(_xlws.FILTER(Hairstyles!$F:$F, ISNUMBER(SEARCH(F2321, Hairstyles!$B:$B))), 1)), "No Spell for Hairstyle"),
  _xlpm.vanillaPrefix, IF(LEFT(_xlpm.spell, 7)="Uvi_Wig", "", ";"),
  ";" &amp; IF(C2321="", B2321, C2321) &amp; IF(M2321="", "", " ("&amp;M2321&amp;")") &amp; CHAR(10) &amp;
  _xlpm.vanillaPrefix &amp; "Keyword = Uvi_Wig_Distr_KYWD|" &amp; B2321 &amp; CHAR(10) &amp;
  _xlpm.vanillaPrefix &amp; "Spell = " &amp; _xlpm.spell &amp; "|" &amp; B2321
  )
)</f>
        <v>;EncBandit01MissileRedguardF
;Keyword = Uvi_Wig_Distr_KYWD|EncBandit01MissileRedguardF
;Spell = No Spell for Hairstyle|EncBandit01MissileRedguardF</v>
      </c>
    </row>
    <row r="2322" ht="12.75" customHeight="1">
      <c r="A2322" s="5" t="s">
        <v>7014</v>
      </c>
      <c r="B2322" s="5" t="s">
        <v>7015</v>
      </c>
      <c r="D2322" s="5" t="s">
        <v>83</v>
      </c>
      <c r="E2322" s="5" t="s">
        <v>233</v>
      </c>
      <c r="F2322" s="5" t="s">
        <v>84</v>
      </c>
      <c r="G2322" s="14" t="str">
        <f t="array" ref="G2322">IF(B2322="", "",
  LET(_xlpm.spell, IFERROR(IF(F2322="", "", INDEX(_xlws.FILTER(Hairstyles!$F:$F, ISNUMBER(SEARCH(F2322, Hairstyles!$B:$B))), 1)), "No Spell for Hairstyle"),
  _xlpm.vanillaPrefix, IF(LEFT(_xlpm.spell, 7)="Uvi_Wig", "", ";"),
  ";" &amp; IF(C2322="", B2322, C2322) &amp; IF(M2322="", "", " ("&amp;M2322&amp;")") &amp; CHAR(10) &amp;
  _xlpm.vanillaPrefix &amp; "Keyword = Uvi_Wig_Distr_KYWD|" &amp; B2322 &amp; CHAR(10) &amp;
  _xlpm.vanillaPrefix &amp; "Spell = " &amp; _xlpm.spell &amp; "|" &amp; B2322
  )
)</f>
        <v>;EncBandit01MissileRedguardM
;Keyword = Uvi_Wig_Distr_KYWD|EncBandit01MissileRedguardM
;Spell = No Spell for Hairstyle|EncBandit01MissileRedguardM</v>
      </c>
    </row>
    <row r="2323" ht="12.75" customHeight="1">
      <c r="A2323" s="5" t="s">
        <v>7016</v>
      </c>
      <c r="B2323" s="5" t="s">
        <v>7017</v>
      </c>
      <c r="D2323" s="5" t="s">
        <v>90</v>
      </c>
      <c r="E2323" s="5" t="s">
        <v>41</v>
      </c>
      <c r="F2323" s="5" t="s">
        <v>512</v>
      </c>
      <c r="G2323" s="14" t="str">
        <f t="array" ref="G2323">IF(B2323="", "",
  LET(_xlpm.spell, IFERROR(IF(F2323="", "", INDEX(_xlws.FILTER(Hairstyles!$F:$F, ISNUMBER(SEARCH(F2323, Hairstyles!$B:$B))), 1)), "No Spell for Hairstyle"),
  _xlpm.vanillaPrefix, IF(LEFT(_xlpm.spell, 7)="Uvi_Wig", "", ";"),
  ";" &amp; IF(C2323="", B2323, C2323) &amp; IF(M2323="", "", " ("&amp;M2323&amp;")") &amp; CHAR(10) &amp;
  _xlpm.vanillaPrefix &amp; "Keyword = Uvi_Wig_Distr_KYWD|" &amp; B2323 &amp; CHAR(10) &amp;
  _xlpm.vanillaPrefix &amp; "Spell = " &amp; _xlpm.spell &amp; "|" &amp; B2323
  )
)</f>
        <v>;EncBandit01MissileWoodElfF
;Keyword = Uvi_Wig_Distr_KYWD|EncBandit01MissileWoodElfF
;Spell = No Spell for Hairstyle|EncBandit01MissileWoodElfF</v>
      </c>
    </row>
    <row r="2324" ht="12.75" customHeight="1">
      <c r="A2324" s="5" t="s">
        <v>7018</v>
      </c>
      <c r="B2324" s="5" t="s">
        <v>7019</v>
      </c>
      <c r="D2324" s="5" t="s">
        <v>90</v>
      </c>
      <c r="E2324" s="5" t="s">
        <v>233</v>
      </c>
      <c r="F2324" s="5" t="s">
        <v>1667</v>
      </c>
      <c r="G2324" s="14" t="str">
        <f t="array" ref="G2324">IF(B2324="", "",
  LET(_xlpm.spell, IFERROR(IF(F2324="", "", INDEX(_xlws.FILTER(Hairstyles!$F:$F, ISNUMBER(SEARCH(F2324, Hairstyles!$B:$B))), 1)), "No Spell for Hairstyle"),
  _xlpm.vanillaPrefix, IF(LEFT(_xlpm.spell, 7)="Uvi_Wig", "", ";"),
  ";" &amp; IF(C2324="", B2324, C2324) &amp; IF(M2324="", "", " ("&amp;M2324&amp;")") &amp; CHAR(10) &amp;
  _xlpm.vanillaPrefix &amp; "Keyword = Uvi_Wig_Distr_KYWD|" &amp; B2324 &amp; CHAR(10) &amp;
  _xlpm.vanillaPrefix &amp; "Spell = " &amp; _xlpm.spell &amp; "|" &amp; B2324
  )
)</f>
        <v>;EncBandit01MissileWoodElfM
;Keyword = Uvi_Wig_Distr_KYWD|EncBandit01MissileWoodElfM
;Spell = No Spell for Hairstyle|EncBandit01MissileWoodElfM</v>
      </c>
    </row>
    <row r="2325" ht="12.75" customHeight="1">
      <c r="A2325" s="5" t="s">
        <v>7020</v>
      </c>
      <c r="B2325" s="5" t="s">
        <v>7021</v>
      </c>
      <c r="D2325" s="5" t="s">
        <v>59</v>
      </c>
      <c r="E2325" s="5" t="s">
        <v>41</v>
      </c>
      <c r="F2325" s="5" t="s">
        <v>44</v>
      </c>
      <c r="G2325" s="14" t="str">
        <f t="array" ref="G2325">IF(B2325="", "",
  LET(_xlpm.spell, IFERROR(IF(F2325="", "", INDEX(_xlws.FILTER(Hairstyles!$F:$F, ISNUMBER(SEARCH(F2325, Hairstyles!$B:$B))), 1)), "No Spell for Hairstyle"),
  _xlpm.vanillaPrefix, IF(LEFT(_xlpm.spell, 7)="Uvi_Wig", "", ";"),
  ";" &amp; IF(C2325="", B2325, C2325) &amp; IF(M2325="", "", " ("&amp;M2325&amp;")") &amp; CHAR(10) &amp;
  _xlpm.vanillaPrefix &amp; "Keyword = Uvi_Wig_Distr_KYWD|" &amp; B2325 &amp; CHAR(10) &amp;
  _xlpm.vanillaPrefix &amp; "Spell = " &amp; _xlpm.spell &amp; "|" &amp; B2325
  )
)</f>
        <v>;EncBandit02Boss1HImperialF
;Keyword = Uvi_Wig_Distr_KYWD|EncBandit02Boss1HImperialF
;Spell = No Spell for Hairstyle|EncBandit02Boss1HImperialF</v>
      </c>
    </row>
    <row r="2326" ht="12.75" customHeight="1">
      <c r="A2326" s="5" t="s">
        <v>7022</v>
      </c>
      <c r="B2326" s="5" t="s">
        <v>7023</v>
      </c>
      <c r="D2326" s="5" t="s">
        <v>59</v>
      </c>
      <c r="E2326" s="5" t="s">
        <v>233</v>
      </c>
      <c r="F2326" s="5" t="s">
        <v>1622</v>
      </c>
      <c r="G2326" s="14" t="str">
        <f t="array" ref="G2326">IF(B2326="", "",
  LET(_xlpm.spell, IFERROR(IF(F2326="", "", INDEX(_xlws.FILTER(Hairstyles!$F:$F, ISNUMBER(SEARCH(F2326, Hairstyles!$B:$B))), 1)), "No Spell for Hairstyle"),
  _xlpm.vanillaPrefix, IF(LEFT(_xlpm.spell, 7)="Uvi_Wig", "", ";"),
  ";" &amp; IF(C2326="", B2326, C2326) &amp; IF(M2326="", "", " ("&amp;M2326&amp;")") &amp; CHAR(10) &amp;
  _xlpm.vanillaPrefix &amp; "Keyword = Uvi_Wig_Distr_KYWD|" &amp; B2326 &amp; CHAR(10) &amp;
  _xlpm.vanillaPrefix &amp; "Spell = " &amp; _xlpm.spell &amp; "|" &amp; B2326
  )
)</f>
        <v>;EncBandit02Boss1HImperialM
;Keyword = Uvi_Wig_Distr_KYWD|EncBandit02Boss1HImperialM
;Spell = No Spell for Hairstyle|EncBandit02Boss1HImperialM</v>
      </c>
    </row>
    <row r="2327" ht="12.75" customHeight="1">
      <c r="A2327" s="5" t="s">
        <v>7024</v>
      </c>
      <c r="B2327" s="5" t="s">
        <v>7025</v>
      </c>
      <c r="D2327" s="5" t="s">
        <v>38</v>
      </c>
      <c r="E2327" s="5" t="s">
        <v>41</v>
      </c>
      <c r="F2327" s="5" t="s">
        <v>1759</v>
      </c>
      <c r="G2327" s="14" t="str">
        <f t="array" ref="G2327">IF(B2327="", "",
  LET(_xlpm.spell, IFERROR(IF(F2327="", "", INDEX(_xlws.FILTER(Hairstyles!$F:$F, ISNUMBER(SEARCH(F2327, Hairstyles!$B:$B))), 1)), "No Spell for Hairstyle"),
  _xlpm.vanillaPrefix, IF(LEFT(_xlpm.spell, 7)="Uvi_Wig", "", ";"),
  ";" &amp; IF(C2327="", B2327, C2327) &amp; IF(M2327="", "", " ("&amp;M2327&amp;")") &amp; CHAR(10) &amp;
  _xlpm.vanillaPrefix &amp; "Keyword = Uvi_Wig_Distr_KYWD|" &amp; B2327 &amp; CHAR(10) &amp;
  _xlpm.vanillaPrefix &amp; "Spell = " &amp; _xlpm.spell &amp; "|" &amp; B2327
  )
)</f>
        <v>;EncBandit02Boss1HNordF
;Keyword = Uvi_Wig_Distr_KYWD|EncBandit02Boss1HNordF
;Spell = No Spell for Hairstyle|EncBandit02Boss1HNordF</v>
      </c>
    </row>
    <row r="2328" ht="12.75" customHeight="1">
      <c r="A2328" s="5" t="s">
        <v>7026</v>
      </c>
      <c r="B2328" s="5" t="s">
        <v>7027</v>
      </c>
      <c r="D2328" s="5" t="s">
        <v>38</v>
      </c>
      <c r="E2328" s="5" t="s">
        <v>233</v>
      </c>
      <c r="F2328" s="5" t="s">
        <v>475</v>
      </c>
      <c r="G2328" s="14" t="str">
        <f t="array" ref="G2328">IF(B2328="", "",
  LET(_xlpm.spell, IFERROR(IF(F2328="", "", INDEX(_xlws.FILTER(Hairstyles!$F:$F, ISNUMBER(SEARCH(F2328, Hairstyles!$B:$B))), 1)), "No Spell for Hairstyle"),
  _xlpm.vanillaPrefix, IF(LEFT(_xlpm.spell, 7)="Uvi_Wig", "", ";"),
  ";" &amp; IF(C2328="", B2328, C2328) &amp; IF(M2328="", "", " ("&amp;M2328&amp;")") &amp; CHAR(10) &amp;
  _xlpm.vanillaPrefix &amp; "Keyword = Uvi_Wig_Distr_KYWD|" &amp; B2328 &amp; CHAR(10) &amp;
  _xlpm.vanillaPrefix &amp; "Spell = " &amp; _xlpm.spell &amp; "|" &amp; B2328
  )
)</f>
        <v>;EncBandit02Boss1HNordM
;Keyword = Uvi_Wig_Distr_KYWD|EncBandit02Boss1HNordM
;Spell = No Spell for Hairstyle|EncBandit02Boss1HNordM</v>
      </c>
    </row>
    <row r="2329" ht="12.75" customHeight="1">
      <c r="A2329" s="5" t="s">
        <v>7028</v>
      </c>
      <c r="B2329" s="5" t="s">
        <v>7029</v>
      </c>
      <c r="D2329" s="5" t="s">
        <v>83</v>
      </c>
      <c r="E2329" s="5" t="s">
        <v>41</v>
      </c>
      <c r="F2329" s="5" t="s">
        <v>1041</v>
      </c>
      <c r="G2329" s="14" t="str">
        <f t="array" ref="G2329">IF(B2329="", "",
  LET(_xlpm.spell, IFERROR(IF(F2329="", "", INDEX(_xlws.FILTER(Hairstyles!$F:$F, ISNUMBER(SEARCH(F2329, Hairstyles!$B:$B))), 1)), "No Spell for Hairstyle"),
  _xlpm.vanillaPrefix, IF(LEFT(_xlpm.spell, 7)="Uvi_Wig", "", ";"),
  ";" &amp; IF(C2329="", B2329, C2329) &amp; IF(M2329="", "", " ("&amp;M2329&amp;")") &amp; CHAR(10) &amp;
  _xlpm.vanillaPrefix &amp; "Keyword = Uvi_Wig_Distr_KYWD|" &amp; B2329 &amp; CHAR(10) &amp;
  _xlpm.vanillaPrefix &amp; "Spell = " &amp; _xlpm.spell &amp; "|" &amp; B2329
  )
)</f>
        <v>;EncBandit02Boss1HRedguardF
;Keyword = Uvi_Wig_Distr_KYWD|EncBandit02Boss1HRedguardF
;Spell = No Spell for Hairstyle|EncBandit02Boss1HRedguardF</v>
      </c>
    </row>
    <row r="2330" ht="12.75" customHeight="1">
      <c r="A2330" s="5" t="s">
        <v>7030</v>
      </c>
      <c r="B2330" s="5" t="s">
        <v>7031</v>
      </c>
      <c r="D2330" s="5" t="s">
        <v>83</v>
      </c>
      <c r="E2330" s="5" t="s">
        <v>233</v>
      </c>
      <c r="F2330" s="5" t="s">
        <v>3700</v>
      </c>
      <c r="G2330" s="14" t="str">
        <f t="array" ref="G2330">IF(B2330="", "",
  LET(_xlpm.spell, IFERROR(IF(F2330="", "", INDEX(_xlws.FILTER(Hairstyles!$F:$F, ISNUMBER(SEARCH(F2330, Hairstyles!$B:$B))), 1)), "No Spell for Hairstyle"),
  _xlpm.vanillaPrefix, IF(LEFT(_xlpm.spell, 7)="Uvi_Wig", "", ";"),
  ";" &amp; IF(C2330="", B2330, C2330) &amp; IF(M2330="", "", " ("&amp;M2330&amp;")") &amp; CHAR(10) &amp;
  _xlpm.vanillaPrefix &amp; "Keyword = Uvi_Wig_Distr_KYWD|" &amp; B2330 &amp; CHAR(10) &amp;
  _xlpm.vanillaPrefix &amp; "Spell = " &amp; _xlpm.spell &amp; "|" &amp; B2330
  )
)</f>
        <v>;EncBandit02Boss1HRedguardM
;Keyword = Uvi_Wig_Distr_KYWD|EncBandit02Boss1HRedguardM
;Spell = No Spell for Hairstyle|EncBandit02Boss1HRedguardM</v>
      </c>
    </row>
    <row r="2331" ht="12.75" customHeight="1">
      <c r="A2331" s="5" t="s">
        <v>7032</v>
      </c>
      <c r="B2331" s="5" t="s">
        <v>7033</v>
      </c>
      <c r="D2331" s="5" t="s">
        <v>59</v>
      </c>
      <c r="E2331" s="5" t="s">
        <v>233</v>
      </c>
      <c r="F2331" s="5" t="s">
        <v>1622</v>
      </c>
      <c r="G2331" s="14" t="str">
        <f t="array" ref="G2331">IF(B2331="", "",
  LET(_xlpm.spell, IFERROR(IF(F2331="", "", INDEX(_xlws.FILTER(Hairstyles!$F:$F, ISNUMBER(SEARCH(F2331, Hairstyles!$B:$B))), 1)), "No Spell for Hairstyle"),
  _xlpm.vanillaPrefix, IF(LEFT(_xlpm.spell, 7)="Uvi_Wig", "", ";"),
  ";" &amp; IF(C2331="", B2331, C2331) &amp; IF(M2331="", "", " ("&amp;M2331&amp;")") &amp; CHAR(10) &amp;
  _xlpm.vanillaPrefix &amp; "Keyword = Uvi_Wig_Distr_KYWD|" &amp; B2331 &amp; CHAR(10) &amp;
  _xlpm.vanillaPrefix &amp; "Spell = " &amp; _xlpm.spell &amp; "|" &amp; B2331
  )
)</f>
        <v>;EncBandit02Boss2HImperialM
;Keyword = Uvi_Wig_Distr_KYWD|EncBandit02Boss2HImperialM
;Spell = No Spell for Hairstyle|EncBandit02Boss2HImperialM</v>
      </c>
    </row>
    <row r="2332" ht="12.75" customHeight="1">
      <c r="A2332" s="5" t="s">
        <v>7034</v>
      </c>
      <c r="B2332" s="5" t="s">
        <v>7035</v>
      </c>
      <c r="D2332" s="5" t="s">
        <v>38</v>
      </c>
      <c r="E2332" s="5" t="s">
        <v>233</v>
      </c>
      <c r="F2332" s="5" t="s">
        <v>1553</v>
      </c>
      <c r="G2332" s="14" t="str">
        <f t="array" ref="G2332">IF(B2332="", "",
  LET(_xlpm.spell, IFERROR(IF(F2332="", "", INDEX(_xlws.FILTER(Hairstyles!$F:$F, ISNUMBER(SEARCH(F2332, Hairstyles!$B:$B))), 1)), "No Spell for Hairstyle"),
  _xlpm.vanillaPrefix, IF(LEFT(_xlpm.spell, 7)="Uvi_Wig", "", ";"),
  ";" &amp; IF(C2332="", B2332, C2332) &amp; IF(M2332="", "", " ("&amp;M2332&amp;")") &amp; CHAR(10) &amp;
  _xlpm.vanillaPrefix &amp; "Keyword = Uvi_Wig_Distr_KYWD|" &amp; B2332 &amp; CHAR(10) &amp;
  _xlpm.vanillaPrefix &amp; "Spell = " &amp; _xlpm.spell &amp; "|" &amp; B2332
  )
)</f>
        <v>;EncBandit02Boss2HNordM
;Keyword = Uvi_Wig_Distr_KYWD|EncBandit02Boss2HNordM
;Spell = No Spell for Hairstyle|EncBandit02Boss2HNordM</v>
      </c>
    </row>
    <row r="2333" ht="12.75" customHeight="1">
      <c r="A2333" s="5" t="s">
        <v>7036</v>
      </c>
      <c r="B2333" s="5" t="s">
        <v>7037</v>
      </c>
      <c r="D2333" s="5" t="s">
        <v>80</v>
      </c>
      <c r="E2333" s="5" t="s">
        <v>233</v>
      </c>
      <c r="F2333" s="5" t="s">
        <v>434</v>
      </c>
      <c r="G2333" s="14" t="str">
        <f t="array" ref="G2333">IF(B2333="", "",
  LET(_xlpm.spell, IFERROR(IF(F2333="", "", INDEX(_xlws.FILTER(Hairstyles!$F:$F, ISNUMBER(SEARCH(F2333, Hairstyles!$B:$B))), 1)), "No Spell for Hairstyle"),
  _xlpm.vanillaPrefix, IF(LEFT(_xlpm.spell, 7)="Uvi_Wig", "", ";"),
  ";" &amp; IF(C2333="", B2333, C2333) &amp; IF(M2333="", "", " ("&amp;M2333&amp;")") &amp; CHAR(10) &amp;
  _xlpm.vanillaPrefix &amp; "Keyword = Uvi_Wig_Distr_KYWD|" &amp; B2333 &amp; CHAR(10) &amp;
  _xlpm.vanillaPrefix &amp; "Spell = " &amp; _xlpm.spell &amp; "|" &amp; B2333
  )
)</f>
        <v>;EncBandit02Boss2HOrcM
;Keyword = Uvi_Wig_Distr_KYWD|EncBandit02Boss2HOrcM
;Spell = No Spell for Hairstyle|EncBandit02Boss2HOrcM</v>
      </c>
    </row>
    <row r="2334" ht="12.75" customHeight="1">
      <c r="A2334" s="5" t="s">
        <v>7038</v>
      </c>
      <c r="B2334" s="5" t="s">
        <v>7039</v>
      </c>
      <c r="D2334" s="5" t="s">
        <v>83</v>
      </c>
      <c r="E2334" s="5" t="s">
        <v>233</v>
      </c>
      <c r="F2334" s="5" t="s">
        <v>245</v>
      </c>
      <c r="G2334" s="14" t="str">
        <f t="array" ref="G2334">IF(B2334="", "",
  LET(_xlpm.spell, IFERROR(IF(F2334="", "", INDEX(_xlws.FILTER(Hairstyles!$F:$F, ISNUMBER(SEARCH(F2334, Hairstyles!$B:$B))), 1)), "No Spell for Hairstyle"),
  _xlpm.vanillaPrefix, IF(LEFT(_xlpm.spell, 7)="Uvi_Wig", "", ";"),
  ";" &amp; IF(C2334="", B2334, C2334) &amp; IF(M2334="", "", " ("&amp;M2334&amp;")") &amp; CHAR(10) &amp;
  _xlpm.vanillaPrefix &amp; "Keyword = Uvi_Wig_Distr_KYWD|" &amp; B2334 &amp; CHAR(10) &amp;
  _xlpm.vanillaPrefix &amp; "Spell = " &amp; _xlpm.spell &amp; "|" &amp; B2334
  )
)</f>
        <v>;EncBandit02Boss2HRedguardM
;Keyword = Uvi_Wig_Distr_KYWD|EncBandit02Boss2HRedguardM
;Spell = No Spell for Hairstyle|EncBandit02Boss2HRedguardM</v>
      </c>
    </row>
    <row r="2335" ht="12.75" customHeight="1">
      <c r="A2335" s="5" t="s">
        <v>7040</v>
      </c>
      <c r="B2335" s="5" t="s">
        <v>7041</v>
      </c>
      <c r="D2335" s="5" t="s">
        <v>10</v>
      </c>
      <c r="E2335" s="5" t="s">
        <v>233</v>
      </c>
      <c r="F2335" s="5" t="s">
        <v>3618</v>
      </c>
      <c r="G2335" s="14" t="str">
        <f t="array" ref="G2335">IF(B2335="", "",
  LET(_xlpm.spell, IFERROR(IF(F2335="", "", INDEX(_xlws.FILTER(Hairstyles!$F:$F, ISNUMBER(SEARCH(F2335, Hairstyles!$B:$B))), 1)), "No Spell for Hairstyle"),
  _xlpm.vanillaPrefix, IF(LEFT(_xlpm.spell, 7)="Uvi_Wig", "", ";"),
  ";" &amp; IF(C2335="", B2335, C2335) &amp; IF(M2335="", "", " ("&amp;M2335&amp;")") &amp; CHAR(10) &amp;
  _xlpm.vanillaPrefix &amp; "Keyword = Uvi_Wig_Distr_KYWD|" &amp; B2335 &amp; CHAR(10) &amp;
  _xlpm.vanillaPrefix &amp; "Spell = " &amp; _xlpm.spell &amp; "|" &amp; B2335
  )
)</f>
        <v>;EncBandit02MagicArgonianM
;Keyword = Uvi_Wig_Distr_KYWD|EncBandit02MagicArgonianM
;Spell = No Spell for Hairstyle|EncBandit02MagicArgonianM</v>
      </c>
    </row>
    <row r="2336" ht="12.75" customHeight="1">
      <c r="A2336" s="5" t="s">
        <v>7042</v>
      </c>
      <c r="B2336" s="5" t="s">
        <v>7043</v>
      </c>
      <c r="D2336" s="5" t="s">
        <v>16</v>
      </c>
      <c r="E2336" s="5" t="s">
        <v>41</v>
      </c>
      <c r="F2336" s="5" t="s">
        <v>1694</v>
      </c>
      <c r="G2336" s="14" t="str">
        <f t="array" ref="G2336">IF(B2336="", "",
  LET(_xlpm.spell, IFERROR(IF(F2336="", "", INDEX(_xlws.FILTER(Hairstyles!$F:$F, ISNUMBER(SEARCH(F2336, Hairstyles!$B:$B))), 1)), "No Spell for Hairstyle"),
  _xlpm.vanillaPrefix, IF(LEFT(_xlpm.spell, 7)="Uvi_Wig", "", ";"),
  ";" &amp; IF(C2336="", B2336, C2336) &amp; IF(M2336="", "", " ("&amp;M2336&amp;")") &amp; CHAR(10) &amp;
  _xlpm.vanillaPrefix &amp; "Keyword = Uvi_Wig_Distr_KYWD|" &amp; B2336 &amp; CHAR(10) &amp;
  _xlpm.vanillaPrefix &amp; "Spell = " &amp; _xlpm.spell &amp; "|" &amp; B2336
  )
)</f>
        <v>;EncBandit02MagicBretonF
;Keyword = Uvi_Wig_Distr_KYWD|EncBandit02MagicBretonF
;Spell = No Spell for Hairstyle|EncBandit02MagicBretonF</v>
      </c>
    </row>
    <row r="2337" ht="12.75" customHeight="1">
      <c r="A2337" s="5" t="s">
        <v>7044</v>
      </c>
      <c r="B2337" s="5" t="s">
        <v>7045</v>
      </c>
      <c r="D2337" s="5" t="s">
        <v>16</v>
      </c>
      <c r="E2337" s="5" t="s">
        <v>233</v>
      </c>
      <c r="F2337" s="5" t="s">
        <v>1906</v>
      </c>
      <c r="G2337" s="14" t="str">
        <f t="array" ref="G2337">IF(B2337="", "",
  LET(_xlpm.spell, IFERROR(IF(F2337="", "", INDEX(_xlws.FILTER(Hairstyles!$F:$F, ISNUMBER(SEARCH(F2337, Hairstyles!$B:$B))), 1)), "No Spell for Hairstyle"),
  _xlpm.vanillaPrefix, IF(LEFT(_xlpm.spell, 7)="Uvi_Wig", "", ";"),
  ";" &amp; IF(C2337="", B2337, C2337) &amp; IF(M2337="", "", " ("&amp;M2337&amp;")") &amp; CHAR(10) &amp;
  _xlpm.vanillaPrefix &amp; "Keyword = Uvi_Wig_Distr_KYWD|" &amp; B2337 &amp; CHAR(10) &amp;
  _xlpm.vanillaPrefix &amp; "Spell = " &amp; _xlpm.spell &amp; "|" &amp; B2337
  )
)</f>
        <v>;EncBandit02MagicBretonM
;Keyword = Uvi_Wig_Distr_KYWD|EncBandit02MagicBretonM
;Spell = No Spell for Hairstyle|EncBandit02MagicBretonM</v>
      </c>
    </row>
    <row r="2338" ht="12.75" customHeight="1">
      <c r="A2338" s="5" t="s">
        <v>7046</v>
      </c>
      <c r="B2338" s="5" t="s">
        <v>7047</v>
      </c>
      <c r="D2338" s="5" t="s">
        <v>45</v>
      </c>
      <c r="E2338" s="5" t="s">
        <v>41</v>
      </c>
      <c r="F2338" s="5" t="s">
        <v>48</v>
      </c>
      <c r="G2338" s="14" t="str">
        <f t="array" ref="G2338">IF(B2338="", "",
  LET(_xlpm.spell, IFERROR(IF(F2338="", "", INDEX(_xlws.FILTER(Hairstyles!$F:$F, ISNUMBER(SEARCH(F2338, Hairstyles!$B:$B))), 1)), "No Spell for Hairstyle"),
  _xlpm.vanillaPrefix, IF(LEFT(_xlpm.spell, 7)="Uvi_Wig", "", ";"),
  ";" &amp; IF(C2338="", B2338, C2338) &amp; IF(M2338="", "", " ("&amp;M2338&amp;")") &amp; CHAR(10) &amp;
  _xlpm.vanillaPrefix &amp; "Keyword = Uvi_Wig_Distr_KYWD|" &amp; B2338 &amp; CHAR(10) &amp;
  _xlpm.vanillaPrefix &amp; "Spell = " &amp; _xlpm.spell &amp; "|" &amp; B2338
  )
)</f>
        <v>;EncBandit02MagicDarkElfF
;Keyword = Uvi_Wig_Distr_KYWD|EncBandit02MagicDarkElfF
;Spell = No Spell for Hairstyle|EncBandit02MagicDarkElfF</v>
      </c>
    </row>
    <row r="2339" ht="12.75" customHeight="1">
      <c r="A2339" s="5" t="s">
        <v>7048</v>
      </c>
      <c r="B2339" s="5" t="s">
        <v>7049</v>
      </c>
      <c r="D2339" s="5" t="s">
        <v>45</v>
      </c>
      <c r="E2339" s="5" t="s">
        <v>233</v>
      </c>
      <c r="F2339" s="5" t="s">
        <v>1787</v>
      </c>
      <c r="G2339" s="14" t="str">
        <f t="array" ref="G2339">IF(B2339="", "",
  LET(_xlpm.spell, IFERROR(IF(F2339="", "", INDEX(_xlws.FILTER(Hairstyles!$F:$F, ISNUMBER(SEARCH(F2339, Hairstyles!$B:$B))), 1)), "No Spell for Hairstyle"),
  _xlpm.vanillaPrefix, IF(LEFT(_xlpm.spell, 7)="Uvi_Wig", "", ";"),
  ";" &amp; IF(C2339="", B2339, C2339) &amp; IF(M2339="", "", " ("&amp;M2339&amp;")") &amp; CHAR(10) &amp;
  _xlpm.vanillaPrefix &amp; "Keyword = Uvi_Wig_Distr_KYWD|" &amp; B2339 &amp; CHAR(10) &amp;
  _xlpm.vanillaPrefix &amp; "Spell = " &amp; _xlpm.spell &amp; "|" &amp; B2339
  )
)</f>
        <v>;EncBandit02MagicDarkElfM
;Keyword = Uvi_Wig_Distr_KYWD|EncBandit02MagicDarkElfM
;Spell = No Spell for Hairstyle|EncBandit02MagicDarkElfM</v>
      </c>
    </row>
    <row r="2340" ht="12.75" customHeight="1">
      <c r="A2340" s="5" t="s">
        <v>7050</v>
      </c>
      <c r="B2340" s="5" t="s">
        <v>7051</v>
      </c>
      <c r="D2340" s="5" t="s">
        <v>38</v>
      </c>
      <c r="E2340" s="5" t="s">
        <v>41</v>
      </c>
      <c r="F2340" s="5" t="s">
        <v>1041</v>
      </c>
      <c r="G2340" s="14" t="str">
        <f t="array" ref="G2340">IF(B2340="", "",
  LET(_xlpm.spell, IFERROR(IF(F2340="", "", INDEX(_xlws.FILTER(Hairstyles!$F:$F, ISNUMBER(SEARCH(F2340, Hairstyles!$B:$B))), 1)), "No Spell for Hairstyle"),
  _xlpm.vanillaPrefix, IF(LEFT(_xlpm.spell, 7)="Uvi_Wig", "", ";"),
  ";" &amp; IF(C2340="", B2340, C2340) &amp; IF(M2340="", "", " ("&amp;M2340&amp;")") &amp; CHAR(10) &amp;
  _xlpm.vanillaPrefix &amp; "Keyword = Uvi_Wig_Distr_KYWD|" &amp; B2340 &amp; CHAR(10) &amp;
  _xlpm.vanillaPrefix &amp; "Spell = " &amp; _xlpm.spell &amp; "|" &amp; B2340
  )
)</f>
        <v>;EncBandit02MagicNordF
;Keyword = Uvi_Wig_Distr_KYWD|EncBandit02MagicNordF
;Spell = No Spell for Hairstyle|EncBandit02MagicNordF</v>
      </c>
    </row>
    <row r="2341" ht="12.75" customHeight="1">
      <c r="A2341" s="5" t="s">
        <v>7052</v>
      </c>
      <c r="B2341" s="5" t="s">
        <v>7053</v>
      </c>
      <c r="D2341" s="5" t="s">
        <v>38</v>
      </c>
      <c r="E2341" s="5" t="s">
        <v>233</v>
      </c>
      <c r="F2341" s="5" t="s">
        <v>84</v>
      </c>
      <c r="G2341" s="14" t="str">
        <f t="array" ref="G2341">IF(B2341="", "",
  LET(_xlpm.spell, IFERROR(IF(F2341="", "", INDEX(_xlws.FILTER(Hairstyles!$F:$F, ISNUMBER(SEARCH(F2341, Hairstyles!$B:$B))), 1)), "No Spell for Hairstyle"),
  _xlpm.vanillaPrefix, IF(LEFT(_xlpm.spell, 7)="Uvi_Wig", "", ";"),
  ";" &amp; IF(C2341="", B2341, C2341) &amp; IF(M2341="", "", " ("&amp;M2341&amp;")") &amp; CHAR(10) &amp;
  _xlpm.vanillaPrefix &amp; "Keyword = Uvi_Wig_Distr_KYWD|" &amp; B2341 &amp; CHAR(10) &amp;
  _xlpm.vanillaPrefix &amp; "Spell = " &amp; _xlpm.spell &amp; "|" &amp; B2341
  )
)</f>
        <v>;EncBandit02MagicNordM
;Keyword = Uvi_Wig_Distr_KYWD|EncBandit02MagicNordM
;Spell = No Spell for Hairstyle|EncBandit02MagicNordM</v>
      </c>
    </row>
    <row r="2342" ht="12.75" customHeight="1">
      <c r="A2342" s="5" t="s">
        <v>7054</v>
      </c>
      <c r="B2342" s="5" t="s">
        <v>7055</v>
      </c>
      <c r="D2342" s="5" t="s">
        <v>59</v>
      </c>
      <c r="E2342" s="5" t="s">
        <v>41</v>
      </c>
      <c r="F2342" s="5" t="s">
        <v>270</v>
      </c>
      <c r="G2342" s="14" t="str">
        <f t="array" ref="G2342">IF(B2342="", "",
  LET(_xlpm.spell, IFERROR(IF(F2342="", "", INDEX(_xlws.FILTER(Hairstyles!$F:$F, ISNUMBER(SEARCH(F2342, Hairstyles!$B:$B))), 1)), "No Spell for Hairstyle"),
  _xlpm.vanillaPrefix, IF(LEFT(_xlpm.spell, 7)="Uvi_Wig", "", ";"),
  ";" &amp; IF(C2342="", B2342, C2342) &amp; IF(M2342="", "", " ("&amp;M2342&amp;")") &amp; CHAR(10) &amp;
  _xlpm.vanillaPrefix &amp; "Keyword = Uvi_Wig_Distr_KYWD|" &amp; B2342 &amp; CHAR(10) &amp;
  _xlpm.vanillaPrefix &amp; "Spell = " &amp; _xlpm.spell &amp; "|" &amp; B2342
  )
)</f>
        <v>;EncBandit02Melee1HImperialF
;Keyword = Uvi_Wig_Distr_KYWD|EncBandit02Melee1HImperialF
;Spell = No Spell for Hairstyle|EncBandit02Melee1HImperialF</v>
      </c>
    </row>
    <row r="2343" ht="12.75" customHeight="1">
      <c r="A2343" s="5" t="s">
        <v>7056</v>
      </c>
      <c r="B2343" s="5" t="s">
        <v>7057</v>
      </c>
      <c r="D2343" s="5" t="s">
        <v>59</v>
      </c>
      <c r="E2343" s="5" t="s">
        <v>233</v>
      </c>
      <c r="F2343" s="5" t="s">
        <v>1894</v>
      </c>
      <c r="G2343" s="14" t="str">
        <f t="array" ref="G2343">IF(B2343="", "",
  LET(_xlpm.spell, IFERROR(IF(F2343="", "", INDEX(_xlws.FILTER(Hairstyles!$F:$F, ISNUMBER(SEARCH(F2343, Hairstyles!$B:$B))), 1)), "No Spell for Hairstyle"),
  _xlpm.vanillaPrefix, IF(LEFT(_xlpm.spell, 7)="Uvi_Wig", "", ";"),
  ";" &amp; IF(C2343="", B2343, C2343) &amp; IF(M2343="", "", " ("&amp;M2343&amp;")") &amp; CHAR(10) &amp;
  _xlpm.vanillaPrefix &amp; "Keyword = Uvi_Wig_Distr_KYWD|" &amp; B2343 &amp; CHAR(10) &amp;
  _xlpm.vanillaPrefix &amp; "Spell = " &amp; _xlpm.spell &amp; "|" &amp; B2343
  )
)</f>
        <v>;EncBandit02Melee1HImperialM
;Keyword = Uvi_Wig_Distr_KYWD|EncBandit02Melee1HImperialM
;Spell = No Spell for Hairstyle|EncBandit02Melee1HImperialM</v>
      </c>
    </row>
    <row r="2344" ht="12.75" customHeight="1">
      <c r="A2344" s="5" t="s">
        <v>7058</v>
      </c>
      <c r="B2344" s="5" t="s">
        <v>7059</v>
      </c>
      <c r="D2344" s="5" t="s">
        <v>65</v>
      </c>
      <c r="E2344" s="5" t="s">
        <v>233</v>
      </c>
      <c r="F2344" s="5" t="s">
        <v>3599</v>
      </c>
      <c r="G2344" s="14" t="str">
        <f t="array" ref="G2344">IF(B2344="", "",
  LET(_xlpm.spell, IFERROR(IF(F2344="", "", INDEX(_xlws.FILTER(Hairstyles!$F:$F, ISNUMBER(SEARCH(F2344, Hairstyles!$B:$B))), 1)), "No Spell for Hairstyle"),
  _xlpm.vanillaPrefix, IF(LEFT(_xlpm.spell, 7)="Uvi_Wig", "", ";"),
  ";" &amp; IF(C2344="", B2344, C2344) &amp; IF(M2344="", "", " ("&amp;M2344&amp;")") &amp; CHAR(10) &amp;
  _xlpm.vanillaPrefix &amp; "Keyword = Uvi_Wig_Distr_KYWD|" &amp; B2344 &amp; CHAR(10) &amp;
  _xlpm.vanillaPrefix &amp; "Spell = " &amp; _xlpm.spell &amp; "|" &amp; B2344
  )
)</f>
        <v>;EncBandit02Melee1HKhajiitM
;Keyword = Uvi_Wig_Distr_KYWD|EncBandit02Melee1HKhajiitM
;Spell = No Spell for Hairstyle|EncBandit02Melee1HKhajiitM</v>
      </c>
    </row>
    <row r="2345" ht="12.75" customHeight="1">
      <c r="A2345" s="5" t="s">
        <v>7060</v>
      </c>
      <c r="B2345" s="5" t="s">
        <v>7061</v>
      </c>
      <c r="D2345" s="5" t="s">
        <v>38</v>
      </c>
      <c r="E2345" s="5" t="s">
        <v>41</v>
      </c>
      <c r="F2345" s="5" t="s">
        <v>1596</v>
      </c>
      <c r="G2345" s="14" t="str">
        <f t="array" ref="G2345">IF(B2345="", "",
  LET(_xlpm.spell, IFERROR(IF(F2345="", "", INDEX(_xlws.FILTER(Hairstyles!$F:$F, ISNUMBER(SEARCH(F2345, Hairstyles!$B:$B))), 1)), "No Spell for Hairstyle"),
  _xlpm.vanillaPrefix, IF(LEFT(_xlpm.spell, 7)="Uvi_Wig", "", ";"),
  ";" &amp; IF(C2345="", B2345, C2345) &amp; IF(M2345="", "", " ("&amp;M2345&amp;")") &amp; CHAR(10) &amp;
  _xlpm.vanillaPrefix &amp; "Keyword = Uvi_Wig_Distr_KYWD|" &amp; B2345 &amp; CHAR(10) &amp;
  _xlpm.vanillaPrefix &amp; "Spell = " &amp; _xlpm.spell &amp; "|" &amp; B2345
  )
)</f>
        <v>;EncBandit02Melee1HNordF
;Keyword = Uvi_Wig_Distr_KYWD|EncBandit02Melee1HNordF
;Spell = No Spell for Hairstyle|EncBandit02Melee1HNordF</v>
      </c>
    </row>
    <row r="2346" ht="12.75" customHeight="1">
      <c r="A2346" s="5" t="s">
        <v>7062</v>
      </c>
      <c r="B2346" s="5" t="s">
        <v>7063</v>
      </c>
      <c r="D2346" s="5" t="s">
        <v>38</v>
      </c>
      <c r="E2346" s="5" t="s">
        <v>233</v>
      </c>
      <c r="F2346" s="5" t="s">
        <v>68</v>
      </c>
      <c r="G2346" s="14" t="str">
        <f t="array" ref="G2346">IF(B2346="", "",
  LET(_xlpm.spell, IFERROR(IF(F2346="", "", INDEX(_xlws.FILTER(Hairstyles!$F:$F, ISNUMBER(SEARCH(F2346, Hairstyles!$B:$B))), 1)), "No Spell for Hairstyle"),
  _xlpm.vanillaPrefix, IF(LEFT(_xlpm.spell, 7)="Uvi_Wig", "", ";"),
  ";" &amp; IF(C2346="", B2346, C2346) &amp; IF(M2346="", "", " ("&amp;M2346&amp;")") &amp; CHAR(10) &amp;
  _xlpm.vanillaPrefix &amp; "Keyword = Uvi_Wig_Distr_KYWD|" &amp; B2346 &amp; CHAR(10) &amp;
  _xlpm.vanillaPrefix &amp; "Spell = " &amp; _xlpm.spell &amp; "|" &amp; B2346
  )
)</f>
        <v>;EncBandit02Melee1HNordM
;Keyword = Uvi_Wig_Distr_KYWD|EncBandit02Melee1HNordM
;Spell = No Spell for Hairstyle|EncBandit02Melee1HNordM</v>
      </c>
    </row>
    <row r="2347" ht="12.75" customHeight="1">
      <c r="A2347" s="5" t="s">
        <v>7064</v>
      </c>
      <c r="B2347" s="5" t="s">
        <v>7065</v>
      </c>
      <c r="D2347" s="5" t="s">
        <v>80</v>
      </c>
      <c r="E2347" s="5" t="s">
        <v>233</v>
      </c>
      <c r="F2347" s="5" t="s">
        <v>1876</v>
      </c>
      <c r="G2347" s="14" t="str">
        <f t="array" ref="G2347">IF(B2347="", "",
  LET(_xlpm.spell, IFERROR(IF(F2347="", "", INDEX(_xlws.FILTER(Hairstyles!$F:$F, ISNUMBER(SEARCH(F2347, Hairstyles!$B:$B))), 1)), "No Spell for Hairstyle"),
  _xlpm.vanillaPrefix, IF(LEFT(_xlpm.spell, 7)="Uvi_Wig", "", ";"),
  ";" &amp; IF(C2347="", B2347, C2347) &amp; IF(M2347="", "", " ("&amp;M2347&amp;")") &amp; CHAR(10) &amp;
  _xlpm.vanillaPrefix &amp; "Keyword = Uvi_Wig_Distr_KYWD|" &amp; B2347 &amp; CHAR(10) &amp;
  _xlpm.vanillaPrefix &amp; "Spell = " &amp; _xlpm.spell &amp; "|" &amp; B2347
  )
)</f>
        <v>;EncBandit02Melee1HOrcM
;Keyword = Uvi_Wig_Distr_KYWD|EncBandit02Melee1HOrcM
;Spell = No Spell for Hairstyle|EncBandit02Melee1HOrcM</v>
      </c>
    </row>
    <row r="2348" ht="12.75" customHeight="1">
      <c r="A2348" s="5" t="s">
        <v>7066</v>
      </c>
      <c r="B2348" s="5" t="s">
        <v>7067</v>
      </c>
      <c r="D2348" s="5" t="s">
        <v>83</v>
      </c>
      <c r="E2348" s="5" t="s">
        <v>41</v>
      </c>
      <c r="F2348" s="5" t="s">
        <v>85</v>
      </c>
      <c r="G2348" s="14" t="str">
        <f t="array" ref="G2348">IF(B2348="", "",
  LET(_xlpm.spell, IFERROR(IF(F2348="", "", INDEX(_xlws.FILTER(Hairstyles!$F:$F, ISNUMBER(SEARCH(F2348, Hairstyles!$B:$B))), 1)), "No Spell for Hairstyle"),
  _xlpm.vanillaPrefix, IF(LEFT(_xlpm.spell, 7)="Uvi_Wig", "", ";"),
  ";" &amp; IF(C2348="", B2348, C2348) &amp; IF(M2348="", "", " ("&amp;M2348&amp;")") &amp; CHAR(10) &amp;
  _xlpm.vanillaPrefix &amp; "Keyword = Uvi_Wig_Distr_KYWD|" &amp; B2348 &amp; CHAR(10) &amp;
  _xlpm.vanillaPrefix &amp; "Spell = " &amp; _xlpm.spell &amp; "|" &amp; B2348
  )
)</f>
        <v>;EncBandit02Melee1HRedguardF
;Keyword = Uvi_Wig_Distr_KYWD|EncBandit02Melee1HRedguardF
;Spell = No Spell for Hairstyle|EncBandit02Melee1HRedguardF</v>
      </c>
    </row>
    <row r="2349" ht="12.75" customHeight="1">
      <c r="A2349" s="5" t="s">
        <v>7068</v>
      </c>
      <c r="B2349" s="5" t="s">
        <v>7069</v>
      </c>
      <c r="D2349" s="5" t="s">
        <v>83</v>
      </c>
      <c r="E2349" s="5" t="s">
        <v>233</v>
      </c>
      <c r="F2349" s="5" t="s">
        <v>84</v>
      </c>
      <c r="G2349" s="14" t="str">
        <f t="array" ref="G2349">IF(B2349="", "",
  LET(_xlpm.spell, IFERROR(IF(F2349="", "", INDEX(_xlws.FILTER(Hairstyles!$F:$F, ISNUMBER(SEARCH(F2349, Hairstyles!$B:$B))), 1)), "No Spell for Hairstyle"),
  _xlpm.vanillaPrefix, IF(LEFT(_xlpm.spell, 7)="Uvi_Wig", "", ";"),
  ";" &amp; IF(C2349="", B2349, C2349) &amp; IF(M2349="", "", " ("&amp;M2349&amp;")") &amp; CHAR(10) &amp;
  _xlpm.vanillaPrefix &amp; "Keyword = Uvi_Wig_Distr_KYWD|" &amp; B2349 &amp; CHAR(10) &amp;
  _xlpm.vanillaPrefix &amp; "Spell = " &amp; _xlpm.spell &amp; "|" &amp; B2349
  )
)</f>
        <v>;EncBandit02Melee1HRedguardM
;Keyword = Uvi_Wig_Distr_KYWD|EncBandit02Melee1HRedguardM
;Spell = No Spell for Hairstyle|EncBandit02Melee1HRedguardM</v>
      </c>
    </row>
    <row r="2350" ht="12.75" customHeight="1">
      <c r="A2350" s="5" t="s">
        <v>7070</v>
      </c>
      <c r="B2350" s="5" t="s">
        <v>7071</v>
      </c>
      <c r="D2350" s="5" t="s">
        <v>59</v>
      </c>
      <c r="E2350" s="5" t="s">
        <v>41</v>
      </c>
      <c r="F2350" s="5" t="s">
        <v>270</v>
      </c>
      <c r="G2350" s="14" t="str">
        <f t="array" ref="G2350">IF(B2350="", "",
  LET(_xlpm.spell, IFERROR(IF(F2350="", "", INDEX(_xlws.FILTER(Hairstyles!$F:$F, ISNUMBER(SEARCH(F2350, Hairstyles!$B:$B))), 1)), "No Spell for Hairstyle"),
  _xlpm.vanillaPrefix, IF(LEFT(_xlpm.spell, 7)="Uvi_Wig", "", ";"),
  ";" &amp; IF(C2350="", B2350, C2350) &amp; IF(M2350="", "", " ("&amp;M2350&amp;")") &amp; CHAR(10) &amp;
  _xlpm.vanillaPrefix &amp; "Keyword = Uvi_Wig_Distr_KYWD|" &amp; B2350 &amp; CHAR(10) &amp;
  _xlpm.vanillaPrefix &amp; "Spell = " &amp; _xlpm.spell &amp; "|" &amp; B2350
  )
)</f>
        <v>;EncBandit02Melee1HTankImperialF
;Keyword = Uvi_Wig_Distr_KYWD|EncBandit02Melee1HTankImperialF
;Spell = No Spell for Hairstyle|EncBandit02Melee1HTankImperialF</v>
      </c>
    </row>
    <row r="2351" ht="12.75" customHeight="1">
      <c r="A2351" s="5" t="s">
        <v>7072</v>
      </c>
      <c r="B2351" s="5" t="s">
        <v>7073</v>
      </c>
      <c r="D2351" s="5" t="s">
        <v>59</v>
      </c>
      <c r="E2351" s="5" t="s">
        <v>233</v>
      </c>
      <c r="F2351" s="5" t="s">
        <v>1894</v>
      </c>
      <c r="G2351" s="14" t="str">
        <f t="array" ref="G2351">IF(B2351="", "",
  LET(_xlpm.spell, IFERROR(IF(F2351="", "", INDEX(_xlws.FILTER(Hairstyles!$F:$F, ISNUMBER(SEARCH(F2351, Hairstyles!$B:$B))), 1)), "No Spell for Hairstyle"),
  _xlpm.vanillaPrefix, IF(LEFT(_xlpm.spell, 7)="Uvi_Wig", "", ";"),
  ";" &amp; IF(C2351="", B2351, C2351) &amp; IF(M2351="", "", " ("&amp;M2351&amp;")") &amp; CHAR(10) &amp;
  _xlpm.vanillaPrefix &amp; "Keyword = Uvi_Wig_Distr_KYWD|" &amp; B2351 &amp; CHAR(10) &amp;
  _xlpm.vanillaPrefix &amp; "Spell = " &amp; _xlpm.spell &amp; "|" &amp; B2351
  )
)</f>
        <v>;EncBandit02Melee1HTankImperialM
;Keyword = Uvi_Wig_Distr_KYWD|EncBandit02Melee1HTankImperialM
;Spell = No Spell for Hairstyle|EncBandit02Melee1HTankImperialM</v>
      </c>
    </row>
    <row r="2352" ht="12.75" customHeight="1">
      <c r="A2352" s="5" t="s">
        <v>7074</v>
      </c>
      <c r="B2352" s="5" t="s">
        <v>7075</v>
      </c>
      <c r="D2352" s="5" t="s">
        <v>38</v>
      </c>
      <c r="E2352" s="5" t="s">
        <v>41</v>
      </c>
      <c r="F2352" s="5" t="s">
        <v>1596</v>
      </c>
      <c r="G2352" s="14" t="str">
        <f t="array" ref="G2352">IF(B2352="", "",
  LET(_xlpm.spell, IFERROR(IF(F2352="", "", INDEX(_xlws.FILTER(Hairstyles!$F:$F, ISNUMBER(SEARCH(F2352, Hairstyles!$B:$B))), 1)), "No Spell for Hairstyle"),
  _xlpm.vanillaPrefix, IF(LEFT(_xlpm.spell, 7)="Uvi_Wig", "", ";"),
  ";" &amp; IF(C2352="", B2352, C2352) &amp; IF(M2352="", "", " ("&amp;M2352&amp;")") &amp; CHAR(10) &amp;
  _xlpm.vanillaPrefix &amp; "Keyword = Uvi_Wig_Distr_KYWD|" &amp; B2352 &amp; CHAR(10) &amp;
  _xlpm.vanillaPrefix &amp; "Spell = " &amp; _xlpm.spell &amp; "|" &amp; B2352
  )
)</f>
        <v>;EncBandit02Melee1HTankNordF
;Keyword = Uvi_Wig_Distr_KYWD|EncBandit02Melee1HTankNordF
;Spell = No Spell for Hairstyle|EncBandit02Melee1HTankNordF</v>
      </c>
    </row>
    <row r="2353" ht="12.75" customHeight="1">
      <c r="A2353" s="5" t="s">
        <v>7076</v>
      </c>
      <c r="B2353" s="5" t="s">
        <v>7077</v>
      </c>
      <c r="D2353" s="5" t="s">
        <v>38</v>
      </c>
      <c r="E2353" s="5" t="s">
        <v>233</v>
      </c>
      <c r="F2353" s="5" t="s">
        <v>68</v>
      </c>
      <c r="G2353" s="14" t="str">
        <f t="array" ref="G2353">IF(B2353="", "",
  LET(_xlpm.spell, IFERROR(IF(F2353="", "", INDEX(_xlws.FILTER(Hairstyles!$F:$F, ISNUMBER(SEARCH(F2353, Hairstyles!$B:$B))), 1)), "No Spell for Hairstyle"),
  _xlpm.vanillaPrefix, IF(LEFT(_xlpm.spell, 7)="Uvi_Wig", "", ";"),
  ";" &amp; IF(C2353="", B2353, C2353) &amp; IF(M2353="", "", " ("&amp;M2353&amp;")") &amp; CHAR(10) &amp;
  _xlpm.vanillaPrefix &amp; "Keyword = Uvi_Wig_Distr_KYWD|" &amp; B2353 &amp; CHAR(10) &amp;
  _xlpm.vanillaPrefix &amp; "Spell = " &amp; _xlpm.spell &amp; "|" &amp; B2353
  )
)</f>
        <v>;EncBandit02Melee1HTankNordM
;Keyword = Uvi_Wig_Distr_KYWD|EncBandit02Melee1HTankNordM
;Spell = No Spell for Hairstyle|EncBandit02Melee1HTankNordM</v>
      </c>
    </row>
    <row r="2354" ht="12.75" customHeight="1">
      <c r="A2354" s="5" t="s">
        <v>7078</v>
      </c>
      <c r="B2354" s="5" t="s">
        <v>7079</v>
      </c>
      <c r="D2354" s="5" t="s">
        <v>80</v>
      </c>
      <c r="E2354" s="5" t="s">
        <v>233</v>
      </c>
      <c r="F2354" s="5" t="s">
        <v>1876</v>
      </c>
      <c r="G2354" s="14" t="str">
        <f t="array" ref="G2354">IF(B2354="", "",
  LET(_xlpm.spell, IFERROR(IF(F2354="", "", INDEX(_xlws.FILTER(Hairstyles!$F:$F, ISNUMBER(SEARCH(F2354, Hairstyles!$B:$B))), 1)), "No Spell for Hairstyle"),
  _xlpm.vanillaPrefix, IF(LEFT(_xlpm.spell, 7)="Uvi_Wig", "", ";"),
  ";" &amp; IF(C2354="", B2354, C2354) &amp; IF(M2354="", "", " ("&amp;M2354&amp;")") &amp; CHAR(10) &amp;
  _xlpm.vanillaPrefix &amp; "Keyword = Uvi_Wig_Distr_KYWD|" &amp; B2354 &amp; CHAR(10) &amp;
  _xlpm.vanillaPrefix &amp; "Spell = " &amp; _xlpm.spell &amp; "|" &amp; B2354
  )
)</f>
        <v>;EncBandit02Melee1HTankOrcM
;Keyword = Uvi_Wig_Distr_KYWD|EncBandit02Melee1HTankOrcM
;Spell = No Spell for Hairstyle|EncBandit02Melee1HTankOrcM</v>
      </c>
    </row>
    <row r="2355" ht="12.75" customHeight="1">
      <c r="A2355" s="5" t="s">
        <v>7080</v>
      </c>
      <c r="B2355" s="5" t="s">
        <v>7081</v>
      </c>
      <c r="D2355" s="5" t="s">
        <v>83</v>
      </c>
      <c r="E2355" s="5" t="s">
        <v>41</v>
      </c>
      <c r="F2355" s="5" t="s">
        <v>85</v>
      </c>
      <c r="G2355" s="14" t="str">
        <f t="array" ref="G2355">IF(B2355="", "",
  LET(_xlpm.spell, IFERROR(IF(F2355="", "", INDEX(_xlws.FILTER(Hairstyles!$F:$F, ISNUMBER(SEARCH(F2355, Hairstyles!$B:$B))), 1)), "No Spell for Hairstyle"),
  _xlpm.vanillaPrefix, IF(LEFT(_xlpm.spell, 7)="Uvi_Wig", "", ";"),
  ";" &amp; IF(C2355="", B2355, C2355) &amp; IF(M2355="", "", " ("&amp;M2355&amp;")") &amp; CHAR(10) &amp;
  _xlpm.vanillaPrefix &amp; "Keyword = Uvi_Wig_Distr_KYWD|" &amp; B2355 &amp; CHAR(10) &amp;
  _xlpm.vanillaPrefix &amp; "Spell = " &amp; _xlpm.spell &amp; "|" &amp; B2355
  )
)</f>
        <v>;EncBandit02Melee1HTankRedguardF
;Keyword = Uvi_Wig_Distr_KYWD|EncBandit02Melee1HTankRedguardF
;Spell = No Spell for Hairstyle|EncBandit02Melee1HTankRedguardF</v>
      </c>
    </row>
    <row r="2356" ht="12.75" customHeight="1">
      <c r="A2356" s="5" t="s">
        <v>7082</v>
      </c>
      <c r="B2356" s="5" t="s">
        <v>7083</v>
      </c>
      <c r="D2356" s="5" t="s">
        <v>83</v>
      </c>
      <c r="E2356" s="5" t="s">
        <v>233</v>
      </c>
      <c r="F2356" s="5" t="s">
        <v>84</v>
      </c>
      <c r="G2356" s="14" t="str">
        <f t="array" ref="G2356">IF(B2356="", "",
  LET(_xlpm.spell, IFERROR(IF(F2356="", "", INDEX(_xlws.FILTER(Hairstyles!$F:$F, ISNUMBER(SEARCH(F2356, Hairstyles!$B:$B))), 1)), "No Spell for Hairstyle"),
  _xlpm.vanillaPrefix, IF(LEFT(_xlpm.spell, 7)="Uvi_Wig", "", ";"),
  ";" &amp; IF(C2356="", B2356, C2356) &amp; IF(M2356="", "", " ("&amp;M2356&amp;")") &amp; CHAR(10) &amp;
  _xlpm.vanillaPrefix &amp; "Keyword = Uvi_Wig_Distr_KYWD|" &amp; B2356 &amp; CHAR(10) &amp;
  _xlpm.vanillaPrefix &amp; "Spell = " &amp; _xlpm.spell &amp; "|" &amp; B2356
  )
)</f>
        <v>;EncBandit02Melee1HTankRedguardM
;Keyword = Uvi_Wig_Distr_KYWD|EncBandit02Melee1HTankRedguardM
;Spell = No Spell for Hairstyle|EncBandit02Melee1HTankRedguardM</v>
      </c>
    </row>
    <row r="2357" ht="12.75" customHeight="1">
      <c r="A2357" s="5" t="s">
        <v>7084</v>
      </c>
      <c r="B2357" s="5" t="s">
        <v>7085</v>
      </c>
      <c r="D2357" s="5" t="s">
        <v>38</v>
      </c>
      <c r="E2357" s="5" t="s">
        <v>41</v>
      </c>
      <c r="F2357" s="5" t="s">
        <v>1596</v>
      </c>
      <c r="G2357" s="14" t="str">
        <f t="array" ref="G2357">IF(B2357="", "",
  LET(_xlpm.spell, IFERROR(IF(F2357="", "", INDEX(_xlws.FILTER(Hairstyles!$F:$F, ISNUMBER(SEARCH(F2357, Hairstyles!$B:$B))), 1)), "No Spell for Hairstyle"),
  _xlpm.vanillaPrefix, IF(LEFT(_xlpm.spell, 7)="Uvi_Wig", "", ";"),
  ";" &amp; IF(C2357="", B2357, C2357) &amp; IF(M2357="", "", " ("&amp;M2357&amp;")") &amp; CHAR(10) &amp;
  _xlpm.vanillaPrefix &amp; "Keyword = Uvi_Wig_Distr_KYWD|" &amp; B2357 &amp; CHAR(10) &amp;
  _xlpm.vanillaPrefix &amp; "Spell = " &amp; _xlpm.spell &amp; "|" &amp; B2357
  )
)</f>
        <v>;EncBandit02Melee2HBerserkNordF
;Keyword = Uvi_Wig_Distr_KYWD|EncBandit02Melee2HBerserkNordF
;Spell = No Spell for Hairstyle|EncBandit02Melee2HBerserkNordF</v>
      </c>
    </row>
    <row r="2358" ht="12.75" customHeight="1">
      <c r="A2358" s="5" t="s">
        <v>7086</v>
      </c>
      <c r="B2358" s="5" t="s">
        <v>7087</v>
      </c>
      <c r="D2358" s="5" t="s">
        <v>38</v>
      </c>
      <c r="E2358" s="5" t="s">
        <v>233</v>
      </c>
      <c r="F2358" s="5" t="s">
        <v>68</v>
      </c>
      <c r="G2358" s="14" t="str">
        <f t="array" ref="G2358">IF(B2358="", "",
  LET(_xlpm.spell, IFERROR(IF(F2358="", "", INDEX(_xlws.FILTER(Hairstyles!$F:$F, ISNUMBER(SEARCH(F2358, Hairstyles!$B:$B))), 1)), "No Spell for Hairstyle"),
  _xlpm.vanillaPrefix, IF(LEFT(_xlpm.spell, 7)="Uvi_Wig", "", ";"),
  ";" &amp; IF(C2358="", B2358, C2358) &amp; IF(M2358="", "", " ("&amp;M2358&amp;")") &amp; CHAR(10) &amp;
  _xlpm.vanillaPrefix &amp; "Keyword = Uvi_Wig_Distr_KYWD|" &amp; B2358 &amp; CHAR(10) &amp;
  _xlpm.vanillaPrefix &amp; "Spell = " &amp; _xlpm.spell &amp; "|" &amp; B2358
  )
)</f>
        <v>;EncBandit02Melee2HBerserkNordM
;Keyword = Uvi_Wig_Distr_KYWD|EncBandit02Melee2HBerserkNordM
;Spell = No Spell for Hairstyle|EncBandit02Melee2HBerserkNordM</v>
      </c>
    </row>
    <row r="2359" ht="12.75" customHeight="1">
      <c r="A2359" s="5" t="s">
        <v>7088</v>
      </c>
      <c r="B2359" s="5" t="s">
        <v>7089</v>
      </c>
      <c r="D2359" s="5" t="s">
        <v>80</v>
      </c>
      <c r="E2359" s="5" t="s">
        <v>233</v>
      </c>
      <c r="F2359" s="5" t="s">
        <v>1876</v>
      </c>
      <c r="G2359" s="14" t="str">
        <f t="array" ref="G2359">IF(B2359="", "",
  LET(_xlpm.spell, IFERROR(IF(F2359="", "", INDEX(_xlws.FILTER(Hairstyles!$F:$F, ISNUMBER(SEARCH(F2359, Hairstyles!$B:$B))), 1)), "No Spell for Hairstyle"),
  _xlpm.vanillaPrefix, IF(LEFT(_xlpm.spell, 7)="Uvi_Wig", "", ";"),
  ";" &amp; IF(C2359="", B2359, C2359) &amp; IF(M2359="", "", " ("&amp;M2359&amp;")") &amp; CHAR(10) &amp;
  _xlpm.vanillaPrefix &amp; "Keyword = Uvi_Wig_Distr_KYWD|" &amp; B2359 &amp; CHAR(10) &amp;
  _xlpm.vanillaPrefix &amp; "Spell = " &amp; _xlpm.spell &amp; "|" &amp; B2359
  )
)</f>
        <v>;EncBandit02Melee2HBerserkOrcM
;Keyword = Uvi_Wig_Distr_KYWD|EncBandit02Melee2HBerserkOrcM
;Spell = No Spell for Hairstyle|EncBandit02Melee2HBerserkOrcM</v>
      </c>
    </row>
    <row r="2360" ht="12.75" customHeight="1">
      <c r="A2360" s="5" t="s">
        <v>7090</v>
      </c>
      <c r="B2360" s="5" t="s">
        <v>7091</v>
      </c>
      <c r="D2360" s="5" t="s">
        <v>83</v>
      </c>
      <c r="E2360" s="5" t="s">
        <v>41</v>
      </c>
      <c r="F2360" s="5" t="s">
        <v>85</v>
      </c>
      <c r="G2360" s="14" t="str">
        <f t="array" ref="G2360">IF(B2360="", "",
  LET(_xlpm.spell, IFERROR(IF(F2360="", "", INDEX(_xlws.FILTER(Hairstyles!$F:$F, ISNUMBER(SEARCH(F2360, Hairstyles!$B:$B))), 1)), "No Spell for Hairstyle"),
  _xlpm.vanillaPrefix, IF(LEFT(_xlpm.spell, 7)="Uvi_Wig", "", ";"),
  ";" &amp; IF(C2360="", B2360, C2360) &amp; IF(M2360="", "", " ("&amp;M2360&amp;")") &amp; CHAR(10) &amp;
  _xlpm.vanillaPrefix &amp; "Keyword = Uvi_Wig_Distr_KYWD|" &amp; B2360 &amp; CHAR(10) &amp;
  _xlpm.vanillaPrefix &amp; "Spell = " &amp; _xlpm.spell &amp; "|" &amp; B2360
  )
)</f>
        <v>;EncBandit02Melee2HBerserkRedguardF
;Keyword = Uvi_Wig_Distr_KYWD|EncBandit02Melee2HBerserkRedguardF
;Spell = No Spell for Hairstyle|EncBandit02Melee2HBerserkRedguardF</v>
      </c>
    </row>
    <row r="2361" ht="12.75" customHeight="1">
      <c r="A2361" s="5" t="s">
        <v>7092</v>
      </c>
      <c r="B2361" s="5" t="s">
        <v>7093</v>
      </c>
      <c r="D2361" s="5" t="s">
        <v>83</v>
      </c>
      <c r="E2361" s="5" t="s">
        <v>233</v>
      </c>
      <c r="F2361" s="5" t="s">
        <v>84</v>
      </c>
      <c r="G2361" s="14" t="str">
        <f t="array" ref="G2361">IF(B2361="", "",
  LET(_xlpm.spell, IFERROR(IF(F2361="", "", INDEX(_xlws.FILTER(Hairstyles!$F:$F, ISNUMBER(SEARCH(F2361, Hairstyles!$B:$B))), 1)), "No Spell for Hairstyle"),
  _xlpm.vanillaPrefix, IF(LEFT(_xlpm.spell, 7)="Uvi_Wig", "", ";"),
  ";" &amp; IF(C2361="", B2361, C2361) &amp; IF(M2361="", "", " ("&amp;M2361&amp;")") &amp; CHAR(10) &amp;
  _xlpm.vanillaPrefix &amp; "Keyword = Uvi_Wig_Distr_KYWD|" &amp; B2361 &amp; CHAR(10) &amp;
  _xlpm.vanillaPrefix &amp; "Spell = " &amp; _xlpm.spell &amp; "|" &amp; B2361
  )
)</f>
        <v>;EncBandit02Melee2HBerserkRedguardM
;Keyword = Uvi_Wig_Distr_KYWD|EncBandit02Melee2HBerserkRedguardM
;Spell = No Spell for Hairstyle|EncBandit02Melee2HBerserkRedguardM</v>
      </c>
    </row>
    <row r="2362" ht="12.75" customHeight="1">
      <c r="A2362" s="5" t="s">
        <v>7094</v>
      </c>
      <c r="B2362" s="5" t="s">
        <v>7095</v>
      </c>
      <c r="D2362" s="5" t="s">
        <v>38</v>
      </c>
      <c r="E2362" s="5" t="s">
        <v>41</v>
      </c>
      <c r="F2362" s="5" t="s">
        <v>1596</v>
      </c>
      <c r="G2362" s="14" t="str">
        <f t="array" ref="G2362">IF(B2362="", "",
  LET(_xlpm.spell, IFERROR(IF(F2362="", "", INDEX(_xlws.FILTER(Hairstyles!$F:$F, ISNUMBER(SEARCH(F2362, Hairstyles!$B:$B))), 1)), "No Spell for Hairstyle"),
  _xlpm.vanillaPrefix, IF(LEFT(_xlpm.spell, 7)="Uvi_Wig", "", ";"),
  ";" &amp; IF(C2362="", B2362, C2362) &amp; IF(M2362="", "", " ("&amp;M2362&amp;")") &amp; CHAR(10) &amp;
  _xlpm.vanillaPrefix &amp; "Keyword = Uvi_Wig_Distr_KYWD|" &amp; B2362 &amp; CHAR(10) &amp;
  _xlpm.vanillaPrefix &amp; "Spell = " &amp; _xlpm.spell &amp; "|" &amp; B2362
  )
)</f>
        <v>;EncBandit02Melee2HNordF
;Keyword = Uvi_Wig_Distr_KYWD|EncBandit02Melee2HNordF
;Spell = No Spell for Hairstyle|EncBandit02Melee2HNordF</v>
      </c>
    </row>
    <row r="2363" ht="12.75" customHeight="1">
      <c r="A2363" s="5" t="s">
        <v>7096</v>
      </c>
      <c r="B2363" s="5" t="s">
        <v>7097</v>
      </c>
      <c r="D2363" s="5" t="s">
        <v>38</v>
      </c>
      <c r="E2363" s="5" t="s">
        <v>233</v>
      </c>
      <c r="F2363" s="5" t="s">
        <v>68</v>
      </c>
      <c r="G2363" s="14" t="str">
        <f t="array" ref="G2363">IF(B2363="", "",
  LET(_xlpm.spell, IFERROR(IF(F2363="", "", INDEX(_xlws.FILTER(Hairstyles!$F:$F, ISNUMBER(SEARCH(F2363, Hairstyles!$B:$B))), 1)), "No Spell for Hairstyle"),
  _xlpm.vanillaPrefix, IF(LEFT(_xlpm.spell, 7)="Uvi_Wig", "", ";"),
  ";" &amp; IF(C2363="", B2363, C2363) &amp; IF(M2363="", "", " ("&amp;M2363&amp;")") &amp; CHAR(10) &amp;
  _xlpm.vanillaPrefix &amp; "Keyword = Uvi_Wig_Distr_KYWD|" &amp; B2363 &amp; CHAR(10) &amp;
  _xlpm.vanillaPrefix &amp; "Spell = " &amp; _xlpm.spell &amp; "|" &amp; B2363
  )
)</f>
        <v>;EncBandit02Melee2HNordM
;Keyword = Uvi_Wig_Distr_KYWD|EncBandit02Melee2HNordM
;Spell = No Spell for Hairstyle|EncBandit02Melee2HNordM</v>
      </c>
    </row>
    <row r="2364" ht="12.75" customHeight="1">
      <c r="A2364" s="5" t="s">
        <v>7098</v>
      </c>
      <c r="B2364" s="5" t="s">
        <v>7099</v>
      </c>
      <c r="D2364" s="5" t="s">
        <v>80</v>
      </c>
      <c r="E2364" s="5" t="s">
        <v>233</v>
      </c>
      <c r="F2364" s="5" t="s">
        <v>1876</v>
      </c>
      <c r="G2364" s="14" t="str">
        <f t="array" ref="G2364">IF(B2364="", "",
  LET(_xlpm.spell, IFERROR(IF(F2364="", "", INDEX(_xlws.FILTER(Hairstyles!$F:$F, ISNUMBER(SEARCH(F2364, Hairstyles!$B:$B))), 1)), "No Spell for Hairstyle"),
  _xlpm.vanillaPrefix, IF(LEFT(_xlpm.spell, 7)="Uvi_Wig", "", ";"),
  ";" &amp; IF(C2364="", B2364, C2364) &amp; IF(M2364="", "", " ("&amp;M2364&amp;")") &amp; CHAR(10) &amp;
  _xlpm.vanillaPrefix &amp; "Keyword = Uvi_Wig_Distr_KYWD|" &amp; B2364 &amp; CHAR(10) &amp;
  _xlpm.vanillaPrefix &amp; "Spell = " &amp; _xlpm.spell &amp; "|" &amp; B2364
  )
)</f>
        <v>;EncBandit02Melee2HOrcM
;Keyword = Uvi_Wig_Distr_KYWD|EncBandit02Melee2HOrcM
;Spell = No Spell for Hairstyle|EncBandit02Melee2HOrcM</v>
      </c>
    </row>
    <row r="2365" ht="12.75" customHeight="1">
      <c r="A2365" s="5" t="s">
        <v>7100</v>
      </c>
      <c r="B2365" s="5" t="s">
        <v>7101</v>
      </c>
      <c r="D2365" s="5" t="s">
        <v>83</v>
      </c>
      <c r="E2365" s="5" t="s">
        <v>41</v>
      </c>
      <c r="F2365" s="5" t="s">
        <v>85</v>
      </c>
      <c r="G2365" s="14" t="str">
        <f t="array" ref="G2365">IF(B2365="", "",
  LET(_xlpm.spell, IFERROR(IF(F2365="", "", INDEX(_xlws.FILTER(Hairstyles!$F:$F, ISNUMBER(SEARCH(F2365, Hairstyles!$B:$B))), 1)), "No Spell for Hairstyle"),
  _xlpm.vanillaPrefix, IF(LEFT(_xlpm.spell, 7)="Uvi_Wig", "", ";"),
  ";" &amp; IF(C2365="", B2365, C2365) &amp; IF(M2365="", "", " ("&amp;M2365&amp;")") &amp; CHAR(10) &amp;
  _xlpm.vanillaPrefix &amp; "Keyword = Uvi_Wig_Distr_KYWD|" &amp; B2365 &amp; CHAR(10) &amp;
  _xlpm.vanillaPrefix &amp; "Spell = " &amp; _xlpm.spell &amp; "|" &amp; B2365
  )
)</f>
        <v>;EncBandit02Melee2HRedguardF
;Keyword = Uvi_Wig_Distr_KYWD|EncBandit02Melee2HRedguardF
;Spell = No Spell for Hairstyle|EncBandit02Melee2HRedguardF</v>
      </c>
    </row>
    <row r="2366" ht="12.75" customHeight="1">
      <c r="A2366" s="5" t="s">
        <v>7102</v>
      </c>
      <c r="B2366" s="5" t="s">
        <v>7103</v>
      </c>
      <c r="D2366" s="5" t="s">
        <v>83</v>
      </c>
      <c r="E2366" s="5" t="s">
        <v>233</v>
      </c>
      <c r="F2366" s="5" t="s">
        <v>84</v>
      </c>
      <c r="G2366" s="14" t="str">
        <f t="array" ref="G2366">IF(B2366="", "",
  LET(_xlpm.spell, IFERROR(IF(F2366="", "", INDEX(_xlws.FILTER(Hairstyles!$F:$F, ISNUMBER(SEARCH(F2366, Hairstyles!$B:$B))), 1)), "No Spell for Hairstyle"),
  _xlpm.vanillaPrefix, IF(LEFT(_xlpm.spell, 7)="Uvi_Wig", "", ";"),
  ";" &amp; IF(C2366="", B2366, C2366) &amp; IF(M2366="", "", " ("&amp;M2366&amp;")") &amp; CHAR(10) &amp;
  _xlpm.vanillaPrefix &amp; "Keyword = Uvi_Wig_Distr_KYWD|" &amp; B2366 &amp; CHAR(10) &amp;
  _xlpm.vanillaPrefix &amp; "Spell = " &amp; _xlpm.spell &amp; "|" &amp; B2366
  )
)</f>
        <v>;EncBandit02Melee2HRedguardM
;Keyword = Uvi_Wig_Distr_KYWD|EncBandit02Melee2HRedguardM
;Spell = No Spell for Hairstyle|EncBandit02Melee2HRedguardM</v>
      </c>
    </row>
    <row r="2367" ht="12.75" customHeight="1">
      <c r="A2367" s="5" t="s">
        <v>7104</v>
      </c>
      <c r="B2367" s="5" t="s">
        <v>7105</v>
      </c>
      <c r="D2367" s="5" t="s">
        <v>59</v>
      </c>
      <c r="E2367" s="5" t="s">
        <v>41</v>
      </c>
      <c r="F2367" s="5" t="s">
        <v>42</v>
      </c>
      <c r="G2367" s="14" t="str">
        <f t="array" ref="G2367">IF(B2367="", "",
  LET(_xlpm.spell, IFERROR(IF(F2367="", "", INDEX(_xlws.FILTER(Hairstyles!$F:$F, ISNUMBER(SEARCH(F2367, Hairstyles!$B:$B))), 1)), "No Spell for Hairstyle"),
  _xlpm.vanillaPrefix, IF(LEFT(_xlpm.spell, 7)="Uvi_Wig", "", ";"),
  ";" &amp; IF(C2367="", B2367, C2367) &amp; IF(M2367="", "", " ("&amp;M2367&amp;")") &amp; CHAR(10) &amp;
  _xlpm.vanillaPrefix &amp; "Keyword = Uvi_Wig_Distr_KYWD|" &amp; B2367 &amp; CHAR(10) &amp;
  _xlpm.vanillaPrefix &amp; "Spell = " &amp; _xlpm.spell &amp; "|" &amp; B2367
  )
)</f>
        <v>;EncBandit02MissileImperialF
;Keyword = Uvi_Wig_Distr_KYWD|EncBandit02MissileImperialF
;Spell = No Spell for Hairstyle|EncBandit02MissileImperialF</v>
      </c>
    </row>
    <row r="2368" ht="12.75" customHeight="1">
      <c r="A2368" s="5" t="s">
        <v>7106</v>
      </c>
      <c r="B2368" s="5" t="s">
        <v>7107</v>
      </c>
      <c r="D2368" s="5" t="s">
        <v>59</v>
      </c>
      <c r="E2368" s="5" t="s">
        <v>233</v>
      </c>
      <c r="F2368" s="5" t="s">
        <v>19</v>
      </c>
      <c r="G2368" s="14" t="str">
        <f t="array" ref="G2368">IF(B2368="", "",
  LET(_xlpm.spell, IFERROR(IF(F2368="", "", INDEX(_xlws.FILTER(Hairstyles!$F:$F, ISNUMBER(SEARCH(F2368, Hairstyles!$B:$B))), 1)), "No Spell for Hairstyle"),
  _xlpm.vanillaPrefix, IF(LEFT(_xlpm.spell, 7)="Uvi_Wig", "", ";"),
  ";" &amp; IF(C2368="", B2368, C2368) &amp; IF(M2368="", "", " ("&amp;M2368&amp;")") &amp; CHAR(10) &amp;
  _xlpm.vanillaPrefix &amp; "Keyword = Uvi_Wig_Distr_KYWD|" &amp; B2368 &amp; CHAR(10) &amp;
  _xlpm.vanillaPrefix &amp; "Spell = " &amp; _xlpm.spell &amp; "|" &amp; B2368
  )
)</f>
        <v>;EncBandit02MissileImperialM
;Keyword = Uvi_Wig_Distr_KYWD|EncBandit02MissileImperialM
;Spell = No Spell for Hairstyle|EncBandit02MissileImperialM</v>
      </c>
    </row>
    <row r="2369" ht="12.75" customHeight="1">
      <c r="A2369" s="5" t="s">
        <v>7108</v>
      </c>
      <c r="B2369" s="5" t="s">
        <v>7109</v>
      </c>
      <c r="D2369" s="5" t="s">
        <v>65</v>
      </c>
      <c r="E2369" s="5" t="s">
        <v>233</v>
      </c>
      <c r="F2369" s="5" t="s">
        <v>3599</v>
      </c>
      <c r="G2369" s="14" t="str">
        <f t="array" ref="G2369">IF(B2369="", "",
  LET(_xlpm.spell, IFERROR(IF(F2369="", "", INDEX(_xlws.FILTER(Hairstyles!$F:$F, ISNUMBER(SEARCH(F2369, Hairstyles!$B:$B))), 1)), "No Spell for Hairstyle"),
  _xlpm.vanillaPrefix, IF(LEFT(_xlpm.spell, 7)="Uvi_Wig", "", ";"),
  ";" &amp; IF(C2369="", B2369, C2369) &amp; IF(M2369="", "", " ("&amp;M2369&amp;")") &amp; CHAR(10) &amp;
  _xlpm.vanillaPrefix &amp; "Keyword = Uvi_Wig_Distr_KYWD|" &amp; B2369 &amp; CHAR(10) &amp;
  _xlpm.vanillaPrefix &amp; "Spell = " &amp; _xlpm.spell &amp; "|" &amp; B2369
  )
)</f>
        <v>;EncBandit02MissileKhajiitM
;Keyword = Uvi_Wig_Distr_KYWD|EncBandit02MissileKhajiitM
;Spell = No Spell for Hairstyle|EncBandit02MissileKhajiitM</v>
      </c>
    </row>
    <row r="2370" ht="12.75" customHeight="1">
      <c r="A2370" s="5" t="s">
        <v>7110</v>
      </c>
      <c r="B2370" s="5" t="s">
        <v>7111</v>
      </c>
      <c r="D2370" s="5" t="s">
        <v>38</v>
      </c>
      <c r="E2370" s="5" t="s">
        <v>41</v>
      </c>
      <c r="F2370" s="5" t="s">
        <v>69</v>
      </c>
      <c r="G2370" s="14" t="str">
        <f t="array" ref="G2370">IF(B2370="", "",
  LET(_xlpm.spell, IFERROR(IF(F2370="", "", INDEX(_xlws.FILTER(Hairstyles!$F:$F, ISNUMBER(SEARCH(F2370, Hairstyles!$B:$B))), 1)), "No Spell for Hairstyle"),
  _xlpm.vanillaPrefix, IF(LEFT(_xlpm.spell, 7)="Uvi_Wig", "", ";"),
  ";" &amp; IF(C2370="", B2370, C2370) &amp; IF(M2370="", "", " ("&amp;M2370&amp;")") &amp; CHAR(10) &amp;
  _xlpm.vanillaPrefix &amp; "Keyword = Uvi_Wig_Distr_KYWD|" &amp; B2370 &amp; CHAR(10) &amp;
  _xlpm.vanillaPrefix &amp; "Spell = " &amp; _xlpm.spell &amp; "|" &amp; B2370
  )
)</f>
        <v>;EncBandit02MissileNordF
;Keyword = Uvi_Wig_Distr_KYWD|EncBandit02MissileNordF
;Spell = No Spell for Hairstyle|EncBandit02MissileNordF</v>
      </c>
    </row>
    <row r="2371" ht="12.75" customHeight="1">
      <c r="A2371" s="5" t="s">
        <v>7112</v>
      </c>
      <c r="B2371" s="5" t="s">
        <v>7113</v>
      </c>
      <c r="D2371" s="5" t="s">
        <v>38</v>
      </c>
      <c r="E2371" s="5" t="s">
        <v>233</v>
      </c>
      <c r="F2371" s="5" t="s">
        <v>68</v>
      </c>
      <c r="G2371" s="14" t="str">
        <f t="array" ref="G2371">IF(B2371="", "",
  LET(_xlpm.spell, IFERROR(IF(F2371="", "", INDEX(_xlws.FILTER(Hairstyles!$F:$F, ISNUMBER(SEARCH(F2371, Hairstyles!$B:$B))), 1)), "No Spell for Hairstyle"),
  _xlpm.vanillaPrefix, IF(LEFT(_xlpm.spell, 7)="Uvi_Wig", "", ";"),
  ";" &amp; IF(C2371="", B2371, C2371) &amp; IF(M2371="", "", " ("&amp;M2371&amp;")") &amp; CHAR(10) &amp;
  _xlpm.vanillaPrefix &amp; "Keyword = Uvi_Wig_Distr_KYWD|" &amp; B2371 &amp; CHAR(10) &amp;
  _xlpm.vanillaPrefix &amp; "Spell = " &amp; _xlpm.spell &amp; "|" &amp; B2371
  )
)</f>
        <v>;EncBandit02MissileNordM
;Keyword = Uvi_Wig_Distr_KYWD|EncBandit02MissileNordM
;Spell = No Spell for Hairstyle|EncBandit02MissileNordM</v>
      </c>
    </row>
    <row r="2372" ht="12.75" customHeight="1">
      <c r="A2372" s="5" t="s">
        <v>7114</v>
      </c>
      <c r="B2372" s="5" t="s">
        <v>7115</v>
      </c>
      <c r="D2372" s="5" t="s">
        <v>83</v>
      </c>
      <c r="E2372" s="5" t="s">
        <v>41</v>
      </c>
      <c r="F2372" s="5" t="s">
        <v>85</v>
      </c>
      <c r="G2372" s="14" t="str">
        <f t="array" ref="G2372">IF(B2372="", "",
  LET(_xlpm.spell, IFERROR(IF(F2372="", "", INDEX(_xlws.FILTER(Hairstyles!$F:$F, ISNUMBER(SEARCH(F2372, Hairstyles!$B:$B))), 1)), "No Spell for Hairstyle"),
  _xlpm.vanillaPrefix, IF(LEFT(_xlpm.spell, 7)="Uvi_Wig", "", ";"),
  ";" &amp; IF(C2372="", B2372, C2372) &amp; IF(M2372="", "", " ("&amp;M2372&amp;")") &amp; CHAR(10) &amp;
  _xlpm.vanillaPrefix &amp; "Keyword = Uvi_Wig_Distr_KYWD|" &amp; B2372 &amp; CHAR(10) &amp;
  _xlpm.vanillaPrefix &amp; "Spell = " &amp; _xlpm.spell &amp; "|" &amp; B2372
  )
)</f>
        <v>;EncBandit02MissileRedguardF
;Keyword = Uvi_Wig_Distr_KYWD|EncBandit02MissileRedguardF
;Spell = No Spell for Hairstyle|EncBandit02MissileRedguardF</v>
      </c>
    </row>
    <row r="2373" ht="12.75" customHeight="1">
      <c r="A2373" s="5" t="s">
        <v>7116</v>
      </c>
      <c r="B2373" s="5" t="s">
        <v>7117</v>
      </c>
      <c r="D2373" s="5" t="s">
        <v>83</v>
      </c>
      <c r="E2373" s="5" t="s">
        <v>233</v>
      </c>
      <c r="F2373" s="5" t="s">
        <v>84</v>
      </c>
      <c r="G2373" s="14" t="str">
        <f t="array" ref="G2373">IF(B2373="", "",
  LET(_xlpm.spell, IFERROR(IF(F2373="", "", INDEX(_xlws.FILTER(Hairstyles!$F:$F, ISNUMBER(SEARCH(F2373, Hairstyles!$B:$B))), 1)), "No Spell for Hairstyle"),
  _xlpm.vanillaPrefix, IF(LEFT(_xlpm.spell, 7)="Uvi_Wig", "", ";"),
  ";" &amp; IF(C2373="", B2373, C2373) &amp; IF(M2373="", "", " ("&amp;M2373&amp;")") &amp; CHAR(10) &amp;
  _xlpm.vanillaPrefix &amp; "Keyword = Uvi_Wig_Distr_KYWD|" &amp; B2373 &amp; CHAR(10) &amp;
  _xlpm.vanillaPrefix &amp; "Spell = " &amp; _xlpm.spell &amp; "|" &amp; B2373
  )
)</f>
        <v>;EncBandit02MissileRedguardM
;Keyword = Uvi_Wig_Distr_KYWD|EncBandit02MissileRedguardM
;Spell = No Spell for Hairstyle|EncBandit02MissileRedguardM</v>
      </c>
    </row>
    <row r="2374" ht="12.75" customHeight="1">
      <c r="A2374" s="5" t="s">
        <v>7118</v>
      </c>
      <c r="B2374" s="5" t="s">
        <v>7119</v>
      </c>
      <c r="D2374" s="5" t="s">
        <v>90</v>
      </c>
      <c r="E2374" s="5" t="s">
        <v>41</v>
      </c>
      <c r="F2374" s="5" t="s">
        <v>2245</v>
      </c>
      <c r="G2374" s="14" t="str">
        <f t="array" ref="G2374">IF(B2374="", "",
  LET(_xlpm.spell, IFERROR(IF(F2374="", "", INDEX(_xlws.FILTER(Hairstyles!$F:$F, ISNUMBER(SEARCH(F2374, Hairstyles!$B:$B))), 1)), "No Spell for Hairstyle"),
  _xlpm.vanillaPrefix, IF(LEFT(_xlpm.spell, 7)="Uvi_Wig", "", ";"),
  ";" &amp; IF(C2374="", B2374, C2374) &amp; IF(M2374="", "", " ("&amp;M2374&amp;")") &amp; CHAR(10) &amp;
  _xlpm.vanillaPrefix &amp; "Keyword = Uvi_Wig_Distr_KYWD|" &amp; B2374 &amp; CHAR(10) &amp;
  _xlpm.vanillaPrefix &amp; "Spell = " &amp; _xlpm.spell &amp; "|" &amp; B2374
  )
)</f>
        <v>;EncBandit02MissileWoodElfF
;Keyword = Uvi_Wig_Distr_KYWD|EncBandit02MissileWoodElfF
;Spell = No Spell for Hairstyle|EncBandit02MissileWoodElfF</v>
      </c>
    </row>
    <row r="2375" ht="12.75" customHeight="1">
      <c r="A2375" s="5" t="s">
        <v>7120</v>
      </c>
      <c r="B2375" s="5" t="s">
        <v>7121</v>
      </c>
      <c r="D2375" s="5" t="s">
        <v>90</v>
      </c>
      <c r="E2375" s="5" t="s">
        <v>233</v>
      </c>
      <c r="F2375" s="5" t="s">
        <v>1541</v>
      </c>
      <c r="G2375" s="14" t="str">
        <f t="array" ref="G2375">IF(B2375="", "",
  LET(_xlpm.spell, IFERROR(IF(F2375="", "", INDEX(_xlws.FILTER(Hairstyles!$F:$F, ISNUMBER(SEARCH(F2375, Hairstyles!$B:$B))), 1)), "No Spell for Hairstyle"),
  _xlpm.vanillaPrefix, IF(LEFT(_xlpm.spell, 7)="Uvi_Wig", "", ";"),
  ";" &amp; IF(C2375="", B2375, C2375) &amp; IF(M2375="", "", " ("&amp;M2375&amp;")") &amp; CHAR(10) &amp;
  _xlpm.vanillaPrefix &amp; "Keyword = Uvi_Wig_Distr_KYWD|" &amp; B2375 &amp; CHAR(10) &amp;
  _xlpm.vanillaPrefix &amp; "Spell = " &amp; _xlpm.spell &amp; "|" &amp; B2375
  )
)</f>
        <v>;EncBandit02MissileWoodElfM
;Keyword = Uvi_Wig_Distr_KYWD|EncBandit02MissileWoodElfM
;Spell = No Spell for Hairstyle|EncBandit02MissileWoodElfM</v>
      </c>
    </row>
    <row r="2376" ht="12.75" customHeight="1">
      <c r="A2376" s="5" t="s">
        <v>7122</v>
      </c>
      <c r="B2376" s="5" t="s">
        <v>7123</v>
      </c>
      <c r="D2376" s="5" t="s">
        <v>59</v>
      </c>
      <c r="E2376" s="5" t="s">
        <v>41</v>
      </c>
      <c r="F2376" s="5" t="s">
        <v>371</v>
      </c>
      <c r="G2376" s="14" t="str">
        <f t="array" ref="G2376">IF(B2376="", "",
  LET(_xlpm.spell, IFERROR(IF(F2376="", "", INDEX(_xlws.FILTER(Hairstyles!$F:$F, ISNUMBER(SEARCH(F2376, Hairstyles!$B:$B))), 1)), "No Spell for Hairstyle"),
  _xlpm.vanillaPrefix, IF(LEFT(_xlpm.spell, 7)="Uvi_Wig", "", ";"),
  ";" &amp; IF(C2376="", B2376, C2376) &amp; IF(M2376="", "", " ("&amp;M2376&amp;")") &amp; CHAR(10) &amp;
  _xlpm.vanillaPrefix &amp; "Keyword = Uvi_Wig_Distr_KYWD|" &amp; B2376 &amp; CHAR(10) &amp;
  _xlpm.vanillaPrefix &amp; "Spell = " &amp; _xlpm.spell &amp; "|" &amp; B2376
  )
)</f>
        <v>;EncBandit03Boss1HImperialF
;Keyword = Uvi_Wig_Distr_KYWD|EncBandit03Boss1HImperialF
;Spell = No Spell for Hairstyle|EncBandit03Boss1HImperialF</v>
      </c>
    </row>
    <row r="2377" ht="12.75" customHeight="1">
      <c r="A2377" s="5" t="s">
        <v>7124</v>
      </c>
      <c r="B2377" s="5" t="s">
        <v>7125</v>
      </c>
      <c r="D2377" s="5" t="s">
        <v>59</v>
      </c>
      <c r="E2377" s="5" t="s">
        <v>233</v>
      </c>
      <c r="F2377" s="5" t="s">
        <v>84</v>
      </c>
      <c r="G2377" s="14" t="str">
        <f t="array" ref="G2377">IF(B2377="", "",
  LET(_xlpm.spell, IFERROR(IF(F2377="", "", INDEX(_xlws.FILTER(Hairstyles!$F:$F, ISNUMBER(SEARCH(F2377, Hairstyles!$B:$B))), 1)), "No Spell for Hairstyle"),
  _xlpm.vanillaPrefix, IF(LEFT(_xlpm.spell, 7)="Uvi_Wig", "", ";"),
  ";" &amp; IF(C2377="", B2377, C2377) &amp; IF(M2377="", "", " ("&amp;M2377&amp;")") &amp; CHAR(10) &amp;
  _xlpm.vanillaPrefix &amp; "Keyword = Uvi_Wig_Distr_KYWD|" &amp; B2377 &amp; CHAR(10) &amp;
  _xlpm.vanillaPrefix &amp; "Spell = " &amp; _xlpm.spell &amp; "|" &amp; B2377
  )
)</f>
        <v>;EncBandit03Boss1HImperialM
;Keyword = Uvi_Wig_Distr_KYWD|EncBandit03Boss1HImperialM
;Spell = No Spell for Hairstyle|EncBandit03Boss1HImperialM</v>
      </c>
    </row>
    <row r="2378" ht="12.75" customHeight="1">
      <c r="A2378" s="5" t="s">
        <v>7126</v>
      </c>
      <c r="B2378" s="5" t="s">
        <v>7127</v>
      </c>
      <c r="D2378" s="5" t="s">
        <v>38</v>
      </c>
      <c r="E2378" s="5" t="s">
        <v>41</v>
      </c>
      <c r="F2378" s="5" t="s">
        <v>862</v>
      </c>
      <c r="G2378" s="14" t="str">
        <f t="array" ref="G2378">IF(B2378="", "",
  LET(_xlpm.spell, IFERROR(IF(F2378="", "", INDEX(_xlws.FILTER(Hairstyles!$F:$F, ISNUMBER(SEARCH(F2378, Hairstyles!$B:$B))), 1)), "No Spell for Hairstyle"),
  _xlpm.vanillaPrefix, IF(LEFT(_xlpm.spell, 7)="Uvi_Wig", "", ";"),
  ";" &amp; IF(C2378="", B2378, C2378) &amp; IF(M2378="", "", " ("&amp;M2378&amp;")") &amp; CHAR(10) &amp;
  _xlpm.vanillaPrefix &amp; "Keyword = Uvi_Wig_Distr_KYWD|" &amp; B2378 &amp; CHAR(10) &amp;
  _xlpm.vanillaPrefix &amp; "Spell = " &amp; _xlpm.spell &amp; "|" &amp; B2378
  )
)</f>
        <v>;EncBandit03Boss1HNordF
;Keyword = Uvi_Wig_Distr_KYWD|EncBandit03Boss1HNordF
;Spell = No Spell for Hairstyle|EncBandit03Boss1HNordF</v>
      </c>
    </row>
    <row r="2379" ht="12.75" customHeight="1">
      <c r="A2379" s="5" t="s">
        <v>7128</v>
      </c>
      <c r="B2379" s="5" t="s">
        <v>7129</v>
      </c>
      <c r="D2379" s="5" t="s">
        <v>38</v>
      </c>
      <c r="E2379" s="5" t="s">
        <v>233</v>
      </c>
      <c r="F2379" s="5" t="s">
        <v>695</v>
      </c>
      <c r="G2379" s="14" t="str">
        <f t="array" ref="G2379">IF(B2379="", "",
  LET(_xlpm.spell, IFERROR(IF(F2379="", "", INDEX(_xlws.FILTER(Hairstyles!$F:$F, ISNUMBER(SEARCH(F2379, Hairstyles!$B:$B))), 1)), "No Spell for Hairstyle"),
  _xlpm.vanillaPrefix, IF(LEFT(_xlpm.spell, 7)="Uvi_Wig", "", ";"),
  ";" &amp; IF(C2379="", B2379, C2379) &amp; IF(M2379="", "", " ("&amp;M2379&amp;")") &amp; CHAR(10) &amp;
  _xlpm.vanillaPrefix &amp; "Keyword = Uvi_Wig_Distr_KYWD|" &amp; B2379 &amp; CHAR(10) &amp;
  _xlpm.vanillaPrefix &amp; "Spell = " &amp; _xlpm.spell &amp; "|" &amp; B2379
  )
)</f>
        <v>;EncBandit03Boss1HNordM
;Keyword = Uvi_Wig_Distr_KYWD|EncBandit03Boss1HNordM
;Spell = No Spell for Hairstyle|EncBandit03Boss1HNordM</v>
      </c>
    </row>
    <row r="2380" ht="12.75" customHeight="1">
      <c r="A2380" s="5" t="s">
        <v>7130</v>
      </c>
      <c r="B2380" s="5" t="s">
        <v>7131</v>
      </c>
      <c r="D2380" s="5" t="s">
        <v>83</v>
      </c>
      <c r="E2380" s="5" t="s">
        <v>41</v>
      </c>
      <c r="F2380" s="5" t="s">
        <v>42</v>
      </c>
      <c r="G2380" s="14" t="str">
        <f t="array" ref="G2380">IF(B2380="", "",
  LET(_xlpm.spell, IFERROR(IF(F2380="", "", INDEX(_xlws.FILTER(Hairstyles!$F:$F, ISNUMBER(SEARCH(F2380, Hairstyles!$B:$B))), 1)), "No Spell for Hairstyle"),
  _xlpm.vanillaPrefix, IF(LEFT(_xlpm.spell, 7)="Uvi_Wig", "", ";"),
  ";" &amp; IF(C2380="", B2380, C2380) &amp; IF(M2380="", "", " ("&amp;M2380&amp;")") &amp; CHAR(10) &amp;
  _xlpm.vanillaPrefix &amp; "Keyword = Uvi_Wig_Distr_KYWD|" &amp; B2380 &amp; CHAR(10) &amp;
  _xlpm.vanillaPrefix &amp; "Spell = " &amp; _xlpm.spell &amp; "|" &amp; B2380
  )
)</f>
        <v>;EncBandit03Boss1HRedguardF
;Keyword = Uvi_Wig_Distr_KYWD|EncBandit03Boss1HRedguardF
;Spell = No Spell for Hairstyle|EncBandit03Boss1HRedguardF</v>
      </c>
    </row>
    <row r="2381" ht="12.75" customHeight="1">
      <c r="A2381" s="5" t="s">
        <v>7132</v>
      </c>
      <c r="B2381" s="5" t="s">
        <v>7133</v>
      </c>
      <c r="D2381" s="5" t="s">
        <v>83</v>
      </c>
      <c r="E2381" s="5" t="s">
        <v>233</v>
      </c>
      <c r="F2381" s="5" t="s">
        <v>84</v>
      </c>
      <c r="G2381" s="14" t="str">
        <f t="array" ref="G2381">IF(B2381="", "",
  LET(_xlpm.spell, IFERROR(IF(F2381="", "", INDEX(_xlws.FILTER(Hairstyles!$F:$F, ISNUMBER(SEARCH(F2381, Hairstyles!$B:$B))), 1)), "No Spell for Hairstyle"),
  _xlpm.vanillaPrefix, IF(LEFT(_xlpm.spell, 7)="Uvi_Wig", "", ";"),
  ";" &amp; IF(C2381="", B2381, C2381) &amp; IF(M2381="", "", " ("&amp;M2381&amp;")") &amp; CHAR(10) &amp;
  _xlpm.vanillaPrefix &amp; "Keyword = Uvi_Wig_Distr_KYWD|" &amp; B2381 &amp; CHAR(10) &amp;
  _xlpm.vanillaPrefix &amp; "Spell = " &amp; _xlpm.spell &amp; "|" &amp; B2381
  )
)</f>
        <v>;EncBandit03Boss1HRedguardM
;Keyword = Uvi_Wig_Distr_KYWD|EncBandit03Boss1HRedguardM
;Spell = No Spell for Hairstyle|EncBandit03Boss1HRedguardM</v>
      </c>
    </row>
    <row r="2382" ht="12.75" customHeight="1">
      <c r="A2382" s="5" t="s">
        <v>7134</v>
      </c>
      <c r="B2382" s="5" t="s">
        <v>7135</v>
      </c>
      <c r="D2382" s="5" t="s">
        <v>59</v>
      </c>
      <c r="E2382" s="5" t="s">
        <v>233</v>
      </c>
      <c r="F2382" s="5" t="s">
        <v>1894</v>
      </c>
      <c r="G2382" s="14" t="str">
        <f t="array" ref="G2382">IF(B2382="", "",
  LET(_xlpm.spell, IFERROR(IF(F2382="", "", INDEX(_xlws.FILTER(Hairstyles!$F:$F, ISNUMBER(SEARCH(F2382, Hairstyles!$B:$B))), 1)), "No Spell for Hairstyle"),
  _xlpm.vanillaPrefix, IF(LEFT(_xlpm.spell, 7)="Uvi_Wig", "", ";"),
  ";" &amp; IF(C2382="", B2382, C2382) &amp; IF(M2382="", "", " ("&amp;M2382&amp;")") &amp; CHAR(10) &amp;
  _xlpm.vanillaPrefix &amp; "Keyword = Uvi_Wig_Distr_KYWD|" &amp; B2382 &amp; CHAR(10) &amp;
  _xlpm.vanillaPrefix &amp; "Spell = " &amp; _xlpm.spell &amp; "|" &amp; B2382
  )
)</f>
        <v>;EncBandit03Boss2HImperialM
;Keyword = Uvi_Wig_Distr_KYWD|EncBandit03Boss2HImperialM
;Spell = No Spell for Hairstyle|EncBandit03Boss2HImperialM</v>
      </c>
    </row>
    <row r="2383" ht="12.75" customHeight="1">
      <c r="A2383" s="5" t="s">
        <v>7136</v>
      </c>
      <c r="B2383" s="5" t="s">
        <v>7137</v>
      </c>
      <c r="D2383" s="5" t="s">
        <v>38</v>
      </c>
      <c r="E2383" s="5" t="s">
        <v>233</v>
      </c>
      <c r="F2383" s="5" t="s">
        <v>1700</v>
      </c>
      <c r="G2383" s="14" t="str">
        <f t="array" ref="G2383">IF(B2383="", "",
  LET(_xlpm.spell, IFERROR(IF(F2383="", "", INDEX(_xlws.FILTER(Hairstyles!$F:$F, ISNUMBER(SEARCH(F2383, Hairstyles!$B:$B))), 1)), "No Spell for Hairstyle"),
  _xlpm.vanillaPrefix, IF(LEFT(_xlpm.spell, 7)="Uvi_Wig", "", ";"),
  ";" &amp; IF(C2383="", B2383, C2383) &amp; IF(M2383="", "", " ("&amp;M2383&amp;")") &amp; CHAR(10) &amp;
  _xlpm.vanillaPrefix &amp; "Keyword = Uvi_Wig_Distr_KYWD|" &amp; B2383 &amp; CHAR(10) &amp;
  _xlpm.vanillaPrefix &amp; "Spell = " &amp; _xlpm.spell &amp; "|" &amp; B2383
  )
)</f>
        <v>;EncBandit03Boss2HNordM
;Keyword = Uvi_Wig_Distr_KYWD|EncBandit03Boss2HNordM
;Spell = No Spell for Hairstyle|EncBandit03Boss2HNordM</v>
      </c>
    </row>
    <row r="2384" ht="12.75" customHeight="1">
      <c r="A2384" s="5" t="s">
        <v>7138</v>
      </c>
      <c r="B2384" s="5" t="s">
        <v>7139</v>
      </c>
      <c r="D2384" s="5" t="s">
        <v>80</v>
      </c>
      <c r="E2384" s="5" t="s">
        <v>233</v>
      </c>
      <c r="F2384" s="5" t="s">
        <v>2229</v>
      </c>
      <c r="G2384" s="14" t="str">
        <f t="array" ref="G2384">IF(B2384="", "",
  LET(_xlpm.spell, IFERROR(IF(F2384="", "", INDEX(_xlws.FILTER(Hairstyles!$F:$F, ISNUMBER(SEARCH(F2384, Hairstyles!$B:$B))), 1)), "No Spell for Hairstyle"),
  _xlpm.vanillaPrefix, IF(LEFT(_xlpm.spell, 7)="Uvi_Wig", "", ";"),
  ";" &amp; IF(C2384="", B2384, C2384) &amp; IF(M2384="", "", " ("&amp;M2384&amp;")") &amp; CHAR(10) &amp;
  _xlpm.vanillaPrefix &amp; "Keyword = Uvi_Wig_Distr_KYWD|" &amp; B2384 &amp; CHAR(10) &amp;
  _xlpm.vanillaPrefix &amp; "Spell = " &amp; _xlpm.spell &amp; "|" &amp; B2384
  )
)</f>
        <v>;EncBandit03Boss2HOrcM
;Keyword = Uvi_Wig_Distr_KYWD|EncBandit03Boss2HOrcM
;Spell = No Spell for Hairstyle|EncBandit03Boss2HOrcM</v>
      </c>
    </row>
    <row r="2385" ht="12.75" customHeight="1">
      <c r="A2385" s="5" t="s">
        <v>7140</v>
      </c>
      <c r="B2385" s="5" t="s">
        <v>7141</v>
      </c>
      <c r="D2385" s="5" t="s">
        <v>83</v>
      </c>
      <c r="E2385" s="5" t="s">
        <v>233</v>
      </c>
      <c r="F2385" s="5" t="s">
        <v>2107</v>
      </c>
      <c r="G2385" s="14" t="str">
        <f t="array" ref="G2385">IF(B2385="", "",
  LET(_xlpm.spell, IFERROR(IF(F2385="", "", INDEX(_xlws.FILTER(Hairstyles!$F:$F, ISNUMBER(SEARCH(F2385, Hairstyles!$B:$B))), 1)), "No Spell for Hairstyle"),
  _xlpm.vanillaPrefix, IF(LEFT(_xlpm.spell, 7)="Uvi_Wig", "", ";"),
  ";" &amp; IF(C2385="", B2385, C2385) &amp; IF(M2385="", "", " ("&amp;M2385&amp;")") &amp; CHAR(10) &amp;
  _xlpm.vanillaPrefix &amp; "Keyword = Uvi_Wig_Distr_KYWD|" &amp; B2385 &amp; CHAR(10) &amp;
  _xlpm.vanillaPrefix &amp; "Spell = " &amp; _xlpm.spell &amp; "|" &amp; B2385
  )
)</f>
        <v>;EncBandit03Boss2HRedguardM
;Keyword = Uvi_Wig_Distr_KYWD|EncBandit03Boss2HRedguardM
;Spell = No Spell for Hairstyle|EncBandit03Boss2HRedguardM</v>
      </c>
    </row>
    <row r="2386" ht="12.75" customHeight="1">
      <c r="A2386" s="5" t="s">
        <v>7142</v>
      </c>
      <c r="B2386" s="5" t="s">
        <v>7143</v>
      </c>
      <c r="D2386" s="5" t="s">
        <v>10</v>
      </c>
      <c r="E2386" s="5" t="s">
        <v>233</v>
      </c>
      <c r="F2386" s="5" t="s">
        <v>1955</v>
      </c>
      <c r="G2386" s="14" t="str">
        <f t="array" ref="G2386">IF(B2386="", "",
  LET(_xlpm.spell, IFERROR(IF(F2386="", "", INDEX(_xlws.FILTER(Hairstyles!$F:$F, ISNUMBER(SEARCH(F2386, Hairstyles!$B:$B))), 1)), "No Spell for Hairstyle"),
  _xlpm.vanillaPrefix, IF(LEFT(_xlpm.spell, 7)="Uvi_Wig", "", ";"),
  ";" &amp; IF(C2386="", B2386, C2386) &amp; IF(M2386="", "", " ("&amp;M2386&amp;")") &amp; CHAR(10) &amp;
  _xlpm.vanillaPrefix &amp; "Keyword = Uvi_Wig_Distr_KYWD|" &amp; B2386 &amp; CHAR(10) &amp;
  _xlpm.vanillaPrefix &amp; "Spell = " &amp; _xlpm.spell &amp; "|" &amp; B2386
  )
)</f>
        <v>;EncBandit03MagicArgonianM
;Keyword = Uvi_Wig_Distr_KYWD|EncBandit03MagicArgonianM
;Spell = No Spell for Hairstyle|EncBandit03MagicArgonianM</v>
      </c>
    </row>
    <row r="2387" ht="12.75" customHeight="1">
      <c r="A2387" s="5" t="s">
        <v>7144</v>
      </c>
      <c r="B2387" s="5" t="s">
        <v>7145</v>
      </c>
      <c r="D2387" s="5" t="s">
        <v>16</v>
      </c>
      <c r="E2387" s="5" t="s">
        <v>41</v>
      </c>
      <c r="F2387" s="5" t="s">
        <v>1694</v>
      </c>
      <c r="G2387" s="14" t="str">
        <f t="array" ref="G2387">IF(B2387="", "",
  LET(_xlpm.spell, IFERROR(IF(F2387="", "", INDEX(_xlws.FILTER(Hairstyles!$F:$F, ISNUMBER(SEARCH(F2387, Hairstyles!$B:$B))), 1)), "No Spell for Hairstyle"),
  _xlpm.vanillaPrefix, IF(LEFT(_xlpm.spell, 7)="Uvi_Wig", "", ";"),
  ";" &amp; IF(C2387="", B2387, C2387) &amp; IF(M2387="", "", " ("&amp;M2387&amp;")") &amp; CHAR(10) &amp;
  _xlpm.vanillaPrefix &amp; "Keyword = Uvi_Wig_Distr_KYWD|" &amp; B2387 &amp; CHAR(10) &amp;
  _xlpm.vanillaPrefix &amp; "Spell = " &amp; _xlpm.spell &amp; "|" &amp; B2387
  )
)</f>
        <v>;EncBandit03MagicBretonF
;Keyword = Uvi_Wig_Distr_KYWD|EncBandit03MagicBretonF
;Spell = No Spell for Hairstyle|EncBandit03MagicBretonF</v>
      </c>
    </row>
    <row r="2388" ht="12.75" customHeight="1">
      <c r="A2388" s="5" t="s">
        <v>7146</v>
      </c>
      <c r="B2388" s="5" t="s">
        <v>7147</v>
      </c>
      <c r="D2388" s="5" t="s">
        <v>16</v>
      </c>
      <c r="E2388" s="5" t="s">
        <v>233</v>
      </c>
      <c r="F2388" s="5" t="s">
        <v>1622</v>
      </c>
      <c r="G2388" s="14" t="str">
        <f t="array" ref="G2388">IF(B2388="", "",
  LET(_xlpm.spell, IFERROR(IF(F2388="", "", INDEX(_xlws.FILTER(Hairstyles!$F:$F, ISNUMBER(SEARCH(F2388, Hairstyles!$B:$B))), 1)), "No Spell for Hairstyle"),
  _xlpm.vanillaPrefix, IF(LEFT(_xlpm.spell, 7)="Uvi_Wig", "", ";"),
  ";" &amp; IF(C2388="", B2388, C2388) &amp; IF(M2388="", "", " ("&amp;M2388&amp;")") &amp; CHAR(10) &amp;
  _xlpm.vanillaPrefix &amp; "Keyword = Uvi_Wig_Distr_KYWD|" &amp; B2388 &amp; CHAR(10) &amp;
  _xlpm.vanillaPrefix &amp; "Spell = " &amp; _xlpm.spell &amp; "|" &amp; B2388
  )
)</f>
        <v>;EncBandit03MagicBretonM
;Keyword = Uvi_Wig_Distr_KYWD|EncBandit03MagicBretonM
;Spell = No Spell for Hairstyle|EncBandit03MagicBretonM</v>
      </c>
    </row>
    <row r="2389" ht="12.75" customHeight="1">
      <c r="A2389" s="5" t="s">
        <v>7148</v>
      </c>
      <c r="B2389" s="5" t="s">
        <v>7149</v>
      </c>
      <c r="D2389" s="5" t="s">
        <v>45</v>
      </c>
      <c r="E2389" s="5" t="s">
        <v>41</v>
      </c>
      <c r="F2389" s="5" t="s">
        <v>2096</v>
      </c>
      <c r="G2389" s="14" t="str">
        <f t="array" ref="G2389">IF(B2389="", "",
  LET(_xlpm.spell, IFERROR(IF(F2389="", "", INDEX(_xlws.FILTER(Hairstyles!$F:$F, ISNUMBER(SEARCH(F2389, Hairstyles!$B:$B))), 1)), "No Spell for Hairstyle"),
  _xlpm.vanillaPrefix, IF(LEFT(_xlpm.spell, 7)="Uvi_Wig", "", ";"),
  ";" &amp; IF(C2389="", B2389, C2389) &amp; IF(M2389="", "", " ("&amp;M2389&amp;")") &amp; CHAR(10) &amp;
  _xlpm.vanillaPrefix &amp; "Keyword = Uvi_Wig_Distr_KYWD|" &amp; B2389 &amp; CHAR(10) &amp;
  _xlpm.vanillaPrefix &amp; "Spell = " &amp; _xlpm.spell &amp; "|" &amp; B2389
  )
)</f>
        <v>;EncBandit03MagicDarkElfF
;Keyword = Uvi_Wig_Distr_KYWD|EncBandit03MagicDarkElfF
;Spell = No Spell for Hairstyle|EncBandit03MagicDarkElfF</v>
      </c>
    </row>
    <row r="2390" ht="12.75" customHeight="1">
      <c r="A2390" s="5" t="s">
        <v>7150</v>
      </c>
      <c r="B2390" s="5" t="s">
        <v>7151</v>
      </c>
      <c r="D2390" s="5" t="s">
        <v>45</v>
      </c>
      <c r="E2390" s="5" t="s">
        <v>233</v>
      </c>
      <c r="F2390" s="5" t="s">
        <v>2559</v>
      </c>
      <c r="G2390" s="14" t="str">
        <f t="array" ref="G2390">IF(B2390="", "",
  LET(_xlpm.spell, IFERROR(IF(F2390="", "", INDEX(_xlws.FILTER(Hairstyles!$F:$F, ISNUMBER(SEARCH(F2390, Hairstyles!$B:$B))), 1)), "No Spell for Hairstyle"),
  _xlpm.vanillaPrefix, IF(LEFT(_xlpm.spell, 7)="Uvi_Wig", "", ";"),
  ";" &amp; IF(C2390="", B2390, C2390) &amp; IF(M2390="", "", " ("&amp;M2390&amp;")") &amp; CHAR(10) &amp;
  _xlpm.vanillaPrefix &amp; "Keyword = Uvi_Wig_Distr_KYWD|" &amp; B2390 &amp; CHAR(10) &amp;
  _xlpm.vanillaPrefix &amp; "Spell = " &amp; _xlpm.spell &amp; "|" &amp; B2390
  )
)</f>
        <v>;EncBandit03MagicDarkElfM
;Keyword = Uvi_Wig_Distr_KYWD|EncBandit03MagicDarkElfM
;Spell = No Spell for Hairstyle|EncBandit03MagicDarkElfM</v>
      </c>
    </row>
    <row r="2391" ht="12.75" customHeight="1">
      <c r="A2391" s="5" t="s">
        <v>7152</v>
      </c>
      <c r="B2391" s="5" t="s">
        <v>7153</v>
      </c>
      <c r="D2391" s="5" t="s">
        <v>38</v>
      </c>
      <c r="E2391" s="5" t="s">
        <v>41</v>
      </c>
      <c r="F2391" s="5" t="s">
        <v>1557</v>
      </c>
      <c r="G2391" s="14" t="str">
        <f t="array" ref="G2391">IF(B2391="", "",
  LET(_xlpm.spell, IFERROR(IF(F2391="", "", INDEX(_xlws.FILTER(Hairstyles!$F:$F, ISNUMBER(SEARCH(F2391, Hairstyles!$B:$B))), 1)), "No Spell for Hairstyle"),
  _xlpm.vanillaPrefix, IF(LEFT(_xlpm.spell, 7)="Uvi_Wig", "", ";"),
  ";" &amp; IF(C2391="", B2391, C2391) &amp; IF(M2391="", "", " ("&amp;M2391&amp;")") &amp; CHAR(10) &amp;
  _xlpm.vanillaPrefix &amp; "Keyword = Uvi_Wig_Distr_KYWD|" &amp; B2391 &amp; CHAR(10) &amp;
  _xlpm.vanillaPrefix &amp; "Spell = " &amp; _xlpm.spell &amp; "|" &amp; B2391
  )
)</f>
        <v>;EncBandit03MagicNordF
;Keyword = Uvi_Wig_Distr_KYWD|EncBandit03MagicNordF
;Spell = No Spell for Hairstyle|EncBandit03MagicNordF</v>
      </c>
    </row>
    <row r="2392" ht="12.75" customHeight="1">
      <c r="A2392" s="5" t="s">
        <v>7154</v>
      </c>
      <c r="B2392" s="5" t="s">
        <v>7155</v>
      </c>
      <c r="D2392" s="5" t="s">
        <v>38</v>
      </c>
      <c r="E2392" s="5" t="s">
        <v>233</v>
      </c>
      <c r="F2392" s="5" t="s">
        <v>1553</v>
      </c>
      <c r="G2392" s="14" t="str">
        <f t="array" ref="G2392">IF(B2392="", "",
  LET(_xlpm.spell, IFERROR(IF(F2392="", "", INDEX(_xlws.FILTER(Hairstyles!$F:$F, ISNUMBER(SEARCH(F2392, Hairstyles!$B:$B))), 1)), "No Spell for Hairstyle"),
  _xlpm.vanillaPrefix, IF(LEFT(_xlpm.spell, 7)="Uvi_Wig", "", ";"),
  ";" &amp; IF(C2392="", B2392, C2392) &amp; IF(M2392="", "", " ("&amp;M2392&amp;")") &amp; CHAR(10) &amp;
  _xlpm.vanillaPrefix &amp; "Keyword = Uvi_Wig_Distr_KYWD|" &amp; B2392 &amp; CHAR(10) &amp;
  _xlpm.vanillaPrefix &amp; "Spell = " &amp; _xlpm.spell &amp; "|" &amp; B2392
  )
)</f>
        <v>;EncBandit03MagicNordM
;Keyword = Uvi_Wig_Distr_KYWD|EncBandit03MagicNordM
;Spell = No Spell for Hairstyle|EncBandit03MagicNordM</v>
      </c>
    </row>
    <row r="2393" ht="12.75" customHeight="1">
      <c r="A2393" s="5" t="s">
        <v>7156</v>
      </c>
      <c r="B2393" s="5" t="s">
        <v>7157</v>
      </c>
      <c r="D2393" s="5" t="s">
        <v>59</v>
      </c>
      <c r="E2393" s="5" t="s">
        <v>41</v>
      </c>
      <c r="F2393" s="5" t="s">
        <v>42</v>
      </c>
      <c r="G2393" s="14" t="str">
        <f t="array" ref="G2393">IF(B2393="", "",
  LET(_xlpm.spell, IFERROR(IF(F2393="", "", INDEX(_xlws.FILTER(Hairstyles!$F:$F, ISNUMBER(SEARCH(F2393, Hairstyles!$B:$B))), 1)), "No Spell for Hairstyle"),
  _xlpm.vanillaPrefix, IF(LEFT(_xlpm.spell, 7)="Uvi_Wig", "", ";"),
  ";" &amp; IF(C2393="", B2393, C2393) &amp; IF(M2393="", "", " ("&amp;M2393&amp;")") &amp; CHAR(10) &amp;
  _xlpm.vanillaPrefix &amp; "Keyword = Uvi_Wig_Distr_KYWD|" &amp; B2393 &amp; CHAR(10) &amp;
  _xlpm.vanillaPrefix &amp; "Spell = " &amp; _xlpm.spell &amp; "|" &amp; B2393
  )
)</f>
        <v>;EncBandit03Melee1HImperialF
;Keyword = Uvi_Wig_Distr_KYWD|EncBandit03Melee1HImperialF
;Spell = No Spell for Hairstyle|EncBandit03Melee1HImperialF</v>
      </c>
    </row>
    <row r="2394" ht="12.75" customHeight="1">
      <c r="A2394" s="5" t="s">
        <v>7158</v>
      </c>
      <c r="B2394" s="5" t="s">
        <v>7159</v>
      </c>
      <c r="D2394" s="5" t="s">
        <v>59</v>
      </c>
      <c r="E2394" s="5" t="s">
        <v>233</v>
      </c>
      <c r="F2394" s="5" t="s">
        <v>19</v>
      </c>
      <c r="G2394" s="14" t="str">
        <f t="array" ref="G2394">IF(B2394="", "",
  LET(_xlpm.spell, IFERROR(IF(F2394="", "", INDEX(_xlws.FILTER(Hairstyles!$F:$F, ISNUMBER(SEARCH(F2394, Hairstyles!$B:$B))), 1)), "No Spell for Hairstyle"),
  _xlpm.vanillaPrefix, IF(LEFT(_xlpm.spell, 7)="Uvi_Wig", "", ";"),
  ";" &amp; IF(C2394="", B2394, C2394) &amp; IF(M2394="", "", " ("&amp;M2394&amp;")") &amp; CHAR(10) &amp;
  _xlpm.vanillaPrefix &amp; "Keyword = Uvi_Wig_Distr_KYWD|" &amp; B2394 &amp; CHAR(10) &amp;
  _xlpm.vanillaPrefix &amp; "Spell = " &amp; _xlpm.spell &amp; "|" &amp; B2394
  )
)</f>
        <v>;EncBandit03Melee1HImperialM
;Keyword = Uvi_Wig_Distr_KYWD|EncBandit03Melee1HImperialM
;Spell = No Spell for Hairstyle|EncBandit03Melee1HImperialM</v>
      </c>
    </row>
    <row r="2395" ht="12.75" customHeight="1">
      <c r="A2395" s="5" t="s">
        <v>7160</v>
      </c>
      <c r="B2395" s="5" t="s">
        <v>7161</v>
      </c>
      <c r="D2395" s="5" t="s">
        <v>65</v>
      </c>
      <c r="E2395" s="5" t="s">
        <v>233</v>
      </c>
      <c r="F2395" s="5" t="s">
        <v>293</v>
      </c>
      <c r="G2395" s="14" t="str">
        <f t="array" ref="G2395">IF(B2395="", "",
  LET(_xlpm.spell, IFERROR(IF(F2395="", "", INDEX(_xlws.FILTER(Hairstyles!$F:$F, ISNUMBER(SEARCH(F2395, Hairstyles!$B:$B))), 1)), "No Spell for Hairstyle"),
  _xlpm.vanillaPrefix, IF(LEFT(_xlpm.spell, 7)="Uvi_Wig", "", ";"),
  ";" &amp; IF(C2395="", B2395, C2395) &amp; IF(M2395="", "", " ("&amp;M2395&amp;")") &amp; CHAR(10) &amp;
  _xlpm.vanillaPrefix &amp; "Keyword = Uvi_Wig_Distr_KYWD|" &amp; B2395 &amp; CHAR(10) &amp;
  _xlpm.vanillaPrefix &amp; "Spell = " &amp; _xlpm.spell &amp; "|" &amp; B2395
  )
)</f>
        <v>;EncBandit03Melee1HKhajiitM
;Keyword = Uvi_Wig_Distr_KYWD|EncBandit03Melee1HKhajiitM
;Spell = No Spell for Hairstyle|EncBandit03Melee1HKhajiitM</v>
      </c>
    </row>
    <row r="2396" ht="12.75" customHeight="1">
      <c r="A2396" s="5" t="s">
        <v>7162</v>
      </c>
      <c r="B2396" s="5" t="s">
        <v>7163</v>
      </c>
      <c r="D2396" s="5" t="s">
        <v>38</v>
      </c>
      <c r="E2396" s="5" t="s">
        <v>41</v>
      </c>
      <c r="F2396" s="5" t="s">
        <v>69</v>
      </c>
      <c r="G2396" s="14" t="str">
        <f t="array" ref="G2396">IF(B2396="", "",
  LET(_xlpm.spell, IFERROR(IF(F2396="", "", INDEX(_xlws.FILTER(Hairstyles!$F:$F, ISNUMBER(SEARCH(F2396, Hairstyles!$B:$B))), 1)), "No Spell for Hairstyle"),
  _xlpm.vanillaPrefix, IF(LEFT(_xlpm.spell, 7)="Uvi_Wig", "", ";"),
  ";" &amp; IF(C2396="", B2396, C2396) &amp; IF(M2396="", "", " ("&amp;M2396&amp;")") &amp; CHAR(10) &amp;
  _xlpm.vanillaPrefix &amp; "Keyword = Uvi_Wig_Distr_KYWD|" &amp; B2396 &amp; CHAR(10) &amp;
  _xlpm.vanillaPrefix &amp; "Spell = " &amp; _xlpm.spell &amp; "|" &amp; B2396
  )
)</f>
        <v>;EncBandit03Melee1HNordF
;Keyword = Uvi_Wig_Distr_KYWD|EncBandit03Melee1HNordF
;Spell = No Spell for Hairstyle|EncBandit03Melee1HNordF</v>
      </c>
    </row>
    <row r="2397" ht="12.75" customHeight="1">
      <c r="A2397" s="5" t="s">
        <v>7164</v>
      </c>
      <c r="B2397" s="5" t="s">
        <v>7165</v>
      </c>
      <c r="D2397" s="5" t="s">
        <v>38</v>
      </c>
      <c r="E2397" s="5" t="s">
        <v>233</v>
      </c>
      <c r="F2397" s="5" t="s">
        <v>1088</v>
      </c>
      <c r="G2397" s="14" t="str">
        <f t="array" ref="G2397">IF(B2397="", "",
  LET(_xlpm.spell, IFERROR(IF(F2397="", "", INDEX(_xlws.FILTER(Hairstyles!$F:$F, ISNUMBER(SEARCH(F2397, Hairstyles!$B:$B))), 1)), "No Spell for Hairstyle"),
  _xlpm.vanillaPrefix, IF(LEFT(_xlpm.spell, 7)="Uvi_Wig", "", ";"),
  ";" &amp; IF(C2397="", B2397, C2397) &amp; IF(M2397="", "", " ("&amp;M2397&amp;")") &amp; CHAR(10) &amp;
  _xlpm.vanillaPrefix &amp; "Keyword = Uvi_Wig_Distr_KYWD|" &amp; B2397 &amp; CHAR(10) &amp;
  _xlpm.vanillaPrefix &amp; "Spell = " &amp; _xlpm.spell &amp; "|" &amp; B2397
  )
)</f>
        <v>;EncBandit03Melee1HNordM
;Keyword = Uvi_Wig_Distr_KYWD|EncBandit03Melee1HNordM
;Spell = No Spell for Hairstyle|EncBandit03Melee1HNordM</v>
      </c>
    </row>
    <row r="2398" ht="12.75" customHeight="1">
      <c r="A2398" s="5" t="s">
        <v>7166</v>
      </c>
      <c r="B2398" s="5" t="s">
        <v>7167</v>
      </c>
      <c r="D2398" s="5" t="s">
        <v>80</v>
      </c>
      <c r="E2398" s="5" t="s">
        <v>233</v>
      </c>
      <c r="F2398" s="5" t="s">
        <v>437</v>
      </c>
      <c r="G2398" s="14" t="str">
        <f t="array" ref="G2398">IF(B2398="", "",
  LET(_xlpm.spell, IFERROR(IF(F2398="", "", INDEX(_xlws.FILTER(Hairstyles!$F:$F, ISNUMBER(SEARCH(F2398, Hairstyles!$B:$B))), 1)), "No Spell for Hairstyle"),
  _xlpm.vanillaPrefix, IF(LEFT(_xlpm.spell, 7)="Uvi_Wig", "", ";"),
  ";" &amp; IF(C2398="", B2398, C2398) &amp; IF(M2398="", "", " ("&amp;M2398&amp;")") &amp; CHAR(10) &amp;
  _xlpm.vanillaPrefix &amp; "Keyword = Uvi_Wig_Distr_KYWD|" &amp; B2398 &amp; CHAR(10) &amp;
  _xlpm.vanillaPrefix &amp; "Spell = " &amp; _xlpm.spell &amp; "|" &amp; B2398
  )
)</f>
        <v>;EncBandit03Melee1HOrcM
;Keyword = Uvi_Wig_Distr_KYWD|EncBandit03Melee1HOrcM
;Spell = No Spell for Hairstyle|EncBandit03Melee1HOrcM</v>
      </c>
    </row>
    <row r="2399" ht="12.75" customHeight="1">
      <c r="A2399" s="5" t="s">
        <v>7168</v>
      </c>
      <c r="B2399" s="5" t="s">
        <v>7169</v>
      </c>
      <c r="D2399" s="5" t="s">
        <v>83</v>
      </c>
      <c r="E2399" s="5" t="s">
        <v>41</v>
      </c>
      <c r="F2399" s="5" t="s">
        <v>1996</v>
      </c>
      <c r="G2399" s="14" t="str">
        <f t="array" ref="G2399">IF(B2399="", "",
  LET(_xlpm.spell, IFERROR(IF(F2399="", "", INDEX(_xlws.FILTER(Hairstyles!$F:$F, ISNUMBER(SEARCH(F2399, Hairstyles!$B:$B))), 1)), "No Spell for Hairstyle"),
  _xlpm.vanillaPrefix, IF(LEFT(_xlpm.spell, 7)="Uvi_Wig", "", ";"),
  ";" &amp; IF(C2399="", B2399, C2399) &amp; IF(M2399="", "", " ("&amp;M2399&amp;")") &amp; CHAR(10) &amp;
  _xlpm.vanillaPrefix &amp; "Keyword = Uvi_Wig_Distr_KYWD|" &amp; B2399 &amp; CHAR(10) &amp;
  _xlpm.vanillaPrefix &amp; "Spell = " &amp; _xlpm.spell &amp; "|" &amp; B2399
  )
)</f>
        <v>;EncBandit03Melee1HRedguardF
;Keyword = Uvi_Wig_Distr_KYWD|EncBandit03Melee1HRedguardF
;Spell = No Spell for Hairstyle|EncBandit03Melee1HRedguardF</v>
      </c>
    </row>
    <row r="2400" ht="12.75" customHeight="1">
      <c r="A2400" s="5" t="s">
        <v>7170</v>
      </c>
      <c r="B2400" s="5" t="s">
        <v>7171</v>
      </c>
      <c r="D2400" s="5" t="s">
        <v>83</v>
      </c>
      <c r="E2400" s="5" t="s">
        <v>233</v>
      </c>
      <c r="F2400" s="5" t="s">
        <v>2107</v>
      </c>
      <c r="G2400" s="14" t="str">
        <f t="array" ref="G2400">IF(B2400="", "",
  LET(_xlpm.spell, IFERROR(IF(F2400="", "", INDEX(_xlws.FILTER(Hairstyles!$F:$F, ISNUMBER(SEARCH(F2400, Hairstyles!$B:$B))), 1)), "No Spell for Hairstyle"),
  _xlpm.vanillaPrefix, IF(LEFT(_xlpm.spell, 7)="Uvi_Wig", "", ";"),
  ";" &amp; IF(C2400="", B2400, C2400) &amp; IF(M2400="", "", " ("&amp;M2400&amp;")") &amp; CHAR(10) &amp;
  _xlpm.vanillaPrefix &amp; "Keyword = Uvi_Wig_Distr_KYWD|" &amp; B2400 &amp; CHAR(10) &amp;
  _xlpm.vanillaPrefix &amp; "Spell = " &amp; _xlpm.spell &amp; "|" &amp; B2400
  )
)</f>
        <v>;EncBandit03Melee1HRedguardM
;Keyword = Uvi_Wig_Distr_KYWD|EncBandit03Melee1HRedguardM
;Spell = No Spell for Hairstyle|EncBandit03Melee1HRedguardM</v>
      </c>
    </row>
    <row r="2401" ht="12.75" customHeight="1">
      <c r="A2401" s="5" t="s">
        <v>7172</v>
      </c>
      <c r="B2401" s="5" t="s">
        <v>7173</v>
      </c>
      <c r="D2401" s="5" t="s">
        <v>59</v>
      </c>
      <c r="E2401" s="5" t="s">
        <v>41</v>
      </c>
      <c r="F2401" s="5" t="s">
        <v>42</v>
      </c>
      <c r="G2401" s="14" t="str">
        <f t="array" ref="G2401">IF(B2401="", "",
  LET(_xlpm.spell, IFERROR(IF(F2401="", "", INDEX(_xlws.FILTER(Hairstyles!$F:$F, ISNUMBER(SEARCH(F2401, Hairstyles!$B:$B))), 1)), "No Spell for Hairstyle"),
  _xlpm.vanillaPrefix, IF(LEFT(_xlpm.spell, 7)="Uvi_Wig", "", ";"),
  ";" &amp; IF(C2401="", B2401, C2401) &amp; IF(M2401="", "", " ("&amp;M2401&amp;")") &amp; CHAR(10) &amp;
  _xlpm.vanillaPrefix &amp; "Keyword = Uvi_Wig_Distr_KYWD|" &amp; B2401 &amp; CHAR(10) &amp;
  _xlpm.vanillaPrefix &amp; "Spell = " &amp; _xlpm.spell &amp; "|" &amp; B2401
  )
)</f>
        <v>;EncBandit03Melee1HTankImperialF
;Keyword = Uvi_Wig_Distr_KYWD|EncBandit03Melee1HTankImperialF
;Spell = No Spell for Hairstyle|EncBandit03Melee1HTankImperialF</v>
      </c>
    </row>
    <row r="2402" ht="12.75" customHeight="1">
      <c r="A2402" s="5" t="s">
        <v>7174</v>
      </c>
      <c r="B2402" s="5" t="s">
        <v>7175</v>
      </c>
      <c r="D2402" s="5" t="s">
        <v>59</v>
      </c>
      <c r="E2402" s="5" t="s">
        <v>233</v>
      </c>
      <c r="F2402" s="5" t="s">
        <v>19</v>
      </c>
      <c r="G2402" s="14" t="str">
        <f t="array" ref="G2402">IF(B2402="", "",
  LET(_xlpm.spell, IFERROR(IF(F2402="", "", INDEX(_xlws.FILTER(Hairstyles!$F:$F, ISNUMBER(SEARCH(F2402, Hairstyles!$B:$B))), 1)), "No Spell for Hairstyle"),
  _xlpm.vanillaPrefix, IF(LEFT(_xlpm.spell, 7)="Uvi_Wig", "", ";"),
  ";" &amp; IF(C2402="", B2402, C2402) &amp; IF(M2402="", "", " ("&amp;M2402&amp;")") &amp; CHAR(10) &amp;
  _xlpm.vanillaPrefix &amp; "Keyword = Uvi_Wig_Distr_KYWD|" &amp; B2402 &amp; CHAR(10) &amp;
  _xlpm.vanillaPrefix &amp; "Spell = " &amp; _xlpm.spell &amp; "|" &amp; B2402
  )
)</f>
        <v>;EncBandit03Melee1HTankImperialM
;Keyword = Uvi_Wig_Distr_KYWD|EncBandit03Melee1HTankImperialM
;Spell = No Spell for Hairstyle|EncBandit03Melee1HTankImperialM</v>
      </c>
    </row>
    <row r="2403" ht="12.75" customHeight="1">
      <c r="A2403" s="5" t="s">
        <v>7176</v>
      </c>
      <c r="B2403" s="5" t="s">
        <v>7177</v>
      </c>
      <c r="D2403" s="5" t="s">
        <v>38</v>
      </c>
      <c r="E2403" s="5" t="s">
        <v>41</v>
      </c>
      <c r="F2403" s="5" t="s">
        <v>69</v>
      </c>
      <c r="G2403" s="14" t="str">
        <f t="array" ref="G2403">IF(B2403="", "",
  LET(_xlpm.spell, IFERROR(IF(F2403="", "", INDEX(_xlws.FILTER(Hairstyles!$F:$F, ISNUMBER(SEARCH(F2403, Hairstyles!$B:$B))), 1)), "No Spell for Hairstyle"),
  _xlpm.vanillaPrefix, IF(LEFT(_xlpm.spell, 7)="Uvi_Wig", "", ";"),
  ";" &amp; IF(C2403="", B2403, C2403) &amp; IF(M2403="", "", " ("&amp;M2403&amp;")") &amp; CHAR(10) &amp;
  _xlpm.vanillaPrefix &amp; "Keyword = Uvi_Wig_Distr_KYWD|" &amp; B2403 &amp; CHAR(10) &amp;
  _xlpm.vanillaPrefix &amp; "Spell = " &amp; _xlpm.spell &amp; "|" &amp; B2403
  )
)</f>
        <v>;EncBandit03Melee1HTankNordF
;Keyword = Uvi_Wig_Distr_KYWD|EncBandit03Melee1HTankNordF
;Spell = No Spell for Hairstyle|EncBandit03Melee1HTankNordF</v>
      </c>
    </row>
    <row r="2404" ht="12.75" customHeight="1">
      <c r="A2404" s="5" t="s">
        <v>7178</v>
      </c>
      <c r="B2404" s="5" t="s">
        <v>7179</v>
      </c>
      <c r="D2404" s="5" t="s">
        <v>38</v>
      </c>
      <c r="E2404" s="5" t="s">
        <v>233</v>
      </c>
      <c r="F2404" s="5" t="s">
        <v>1088</v>
      </c>
      <c r="G2404" s="14" t="str">
        <f t="array" ref="G2404">IF(B2404="", "",
  LET(_xlpm.spell, IFERROR(IF(F2404="", "", INDEX(_xlws.FILTER(Hairstyles!$F:$F, ISNUMBER(SEARCH(F2404, Hairstyles!$B:$B))), 1)), "No Spell for Hairstyle"),
  _xlpm.vanillaPrefix, IF(LEFT(_xlpm.spell, 7)="Uvi_Wig", "", ";"),
  ";" &amp; IF(C2404="", B2404, C2404) &amp; IF(M2404="", "", " ("&amp;M2404&amp;")") &amp; CHAR(10) &amp;
  _xlpm.vanillaPrefix &amp; "Keyword = Uvi_Wig_Distr_KYWD|" &amp; B2404 &amp; CHAR(10) &amp;
  _xlpm.vanillaPrefix &amp; "Spell = " &amp; _xlpm.spell &amp; "|" &amp; B2404
  )
)</f>
        <v>;EncBandit03Melee1HTankNordM
;Keyword = Uvi_Wig_Distr_KYWD|EncBandit03Melee1HTankNordM
;Spell = No Spell for Hairstyle|EncBandit03Melee1HTankNordM</v>
      </c>
    </row>
    <row r="2405" ht="12.75" customHeight="1">
      <c r="A2405" s="5" t="s">
        <v>7180</v>
      </c>
      <c r="B2405" s="5" t="s">
        <v>7181</v>
      </c>
      <c r="D2405" s="5" t="s">
        <v>80</v>
      </c>
      <c r="E2405" s="5" t="s">
        <v>233</v>
      </c>
      <c r="F2405" s="5" t="s">
        <v>437</v>
      </c>
      <c r="G2405" s="14" t="str">
        <f t="array" ref="G2405">IF(B2405="", "",
  LET(_xlpm.spell, IFERROR(IF(F2405="", "", INDEX(_xlws.FILTER(Hairstyles!$F:$F, ISNUMBER(SEARCH(F2405, Hairstyles!$B:$B))), 1)), "No Spell for Hairstyle"),
  _xlpm.vanillaPrefix, IF(LEFT(_xlpm.spell, 7)="Uvi_Wig", "", ";"),
  ";" &amp; IF(C2405="", B2405, C2405) &amp; IF(M2405="", "", " ("&amp;M2405&amp;")") &amp; CHAR(10) &amp;
  _xlpm.vanillaPrefix &amp; "Keyword = Uvi_Wig_Distr_KYWD|" &amp; B2405 &amp; CHAR(10) &amp;
  _xlpm.vanillaPrefix &amp; "Spell = " &amp; _xlpm.spell &amp; "|" &amp; B2405
  )
)</f>
        <v>;EncBandit03Melee1HTankOrcM
;Keyword = Uvi_Wig_Distr_KYWD|EncBandit03Melee1HTankOrcM
;Spell = No Spell for Hairstyle|EncBandit03Melee1HTankOrcM</v>
      </c>
    </row>
    <row r="2406" ht="12.75" customHeight="1">
      <c r="A2406" s="5" t="s">
        <v>7182</v>
      </c>
      <c r="B2406" s="5" t="s">
        <v>7183</v>
      </c>
      <c r="D2406" s="5" t="s">
        <v>83</v>
      </c>
      <c r="E2406" s="5" t="s">
        <v>41</v>
      </c>
      <c r="F2406" s="5" t="s">
        <v>1996</v>
      </c>
      <c r="G2406" s="14" t="str">
        <f t="array" ref="G2406">IF(B2406="", "",
  LET(_xlpm.spell, IFERROR(IF(F2406="", "", INDEX(_xlws.FILTER(Hairstyles!$F:$F, ISNUMBER(SEARCH(F2406, Hairstyles!$B:$B))), 1)), "No Spell for Hairstyle"),
  _xlpm.vanillaPrefix, IF(LEFT(_xlpm.spell, 7)="Uvi_Wig", "", ";"),
  ";" &amp; IF(C2406="", B2406, C2406) &amp; IF(M2406="", "", " ("&amp;M2406&amp;")") &amp; CHAR(10) &amp;
  _xlpm.vanillaPrefix &amp; "Keyword = Uvi_Wig_Distr_KYWD|" &amp; B2406 &amp; CHAR(10) &amp;
  _xlpm.vanillaPrefix &amp; "Spell = " &amp; _xlpm.spell &amp; "|" &amp; B2406
  )
)</f>
        <v>;EncBandit03Melee1HTankRedguardF
;Keyword = Uvi_Wig_Distr_KYWD|EncBandit03Melee1HTankRedguardF
;Spell = No Spell for Hairstyle|EncBandit03Melee1HTankRedguardF</v>
      </c>
    </row>
    <row r="2407" ht="12.75" customHeight="1">
      <c r="A2407" s="5" t="s">
        <v>7184</v>
      </c>
      <c r="B2407" s="5" t="s">
        <v>7185</v>
      </c>
      <c r="D2407" s="5" t="s">
        <v>83</v>
      </c>
      <c r="E2407" s="5" t="s">
        <v>233</v>
      </c>
      <c r="F2407" s="5" t="s">
        <v>2107</v>
      </c>
      <c r="G2407" s="14" t="str">
        <f t="array" ref="G2407">IF(B2407="", "",
  LET(_xlpm.spell, IFERROR(IF(F2407="", "", INDEX(_xlws.FILTER(Hairstyles!$F:$F, ISNUMBER(SEARCH(F2407, Hairstyles!$B:$B))), 1)), "No Spell for Hairstyle"),
  _xlpm.vanillaPrefix, IF(LEFT(_xlpm.spell, 7)="Uvi_Wig", "", ";"),
  ";" &amp; IF(C2407="", B2407, C2407) &amp; IF(M2407="", "", " ("&amp;M2407&amp;")") &amp; CHAR(10) &amp;
  _xlpm.vanillaPrefix &amp; "Keyword = Uvi_Wig_Distr_KYWD|" &amp; B2407 &amp; CHAR(10) &amp;
  _xlpm.vanillaPrefix &amp; "Spell = " &amp; _xlpm.spell &amp; "|" &amp; B2407
  )
)</f>
        <v>;EncBandit03Melee1HTankRedguardM
;Keyword = Uvi_Wig_Distr_KYWD|EncBandit03Melee1HTankRedguardM
;Spell = No Spell for Hairstyle|EncBandit03Melee1HTankRedguardM</v>
      </c>
    </row>
    <row r="2408" ht="12.75" customHeight="1">
      <c r="A2408" s="5" t="s">
        <v>7186</v>
      </c>
      <c r="B2408" s="5" t="s">
        <v>7187</v>
      </c>
      <c r="D2408" s="5" t="s">
        <v>38</v>
      </c>
      <c r="E2408" s="5" t="s">
        <v>41</v>
      </c>
      <c r="F2408" s="5" t="s">
        <v>69</v>
      </c>
      <c r="G2408" s="14" t="str">
        <f t="array" ref="G2408">IF(B2408="", "",
  LET(_xlpm.spell, IFERROR(IF(F2408="", "", INDEX(_xlws.FILTER(Hairstyles!$F:$F, ISNUMBER(SEARCH(F2408, Hairstyles!$B:$B))), 1)), "No Spell for Hairstyle"),
  _xlpm.vanillaPrefix, IF(LEFT(_xlpm.spell, 7)="Uvi_Wig", "", ";"),
  ";" &amp; IF(C2408="", B2408, C2408) &amp; IF(M2408="", "", " ("&amp;M2408&amp;")") &amp; CHAR(10) &amp;
  _xlpm.vanillaPrefix &amp; "Keyword = Uvi_Wig_Distr_KYWD|" &amp; B2408 &amp; CHAR(10) &amp;
  _xlpm.vanillaPrefix &amp; "Spell = " &amp; _xlpm.spell &amp; "|" &amp; B2408
  )
)</f>
        <v>;EncBandit03Melee2HBerserkNordF
;Keyword = Uvi_Wig_Distr_KYWD|EncBandit03Melee2HBerserkNordF
;Spell = No Spell for Hairstyle|EncBandit03Melee2HBerserkNordF</v>
      </c>
    </row>
    <row r="2409" ht="12.75" customHeight="1">
      <c r="A2409" s="5" t="s">
        <v>7188</v>
      </c>
      <c r="B2409" s="5" t="s">
        <v>7189</v>
      </c>
      <c r="D2409" s="5" t="s">
        <v>38</v>
      </c>
      <c r="E2409" s="5" t="s">
        <v>233</v>
      </c>
      <c r="F2409" s="5" t="s">
        <v>1088</v>
      </c>
      <c r="G2409" s="14" t="str">
        <f t="array" ref="G2409">IF(B2409="", "",
  LET(_xlpm.spell, IFERROR(IF(F2409="", "", INDEX(_xlws.FILTER(Hairstyles!$F:$F, ISNUMBER(SEARCH(F2409, Hairstyles!$B:$B))), 1)), "No Spell for Hairstyle"),
  _xlpm.vanillaPrefix, IF(LEFT(_xlpm.spell, 7)="Uvi_Wig", "", ";"),
  ";" &amp; IF(C2409="", B2409, C2409) &amp; IF(M2409="", "", " ("&amp;M2409&amp;")") &amp; CHAR(10) &amp;
  _xlpm.vanillaPrefix &amp; "Keyword = Uvi_Wig_Distr_KYWD|" &amp; B2409 &amp; CHAR(10) &amp;
  _xlpm.vanillaPrefix &amp; "Spell = " &amp; _xlpm.spell &amp; "|" &amp; B2409
  )
)</f>
        <v>;EncBandit03Melee2HBerserkNordM
;Keyword = Uvi_Wig_Distr_KYWD|EncBandit03Melee2HBerserkNordM
;Spell = No Spell for Hairstyle|EncBandit03Melee2HBerserkNordM</v>
      </c>
    </row>
    <row r="2410" ht="12.75" customHeight="1">
      <c r="A2410" s="5" t="s">
        <v>7190</v>
      </c>
      <c r="B2410" s="5" t="s">
        <v>7191</v>
      </c>
      <c r="D2410" s="5" t="s">
        <v>80</v>
      </c>
      <c r="E2410" s="5" t="s">
        <v>233</v>
      </c>
      <c r="F2410" s="5" t="s">
        <v>437</v>
      </c>
      <c r="G2410" s="14" t="str">
        <f t="array" ref="G2410">IF(B2410="", "",
  LET(_xlpm.spell, IFERROR(IF(F2410="", "", INDEX(_xlws.FILTER(Hairstyles!$F:$F, ISNUMBER(SEARCH(F2410, Hairstyles!$B:$B))), 1)), "No Spell for Hairstyle"),
  _xlpm.vanillaPrefix, IF(LEFT(_xlpm.spell, 7)="Uvi_Wig", "", ";"),
  ";" &amp; IF(C2410="", B2410, C2410) &amp; IF(M2410="", "", " ("&amp;M2410&amp;")") &amp; CHAR(10) &amp;
  _xlpm.vanillaPrefix &amp; "Keyword = Uvi_Wig_Distr_KYWD|" &amp; B2410 &amp; CHAR(10) &amp;
  _xlpm.vanillaPrefix &amp; "Spell = " &amp; _xlpm.spell &amp; "|" &amp; B2410
  )
)</f>
        <v>;EncBandit03Melee2HBerserkOrcM
;Keyword = Uvi_Wig_Distr_KYWD|EncBandit03Melee2HBerserkOrcM
;Spell = No Spell for Hairstyle|EncBandit03Melee2HBerserkOrcM</v>
      </c>
    </row>
    <row r="2411" ht="12.75" customHeight="1">
      <c r="A2411" s="5" t="s">
        <v>7192</v>
      </c>
      <c r="B2411" s="5" t="s">
        <v>7193</v>
      </c>
      <c r="D2411" s="5" t="s">
        <v>83</v>
      </c>
      <c r="E2411" s="5" t="s">
        <v>41</v>
      </c>
      <c r="F2411" s="5" t="s">
        <v>1996</v>
      </c>
      <c r="G2411" s="14" t="str">
        <f t="array" ref="G2411">IF(B2411="", "",
  LET(_xlpm.spell, IFERROR(IF(F2411="", "", INDEX(_xlws.FILTER(Hairstyles!$F:$F, ISNUMBER(SEARCH(F2411, Hairstyles!$B:$B))), 1)), "No Spell for Hairstyle"),
  _xlpm.vanillaPrefix, IF(LEFT(_xlpm.spell, 7)="Uvi_Wig", "", ";"),
  ";" &amp; IF(C2411="", B2411, C2411) &amp; IF(M2411="", "", " ("&amp;M2411&amp;")") &amp; CHAR(10) &amp;
  _xlpm.vanillaPrefix &amp; "Keyword = Uvi_Wig_Distr_KYWD|" &amp; B2411 &amp; CHAR(10) &amp;
  _xlpm.vanillaPrefix &amp; "Spell = " &amp; _xlpm.spell &amp; "|" &amp; B2411
  )
)</f>
        <v>;EncBandit03Melee2HBerserkRedguardF
;Keyword = Uvi_Wig_Distr_KYWD|EncBandit03Melee2HBerserkRedguardF
;Spell = No Spell for Hairstyle|EncBandit03Melee2HBerserkRedguardF</v>
      </c>
    </row>
    <row r="2412" ht="12.75" customHeight="1">
      <c r="A2412" s="5" t="s">
        <v>7194</v>
      </c>
      <c r="B2412" s="5" t="s">
        <v>7195</v>
      </c>
      <c r="D2412" s="5" t="s">
        <v>83</v>
      </c>
      <c r="E2412" s="5" t="s">
        <v>233</v>
      </c>
      <c r="F2412" s="5" t="s">
        <v>2107</v>
      </c>
      <c r="G2412" s="14" t="str">
        <f t="array" ref="G2412">IF(B2412="", "",
  LET(_xlpm.spell, IFERROR(IF(F2412="", "", INDEX(_xlws.FILTER(Hairstyles!$F:$F, ISNUMBER(SEARCH(F2412, Hairstyles!$B:$B))), 1)), "No Spell for Hairstyle"),
  _xlpm.vanillaPrefix, IF(LEFT(_xlpm.spell, 7)="Uvi_Wig", "", ";"),
  ";" &amp; IF(C2412="", B2412, C2412) &amp; IF(M2412="", "", " ("&amp;M2412&amp;")") &amp; CHAR(10) &amp;
  _xlpm.vanillaPrefix &amp; "Keyword = Uvi_Wig_Distr_KYWD|" &amp; B2412 &amp; CHAR(10) &amp;
  _xlpm.vanillaPrefix &amp; "Spell = " &amp; _xlpm.spell &amp; "|" &amp; B2412
  )
)</f>
        <v>;EncBandit03Melee2HBerserkRedguardM
;Keyword = Uvi_Wig_Distr_KYWD|EncBandit03Melee2HBerserkRedguardM
;Spell = No Spell for Hairstyle|EncBandit03Melee2HBerserkRedguardM</v>
      </c>
    </row>
    <row r="2413" ht="12.75" customHeight="1">
      <c r="A2413" s="5" t="s">
        <v>7196</v>
      </c>
      <c r="B2413" s="5" t="s">
        <v>7197</v>
      </c>
      <c r="D2413" s="5" t="s">
        <v>38</v>
      </c>
      <c r="E2413" s="5" t="s">
        <v>41</v>
      </c>
      <c r="F2413" s="5" t="s">
        <v>69</v>
      </c>
      <c r="G2413" s="14" t="str">
        <f t="array" ref="G2413">IF(B2413="", "",
  LET(_xlpm.spell, IFERROR(IF(F2413="", "", INDEX(_xlws.FILTER(Hairstyles!$F:$F, ISNUMBER(SEARCH(F2413, Hairstyles!$B:$B))), 1)), "No Spell for Hairstyle"),
  _xlpm.vanillaPrefix, IF(LEFT(_xlpm.spell, 7)="Uvi_Wig", "", ";"),
  ";" &amp; IF(C2413="", B2413, C2413) &amp; IF(M2413="", "", " ("&amp;M2413&amp;")") &amp; CHAR(10) &amp;
  _xlpm.vanillaPrefix &amp; "Keyword = Uvi_Wig_Distr_KYWD|" &amp; B2413 &amp; CHAR(10) &amp;
  _xlpm.vanillaPrefix &amp; "Spell = " &amp; _xlpm.spell &amp; "|" &amp; B2413
  )
)</f>
        <v>;EncBandit03Melee2HNordF
;Keyword = Uvi_Wig_Distr_KYWD|EncBandit03Melee2HNordF
;Spell = No Spell for Hairstyle|EncBandit03Melee2HNordF</v>
      </c>
    </row>
    <row r="2414" ht="12.75" customHeight="1">
      <c r="A2414" s="5" t="s">
        <v>7198</v>
      </c>
      <c r="B2414" s="5" t="s">
        <v>7199</v>
      </c>
      <c r="D2414" s="5" t="s">
        <v>38</v>
      </c>
      <c r="E2414" s="5" t="s">
        <v>233</v>
      </c>
      <c r="F2414" s="5" t="s">
        <v>1088</v>
      </c>
      <c r="G2414" s="14" t="str">
        <f t="array" ref="G2414">IF(B2414="", "",
  LET(_xlpm.spell, IFERROR(IF(F2414="", "", INDEX(_xlws.FILTER(Hairstyles!$F:$F, ISNUMBER(SEARCH(F2414, Hairstyles!$B:$B))), 1)), "No Spell for Hairstyle"),
  _xlpm.vanillaPrefix, IF(LEFT(_xlpm.spell, 7)="Uvi_Wig", "", ";"),
  ";" &amp; IF(C2414="", B2414, C2414) &amp; IF(M2414="", "", " ("&amp;M2414&amp;")") &amp; CHAR(10) &amp;
  _xlpm.vanillaPrefix &amp; "Keyword = Uvi_Wig_Distr_KYWD|" &amp; B2414 &amp; CHAR(10) &amp;
  _xlpm.vanillaPrefix &amp; "Spell = " &amp; _xlpm.spell &amp; "|" &amp; B2414
  )
)</f>
        <v>;EncBandit03Melee2HNordM
;Keyword = Uvi_Wig_Distr_KYWD|EncBandit03Melee2HNordM
;Spell = No Spell for Hairstyle|EncBandit03Melee2HNordM</v>
      </c>
    </row>
    <row r="2415" ht="12.75" customHeight="1">
      <c r="A2415" s="5" t="s">
        <v>7200</v>
      </c>
      <c r="B2415" s="5" t="s">
        <v>7201</v>
      </c>
      <c r="D2415" s="5" t="s">
        <v>80</v>
      </c>
      <c r="E2415" s="5" t="s">
        <v>233</v>
      </c>
      <c r="F2415" s="5" t="s">
        <v>437</v>
      </c>
      <c r="G2415" s="14" t="str">
        <f t="array" ref="G2415">IF(B2415="", "",
  LET(_xlpm.spell, IFERROR(IF(F2415="", "", INDEX(_xlws.FILTER(Hairstyles!$F:$F, ISNUMBER(SEARCH(F2415, Hairstyles!$B:$B))), 1)), "No Spell for Hairstyle"),
  _xlpm.vanillaPrefix, IF(LEFT(_xlpm.spell, 7)="Uvi_Wig", "", ";"),
  ";" &amp; IF(C2415="", B2415, C2415) &amp; IF(M2415="", "", " ("&amp;M2415&amp;")") &amp; CHAR(10) &amp;
  _xlpm.vanillaPrefix &amp; "Keyword = Uvi_Wig_Distr_KYWD|" &amp; B2415 &amp; CHAR(10) &amp;
  _xlpm.vanillaPrefix &amp; "Spell = " &amp; _xlpm.spell &amp; "|" &amp; B2415
  )
)</f>
        <v>;EncBandit03Melee2HOrcM
;Keyword = Uvi_Wig_Distr_KYWD|EncBandit03Melee2HOrcM
;Spell = No Spell for Hairstyle|EncBandit03Melee2HOrcM</v>
      </c>
    </row>
    <row r="2416" ht="12.75" customHeight="1">
      <c r="A2416" s="5" t="s">
        <v>7202</v>
      </c>
      <c r="B2416" s="5" t="s">
        <v>7203</v>
      </c>
      <c r="D2416" s="5" t="s">
        <v>83</v>
      </c>
      <c r="E2416" s="5" t="s">
        <v>41</v>
      </c>
      <c r="F2416" s="5" t="s">
        <v>1996</v>
      </c>
      <c r="G2416" s="14" t="str">
        <f t="array" ref="G2416">IF(B2416="", "",
  LET(_xlpm.spell, IFERROR(IF(F2416="", "", INDEX(_xlws.FILTER(Hairstyles!$F:$F, ISNUMBER(SEARCH(F2416, Hairstyles!$B:$B))), 1)), "No Spell for Hairstyle"),
  _xlpm.vanillaPrefix, IF(LEFT(_xlpm.spell, 7)="Uvi_Wig", "", ";"),
  ";" &amp; IF(C2416="", B2416, C2416) &amp; IF(M2416="", "", " ("&amp;M2416&amp;")") &amp; CHAR(10) &amp;
  _xlpm.vanillaPrefix &amp; "Keyword = Uvi_Wig_Distr_KYWD|" &amp; B2416 &amp; CHAR(10) &amp;
  _xlpm.vanillaPrefix &amp; "Spell = " &amp; _xlpm.spell &amp; "|" &amp; B2416
  )
)</f>
        <v>;EncBandit03Melee2HRedguardF
;Keyword = Uvi_Wig_Distr_KYWD|EncBandit03Melee2HRedguardF
;Spell = No Spell for Hairstyle|EncBandit03Melee2HRedguardF</v>
      </c>
    </row>
    <row r="2417" ht="12.75" customHeight="1">
      <c r="A2417" s="5" t="s">
        <v>7204</v>
      </c>
      <c r="B2417" s="5" t="s">
        <v>7205</v>
      </c>
      <c r="D2417" s="5" t="s">
        <v>83</v>
      </c>
      <c r="E2417" s="5" t="s">
        <v>233</v>
      </c>
      <c r="F2417" s="5" t="s">
        <v>2107</v>
      </c>
      <c r="G2417" s="14" t="str">
        <f t="array" ref="G2417">IF(B2417="", "",
  LET(_xlpm.spell, IFERROR(IF(F2417="", "", INDEX(_xlws.FILTER(Hairstyles!$F:$F, ISNUMBER(SEARCH(F2417, Hairstyles!$B:$B))), 1)), "No Spell for Hairstyle"),
  _xlpm.vanillaPrefix, IF(LEFT(_xlpm.spell, 7)="Uvi_Wig", "", ";"),
  ";" &amp; IF(C2417="", B2417, C2417) &amp; IF(M2417="", "", " ("&amp;M2417&amp;")") &amp; CHAR(10) &amp;
  _xlpm.vanillaPrefix &amp; "Keyword = Uvi_Wig_Distr_KYWD|" &amp; B2417 &amp; CHAR(10) &amp;
  _xlpm.vanillaPrefix &amp; "Spell = " &amp; _xlpm.spell &amp; "|" &amp; B2417
  )
)</f>
        <v>;EncBandit03Melee2HRedguardM
;Keyword = Uvi_Wig_Distr_KYWD|EncBandit03Melee2HRedguardM
;Spell = No Spell for Hairstyle|EncBandit03Melee2HRedguardM</v>
      </c>
    </row>
    <row r="2418" ht="12.75" customHeight="1">
      <c r="A2418" s="5" t="s">
        <v>7206</v>
      </c>
      <c r="B2418" s="5" t="s">
        <v>7207</v>
      </c>
      <c r="D2418" s="5" t="s">
        <v>59</v>
      </c>
      <c r="E2418" s="5" t="s">
        <v>41</v>
      </c>
      <c r="F2418" s="5" t="s">
        <v>44</v>
      </c>
      <c r="G2418" s="14" t="str">
        <f t="array" ref="G2418">IF(B2418="", "",
  LET(_xlpm.spell, IFERROR(IF(F2418="", "", INDEX(_xlws.FILTER(Hairstyles!$F:$F, ISNUMBER(SEARCH(F2418, Hairstyles!$B:$B))), 1)), "No Spell for Hairstyle"),
  _xlpm.vanillaPrefix, IF(LEFT(_xlpm.spell, 7)="Uvi_Wig", "", ";"),
  ";" &amp; IF(C2418="", B2418, C2418) &amp; IF(M2418="", "", " ("&amp;M2418&amp;")") &amp; CHAR(10) &amp;
  _xlpm.vanillaPrefix &amp; "Keyword = Uvi_Wig_Distr_KYWD|" &amp; B2418 &amp; CHAR(10) &amp;
  _xlpm.vanillaPrefix &amp; "Spell = " &amp; _xlpm.spell &amp; "|" &amp; B2418
  )
)</f>
        <v>;EncBandit03MissileImperialF
;Keyword = Uvi_Wig_Distr_KYWD|EncBandit03MissileImperialF
;Spell = No Spell for Hairstyle|EncBandit03MissileImperialF</v>
      </c>
    </row>
    <row r="2419" ht="12.75" customHeight="1">
      <c r="A2419" s="5" t="s">
        <v>7208</v>
      </c>
      <c r="B2419" s="5" t="s">
        <v>7209</v>
      </c>
      <c r="D2419" s="5" t="s">
        <v>59</v>
      </c>
      <c r="E2419" s="5" t="s">
        <v>233</v>
      </c>
      <c r="F2419" s="5" t="s">
        <v>19</v>
      </c>
      <c r="G2419" s="14" t="str">
        <f t="array" ref="G2419">IF(B2419="", "",
  LET(_xlpm.spell, IFERROR(IF(F2419="", "", INDEX(_xlws.FILTER(Hairstyles!$F:$F, ISNUMBER(SEARCH(F2419, Hairstyles!$B:$B))), 1)), "No Spell for Hairstyle"),
  _xlpm.vanillaPrefix, IF(LEFT(_xlpm.spell, 7)="Uvi_Wig", "", ";"),
  ";" &amp; IF(C2419="", B2419, C2419) &amp; IF(M2419="", "", " ("&amp;M2419&amp;")") &amp; CHAR(10) &amp;
  _xlpm.vanillaPrefix &amp; "Keyword = Uvi_Wig_Distr_KYWD|" &amp; B2419 &amp; CHAR(10) &amp;
  _xlpm.vanillaPrefix &amp; "Spell = " &amp; _xlpm.spell &amp; "|" &amp; B2419
  )
)</f>
        <v>;EncBandit03MissileImperialM
;Keyword = Uvi_Wig_Distr_KYWD|EncBandit03MissileImperialM
;Spell = No Spell for Hairstyle|EncBandit03MissileImperialM</v>
      </c>
    </row>
    <row r="2420" ht="12.75" customHeight="1">
      <c r="A2420" s="5" t="s">
        <v>7210</v>
      </c>
      <c r="B2420" s="5" t="s">
        <v>7211</v>
      </c>
      <c r="D2420" s="5" t="s">
        <v>65</v>
      </c>
      <c r="E2420" s="5" t="s">
        <v>233</v>
      </c>
      <c r="F2420" s="5" t="s">
        <v>328</v>
      </c>
      <c r="G2420" s="14" t="str">
        <f t="array" ref="G2420">IF(B2420="", "",
  LET(_xlpm.spell, IFERROR(IF(F2420="", "", INDEX(_xlws.FILTER(Hairstyles!$F:$F, ISNUMBER(SEARCH(F2420, Hairstyles!$B:$B))), 1)), "No Spell for Hairstyle"),
  _xlpm.vanillaPrefix, IF(LEFT(_xlpm.spell, 7)="Uvi_Wig", "", ";"),
  ";" &amp; IF(C2420="", B2420, C2420) &amp; IF(M2420="", "", " ("&amp;M2420&amp;")") &amp; CHAR(10) &amp;
  _xlpm.vanillaPrefix &amp; "Keyword = Uvi_Wig_Distr_KYWD|" &amp; B2420 &amp; CHAR(10) &amp;
  _xlpm.vanillaPrefix &amp; "Spell = " &amp; _xlpm.spell &amp; "|" &amp; B2420
  )
)</f>
        <v>;EncBandit03MissileKhajiitM
;Keyword = Uvi_Wig_Distr_KYWD|EncBandit03MissileKhajiitM
;Spell = No Spell for Hairstyle|EncBandit03MissileKhajiitM</v>
      </c>
    </row>
    <row r="2421" ht="12.75" customHeight="1">
      <c r="A2421" s="5" t="s">
        <v>7212</v>
      </c>
      <c r="B2421" s="5" t="s">
        <v>7213</v>
      </c>
      <c r="D2421" s="5" t="s">
        <v>38</v>
      </c>
      <c r="E2421" s="5" t="s">
        <v>41</v>
      </c>
      <c r="F2421" s="5" t="s">
        <v>1996</v>
      </c>
      <c r="G2421" s="14" t="str">
        <f t="array" ref="G2421">IF(B2421="", "",
  LET(_xlpm.spell, IFERROR(IF(F2421="", "", INDEX(_xlws.FILTER(Hairstyles!$F:$F, ISNUMBER(SEARCH(F2421, Hairstyles!$B:$B))), 1)), "No Spell for Hairstyle"),
  _xlpm.vanillaPrefix, IF(LEFT(_xlpm.spell, 7)="Uvi_Wig", "", ";"),
  ";" &amp; IF(C2421="", B2421, C2421) &amp; IF(M2421="", "", " ("&amp;M2421&amp;")") &amp; CHAR(10) &amp;
  _xlpm.vanillaPrefix &amp; "Keyword = Uvi_Wig_Distr_KYWD|" &amp; B2421 &amp; CHAR(10) &amp;
  _xlpm.vanillaPrefix &amp; "Spell = " &amp; _xlpm.spell &amp; "|" &amp; B2421
  )
)</f>
        <v>;EncBandit03MissileNordF
;Keyword = Uvi_Wig_Distr_KYWD|EncBandit03MissileNordF
;Spell = No Spell for Hairstyle|EncBandit03MissileNordF</v>
      </c>
    </row>
    <row r="2422" ht="12.75" customHeight="1">
      <c r="A2422" s="5" t="s">
        <v>7214</v>
      </c>
      <c r="B2422" s="5" t="s">
        <v>7215</v>
      </c>
      <c r="D2422" s="5" t="s">
        <v>38</v>
      </c>
      <c r="E2422" s="5" t="s">
        <v>233</v>
      </c>
      <c r="F2422" s="5" t="s">
        <v>68</v>
      </c>
      <c r="G2422" s="14" t="str">
        <f t="array" ref="G2422">IF(B2422="", "",
  LET(_xlpm.spell, IFERROR(IF(F2422="", "", INDEX(_xlws.FILTER(Hairstyles!$F:$F, ISNUMBER(SEARCH(F2422, Hairstyles!$B:$B))), 1)), "No Spell for Hairstyle"),
  _xlpm.vanillaPrefix, IF(LEFT(_xlpm.spell, 7)="Uvi_Wig", "", ";"),
  ";" &amp; IF(C2422="", B2422, C2422) &amp; IF(M2422="", "", " ("&amp;M2422&amp;")") &amp; CHAR(10) &amp;
  _xlpm.vanillaPrefix &amp; "Keyword = Uvi_Wig_Distr_KYWD|" &amp; B2422 &amp; CHAR(10) &amp;
  _xlpm.vanillaPrefix &amp; "Spell = " &amp; _xlpm.spell &amp; "|" &amp; B2422
  )
)</f>
        <v>;EncBandit03MissileNordM
;Keyword = Uvi_Wig_Distr_KYWD|EncBandit03MissileNordM
;Spell = No Spell for Hairstyle|EncBandit03MissileNordM</v>
      </c>
    </row>
    <row r="2423" ht="12.75" customHeight="1">
      <c r="A2423" s="5" t="s">
        <v>7216</v>
      </c>
      <c r="B2423" s="5" t="s">
        <v>7217</v>
      </c>
      <c r="D2423" s="5" t="s">
        <v>83</v>
      </c>
      <c r="E2423" s="5" t="s">
        <v>41</v>
      </c>
      <c r="F2423" s="5" t="s">
        <v>905</v>
      </c>
      <c r="G2423" s="14" t="str">
        <f t="array" ref="G2423">IF(B2423="", "",
  LET(_xlpm.spell, IFERROR(IF(F2423="", "", INDEX(_xlws.FILTER(Hairstyles!$F:$F, ISNUMBER(SEARCH(F2423, Hairstyles!$B:$B))), 1)), "No Spell for Hairstyle"),
  _xlpm.vanillaPrefix, IF(LEFT(_xlpm.spell, 7)="Uvi_Wig", "", ";"),
  ";" &amp; IF(C2423="", B2423, C2423) &amp; IF(M2423="", "", " ("&amp;M2423&amp;")") &amp; CHAR(10) &amp;
  _xlpm.vanillaPrefix &amp; "Keyword = Uvi_Wig_Distr_KYWD|" &amp; B2423 &amp; CHAR(10) &amp;
  _xlpm.vanillaPrefix &amp; "Spell = " &amp; _xlpm.spell &amp; "|" &amp; B2423
  )
)</f>
        <v>;EncBandit03MissileRedguardF
;Keyword = Uvi_Wig_Distr_KYWD|EncBandit03MissileRedguardF
;Spell = No Spell for Hairstyle|EncBandit03MissileRedguardF</v>
      </c>
    </row>
    <row r="2424" ht="12.75" customHeight="1">
      <c r="A2424" s="5" t="s">
        <v>7218</v>
      </c>
      <c r="B2424" s="5" t="s">
        <v>7219</v>
      </c>
      <c r="D2424" s="5" t="s">
        <v>83</v>
      </c>
      <c r="E2424" s="5" t="s">
        <v>233</v>
      </c>
      <c r="F2424" s="5" t="s">
        <v>1553</v>
      </c>
      <c r="G2424" s="14" t="str">
        <f t="array" ref="G2424">IF(B2424="", "",
  LET(_xlpm.spell, IFERROR(IF(F2424="", "", INDEX(_xlws.FILTER(Hairstyles!$F:$F, ISNUMBER(SEARCH(F2424, Hairstyles!$B:$B))), 1)), "No Spell for Hairstyle"),
  _xlpm.vanillaPrefix, IF(LEFT(_xlpm.spell, 7)="Uvi_Wig", "", ";"),
  ";" &amp; IF(C2424="", B2424, C2424) &amp; IF(M2424="", "", " ("&amp;M2424&amp;")") &amp; CHAR(10) &amp;
  _xlpm.vanillaPrefix &amp; "Keyword = Uvi_Wig_Distr_KYWD|" &amp; B2424 &amp; CHAR(10) &amp;
  _xlpm.vanillaPrefix &amp; "Spell = " &amp; _xlpm.spell &amp; "|" &amp; B2424
  )
)</f>
        <v>;EncBandit03MissileRedguardM
;Keyword = Uvi_Wig_Distr_KYWD|EncBandit03MissileRedguardM
;Spell = No Spell for Hairstyle|EncBandit03MissileRedguardM</v>
      </c>
    </row>
    <row r="2425" ht="12.75" customHeight="1">
      <c r="A2425" s="5" t="s">
        <v>7220</v>
      </c>
      <c r="B2425" s="5" t="s">
        <v>7221</v>
      </c>
      <c r="D2425" s="5" t="s">
        <v>90</v>
      </c>
      <c r="E2425" s="5" t="s">
        <v>41</v>
      </c>
      <c r="F2425" s="5" t="s">
        <v>2373</v>
      </c>
      <c r="G2425" s="14" t="str">
        <f t="array" ref="G2425">IF(B2425="", "",
  LET(_xlpm.spell, IFERROR(IF(F2425="", "", INDEX(_xlws.FILTER(Hairstyles!$F:$F, ISNUMBER(SEARCH(F2425, Hairstyles!$B:$B))), 1)), "No Spell for Hairstyle"),
  _xlpm.vanillaPrefix, IF(LEFT(_xlpm.spell, 7)="Uvi_Wig", "", ";"),
  ";" &amp; IF(C2425="", B2425, C2425) &amp; IF(M2425="", "", " ("&amp;M2425&amp;")") &amp; CHAR(10) &amp;
  _xlpm.vanillaPrefix &amp; "Keyword = Uvi_Wig_Distr_KYWD|" &amp; B2425 &amp; CHAR(10) &amp;
  _xlpm.vanillaPrefix &amp; "Spell = " &amp; _xlpm.spell &amp; "|" &amp; B2425
  )
)</f>
        <v>;EncBandit03MissileWoodElfF
;Keyword = Uvi_Wig_Distr_KYWD|EncBandit03MissileWoodElfF
;Spell = No Spell for Hairstyle|EncBandit03MissileWoodElfF</v>
      </c>
    </row>
    <row r="2426" ht="12.75" customHeight="1">
      <c r="A2426" s="5" t="s">
        <v>7222</v>
      </c>
      <c r="B2426" s="5" t="s">
        <v>7223</v>
      </c>
      <c r="D2426" s="5" t="s">
        <v>90</v>
      </c>
      <c r="E2426" s="5" t="s">
        <v>233</v>
      </c>
      <c r="F2426" s="5" t="s">
        <v>1787</v>
      </c>
      <c r="G2426" s="14" t="str">
        <f t="array" ref="G2426">IF(B2426="", "",
  LET(_xlpm.spell, IFERROR(IF(F2426="", "", INDEX(_xlws.FILTER(Hairstyles!$F:$F, ISNUMBER(SEARCH(F2426, Hairstyles!$B:$B))), 1)), "No Spell for Hairstyle"),
  _xlpm.vanillaPrefix, IF(LEFT(_xlpm.spell, 7)="Uvi_Wig", "", ";"),
  ";" &amp; IF(C2426="", B2426, C2426) &amp; IF(M2426="", "", " ("&amp;M2426&amp;")") &amp; CHAR(10) &amp;
  _xlpm.vanillaPrefix &amp; "Keyword = Uvi_Wig_Distr_KYWD|" &amp; B2426 &amp; CHAR(10) &amp;
  _xlpm.vanillaPrefix &amp; "Spell = " &amp; _xlpm.spell &amp; "|" &amp; B2426
  )
)</f>
        <v>;EncBandit03MissileWoodElfM
;Keyword = Uvi_Wig_Distr_KYWD|EncBandit03MissileWoodElfM
;Spell = No Spell for Hairstyle|EncBandit03MissileWoodElfM</v>
      </c>
    </row>
    <row r="2427" ht="12.75" customHeight="1">
      <c r="A2427" s="5" t="s">
        <v>7224</v>
      </c>
      <c r="B2427" s="5" t="s">
        <v>7225</v>
      </c>
      <c r="D2427" s="5" t="s">
        <v>59</v>
      </c>
      <c r="E2427" s="5" t="s">
        <v>41</v>
      </c>
      <c r="F2427" s="5" t="s">
        <v>1996</v>
      </c>
      <c r="G2427" s="14" t="str">
        <f t="array" ref="G2427">IF(B2427="", "",
  LET(_xlpm.spell, IFERROR(IF(F2427="", "", INDEX(_xlws.FILTER(Hairstyles!$F:$F, ISNUMBER(SEARCH(F2427, Hairstyles!$B:$B))), 1)), "No Spell for Hairstyle"),
  _xlpm.vanillaPrefix, IF(LEFT(_xlpm.spell, 7)="Uvi_Wig", "", ";"),
  ";" &amp; IF(C2427="", B2427, C2427) &amp; IF(M2427="", "", " ("&amp;M2427&amp;")") &amp; CHAR(10) &amp;
  _xlpm.vanillaPrefix &amp; "Keyword = Uvi_Wig_Distr_KYWD|" &amp; B2427 &amp; CHAR(10) &amp;
  _xlpm.vanillaPrefix &amp; "Spell = " &amp; _xlpm.spell &amp; "|" &amp; B2427
  )
)</f>
        <v>;EncBandit04Boss1HImperialF
;Keyword = Uvi_Wig_Distr_KYWD|EncBandit04Boss1HImperialF
;Spell = No Spell for Hairstyle|EncBandit04Boss1HImperialF</v>
      </c>
    </row>
    <row r="2428" ht="12.75" customHeight="1">
      <c r="A2428" s="5" t="s">
        <v>7226</v>
      </c>
      <c r="B2428" s="5" t="s">
        <v>7227</v>
      </c>
      <c r="D2428" s="5" t="s">
        <v>59</v>
      </c>
      <c r="E2428" s="5" t="s">
        <v>233</v>
      </c>
      <c r="F2428" s="5" t="s">
        <v>346</v>
      </c>
      <c r="G2428" s="14" t="str">
        <f t="array" ref="G2428">IF(B2428="", "",
  LET(_xlpm.spell, IFERROR(IF(F2428="", "", INDEX(_xlws.FILTER(Hairstyles!$F:$F, ISNUMBER(SEARCH(F2428, Hairstyles!$B:$B))), 1)), "No Spell for Hairstyle"),
  _xlpm.vanillaPrefix, IF(LEFT(_xlpm.spell, 7)="Uvi_Wig", "", ";"),
  ";" &amp; IF(C2428="", B2428, C2428) &amp; IF(M2428="", "", " ("&amp;M2428&amp;")") &amp; CHAR(10) &amp;
  _xlpm.vanillaPrefix &amp; "Keyword = Uvi_Wig_Distr_KYWD|" &amp; B2428 &amp; CHAR(10) &amp;
  _xlpm.vanillaPrefix &amp; "Spell = " &amp; _xlpm.spell &amp; "|" &amp; B2428
  )
)</f>
        <v>;EncBandit04Boss1HImperialM
;Keyword = Uvi_Wig_Distr_KYWD|EncBandit04Boss1HImperialM
;Spell = No Spell for Hairstyle|EncBandit04Boss1HImperialM</v>
      </c>
    </row>
    <row r="2429" ht="12.75" customHeight="1">
      <c r="A2429" s="5" t="s">
        <v>7228</v>
      </c>
      <c r="B2429" s="5" t="s">
        <v>7229</v>
      </c>
      <c r="D2429" s="5" t="s">
        <v>38</v>
      </c>
      <c r="E2429" s="5" t="s">
        <v>41</v>
      </c>
      <c r="F2429" s="5" t="s">
        <v>1694</v>
      </c>
      <c r="G2429" s="14" t="str">
        <f t="array" ref="G2429">IF(B2429="", "",
  LET(_xlpm.spell, IFERROR(IF(F2429="", "", INDEX(_xlws.FILTER(Hairstyles!$F:$F, ISNUMBER(SEARCH(F2429, Hairstyles!$B:$B))), 1)), "No Spell for Hairstyle"),
  _xlpm.vanillaPrefix, IF(LEFT(_xlpm.spell, 7)="Uvi_Wig", "", ";"),
  ";" &amp; IF(C2429="", B2429, C2429) &amp; IF(M2429="", "", " ("&amp;M2429&amp;")") &amp; CHAR(10) &amp;
  _xlpm.vanillaPrefix &amp; "Keyword = Uvi_Wig_Distr_KYWD|" &amp; B2429 &amp; CHAR(10) &amp;
  _xlpm.vanillaPrefix &amp; "Spell = " &amp; _xlpm.spell &amp; "|" &amp; B2429
  )
)</f>
        <v>;EncBandit04Boss1HNordF
;Keyword = Uvi_Wig_Distr_KYWD|EncBandit04Boss1HNordF
;Spell = No Spell for Hairstyle|EncBandit04Boss1HNordF</v>
      </c>
    </row>
    <row r="2430" ht="12.75" customHeight="1">
      <c r="A2430" s="5" t="s">
        <v>7230</v>
      </c>
      <c r="B2430" s="5" t="s">
        <v>7231</v>
      </c>
      <c r="D2430" s="5" t="s">
        <v>38</v>
      </c>
      <c r="E2430" s="5" t="s">
        <v>233</v>
      </c>
      <c r="F2430" s="5" t="s">
        <v>1678</v>
      </c>
      <c r="G2430" s="14" t="str">
        <f t="array" ref="G2430">IF(B2430="", "",
  LET(_xlpm.spell, IFERROR(IF(F2430="", "", INDEX(_xlws.FILTER(Hairstyles!$F:$F, ISNUMBER(SEARCH(F2430, Hairstyles!$B:$B))), 1)), "No Spell for Hairstyle"),
  _xlpm.vanillaPrefix, IF(LEFT(_xlpm.spell, 7)="Uvi_Wig", "", ";"),
  ";" &amp; IF(C2430="", B2430, C2430) &amp; IF(M2430="", "", " ("&amp;M2430&amp;")") &amp; CHAR(10) &amp;
  _xlpm.vanillaPrefix &amp; "Keyword = Uvi_Wig_Distr_KYWD|" &amp; B2430 &amp; CHAR(10) &amp;
  _xlpm.vanillaPrefix &amp; "Spell = " &amp; _xlpm.spell &amp; "|" &amp; B2430
  )
)</f>
        <v>;EncBandit04Boss1HNordM
;Keyword = Uvi_Wig_Distr_KYWD|EncBandit04Boss1HNordM
;Spell = No Spell for Hairstyle|EncBandit04Boss1HNordM</v>
      </c>
    </row>
    <row r="2431" ht="12.75" customHeight="1">
      <c r="A2431" s="5" t="s">
        <v>7232</v>
      </c>
      <c r="B2431" s="5" t="s">
        <v>7233</v>
      </c>
      <c r="D2431" s="5" t="s">
        <v>83</v>
      </c>
      <c r="E2431" s="5" t="s">
        <v>41</v>
      </c>
      <c r="F2431" s="5" t="s">
        <v>69</v>
      </c>
      <c r="G2431" s="14" t="str">
        <f t="array" ref="G2431">IF(B2431="", "",
  LET(_xlpm.spell, IFERROR(IF(F2431="", "", INDEX(_xlws.FILTER(Hairstyles!$F:$F, ISNUMBER(SEARCH(F2431, Hairstyles!$B:$B))), 1)), "No Spell for Hairstyle"),
  _xlpm.vanillaPrefix, IF(LEFT(_xlpm.spell, 7)="Uvi_Wig", "", ";"),
  ";" &amp; IF(C2431="", B2431, C2431) &amp; IF(M2431="", "", " ("&amp;M2431&amp;")") &amp; CHAR(10) &amp;
  _xlpm.vanillaPrefix &amp; "Keyword = Uvi_Wig_Distr_KYWD|" &amp; B2431 &amp; CHAR(10) &amp;
  _xlpm.vanillaPrefix &amp; "Spell = " &amp; _xlpm.spell &amp; "|" &amp; B2431
  )
)</f>
        <v>;EncBandit04Boss1HRedguardF
;Keyword = Uvi_Wig_Distr_KYWD|EncBandit04Boss1HRedguardF
;Spell = No Spell for Hairstyle|EncBandit04Boss1HRedguardF</v>
      </c>
    </row>
    <row r="2432" ht="12.75" customHeight="1">
      <c r="A2432" s="5" t="s">
        <v>7234</v>
      </c>
      <c r="B2432" s="5" t="s">
        <v>7235</v>
      </c>
      <c r="D2432" s="5" t="s">
        <v>83</v>
      </c>
      <c r="E2432" s="5" t="s">
        <v>233</v>
      </c>
      <c r="F2432" s="5" t="s">
        <v>174</v>
      </c>
      <c r="G2432" s="14" t="str">
        <f t="array" ref="G2432">IF(B2432="", "",
  LET(_xlpm.spell, IFERROR(IF(F2432="", "", INDEX(_xlws.FILTER(Hairstyles!$F:$F, ISNUMBER(SEARCH(F2432, Hairstyles!$B:$B))), 1)), "No Spell for Hairstyle"),
  _xlpm.vanillaPrefix, IF(LEFT(_xlpm.spell, 7)="Uvi_Wig", "", ";"),
  ";" &amp; IF(C2432="", B2432, C2432) &amp; IF(M2432="", "", " ("&amp;M2432&amp;")") &amp; CHAR(10) &amp;
  _xlpm.vanillaPrefix &amp; "Keyword = Uvi_Wig_Distr_KYWD|" &amp; B2432 &amp; CHAR(10) &amp;
  _xlpm.vanillaPrefix &amp; "Spell = " &amp; _xlpm.spell &amp; "|" &amp; B2432
  )
)</f>
        <v>;EncBandit04Boss1HRedguardM
;Keyword = Uvi_Wig_Distr_KYWD|EncBandit04Boss1HRedguardM
;Spell = No Spell for Hairstyle|EncBandit04Boss1HRedguardM</v>
      </c>
    </row>
    <row r="2433" ht="12.75" customHeight="1">
      <c r="A2433" s="5" t="s">
        <v>7236</v>
      </c>
      <c r="B2433" s="5" t="s">
        <v>7237</v>
      </c>
      <c r="D2433" s="5" t="s">
        <v>59</v>
      </c>
      <c r="E2433" s="5" t="s">
        <v>233</v>
      </c>
      <c r="F2433" s="5" t="s">
        <v>19</v>
      </c>
      <c r="G2433" s="14" t="str">
        <f t="array" ref="G2433">IF(B2433="", "",
  LET(_xlpm.spell, IFERROR(IF(F2433="", "", INDEX(_xlws.FILTER(Hairstyles!$F:$F, ISNUMBER(SEARCH(F2433, Hairstyles!$B:$B))), 1)), "No Spell for Hairstyle"),
  _xlpm.vanillaPrefix, IF(LEFT(_xlpm.spell, 7)="Uvi_Wig", "", ";"),
  ";" &amp; IF(C2433="", B2433, C2433) &amp; IF(M2433="", "", " ("&amp;M2433&amp;")") &amp; CHAR(10) &amp;
  _xlpm.vanillaPrefix &amp; "Keyword = Uvi_Wig_Distr_KYWD|" &amp; B2433 &amp; CHAR(10) &amp;
  _xlpm.vanillaPrefix &amp; "Spell = " &amp; _xlpm.spell &amp; "|" &amp; B2433
  )
)</f>
        <v>;EncBandit04Boss2HImperialM
;Keyword = Uvi_Wig_Distr_KYWD|EncBandit04Boss2HImperialM
;Spell = No Spell for Hairstyle|EncBandit04Boss2HImperialM</v>
      </c>
    </row>
    <row r="2434" ht="12.75" customHeight="1">
      <c r="A2434" s="5" t="s">
        <v>7238</v>
      </c>
      <c r="B2434" s="5" t="s">
        <v>7239</v>
      </c>
      <c r="D2434" s="5" t="s">
        <v>38</v>
      </c>
      <c r="E2434" s="5" t="s">
        <v>233</v>
      </c>
      <c r="F2434" s="5" t="s">
        <v>218</v>
      </c>
      <c r="G2434" s="14" t="str">
        <f t="array" ref="G2434">IF(B2434="", "",
  LET(_xlpm.spell, IFERROR(IF(F2434="", "", INDEX(_xlws.FILTER(Hairstyles!$F:$F, ISNUMBER(SEARCH(F2434, Hairstyles!$B:$B))), 1)), "No Spell for Hairstyle"),
  _xlpm.vanillaPrefix, IF(LEFT(_xlpm.spell, 7)="Uvi_Wig", "", ";"),
  ";" &amp; IF(C2434="", B2434, C2434) &amp; IF(M2434="", "", " ("&amp;M2434&amp;")") &amp; CHAR(10) &amp;
  _xlpm.vanillaPrefix &amp; "Keyword = Uvi_Wig_Distr_KYWD|" &amp; B2434 &amp; CHAR(10) &amp;
  _xlpm.vanillaPrefix &amp; "Spell = " &amp; _xlpm.spell &amp; "|" &amp; B2434
  )
)</f>
        <v>;EncBandit04Boss2HNordM
;Keyword = Uvi_Wig_Distr_KYWD|EncBandit04Boss2HNordM
;Spell = No Spell for Hairstyle|EncBandit04Boss2HNordM</v>
      </c>
    </row>
    <row r="2435" ht="12.75" customHeight="1">
      <c r="A2435" s="5" t="s">
        <v>7240</v>
      </c>
      <c r="B2435" s="5" t="s">
        <v>7241</v>
      </c>
      <c r="D2435" s="5" t="s">
        <v>80</v>
      </c>
      <c r="E2435" s="5" t="s">
        <v>233</v>
      </c>
      <c r="F2435" s="5" t="s">
        <v>378</v>
      </c>
      <c r="G2435" s="14" t="str">
        <f t="array" ref="G2435">IF(B2435="", "",
  LET(_xlpm.spell, IFERROR(IF(F2435="", "", INDEX(_xlws.FILTER(Hairstyles!$F:$F, ISNUMBER(SEARCH(F2435, Hairstyles!$B:$B))), 1)), "No Spell for Hairstyle"),
  _xlpm.vanillaPrefix, IF(LEFT(_xlpm.spell, 7)="Uvi_Wig", "", ";"),
  ";" &amp; IF(C2435="", B2435, C2435) &amp; IF(M2435="", "", " ("&amp;M2435&amp;")") &amp; CHAR(10) &amp;
  _xlpm.vanillaPrefix &amp; "Keyword = Uvi_Wig_Distr_KYWD|" &amp; B2435 &amp; CHAR(10) &amp;
  _xlpm.vanillaPrefix &amp; "Spell = " &amp; _xlpm.spell &amp; "|" &amp; B2435
  )
)</f>
        <v>;EncBandit04Boss2HOrcM
;Keyword = Uvi_Wig_Distr_KYWD|EncBandit04Boss2HOrcM
;Spell = No Spell for Hairstyle|EncBandit04Boss2HOrcM</v>
      </c>
    </row>
    <row r="2436" ht="12.75" customHeight="1">
      <c r="A2436" s="5" t="s">
        <v>7242</v>
      </c>
      <c r="B2436" s="5" t="s">
        <v>7243</v>
      </c>
      <c r="D2436" s="5" t="s">
        <v>83</v>
      </c>
      <c r="E2436" s="5" t="s">
        <v>233</v>
      </c>
      <c r="F2436" s="5" t="s">
        <v>475</v>
      </c>
      <c r="G2436" s="14" t="str">
        <f t="array" ref="G2436">IF(B2436="", "",
  LET(_xlpm.spell, IFERROR(IF(F2436="", "", INDEX(_xlws.FILTER(Hairstyles!$F:$F, ISNUMBER(SEARCH(F2436, Hairstyles!$B:$B))), 1)), "No Spell for Hairstyle"),
  _xlpm.vanillaPrefix, IF(LEFT(_xlpm.spell, 7)="Uvi_Wig", "", ";"),
  ";" &amp; IF(C2436="", B2436, C2436) &amp; IF(M2436="", "", " ("&amp;M2436&amp;")") &amp; CHAR(10) &amp;
  _xlpm.vanillaPrefix &amp; "Keyword = Uvi_Wig_Distr_KYWD|" &amp; B2436 &amp; CHAR(10) &amp;
  _xlpm.vanillaPrefix &amp; "Spell = " &amp; _xlpm.spell &amp; "|" &amp; B2436
  )
)</f>
        <v>;EncBandit04Boss2HRedguardM
;Keyword = Uvi_Wig_Distr_KYWD|EncBandit04Boss2HRedguardM
;Spell = No Spell for Hairstyle|EncBandit04Boss2HRedguardM</v>
      </c>
    </row>
    <row r="2437" ht="12.75" customHeight="1">
      <c r="A2437" s="5" t="s">
        <v>7244</v>
      </c>
      <c r="B2437" s="5" t="s">
        <v>7245</v>
      </c>
      <c r="D2437" s="5" t="s">
        <v>10</v>
      </c>
      <c r="E2437" s="5" t="s">
        <v>233</v>
      </c>
      <c r="F2437" s="5" t="s">
        <v>1955</v>
      </c>
      <c r="G2437" s="14" t="str">
        <f t="array" ref="G2437">IF(B2437="", "",
  LET(_xlpm.spell, IFERROR(IF(F2437="", "", INDEX(_xlws.FILTER(Hairstyles!$F:$F, ISNUMBER(SEARCH(F2437, Hairstyles!$B:$B))), 1)), "No Spell for Hairstyle"),
  _xlpm.vanillaPrefix, IF(LEFT(_xlpm.spell, 7)="Uvi_Wig", "", ";"),
  ";" &amp; IF(C2437="", B2437, C2437) &amp; IF(M2437="", "", " ("&amp;M2437&amp;")") &amp; CHAR(10) &amp;
  _xlpm.vanillaPrefix &amp; "Keyword = Uvi_Wig_Distr_KYWD|" &amp; B2437 &amp; CHAR(10) &amp;
  _xlpm.vanillaPrefix &amp; "Spell = " &amp; _xlpm.spell &amp; "|" &amp; B2437
  )
)</f>
        <v>;EncBandit04MagicArgonianM
;Keyword = Uvi_Wig_Distr_KYWD|EncBandit04MagicArgonianM
;Spell = No Spell for Hairstyle|EncBandit04MagicArgonianM</v>
      </c>
    </row>
    <row r="2438" ht="12.75" customHeight="1">
      <c r="A2438" s="5" t="s">
        <v>7246</v>
      </c>
      <c r="B2438" s="5" t="s">
        <v>7247</v>
      </c>
      <c r="D2438" s="5" t="s">
        <v>16</v>
      </c>
      <c r="E2438" s="5" t="s">
        <v>41</v>
      </c>
      <c r="F2438" s="5" t="s">
        <v>42</v>
      </c>
      <c r="G2438" s="14" t="str">
        <f t="array" ref="G2438">IF(B2438="", "",
  LET(_xlpm.spell, IFERROR(IF(F2438="", "", INDEX(_xlws.FILTER(Hairstyles!$F:$F, ISNUMBER(SEARCH(F2438, Hairstyles!$B:$B))), 1)), "No Spell for Hairstyle"),
  _xlpm.vanillaPrefix, IF(LEFT(_xlpm.spell, 7)="Uvi_Wig", "", ";"),
  ";" &amp; IF(C2438="", B2438, C2438) &amp; IF(M2438="", "", " ("&amp;M2438&amp;")") &amp; CHAR(10) &amp;
  _xlpm.vanillaPrefix &amp; "Keyword = Uvi_Wig_Distr_KYWD|" &amp; B2438 &amp; CHAR(10) &amp;
  _xlpm.vanillaPrefix &amp; "Spell = " &amp; _xlpm.spell &amp; "|" &amp; B2438
  )
)</f>
        <v>;EncBandit04MagicBretonF
;Keyword = Uvi_Wig_Distr_KYWD|EncBandit04MagicBretonF
;Spell = No Spell for Hairstyle|EncBandit04MagicBretonF</v>
      </c>
    </row>
    <row r="2439" ht="12.75" customHeight="1">
      <c r="A2439" s="5" t="s">
        <v>7248</v>
      </c>
      <c r="B2439" s="5" t="s">
        <v>7249</v>
      </c>
      <c r="D2439" s="5" t="s">
        <v>16</v>
      </c>
      <c r="E2439" s="5" t="s">
        <v>233</v>
      </c>
      <c r="F2439" s="5" t="s">
        <v>521</v>
      </c>
      <c r="G2439" s="14" t="str">
        <f t="array" ref="G2439">IF(B2439="", "",
  LET(_xlpm.spell, IFERROR(IF(F2439="", "", INDEX(_xlws.FILTER(Hairstyles!$F:$F, ISNUMBER(SEARCH(F2439, Hairstyles!$B:$B))), 1)), "No Spell for Hairstyle"),
  _xlpm.vanillaPrefix, IF(LEFT(_xlpm.spell, 7)="Uvi_Wig", "", ";"),
  ";" &amp; IF(C2439="", B2439, C2439) &amp; IF(M2439="", "", " ("&amp;M2439&amp;")") &amp; CHAR(10) &amp;
  _xlpm.vanillaPrefix &amp; "Keyword = Uvi_Wig_Distr_KYWD|" &amp; B2439 &amp; CHAR(10) &amp;
  _xlpm.vanillaPrefix &amp; "Spell = " &amp; _xlpm.spell &amp; "|" &amp; B2439
  )
)</f>
        <v>;EncBandit04MagicBretonM
;Keyword = Uvi_Wig_Distr_KYWD|EncBandit04MagicBretonM
;Spell = No Spell for Hairstyle|EncBandit04MagicBretonM</v>
      </c>
    </row>
    <row r="2440" ht="12.75" customHeight="1">
      <c r="A2440" s="5" t="s">
        <v>7250</v>
      </c>
      <c r="B2440" s="5" t="s">
        <v>7251</v>
      </c>
      <c r="D2440" s="5" t="s">
        <v>45</v>
      </c>
      <c r="E2440" s="5" t="s">
        <v>41</v>
      </c>
      <c r="F2440" s="5" t="s">
        <v>4279</v>
      </c>
      <c r="G2440" s="14" t="str">
        <f t="array" ref="G2440">IF(B2440="", "",
  LET(_xlpm.spell, IFERROR(IF(F2440="", "", INDEX(_xlws.FILTER(Hairstyles!$F:$F, ISNUMBER(SEARCH(F2440, Hairstyles!$B:$B))), 1)), "No Spell for Hairstyle"),
  _xlpm.vanillaPrefix, IF(LEFT(_xlpm.spell, 7)="Uvi_Wig", "", ";"),
  ";" &amp; IF(C2440="", B2440, C2440) &amp; IF(M2440="", "", " ("&amp;M2440&amp;")") &amp; CHAR(10) &amp;
  _xlpm.vanillaPrefix &amp; "Keyword = Uvi_Wig_Distr_KYWD|" &amp; B2440 &amp; CHAR(10) &amp;
  _xlpm.vanillaPrefix &amp; "Spell = " &amp; _xlpm.spell &amp; "|" &amp; B2440
  )
)</f>
        <v>;EncBandit04MagicDarkElfF
;Keyword = Uvi_Wig_Distr_KYWD|EncBandit04MagicDarkElfF
;Spell = No Spell for Hairstyle|EncBandit04MagicDarkElfF</v>
      </c>
    </row>
    <row r="2441" ht="12.75" customHeight="1">
      <c r="A2441" s="5" t="s">
        <v>7252</v>
      </c>
      <c r="B2441" s="5" t="s">
        <v>7253</v>
      </c>
      <c r="D2441" s="5" t="s">
        <v>45</v>
      </c>
      <c r="E2441" s="5" t="s">
        <v>233</v>
      </c>
      <c r="F2441" s="5" t="s">
        <v>91</v>
      </c>
      <c r="G2441" s="14" t="str">
        <f t="array" ref="G2441">IF(B2441="", "",
  LET(_xlpm.spell, IFERROR(IF(F2441="", "", INDEX(_xlws.FILTER(Hairstyles!$F:$F, ISNUMBER(SEARCH(F2441, Hairstyles!$B:$B))), 1)), "No Spell for Hairstyle"),
  _xlpm.vanillaPrefix, IF(LEFT(_xlpm.spell, 7)="Uvi_Wig", "", ";"),
  ";" &amp; IF(C2441="", B2441, C2441) &amp; IF(M2441="", "", " ("&amp;M2441&amp;")") &amp; CHAR(10) &amp;
  _xlpm.vanillaPrefix &amp; "Keyword = Uvi_Wig_Distr_KYWD|" &amp; B2441 &amp; CHAR(10) &amp;
  _xlpm.vanillaPrefix &amp; "Spell = " &amp; _xlpm.spell &amp; "|" &amp; B2441
  )
)</f>
        <v>;EncBandit04MagicDarkElfM
;Keyword = Uvi_Wig_Distr_KYWD|EncBandit04MagicDarkElfM
;Spell = No Spell for Hairstyle|EncBandit04MagicDarkElfM</v>
      </c>
    </row>
    <row r="2442" ht="12.75" customHeight="1">
      <c r="A2442" s="5" t="s">
        <v>7254</v>
      </c>
      <c r="B2442" s="5" t="s">
        <v>7255</v>
      </c>
      <c r="D2442" s="5" t="s">
        <v>38</v>
      </c>
      <c r="E2442" s="5" t="s">
        <v>41</v>
      </c>
      <c r="F2442" s="5" t="s">
        <v>1063</v>
      </c>
      <c r="G2442" s="14" t="str">
        <f t="array" ref="G2442">IF(B2442="", "",
  LET(_xlpm.spell, IFERROR(IF(F2442="", "", INDEX(_xlws.FILTER(Hairstyles!$F:$F, ISNUMBER(SEARCH(F2442, Hairstyles!$B:$B))), 1)), "No Spell for Hairstyle"),
  _xlpm.vanillaPrefix, IF(LEFT(_xlpm.spell, 7)="Uvi_Wig", "", ";"),
  ";" &amp; IF(C2442="", B2442, C2442) &amp; IF(M2442="", "", " ("&amp;M2442&amp;")") &amp; CHAR(10) &amp;
  _xlpm.vanillaPrefix &amp; "Keyword = Uvi_Wig_Distr_KYWD|" &amp; B2442 &amp; CHAR(10) &amp;
  _xlpm.vanillaPrefix &amp; "Spell = " &amp; _xlpm.spell &amp; "|" &amp; B2442
  )
)</f>
        <v>;EncBandit04MagicNordF
;Keyword = Uvi_Wig_Distr_KYWD|EncBandit04MagicNordF
;Spell = No Spell for Hairstyle|EncBandit04MagicNordF</v>
      </c>
    </row>
    <row r="2443" ht="12.75" customHeight="1">
      <c r="A2443" s="5" t="s">
        <v>7256</v>
      </c>
      <c r="B2443" s="5" t="s">
        <v>7257</v>
      </c>
      <c r="D2443" s="5" t="s">
        <v>38</v>
      </c>
      <c r="E2443" s="5" t="s">
        <v>233</v>
      </c>
      <c r="F2443" s="5" t="s">
        <v>762</v>
      </c>
      <c r="G2443" s="14" t="str">
        <f t="array" ref="G2443">IF(B2443="", "",
  LET(_xlpm.spell, IFERROR(IF(F2443="", "", INDEX(_xlws.FILTER(Hairstyles!$F:$F, ISNUMBER(SEARCH(F2443, Hairstyles!$B:$B))), 1)), "No Spell for Hairstyle"),
  _xlpm.vanillaPrefix, IF(LEFT(_xlpm.spell, 7)="Uvi_Wig", "", ";"),
  ";" &amp; IF(C2443="", B2443, C2443) &amp; IF(M2443="", "", " ("&amp;M2443&amp;")") &amp; CHAR(10) &amp;
  _xlpm.vanillaPrefix &amp; "Keyword = Uvi_Wig_Distr_KYWD|" &amp; B2443 &amp; CHAR(10) &amp;
  _xlpm.vanillaPrefix &amp; "Spell = " &amp; _xlpm.spell &amp; "|" &amp; B2443
  )
)</f>
        <v>;EncBandit04MagicNordM
;Keyword = Uvi_Wig_Distr_KYWD|EncBandit04MagicNordM
;Spell = No Spell for Hairstyle|EncBandit04MagicNordM</v>
      </c>
    </row>
    <row r="2444" ht="12.75" customHeight="1">
      <c r="A2444" s="5" t="s">
        <v>7258</v>
      </c>
      <c r="B2444" s="5" t="s">
        <v>7259</v>
      </c>
      <c r="D2444" s="5" t="s">
        <v>59</v>
      </c>
      <c r="E2444" s="5" t="s">
        <v>41</v>
      </c>
      <c r="F2444" s="5" t="s">
        <v>343</v>
      </c>
      <c r="G2444" s="14" t="str">
        <f t="array" ref="G2444">IF(B2444="", "",
  LET(_xlpm.spell, IFERROR(IF(F2444="", "", INDEX(_xlws.FILTER(Hairstyles!$F:$F, ISNUMBER(SEARCH(F2444, Hairstyles!$B:$B))), 1)), "No Spell for Hairstyle"),
  _xlpm.vanillaPrefix, IF(LEFT(_xlpm.spell, 7)="Uvi_Wig", "", ";"),
  ";" &amp; IF(C2444="", B2444, C2444) &amp; IF(M2444="", "", " ("&amp;M2444&amp;")") &amp; CHAR(10) &amp;
  _xlpm.vanillaPrefix &amp; "Keyword = Uvi_Wig_Distr_KYWD|" &amp; B2444 &amp; CHAR(10) &amp;
  _xlpm.vanillaPrefix &amp; "Spell = " &amp; _xlpm.spell &amp; "|" &amp; B2444
  )
)</f>
        <v>;EncBandit04Melee1HImperialF
;Keyword = Uvi_Wig_Distr_KYWD|EncBandit04Melee1HImperialF
;Spell = No Spell for Hairstyle|EncBandit04Melee1HImperialF</v>
      </c>
    </row>
    <row r="2445" ht="12.75" customHeight="1">
      <c r="A2445" s="5" t="s">
        <v>7260</v>
      </c>
      <c r="B2445" s="5" t="s">
        <v>7261</v>
      </c>
      <c r="D2445" s="5" t="s">
        <v>59</v>
      </c>
      <c r="E2445" s="5" t="s">
        <v>233</v>
      </c>
      <c r="F2445" s="5" t="s">
        <v>346</v>
      </c>
      <c r="G2445" s="14" t="str">
        <f t="array" ref="G2445">IF(B2445="", "",
  LET(_xlpm.spell, IFERROR(IF(F2445="", "", INDEX(_xlws.FILTER(Hairstyles!$F:$F, ISNUMBER(SEARCH(F2445, Hairstyles!$B:$B))), 1)), "No Spell for Hairstyle"),
  _xlpm.vanillaPrefix, IF(LEFT(_xlpm.spell, 7)="Uvi_Wig", "", ";"),
  ";" &amp; IF(C2445="", B2445, C2445) &amp; IF(M2445="", "", " ("&amp;M2445&amp;")") &amp; CHAR(10) &amp;
  _xlpm.vanillaPrefix &amp; "Keyword = Uvi_Wig_Distr_KYWD|" &amp; B2445 &amp; CHAR(10) &amp;
  _xlpm.vanillaPrefix &amp; "Spell = " &amp; _xlpm.spell &amp; "|" &amp; B2445
  )
)</f>
        <v>;EncBandit04Melee1HImperialM
;Keyword = Uvi_Wig_Distr_KYWD|EncBandit04Melee1HImperialM
;Spell = No Spell for Hairstyle|EncBandit04Melee1HImperialM</v>
      </c>
    </row>
    <row r="2446" ht="12.75" customHeight="1">
      <c r="A2446" s="5" t="s">
        <v>7262</v>
      </c>
      <c r="B2446" s="5" t="s">
        <v>7263</v>
      </c>
      <c r="D2446" s="5" t="s">
        <v>65</v>
      </c>
      <c r="E2446" s="5" t="s">
        <v>233</v>
      </c>
      <c r="F2446" s="5" t="s">
        <v>3612</v>
      </c>
      <c r="G2446" s="14" t="str">
        <f t="array" ref="G2446">IF(B2446="", "",
  LET(_xlpm.spell, IFERROR(IF(F2446="", "", INDEX(_xlws.FILTER(Hairstyles!$F:$F, ISNUMBER(SEARCH(F2446, Hairstyles!$B:$B))), 1)), "No Spell for Hairstyle"),
  _xlpm.vanillaPrefix, IF(LEFT(_xlpm.spell, 7)="Uvi_Wig", "", ";"),
  ";" &amp; IF(C2446="", B2446, C2446) &amp; IF(M2446="", "", " ("&amp;M2446&amp;")") &amp; CHAR(10) &amp;
  _xlpm.vanillaPrefix &amp; "Keyword = Uvi_Wig_Distr_KYWD|" &amp; B2446 &amp; CHAR(10) &amp;
  _xlpm.vanillaPrefix &amp; "Spell = " &amp; _xlpm.spell &amp; "|" &amp; B2446
  )
)</f>
        <v>;EncBandit04Melee1HKhajiitM
;Keyword = Uvi_Wig_Distr_KYWD|EncBandit04Melee1HKhajiitM
;Spell = No Spell for Hairstyle|EncBandit04Melee1HKhajiitM</v>
      </c>
    </row>
    <row r="2447" ht="12.75" customHeight="1">
      <c r="A2447" s="5" t="s">
        <v>7264</v>
      </c>
      <c r="B2447" s="5" t="s">
        <v>7265</v>
      </c>
      <c r="D2447" s="5" t="s">
        <v>38</v>
      </c>
      <c r="E2447" s="5" t="s">
        <v>41</v>
      </c>
      <c r="F2447" s="5" t="s">
        <v>905</v>
      </c>
      <c r="G2447" s="14" t="str">
        <f t="array" ref="G2447">IF(B2447="", "",
  LET(_xlpm.spell, IFERROR(IF(F2447="", "", INDEX(_xlws.FILTER(Hairstyles!$F:$F, ISNUMBER(SEARCH(F2447, Hairstyles!$B:$B))), 1)), "No Spell for Hairstyle"),
  _xlpm.vanillaPrefix, IF(LEFT(_xlpm.spell, 7)="Uvi_Wig", "", ";"),
  ";" &amp; IF(C2447="", B2447, C2447) &amp; IF(M2447="", "", " ("&amp;M2447&amp;")") &amp; CHAR(10) &amp;
  _xlpm.vanillaPrefix &amp; "Keyword = Uvi_Wig_Distr_KYWD|" &amp; B2447 &amp; CHAR(10) &amp;
  _xlpm.vanillaPrefix &amp; "Spell = " &amp; _xlpm.spell &amp; "|" &amp; B2447
  )
)</f>
        <v>;EncBandit04Melee1HNordF
;Keyword = Uvi_Wig_Distr_KYWD|EncBandit04Melee1HNordF
;Spell = No Spell for Hairstyle|EncBandit04Melee1HNordF</v>
      </c>
    </row>
    <row r="2448" ht="12.75" customHeight="1">
      <c r="A2448" s="5" t="s">
        <v>7266</v>
      </c>
      <c r="B2448" s="5" t="s">
        <v>7267</v>
      </c>
      <c r="D2448" s="5" t="s">
        <v>38</v>
      </c>
      <c r="E2448" s="5" t="s">
        <v>233</v>
      </c>
      <c r="F2448" s="5" t="s">
        <v>1553</v>
      </c>
      <c r="G2448" s="14" t="str">
        <f t="array" ref="G2448">IF(B2448="", "",
  LET(_xlpm.spell, IFERROR(IF(F2448="", "", INDEX(_xlws.FILTER(Hairstyles!$F:$F, ISNUMBER(SEARCH(F2448, Hairstyles!$B:$B))), 1)), "No Spell for Hairstyle"),
  _xlpm.vanillaPrefix, IF(LEFT(_xlpm.spell, 7)="Uvi_Wig", "", ";"),
  ";" &amp; IF(C2448="", B2448, C2448) &amp; IF(M2448="", "", " ("&amp;M2448&amp;")") &amp; CHAR(10) &amp;
  _xlpm.vanillaPrefix &amp; "Keyword = Uvi_Wig_Distr_KYWD|" &amp; B2448 &amp; CHAR(10) &amp;
  _xlpm.vanillaPrefix &amp; "Spell = " &amp; _xlpm.spell &amp; "|" &amp; B2448
  )
)</f>
        <v>;EncBandit04Melee1HNordM
;Keyword = Uvi_Wig_Distr_KYWD|EncBandit04Melee1HNordM
;Spell = No Spell for Hairstyle|EncBandit04Melee1HNordM</v>
      </c>
    </row>
    <row r="2449" ht="12.75" customHeight="1">
      <c r="A2449" s="5" t="s">
        <v>7268</v>
      </c>
      <c r="B2449" s="5" t="s">
        <v>7269</v>
      </c>
      <c r="D2449" s="5" t="s">
        <v>80</v>
      </c>
      <c r="E2449" s="5" t="s">
        <v>233</v>
      </c>
      <c r="F2449" s="5" t="s">
        <v>3911</v>
      </c>
      <c r="G2449" s="14" t="str">
        <f t="array" ref="G2449">IF(B2449="", "",
  LET(_xlpm.spell, IFERROR(IF(F2449="", "", INDEX(_xlws.FILTER(Hairstyles!$F:$F, ISNUMBER(SEARCH(F2449, Hairstyles!$B:$B))), 1)), "No Spell for Hairstyle"),
  _xlpm.vanillaPrefix, IF(LEFT(_xlpm.spell, 7)="Uvi_Wig", "", ";"),
  ";" &amp; IF(C2449="", B2449, C2449) &amp; IF(M2449="", "", " ("&amp;M2449&amp;")") &amp; CHAR(10) &amp;
  _xlpm.vanillaPrefix &amp; "Keyword = Uvi_Wig_Distr_KYWD|" &amp; B2449 &amp; CHAR(10) &amp;
  _xlpm.vanillaPrefix &amp; "Spell = " &amp; _xlpm.spell &amp; "|" &amp; B2449
  )
)</f>
        <v>;EncBandit04Melee1HOrcM
;Keyword = Uvi_Wig_Distr_KYWD|EncBandit04Melee1HOrcM
;Spell = No Spell for Hairstyle|EncBandit04Melee1HOrcM</v>
      </c>
    </row>
    <row r="2450" ht="12.75" customHeight="1">
      <c r="A2450" s="5" t="s">
        <v>7270</v>
      </c>
      <c r="B2450" s="5" t="s">
        <v>7271</v>
      </c>
      <c r="D2450" s="5" t="s">
        <v>83</v>
      </c>
      <c r="E2450" s="5" t="s">
        <v>41</v>
      </c>
      <c r="F2450" s="5" t="s">
        <v>1557</v>
      </c>
      <c r="G2450" s="14" t="str">
        <f t="array" ref="G2450">IF(B2450="", "",
  LET(_xlpm.spell, IFERROR(IF(F2450="", "", INDEX(_xlws.FILTER(Hairstyles!$F:$F, ISNUMBER(SEARCH(F2450, Hairstyles!$B:$B))), 1)), "No Spell for Hairstyle"),
  _xlpm.vanillaPrefix, IF(LEFT(_xlpm.spell, 7)="Uvi_Wig", "", ";"),
  ";" &amp; IF(C2450="", B2450, C2450) &amp; IF(M2450="", "", " ("&amp;M2450&amp;")") &amp; CHAR(10) &amp;
  _xlpm.vanillaPrefix &amp; "Keyword = Uvi_Wig_Distr_KYWD|" &amp; B2450 &amp; CHAR(10) &amp;
  _xlpm.vanillaPrefix &amp; "Spell = " &amp; _xlpm.spell &amp; "|" &amp; B2450
  )
)</f>
        <v>;EncBandit04Melee1HRedguardF
;Keyword = Uvi_Wig_Distr_KYWD|EncBandit04Melee1HRedguardF
;Spell = No Spell for Hairstyle|EncBandit04Melee1HRedguardF</v>
      </c>
    </row>
    <row r="2451" ht="12.75" customHeight="1">
      <c r="A2451" s="5" t="s">
        <v>7272</v>
      </c>
      <c r="B2451" s="5" t="s">
        <v>7273</v>
      </c>
      <c r="D2451" s="5" t="s">
        <v>83</v>
      </c>
      <c r="E2451" s="5" t="s">
        <v>233</v>
      </c>
      <c r="F2451" s="5" t="s">
        <v>475</v>
      </c>
      <c r="G2451" s="14" t="str">
        <f t="array" ref="G2451">IF(B2451="", "",
  LET(_xlpm.spell, IFERROR(IF(F2451="", "", INDEX(_xlws.FILTER(Hairstyles!$F:$F, ISNUMBER(SEARCH(F2451, Hairstyles!$B:$B))), 1)), "No Spell for Hairstyle"),
  _xlpm.vanillaPrefix, IF(LEFT(_xlpm.spell, 7)="Uvi_Wig", "", ";"),
  ";" &amp; IF(C2451="", B2451, C2451) &amp; IF(M2451="", "", " ("&amp;M2451&amp;")") &amp; CHAR(10) &amp;
  _xlpm.vanillaPrefix &amp; "Keyword = Uvi_Wig_Distr_KYWD|" &amp; B2451 &amp; CHAR(10) &amp;
  _xlpm.vanillaPrefix &amp; "Spell = " &amp; _xlpm.spell &amp; "|" &amp; B2451
  )
)</f>
        <v>;EncBandit04Melee1HRedguardM
;Keyword = Uvi_Wig_Distr_KYWD|EncBandit04Melee1HRedguardM
;Spell = No Spell for Hairstyle|EncBandit04Melee1HRedguardM</v>
      </c>
    </row>
    <row r="2452" ht="12.75" customHeight="1">
      <c r="A2452" s="5" t="s">
        <v>7274</v>
      </c>
      <c r="B2452" s="5" t="s">
        <v>7275</v>
      </c>
      <c r="D2452" s="5" t="s">
        <v>59</v>
      </c>
      <c r="E2452" s="5" t="s">
        <v>41</v>
      </c>
      <c r="F2452" s="5" t="s">
        <v>343</v>
      </c>
      <c r="G2452" s="14" t="str">
        <f t="array" ref="G2452">IF(B2452="", "",
  LET(_xlpm.spell, IFERROR(IF(F2452="", "", INDEX(_xlws.FILTER(Hairstyles!$F:$F, ISNUMBER(SEARCH(F2452, Hairstyles!$B:$B))), 1)), "No Spell for Hairstyle"),
  _xlpm.vanillaPrefix, IF(LEFT(_xlpm.spell, 7)="Uvi_Wig", "", ";"),
  ";" &amp; IF(C2452="", B2452, C2452) &amp; IF(M2452="", "", " ("&amp;M2452&amp;")") &amp; CHAR(10) &amp;
  _xlpm.vanillaPrefix &amp; "Keyword = Uvi_Wig_Distr_KYWD|" &amp; B2452 &amp; CHAR(10) &amp;
  _xlpm.vanillaPrefix &amp; "Spell = " &amp; _xlpm.spell &amp; "|" &amp; B2452
  )
)</f>
        <v>;EncBandit04Melee1HTankImperialF
;Keyword = Uvi_Wig_Distr_KYWD|EncBandit04Melee1HTankImperialF
;Spell = No Spell for Hairstyle|EncBandit04Melee1HTankImperialF</v>
      </c>
    </row>
    <row r="2453" ht="12.75" customHeight="1">
      <c r="A2453" s="5" t="s">
        <v>7276</v>
      </c>
      <c r="B2453" s="5" t="s">
        <v>7277</v>
      </c>
      <c r="D2453" s="5" t="s">
        <v>59</v>
      </c>
      <c r="E2453" s="5" t="s">
        <v>233</v>
      </c>
      <c r="F2453" s="5" t="s">
        <v>346</v>
      </c>
      <c r="G2453" s="14" t="str">
        <f t="array" ref="G2453">IF(B2453="", "",
  LET(_xlpm.spell, IFERROR(IF(F2453="", "", INDEX(_xlws.FILTER(Hairstyles!$F:$F, ISNUMBER(SEARCH(F2453, Hairstyles!$B:$B))), 1)), "No Spell for Hairstyle"),
  _xlpm.vanillaPrefix, IF(LEFT(_xlpm.spell, 7)="Uvi_Wig", "", ";"),
  ";" &amp; IF(C2453="", B2453, C2453) &amp; IF(M2453="", "", " ("&amp;M2453&amp;")") &amp; CHAR(10) &amp;
  _xlpm.vanillaPrefix &amp; "Keyword = Uvi_Wig_Distr_KYWD|" &amp; B2453 &amp; CHAR(10) &amp;
  _xlpm.vanillaPrefix &amp; "Spell = " &amp; _xlpm.spell &amp; "|" &amp; B2453
  )
)</f>
        <v>;EncBandit04Melee1HTankImperialM
;Keyword = Uvi_Wig_Distr_KYWD|EncBandit04Melee1HTankImperialM
;Spell = No Spell for Hairstyle|EncBandit04Melee1HTankImperialM</v>
      </c>
    </row>
    <row r="2454" ht="12.75" customHeight="1">
      <c r="A2454" s="5" t="s">
        <v>7278</v>
      </c>
      <c r="B2454" s="5" t="s">
        <v>7279</v>
      </c>
      <c r="D2454" s="5" t="s">
        <v>38</v>
      </c>
      <c r="E2454" s="5" t="s">
        <v>41</v>
      </c>
      <c r="F2454" s="5" t="s">
        <v>905</v>
      </c>
      <c r="G2454" s="14" t="str">
        <f t="array" ref="G2454">IF(B2454="", "",
  LET(_xlpm.spell, IFERROR(IF(F2454="", "", INDEX(_xlws.FILTER(Hairstyles!$F:$F, ISNUMBER(SEARCH(F2454, Hairstyles!$B:$B))), 1)), "No Spell for Hairstyle"),
  _xlpm.vanillaPrefix, IF(LEFT(_xlpm.spell, 7)="Uvi_Wig", "", ";"),
  ";" &amp; IF(C2454="", B2454, C2454) &amp; IF(M2454="", "", " ("&amp;M2454&amp;")") &amp; CHAR(10) &amp;
  _xlpm.vanillaPrefix &amp; "Keyword = Uvi_Wig_Distr_KYWD|" &amp; B2454 &amp; CHAR(10) &amp;
  _xlpm.vanillaPrefix &amp; "Spell = " &amp; _xlpm.spell &amp; "|" &amp; B2454
  )
)</f>
        <v>;EncBandit04Melee1HTankNordF
;Keyword = Uvi_Wig_Distr_KYWD|EncBandit04Melee1HTankNordF
;Spell = No Spell for Hairstyle|EncBandit04Melee1HTankNordF</v>
      </c>
    </row>
    <row r="2455" ht="12.75" customHeight="1">
      <c r="A2455" s="5" t="s">
        <v>7280</v>
      </c>
      <c r="B2455" s="5" t="s">
        <v>7281</v>
      </c>
      <c r="D2455" s="5" t="s">
        <v>38</v>
      </c>
      <c r="E2455" s="5" t="s">
        <v>233</v>
      </c>
      <c r="F2455" s="5" t="s">
        <v>1553</v>
      </c>
      <c r="G2455" s="14" t="str">
        <f t="array" ref="G2455">IF(B2455="", "",
  LET(_xlpm.spell, IFERROR(IF(F2455="", "", INDEX(_xlws.FILTER(Hairstyles!$F:$F, ISNUMBER(SEARCH(F2455, Hairstyles!$B:$B))), 1)), "No Spell for Hairstyle"),
  _xlpm.vanillaPrefix, IF(LEFT(_xlpm.spell, 7)="Uvi_Wig", "", ";"),
  ";" &amp; IF(C2455="", B2455, C2455) &amp; IF(M2455="", "", " ("&amp;M2455&amp;")") &amp; CHAR(10) &amp;
  _xlpm.vanillaPrefix &amp; "Keyword = Uvi_Wig_Distr_KYWD|" &amp; B2455 &amp; CHAR(10) &amp;
  _xlpm.vanillaPrefix &amp; "Spell = " &amp; _xlpm.spell &amp; "|" &amp; B2455
  )
)</f>
        <v>;EncBandit04Melee1HTankNordM
;Keyword = Uvi_Wig_Distr_KYWD|EncBandit04Melee1HTankNordM
;Spell = No Spell for Hairstyle|EncBandit04Melee1HTankNordM</v>
      </c>
    </row>
    <row r="2456" ht="12.75" customHeight="1">
      <c r="A2456" s="5" t="s">
        <v>7282</v>
      </c>
      <c r="B2456" s="5" t="s">
        <v>7283</v>
      </c>
      <c r="D2456" s="5" t="s">
        <v>80</v>
      </c>
      <c r="E2456" s="5" t="s">
        <v>233</v>
      </c>
      <c r="F2456" s="5" t="s">
        <v>3911</v>
      </c>
      <c r="G2456" s="14" t="str">
        <f t="array" ref="G2456">IF(B2456="", "",
  LET(_xlpm.spell, IFERROR(IF(F2456="", "", INDEX(_xlws.FILTER(Hairstyles!$F:$F, ISNUMBER(SEARCH(F2456, Hairstyles!$B:$B))), 1)), "No Spell for Hairstyle"),
  _xlpm.vanillaPrefix, IF(LEFT(_xlpm.spell, 7)="Uvi_Wig", "", ";"),
  ";" &amp; IF(C2456="", B2456, C2456) &amp; IF(M2456="", "", " ("&amp;M2456&amp;")") &amp; CHAR(10) &amp;
  _xlpm.vanillaPrefix &amp; "Keyword = Uvi_Wig_Distr_KYWD|" &amp; B2456 &amp; CHAR(10) &amp;
  _xlpm.vanillaPrefix &amp; "Spell = " &amp; _xlpm.spell &amp; "|" &amp; B2456
  )
)</f>
        <v>;EncBandit04Melee1HTankOrcM
;Keyword = Uvi_Wig_Distr_KYWD|EncBandit04Melee1HTankOrcM
;Spell = No Spell for Hairstyle|EncBandit04Melee1HTankOrcM</v>
      </c>
    </row>
    <row r="2457" ht="12.75" customHeight="1">
      <c r="A2457" s="5" t="s">
        <v>7284</v>
      </c>
      <c r="B2457" s="5" t="s">
        <v>7285</v>
      </c>
      <c r="D2457" s="5" t="s">
        <v>83</v>
      </c>
      <c r="E2457" s="5" t="s">
        <v>41</v>
      </c>
      <c r="F2457" s="5" t="s">
        <v>1557</v>
      </c>
      <c r="G2457" s="14" t="str">
        <f t="array" ref="G2457">IF(B2457="", "",
  LET(_xlpm.spell, IFERROR(IF(F2457="", "", INDEX(_xlws.FILTER(Hairstyles!$F:$F, ISNUMBER(SEARCH(F2457, Hairstyles!$B:$B))), 1)), "No Spell for Hairstyle"),
  _xlpm.vanillaPrefix, IF(LEFT(_xlpm.spell, 7)="Uvi_Wig", "", ";"),
  ";" &amp; IF(C2457="", B2457, C2457) &amp; IF(M2457="", "", " ("&amp;M2457&amp;")") &amp; CHAR(10) &amp;
  _xlpm.vanillaPrefix &amp; "Keyword = Uvi_Wig_Distr_KYWD|" &amp; B2457 &amp; CHAR(10) &amp;
  _xlpm.vanillaPrefix &amp; "Spell = " &amp; _xlpm.spell &amp; "|" &amp; B2457
  )
)</f>
        <v>;EncBandit04Melee1HTankRedguardF
;Keyword = Uvi_Wig_Distr_KYWD|EncBandit04Melee1HTankRedguardF
;Spell = No Spell for Hairstyle|EncBandit04Melee1HTankRedguardF</v>
      </c>
    </row>
    <row r="2458" ht="12.75" customHeight="1">
      <c r="A2458" s="5" t="s">
        <v>7286</v>
      </c>
      <c r="B2458" s="5" t="s">
        <v>7287</v>
      </c>
      <c r="D2458" s="5" t="s">
        <v>83</v>
      </c>
      <c r="E2458" s="5" t="s">
        <v>233</v>
      </c>
      <c r="F2458" s="5" t="s">
        <v>475</v>
      </c>
      <c r="G2458" s="14" t="str">
        <f t="array" ref="G2458">IF(B2458="", "",
  LET(_xlpm.spell, IFERROR(IF(F2458="", "", INDEX(_xlws.FILTER(Hairstyles!$F:$F, ISNUMBER(SEARCH(F2458, Hairstyles!$B:$B))), 1)), "No Spell for Hairstyle"),
  _xlpm.vanillaPrefix, IF(LEFT(_xlpm.spell, 7)="Uvi_Wig", "", ";"),
  ";" &amp; IF(C2458="", B2458, C2458) &amp; IF(M2458="", "", " ("&amp;M2458&amp;")") &amp; CHAR(10) &amp;
  _xlpm.vanillaPrefix &amp; "Keyword = Uvi_Wig_Distr_KYWD|" &amp; B2458 &amp; CHAR(10) &amp;
  _xlpm.vanillaPrefix &amp; "Spell = " &amp; _xlpm.spell &amp; "|" &amp; B2458
  )
)</f>
        <v>;EncBandit04Melee1HTankRedguardM
;Keyword = Uvi_Wig_Distr_KYWD|EncBandit04Melee1HTankRedguardM
;Spell = No Spell for Hairstyle|EncBandit04Melee1HTankRedguardM</v>
      </c>
    </row>
    <row r="2459" ht="12.75" customHeight="1">
      <c r="A2459" s="5" t="s">
        <v>7288</v>
      </c>
      <c r="B2459" s="5" t="s">
        <v>7289</v>
      </c>
      <c r="D2459" s="5" t="s">
        <v>38</v>
      </c>
      <c r="E2459" s="5" t="s">
        <v>41</v>
      </c>
      <c r="F2459" s="5" t="s">
        <v>905</v>
      </c>
      <c r="G2459" s="14" t="str">
        <f t="array" ref="G2459">IF(B2459="", "",
  LET(_xlpm.spell, IFERROR(IF(F2459="", "", INDEX(_xlws.FILTER(Hairstyles!$F:$F, ISNUMBER(SEARCH(F2459, Hairstyles!$B:$B))), 1)), "No Spell for Hairstyle"),
  _xlpm.vanillaPrefix, IF(LEFT(_xlpm.spell, 7)="Uvi_Wig", "", ";"),
  ";" &amp; IF(C2459="", B2459, C2459) &amp; IF(M2459="", "", " ("&amp;M2459&amp;")") &amp; CHAR(10) &amp;
  _xlpm.vanillaPrefix &amp; "Keyword = Uvi_Wig_Distr_KYWD|" &amp; B2459 &amp; CHAR(10) &amp;
  _xlpm.vanillaPrefix &amp; "Spell = " &amp; _xlpm.spell &amp; "|" &amp; B2459
  )
)</f>
        <v>;EncBandit04Melee2HBerserkNordF
;Keyword = Uvi_Wig_Distr_KYWD|EncBandit04Melee2HBerserkNordF
;Spell = No Spell for Hairstyle|EncBandit04Melee2HBerserkNordF</v>
      </c>
    </row>
    <row r="2460" ht="12.75" customHeight="1">
      <c r="A2460" s="5" t="s">
        <v>7290</v>
      </c>
      <c r="B2460" s="5" t="s">
        <v>7291</v>
      </c>
      <c r="D2460" s="5" t="s">
        <v>38</v>
      </c>
      <c r="E2460" s="5" t="s">
        <v>233</v>
      </c>
      <c r="F2460" s="5" t="s">
        <v>1553</v>
      </c>
      <c r="G2460" s="14" t="str">
        <f t="array" ref="G2460">IF(B2460="", "",
  LET(_xlpm.spell, IFERROR(IF(F2460="", "", INDEX(_xlws.FILTER(Hairstyles!$F:$F, ISNUMBER(SEARCH(F2460, Hairstyles!$B:$B))), 1)), "No Spell for Hairstyle"),
  _xlpm.vanillaPrefix, IF(LEFT(_xlpm.spell, 7)="Uvi_Wig", "", ";"),
  ";" &amp; IF(C2460="", B2460, C2460) &amp; IF(M2460="", "", " ("&amp;M2460&amp;")") &amp; CHAR(10) &amp;
  _xlpm.vanillaPrefix &amp; "Keyword = Uvi_Wig_Distr_KYWD|" &amp; B2460 &amp; CHAR(10) &amp;
  _xlpm.vanillaPrefix &amp; "Spell = " &amp; _xlpm.spell &amp; "|" &amp; B2460
  )
)</f>
        <v>;EncBandit04Melee2HBerserkNordM
;Keyword = Uvi_Wig_Distr_KYWD|EncBandit04Melee2HBerserkNordM
;Spell = No Spell for Hairstyle|EncBandit04Melee2HBerserkNordM</v>
      </c>
    </row>
    <row r="2461" ht="12.75" customHeight="1">
      <c r="A2461" s="5" t="s">
        <v>7292</v>
      </c>
      <c r="B2461" s="5" t="s">
        <v>7293</v>
      </c>
      <c r="D2461" s="5" t="s">
        <v>80</v>
      </c>
      <c r="E2461" s="5" t="s">
        <v>233</v>
      </c>
      <c r="F2461" s="5" t="s">
        <v>3911</v>
      </c>
      <c r="G2461" s="14" t="str">
        <f t="array" ref="G2461">IF(B2461="", "",
  LET(_xlpm.spell, IFERROR(IF(F2461="", "", INDEX(_xlws.FILTER(Hairstyles!$F:$F, ISNUMBER(SEARCH(F2461, Hairstyles!$B:$B))), 1)), "No Spell for Hairstyle"),
  _xlpm.vanillaPrefix, IF(LEFT(_xlpm.spell, 7)="Uvi_Wig", "", ";"),
  ";" &amp; IF(C2461="", B2461, C2461) &amp; IF(M2461="", "", " ("&amp;M2461&amp;")") &amp; CHAR(10) &amp;
  _xlpm.vanillaPrefix &amp; "Keyword = Uvi_Wig_Distr_KYWD|" &amp; B2461 &amp; CHAR(10) &amp;
  _xlpm.vanillaPrefix &amp; "Spell = " &amp; _xlpm.spell &amp; "|" &amp; B2461
  )
)</f>
        <v>;EncBandit04Melee2HBerserkOrcM
;Keyword = Uvi_Wig_Distr_KYWD|EncBandit04Melee2HBerserkOrcM
;Spell = No Spell for Hairstyle|EncBandit04Melee2HBerserkOrcM</v>
      </c>
    </row>
    <row r="2462" ht="12.75" customHeight="1">
      <c r="A2462" s="5" t="s">
        <v>7294</v>
      </c>
      <c r="B2462" s="5" t="s">
        <v>7295</v>
      </c>
      <c r="D2462" s="5" t="s">
        <v>83</v>
      </c>
      <c r="E2462" s="5" t="s">
        <v>41</v>
      </c>
      <c r="F2462" s="5" t="s">
        <v>1557</v>
      </c>
      <c r="G2462" s="14" t="str">
        <f t="array" ref="G2462">IF(B2462="", "",
  LET(_xlpm.spell, IFERROR(IF(F2462="", "", INDEX(_xlws.FILTER(Hairstyles!$F:$F, ISNUMBER(SEARCH(F2462, Hairstyles!$B:$B))), 1)), "No Spell for Hairstyle"),
  _xlpm.vanillaPrefix, IF(LEFT(_xlpm.spell, 7)="Uvi_Wig", "", ";"),
  ";" &amp; IF(C2462="", B2462, C2462) &amp; IF(M2462="", "", " ("&amp;M2462&amp;")") &amp; CHAR(10) &amp;
  _xlpm.vanillaPrefix &amp; "Keyword = Uvi_Wig_Distr_KYWD|" &amp; B2462 &amp; CHAR(10) &amp;
  _xlpm.vanillaPrefix &amp; "Spell = " &amp; _xlpm.spell &amp; "|" &amp; B2462
  )
)</f>
        <v>;EncBandit04Melee2HBerserkRedguardF
;Keyword = Uvi_Wig_Distr_KYWD|EncBandit04Melee2HBerserkRedguardF
;Spell = No Spell for Hairstyle|EncBandit04Melee2HBerserkRedguardF</v>
      </c>
    </row>
    <row r="2463" ht="12.75" customHeight="1">
      <c r="A2463" s="5" t="s">
        <v>7296</v>
      </c>
      <c r="B2463" s="5" t="s">
        <v>7297</v>
      </c>
      <c r="D2463" s="5" t="s">
        <v>83</v>
      </c>
      <c r="E2463" s="5" t="s">
        <v>233</v>
      </c>
      <c r="F2463" s="5" t="s">
        <v>475</v>
      </c>
      <c r="G2463" s="14" t="str">
        <f t="array" ref="G2463">IF(B2463="", "",
  LET(_xlpm.spell, IFERROR(IF(F2463="", "", INDEX(_xlws.FILTER(Hairstyles!$F:$F, ISNUMBER(SEARCH(F2463, Hairstyles!$B:$B))), 1)), "No Spell for Hairstyle"),
  _xlpm.vanillaPrefix, IF(LEFT(_xlpm.spell, 7)="Uvi_Wig", "", ";"),
  ";" &amp; IF(C2463="", B2463, C2463) &amp; IF(M2463="", "", " ("&amp;M2463&amp;")") &amp; CHAR(10) &amp;
  _xlpm.vanillaPrefix &amp; "Keyword = Uvi_Wig_Distr_KYWD|" &amp; B2463 &amp; CHAR(10) &amp;
  _xlpm.vanillaPrefix &amp; "Spell = " &amp; _xlpm.spell &amp; "|" &amp; B2463
  )
)</f>
        <v>;EncBandit04Melee2HBerserkRedguardM
;Keyword = Uvi_Wig_Distr_KYWD|EncBandit04Melee2HBerserkRedguardM
;Spell = No Spell for Hairstyle|EncBandit04Melee2HBerserkRedguardM</v>
      </c>
    </row>
    <row r="2464" ht="12.75" customHeight="1">
      <c r="A2464" s="5" t="s">
        <v>7298</v>
      </c>
      <c r="B2464" s="5" t="s">
        <v>7299</v>
      </c>
      <c r="D2464" s="5" t="s">
        <v>38</v>
      </c>
      <c r="E2464" s="5" t="s">
        <v>41</v>
      </c>
      <c r="F2464" s="5" t="s">
        <v>905</v>
      </c>
      <c r="G2464" s="14" t="str">
        <f t="array" ref="G2464">IF(B2464="", "",
  LET(_xlpm.spell, IFERROR(IF(F2464="", "", INDEX(_xlws.FILTER(Hairstyles!$F:$F, ISNUMBER(SEARCH(F2464, Hairstyles!$B:$B))), 1)), "No Spell for Hairstyle"),
  _xlpm.vanillaPrefix, IF(LEFT(_xlpm.spell, 7)="Uvi_Wig", "", ";"),
  ";" &amp; IF(C2464="", B2464, C2464) &amp; IF(M2464="", "", " ("&amp;M2464&amp;")") &amp; CHAR(10) &amp;
  _xlpm.vanillaPrefix &amp; "Keyword = Uvi_Wig_Distr_KYWD|" &amp; B2464 &amp; CHAR(10) &amp;
  _xlpm.vanillaPrefix &amp; "Spell = " &amp; _xlpm.spell &amp; "|" &amp; B2464
  )
)</f>
        <v>;EncBandit04Melee2HNordF
;Keyword = Uvi_Wig_Distr_KYWD|EncBandit04Melee2HNordF
;Spell = No Spell for Hairstyle|EncBandit04Melee2HNordF</v>
      </c>
    </row>
    <row r="2465" ht="12.75" customHeight="1">
      <c r="A2465" s="5" t="s">
        <v>7300</v>
      </c>
      <c r="B2465" s="5" t="s">
        <v>7301</v>
      </c>
      <c r="D2465" s="5" t="s">
        <v>38</v>
      </c>
      <c r="E2465" s="5" t="s">
        <v>233</v>
      </c>
      <c r="F2465" s="5" t="s">
        <v>1553</v>
      </c>
      <c r="G2465" s="14" t="str">
        <f t="array" ref="G2465">IF(B2465="", "",
  LET(_xlpm.spell, IFERROR(IF(F2465="", "", INDEX(_xlws.FILTER(Hairstyles!$F:$F, ISNUMBER(SEARCH(F2465, Hairstyles!$B:$B))), 1)), "No Spell for Hairstyle"),
  _xlpm.vanillaPrefix, IF(LEFT(_xlpm.spell, 7)="Uvi_Wig", "", ";"),
  ";" &amp; IF(C2465="", B2465, C2465) &amp; IF(M2465="", "", " ("&amp;M2465&amp;")") &amp; CHAR(10) &amp;
  _xlpm.vanillaPrefix &amp; "Keyword = Uvi_Wig_Distr_KYWD|" &amp; B2465 &amp; CHAR(10) &amp;
  _xlpm.vanillaPrefix &amp; "Spell = " &amp; _xlpm.spell &amp; "|" &amp; B2465
  )
)</f>
        <v>;EncBandit04Melee2HNordM
;Keyword = Uvi_Wig_Distr_KYWD|EncBandit04Melee2HNordM
;Spell = No Spell for Hairstyle|EncBandit04Melee2HNordM</v>
      </c>
    </row>
    <row r="2466" ht="12.75" customHeight="1">
      <c r="A2466" s="5" t="s">
        <v>7302</v>
      </c>
      <c r="B2466" s="5" t="s">
        <v>7303</v>
      </c>
      <c r="D2466" s="5" t="s">
        <v>80</v>
      </c>
      <c r="E2466" s="5" t="s">
        <v>233</v>
      </c>
      <c r="F2466" s="5" t="s">
        <v>3911</v>
      </c>
      <c r="G2466" s="14" t="str">
        <f t="array" ref="G2466">IF(B2466="", "",
  LET(_xlpm.spell, IFERROR(IF(F2466="", "", INDEX(_xlws.FILTER(Hairstyles!$F:$F, ISNUMBER(SEARCH(F2466, Hairstyles!$B:$B))), 1)), "No Spell for Hairstyle"),
  _xlpm.vanillaPrefix, IF(LEFT(_xlpm.spell, 7)="Uvi_Wig", "", ";"),
  ";" &amp; IF(C2466="", B2466, C2466) &amp; IF(M2466="", "", " ("&amp;M2466&amp;")") &amp; CHAR(10) &amp;
  _xlpm.vanillaPrefix &amp; "Keyword = Uvi_Wig_Distr_KYWD|" &amp; B2466 &amp; CHAR(10) &amp;
  _xlpm.vanillaPrefix &amp; "Spell = " &amp; _xlpm.spell &amp; "|" &amp; B2466
  )
)</f>
        <v>;EncBandit04Melee2HOrcM
;Keyword = Uvi_Wig_Distr_KYWD|EncBandit04Melee2HOrcM
;Spell = No Spell for Hairstyle|EncBandit04Melee2HOrcM</v>
      </c>
    </row>
    <row r="2467" ht="12.75" customHeight="1">
      <c r="A2467" s="5" t="s">
        <v>7304</v>
      </c>
      <c r="B2467" s="5" t="s">
        <v>7305</v>
      </c>
      <c r="D2467" s="5" t="s">
        <v>83</v>
      </c>
      <c r="E2467" s="5" t="s">
        <v>41</v>
      </c>
      <c r="F2467" s="5" t="s">
        <v>1557</v>
      </c>
      <c r="G2467" s="14" t="str">
        <f t="array" ref="G2467">IF(B2467="", "",
  LET(_xlpm.spell, IFERROR(IF(F2467="", "", INDEX(_xlws.FILTER(Hairstyles!$F:$F, ISNUMBER(SEARCH(F2467, Hairstyles!$B:$B))), 1)), "No Spell for Hairstyle"),
  _xlpm.vanillaPrefix, IF(LEFT(_xlpm.spell, 7)="Uvi_Wig", "", ";"),
  ";" &amp; IF(C2467="", B2467, C2467) &amp; IF(M2467="", "", " ("&amp;M2467&amp;")") &amp; CHAR(10) &amp;
  _xlpm.vanillaPrefix &amp; "Keyword = Uvi_Wig_Distr_KYWD|" &amp; B2467 &amp; CHAR(10) &amp;
  _xlpm.vanillaPrefix &amp; "Spell = " &amp; _xlpm.spell &amp; "|" &amp; B2467
  )
)</f>
        <v>;EncBandit04Melee2HRedguardF
;Keyword = Uvi_Wig_Distr_KYWD|EncBandit04Melee2HRedguardF
;Spell = No Spell for Hairstyle|EncBandit04Melee2HRedguardF</v>
      </c>
    </row>
    <row r="2468" ht="12.75" customHeight="1">
      <c r="A2468" s="5" t="s">
        <v>7306</v>
      </c>
      <c r="B2468" s="5" t="s">
        <v>7307</v>
      </c>
      <c r="D2468" s="5" t="s">
        <v>83</v>
      </c>
      <c r="E2468" s="5" t="s">
        <v>233</v>
      </c>
      <c r="F2468" s="5" t="s">
        <v>475</v>
      </c>
      <c r="G2468" s="14" t="str">
        <f t="array" ref="G2468">IF(B2468="", "",
  LET(_xlpm.spell, IFERROR(IF(F2468="", "", INDEX(_xlws.FILTER(Hairstyles!$F:$F, ISNUMBER(SEARCH(F2468, Hairstyles!$B:$B))), 1)), "No Spell for Hairstyle"),
  _xlpm.vanillaPrefix, IF(LEFT(_xlpm.spell, 7)="Uvi_Wig", "", ";"),
  ";" &amp; IF(C2468="", B2468, C2468) &amp; IF(M2468="", "", " ("&amp;M2468&amp;")") &amp; CHAR(10) &amp;
  _xlpm.vanillaPrefix &amp; "Keyword = Uvi_Wig_Distr_KYWD|" &amp; B2468 &amp; CHAR(10) &amp;
  _xlpm.vanillaPrefix &amp; "Spell = " &amp; _xlpm.spell &amp; "|" &amp; B2468
  )
)</f>
        <v>;EncBandit04Melee2HRedguardM
;Keyword = Uvi_Wig_Distr_KYWD|EncBandit04Melee2HRedguardM
;Spell = No Spell for Hairstyle|EncBandit04Melee2HRedguardM</v>
      </c>
    </row>
    <row r="2469" ht="12.75" customHeight="1">
      <c r="A2469" s="5" t="s">
        <v>7308</v>
      </c>
      <c r="B2469" s="5" t="s">
        <v>7309</v>
      </c>
      <c r="D2469" s="5" t="s">
        <v>59</v>
      </c>
      <c r="E2469" s="5" t="s">
        <v>41</v>
      </c>
      <c r="F2469" s="5" t="s">
        <v>22</v>
      </c>
      <c r="G2469" s="14" t="str">
        <f t="array" ref="G2469">IF(B2469="", "",
  LET(_xlpm.spell, IFERROR(IF(F2469="", "", INDEX(_xlws.FILTER(Hairstyles!$F:$F, ISNUMBER(SEARCH(F2469, Hairstyles!$B:$B))), 1)), "No Spell for Hairstyle"),
  _xlpm.vanillaPrefix, IF(LEFT(_xlpm.spell, 7)="Uvi_Wig", "", ";"),
  ";" &amp; IF(C2469="", B2469, C2469) &amp; IF(M2469="", "", " ("&amp;M2469&amp;")") &amp; CHAR(10) &amp;
  _xlpm.vanillaPrefix &amp; "Keyword = Uvi_Wig_Distr_KYWD|" &amp; B2469 &amp; CHAR(10) &amp;
  _xlpm.vanillaPrefix &amp; "Spell = " &amp; _xlpm.spell &amp; "|" &amp; B2469
  )
)</f>
        <v>;EncBandit04MissileImperialF
;Keyword = Uvi_Wig_Distr_KYWD|EncBandit04MissileImperialF
;Spell = No Spell for Hairstyle|EncBandit04MissileImperialF</v>
      </c>
    </row>
    <row r="2470" ht="12.75" customHeight="1">
      <c r="A2470" s="5" t="s">
        <v>7310</v>
      </c>
      <c r="B2470" s="5" t="s">
        <v>7311</v>
      </c>
      <c r="D2470" s="5" t="s">
        <v>59</v>
      </c>
      <c r="E2470" s="5" t="s">
        <v>233</v>
      </c>
      <c r="F2470" s="5" t="s">
        <v>1088</v>
      </c>
      <c r="G2470" s="14" t="str">
        <f t="array" ref="G2470">IF(B2470="", "",
  LET(_xlpm.spell, IFERROR(IF(F2470="", "", INDEX(_xlws.FILTER(Hairstyles!$F:$F, ISNUMBER(SEARCH(F2470, Hairstyles!$B:$B))), 1)), "No Spell for Hairstyle"),
  _xlpm.vanillaPrefix, IF(LEFT(_xlpm.spell, 7)="Uvi_Wig", "", ";"),
  ";" &amp; IF(C2470="", B2470, C2470) &amp; IF(M2470="", "", " ("&amp;M2470&amp;")") &amp; CHAR(10) &amp;
  _xlpm.vanillaPrefix &amp; "Keyword = Uvi_Wig_Distr_KYWD|" &amp; B2470 &amp; CHAR(10) &amp;
  _xlpm.vanillaPrefix &amp; "Spell = " &amp; _xlpm.spell &amp; "|" &amp; B2470
  )
)</f>
        <v>;EncBandit04MissileImperialM
;Keyword = Uvi_Wig_Distr_KYWD|EncBandit04MissileImperialM
;Spell = No Spell for Hairstyle|EncBandit04MissileImperialM</v>
      </c>
    </row>
    <row r="2471" ht="12.75" customHeight="1">
      <c r="A2471" s="5" t="s">
        <v>7312</v>
      </c>
      <c r="B2471" s="5" t="s">
        <v>7313</v>
      </c>
      <c r="D2471" s="5" t="s">
        <v>65</v>
      </c>
      <c r="E2471" s="5" t="s">
        <v>233</v>
      </c>
      <c r="F2471" s="5" t="s">
        <v>1365</v>
      </c>
      <c r="G2471" s="14" t="str">
        <f t="array" ref="G2471">IF(B2471="", "",
  LET(_xlpm.spell, IFERROR(IF(F2471="", "", INDEX(_xlws.FILTER(Hairstyles!$F:$F, ISNUMBER(SEARCH(F2471, Hairstyles!$B:$B))), 1)), "No Spell for Hairstyle"),
  _xlpm.vanillaPrefix, IF(LEFT(_xlpm.spell, 7)="Uvi_Wig", "", ";"),
  ";" &amp; IF(C2471="", B2471, C2471) &amp; IF(M2471="", "", " ("&amp;M2471&amp;")") &amp; CHAR(10) &amp;
  _xlpm.vanillaPrefix &amp; "Keyword = Uvi_Wig_Distr_KYWD|" &amp; B2471 &amp; CHAR(10) &amp;
  _xlpm.vanillaPrefix &amp; "Spell = " &amp; _xlpm.spell &amp; "|" &amp; B2471
  )
)</f>
        <v>;EncBandit04MissileKhajiitM
;Keyword = Uvi_Wig_Distr_KYWD|EncBandit04MissileKhajiitM
;Spell = No Spell for Hairstyle|EncBandit04MissileKhajiitM</v>
      </c>
    </row>
    <row r="2472" ht="12.75" customHeight="1">
      <c r="A2472" s="5" t="s">
        <v>7314</v>
      </c>
      <c r="B2472" s="5" t="s">
        <v>7315</v>
      </c>
      <c r="D2472" s="5" t="s">
        <v>38</v>
      </c>
      <c r="E2472" s="5" t="s">
        <v>41</v>
      </c>
      <c r="F2472" s="5" t="s">
        <v>1041</v>
      </c>
      <c r="G2472" s="14" t="str">
        <f t="array" ref="G2472">IF(B2472="", "",
  LET(_xlpm.spell, IFERROR(IF(F2472="", "", INDEX(_xlws.FILTER(Hairstyles!$F:$F, ISNUMBER(SEARCH(F2472, Hairstyles!$B:$B))), 1)), "No Spell for Hairstyle"),
  _xlpm.vanillaPrefix, IF(LEFT(_xlpm.spell, 7)="Uvi_Wig", "", ";"),
  ";" &amp; IF(C2472="", B2472, C2472) &amp; IF(M2472="", "", " ("&amp;M2472&amp;")") &amp; CHAR(10) &amp;
  _xlpm.vanillaPrefix &amp; "Keyword = Uvi_Wig_Distr_KYWD|" &amp; B2472 &amp; CHAR(10) &amp;
  _xlpm.vanillaPrefix &amp; "Spell = " &amp; _xlpm.spell &amp; "|" &amp; B2472
  )
)</f>
        <v>;EncBandit04MissileNordF
;Keyword = Uvi_Wig_Distr_KYWD|EncBandit04MissileNordF
;Spell = No Spell for Hairstyle|EncBandit04MissileNordF</v>
      </c>
    </row>
    <row r="2473" ht="12.75" customHeight="1">
      <c r="A2473" s="5" t="s">
        <v>7316</v>
      </c>
      <c r="B2473" s="5" t="s">
        <v>7317</v>
      </c>
      <c r="D2473" s="5" t="s">
        <v>38</v>
      </c>
      <c r="E2473" s="5" t="s">
        <v>233</v>
      </c>
      <c r="F2473" s="5" t="s">
        <v>235</v>
      </c>
      <c r="G2473" s="14" t="str">
        <f t="array" ref="G2473">IF(B2473="", "",
  LET(_xlpm.spell, IFERROR(IF(F2473="", "", INDEX(_xlws.FILTER(Hairstyles!$F:$F, ISNUMBER(SEARCH(F2473, Hairstyles!$B:$B))), 1)), "No Spell for Hairstyle"),
  _xlpm.vanillaPrefix, IF(LEFT(_xlpm.spell, 7)="Uvi_Wig", "", ";"),
  ";" &amp; IF(C2473="", B2473, C2473) &amp; IF(M2473="", "", " ("&amp;M2473&amp;")") &amp; CHAR(10) &amp;
  _xlpm.vanillaPrefix &amp; "Keyword = Uvi_Wig_Distr_KYWD|" &amp; B2473 &amp; CHAR(10) &amp;
  _xlpm.vanillaPrefix &amp; "Spell = " &amp; _xlpm.spell &amp; "|" &amp; B2473
  )
)</f>
        <v>;EncBandit04MissileNordM
;Keyword = Uvi_Wig_Distr_KYWD|EncBandit04MissileNordM
;Spell = No Spell for Hairstyle|EncBandit04MissileNordM</v>
      </c>
    </row>
    <row r="2474" ht="12.75" customHeight="1">
      <c r="A2474" s="5" t="s">
        <v>7318</v>
      </c>
      <c r="B2474" s="5" t="s">
        <v>7319</v>
      </c>
      <c r="D2474" s="5" t="s">
        <v>83</v>
      </c>
      <c r="E2474" s="5" t="s">
        <v>41</v>
      </c>
      <c r="F2474" s="5" t="s">
        <v>862</v>
      </c>
      <c r="G2474" s="14" t="str">
        <f t="array" ref="G2474">IF(B2474="", "",
  LET(_xlpm.spell, IFERROR(IF(F2474="", "", INDEX(_xlws.FILTER(Hairstyles!$F:$F, ISNUMBER(SEARCH(F2474, Hairstyles!$B:$B))), 1)), "No Spell for Hairstyle"),
  _xlpm.vanillaPrefix, IF(LEFT(_xlpm.spell, 7)="Uvi_Wig", "", ";"),
  ";" &amp; IF(C2474="", B2474, C2474) &amp; IF(M2474="", "", " ("&amp;M2474&amp;")") &amp; CHAR(10) &amp;
  _xlpm.vanillaPrefix &amp; "Keyword = Uvi_Wig_Distr_KYWD|" &amp; B2474 &amp; CHAR(10) &amp;
  _xlpm.vanillaPrefix &amp; "Spell = " &amp; _xlpm.spell &amp; "|" &amp; B2474
  )
)</f>
        <v>;EncBandit04MissileRedguardF
;Keyword = Uvi_Wig_Distr_KYWD|EncBandit04MissileRedguardF
;Spell = No Spell for Hairstyle|EncBandit04MissileRedguardF</v>
      </c>
    </row>
    <row r="2475" ht="12.75" customHeight="1">
      <c r="A2475" s="5" t="s">
        <v>7320</v>
      </c>
      <c r="B2475" s="5" t="s">
        <v>7321</v>
      </c>
      <c r="D2475" s="5" t="s">
        <v>83</v>
      </c>
      <c r="E2475" s="5" t="s">
        <v>233</v>
      </c>
      <c r="F2475" s="5" t="s">
        <v>84</v>
      </c>
      <c r="G2475" s="14" t="str">
        <f t="array" ref="G2475">IF(B2475="", "",
  LET(_xlpm.spell, IFERROR(IF(F2475="", "", INDEX(_xlws.FILTER(Hairstyles!$F:$F, ISNUMBER(SEARCH(F2475, Hairstyles!$B:$B))), 1)), "No Spell for Hairstyle"),
  _xlpm.vanillaPrefix, IF(LEFT(_xlpm.spell, 7)="Uvi_Wig", "", ";"),
  ";" &amp; IF(C2475="", B2475, C2475) &amp; IF(M2475="", "", " ("&amp;M2475&amp;")") &amp; CHAR(10) &amp;
  _xlpm.vanillaPrefix &amp; "Keyword = Uvi_Wig_Distr_KYWD|" &amp; B2475 &amp; CHAR(10) &amp;
  _xlpm.vanillaPrefix &amp; "Spell = " &amp; _xlpm.spell &amp; "|" &amp; B2475
  )
)</f>
        <v>;EncBandit04MissileRedguardM
;Keyword = Uvi_Wig_Distr_KYWD|EncBandit04MissileRedguardM
;Spell = No Spell for Hairstyle|EncBandit04MissileRedguardM</v>
      </c>
    </row>
    <row r="2476" ht="12.75" customHeight="1">
      <c r="A2476" s="5" t="s">
        <v>7322</v>
      </c>
      <c r="B2476" s="5" t="s">
        <v>7323</v>
      </c>
      <c r="D2476" s="5" t="s">
        <v>90</v>
      </c>
      <c r="E2476" s="5" t="s">
        <v>41</v>
      </c>
      <c r="F2476" s="5" t="s">
        <v>2380</v>
      </c>
      <c r="G2476" s="14" t="str">
        <f t="array" ref="G2476">IF(B2476="", "",
  LET(_xlpm.spell, IFERROR(IF(F2476="", "", INDEX(_xlws.FILTER(Hairstyles!$F:$F, ISNUMBER(SEARCH(F2476, Hairstyles!$B:$B))), 1)), "No Spell for Hairstyle"),
  _xlpm.vanillaPrefix, IF(LEFT(_xlpm.spell, 7)="Uvi_Wig", "", ";"),
  ";" &amp; IF(C2476="", B2476, C2476) &amp; IF(M2476="", "", " ("&amp;M2476&amp;")") &amp; CHAR(10) &amp;
  _xlpm.vanillaPrefix &amp; "Keyword = Uvi_Wig_Distr_KYWD|" &amp; B2476 &amp; CHAR(10) &amp;
  _xlpm.vanillaPrefix &amp; "Spell = " &amp; _xlpm.spell &amp; "|" &amp; B2476
  )
)</f>
        <v>;EncBandit04MissileWoodElfF
;Keyword = Uvi_Wig_Distr_KYWD|EncBandit04MissileWoodElfF
;Spell = No Spell for Hairstyle|EncBandit04MissileWoodElfF</v>
      </c>
    </row>
    <row r="2477" ht="12.75" customHeight="1">
      <c r="A2477" s="5" t="s">
        <v>7324</v>
      </c>
      <c r="B2477" s="5" t="s">
        <v>7325</v>
      </c>
      <c r="D2477" s="5" t="s">
        <v>90</v>
      </c>
      <c r="E2477" s="5" t="s">
        <v>233</v>
      </c>
      <c r="F2477" s="5" t="s">
        <v>534</v>
      </c>
      <c r="G2477" s="14" t="str">
        <f t="array" ref="G2477">IF(B2477="", "",
  LET(_xlpm.spell, IFERROR(IF(F2477="", "", INDEX(_xlws.FILTER(Hairstyles!$F:$F, ISNUMBER(SEARCH(F2477, Hairstyles!$B:$B))), 1)), "No Spell for Hairstyle"),
  _xlpm.vanillaPrefix, IF(LEFT(_xlpm.spell, 7)="Uvi_Wig", "", ";"),
  ";" &amp; IF(C2477="", B2477, C2477) &amp; IF(M2477="", "", " ("&amp;M2477&amp;")") &amp; CHAR(10) &amp;
  _xlpm.vanillaPrefix &amp; "Keyword = Uvi_Wig_Distr_KYWD|" &amp; B2477 &amp; CHAR(10) &amp;
  _xlpm.vanillaPrefix &amp; "Spell = " &amp; _xlpm.spell &amp; "|" &amp; B2477
  )
)</f>
        <v>;EncBandit04MissileWoodElfM
;Keyword = Uvi_Wig_Distr_KYWD|EncBandit04MissileWoodElfM
;Spell = No Spell for Hairstyle|EncBandit04MissileWoodElfM</v>
      </c>
    </row>
    <row r="2478" ht="12.75" customHeight="1">
      <c r="A2478" s="5" t="s">
        <v>7326</v>
      </c>
      <c r="B2478" s="5" t="s">
        <v>7327</v>
      </c>
      <c r="D2478" s="5" t="s">
        <v>59</v>
      </c>
      <c r="E2478" s="5" t="s">
        <v>41</v>
      </c>
      <c r="F2478" s="5" t="s">
        <v>1996</v>
      </c>
      <c r="G2478" s="14" t="str">
        <f t="array" ref="G2478">IF(B2478="", "",
  LET(_xlpm.spell, IFERROR(IF(F2478="", "", INDEX(_xlws.FILTER(Hairstyles!$F:$F, ISNUMBER(SEARCH(F2478, Hairstyles!$B:$B))), 1)), "No Spell for Hairstyle"),
  _xlpm.vanillaPrefix, IF(LEFT(_xlpm.spell, 7)="Uvi_Wig", "", ";"),
  ";" &amp; IF(C2478="", B2478, C2478) &amp; IF(M2478="", "", " ("&amp;M2478&amp;")") &amp; CHAR(10) &amp;
  _xlpm.vanillaPrefix &amp; "Keyword = Uvi_Wig_Distr_KYWD|" &amp; B2478 &amp; CHAR(10) &amp;
  _xlpm.vanillaPrefix &amp; "Spell = " &amp; _xlpm.spell &amp; "|" &amp; B2478
  )
)</f>
        <v>;EncBandit05Boss1HImperialF
;Keyword = Uvi_Wig_Distr_KYWD|EncBandit05Boss1HImperialF
;Spell = No Spell for Hairstyle|EncBandit05Boss1HImperialF</v>
      </c>
    </row>
    <row r="2479" ht="12.75" customHeight="1">
      <c r="A2479" s="5" t="s">
        <v>7328</v>
      </c>
      <c r="B2479" s="5" t="s">
        <v>7329</v>
      </c>
      <c r="D2479" s="5" t="s">
        <v>59</v>
      </c>
      <c r="E2479" s="5" t="s">
        <v>233</v>
      </c>
      <c r="F2479" s="5" t="s">
        <v>1622</v>
      </c>
      <c r="G2479" s="14" t="str">
        <f t="array" ref="G2479">IF(B2479="", "",
  LET(_xlpm.spell, IFERROR(IF(F2479="", "", INDEX(_xlws.FILTER(Hairstyles!$F:$F, ISNUMBER(SEARCH(F2479, Hairstyles!$B:$B))), 1)), "No Spell for Hairstyle"),
  _xlpm.vanillaPrefix, IF(LEFT(_xlpm.spell, 7)="Uvi_Wig", "", ";"),
  ";" &amp; IF(C2479="", B2479, C2479) &amp; IF(M2479="", "", " ("&amp;M2479&amp;")") &amp; CHAR(10) &amp;
  _xlpm.vanillaPrefix &amp; "Keyword = Uvi_Wig_Distr_KYWD|" &amp; B2479 &amp; CHAR(10) &amp;
  _xlpm.vanillaPrefix &amp; "Spell = " &amp; _xlpm.spell &amp; "|" &amp; B2479
  )
)</f>
        <v>;EncBandit05Boss1HImperialM
;Keyword = Uvi_Wig_Distr_KYWD|EncBandit05Boss1HImperialM
;Spell = No Spell for Hairstyle|EncBandit05Boss1HImperialM</v>
      </c>
    </row>
    <row r="2480" ht="12.75" customHeight="1">
      <c r="A2480" s="5" t="s">
        <v>7330</v>
      </c>
      <c r="B2480" s="5" t="s">
        <v>7331</v>
      </c>
      <c r="D2480" s="5" t="s">
        <v>38</v>
      </c>
      <c r="E2480" s="5" t="s">
        <v>41</v>
      </c>
      <c r="F2480" s="5" t="s">
        <v>2118</v>
      </c>
      <c r="G2480" s="14" t="str">
        <f t="array" ref="G2480">IF(B2480="", "",
  LET(_xlpm.spell, IFERROR(IF(F2480="", "", INDEX(_xlws.FILTER(Hairstyles!$F:$F, ISNUMBER(SEARCH(F2480, Hairstyles!$B:$B))), 1)), "No Spell for Hairstyle"),
  _xlpm.vanillaPrefix, IF(LEFT(_xlpm.spell, 7)="Uvi_Wig", "", ";"),
  ";" &amp; IF(C2480="", B2480, C2480) &amp; IF(M2480="", "", " ("&amp;M2480&amp;")") &amp; CHAR(10) &amp;
  _xlpm.vanillaPrefix &amp; "Keyword = Uvi_Wig_Distr_KYWD|" &amp; B2480 &amp; CHAR(10) &amp;
  _xlpm.vanillaPrefix &amp; "Spell = " &amp; _xlpm.spell &amp; "|" &amp; B2480
  )
)</f>
        <v>;EncBandit05Boss1HNordF
;Keyword = Uvi_Wig_Distr_KYWD|EncBandit05Boss1HNordF
;Spell = No Spell for Hairstyle|EncBandit05Boss1HNordF</v>
      </c>
    </row>
    <row r="2481" ht="12.75" customHeight="1">
      <c r="A2481" s="5" t="s">
        <v>7332</v>
      </c>
      <c r="B2481" s="5" t="s">
        <v>7333</v>
      </c>
      <c r="D2481" s="5" t="s">
        <v>38</v>
      </c>
      <c r="E2481" s="5" t="s">
        <v>233</v>
      </c>
      <c r="F2481" s="5" t="s">
        <v>475</v>
      </c>
      <c r="G2481" s="14" t="str">
        <f t="array" ref="G2481">IF(B2481="", "",
  LET(_xlpm.spell, IFERROR(IF(F2481="", "", INDEX(_xlws.FILTER(Hairstyles!$F:$F, ISNUMBER(SEARCH(F2481, Hairstyles!$B:$B))), 1)), "No Spell for Hairstyle"),
  _xlpm.vanillaPrefix, IF(LEFT(_xlpm.spell, 7)="Uvi_Wig", "", ";"),
  ";" &amp; IF(C2481="", B2481, C2481) &amp; IF(M2481="", "", " ("&amp;M2481&amp;")") &amp; CHAR(10) &amp;
  _xlpm.vanillaPrefix &amp; "Keyword = Uvi_Wig_Distr_KYWD|" &amp; B2481 &amp; CHAR(10) &amp;
  _xlpm.vanillaPrefix &amp; "Spell = " &amp; _xlpm.spell &amp; "|" &amp; B2481
  )
)</f>
        <v>;EncBandit05Boss1HNordM
;Keyword = Uvi_Wig_Distr_KYWD|EncBandit05Boss1HNordM
;Spell = No Spell for Hairstyle|EncBandit05Boss1HNordM</v>
      </c>
    </row>
    <row r="2482" ht="12.75" customHeight="1">
      <c r="A2482" s="5" t="s">
        <v>7334</v>
      </c>
      <c r="B2482" s="5" t="s">
        <v>7335</v>
      </c>
      <c r="D2482" s="5" t="s">
        <v>83</v>
      </c>
      <c r="E2482" s="5" t="s">
        <v>41</v>
      </c>
      <c r="F2482" s="5" t="s">
        <v>1759</v>
      </c>
      <c r="G2482" s="14" t="str">
        <f t="array" ref="G2482">IF(B2482="", "",
  LET(_xlpm.spell, IFERROR(IF(F2482="", "", INDEX(_xlws.FILTER(Hairstyles!$F:$F, ISNUMBER(SEARCH(F2482, Hairstyles!$B:$B))), 1)), "No Spell for Hairstyle"),
  _xlpm.vanillaPrefix, IF(LEFT(_xlpm.spell, 7)="Uvi_Wig", "", ";"),
  ";" &amp; IF(C2482="", B2482, C2482) &amp; IF(M2482="", "", " ("&amp;M2482&amp;")") &amp; CHAR(10) &amp;
  _xlpm.vanillaPrefix &amp; "Keyword = Uvi_Wig_Distr_KYWD|" &amp; B2482 &amp; CHAR(10) &amp;
  _xlpm.vanillaPrefix &amp; "Spell = " &amp; _xlpm.spell &amp; "|" &amp; B2482
  )
)</f>
        <v>;EncBandit05Boss1HRedguardF
;Keyword = Uvi_Wig_Distr_KYWD|EncBandit05Boss1HRedguardF
;Spell = No Spell for Hairstyle|EncBandit05Boss1HRedguardF</v>
      </c>
    </row>
    <row r="2483" ht="12.75" customHeight="1">
      <c r="A2483" s="5" t="s">
        <v>7336</v>
      </c>
      <c r="B2483" s="5" t="s">
        <v>7337</v>
      </c>
      <c r="D2483" s="5" t="s">
        <v>83</v>
      </c>
      <c r="E2483" s="5" t="s">
        <v>233</v>
      </c>
      <c r="F2483" s="5" t="s">
        <v>238</v>
      </c>
      <c r="G2483" s="14" t="str">
        <f t="array" ref="G2483">IF(B2483="", "",
  LET(_xlpm.spell, IFERROR(IF(F2483="", "", INDEX(_xlws.FILTER(Hairstyles!$F:$F, ISNUMBER(SEARCH(F2483, Hairstyles!$B:$B))), 1)), "No Spell for Hairstyle"),
  _xlpm.vanillaPrefix, IF(LEFT(_xlpm.spell, 7)="Uvi_Wig", "", ";"),
  ";" &amp; IF(C2483="", B2483, C2483) &amp; IF(M2483="", "", " ("&amp;M2483&amp;")") &amp; CHAR(10) &amp;
  _xlpm.vanillaPrefix &amp; "Keyword = Uvi_Wig_Distr_KYWD|" &amp; B2483 &amp; CHAR(10) &amp;
  _xlpm.vanillaPrefix &amp; "Spell = " &amp; _xlpm.spell &amp; "|" &amp; B2483
  )
)</f>
        <v>;EncBandit05Boss1HRedguardM
;Keyword = Uvi_Wig_Distr_KYWD|EncBandit05Boss1HRedguardM
;Spell = No Spell for Hairstyle|EncBandit05Boss1HRedguardM</v>
      </c>
    </row>
    <row r="2484" ht="12.75" customHeight="1">
      <c r="A2484" s="5" t="s">
        <v>7338</v>
      </c>
      <c r="B2484" s="5" t="s">
        <v>7339</v>
      </c>
      <c r="D2484" s="5" t="s">
        <v>59</v>
      </c>
      <c r="E2484" s="5" t="s">
        <v>233</v>
      </c>
      <c r="F2484" s="5" t="s">
        <v>1700</v>
      </c>
      <c r="G2484" s="14" t="str">
        <f t="array" ref="G2484">IF(B2484="", "",
  LET(_xlpm.spell, IFERROR(IF(F2484="", "", INDEX(_xlws.FILTER(Hairstyles!$F:$F, ISNUMBER(SEARCH(F2484, Hairstyles!$B:$B))), 1)), "No Spell for Hairstyle"),
  _xlpm.vanillaPrefix, IF(LEFT(_xlpm.spell, 7)="Uvi_Wig", "", ";"),
  ";" &amp; IF(C2484="", B2484, C2484) &amp; IF(M2484="", "", " ("&amp;M2484&amp;")") &amp; CHAR(10) &amp;
  _xlpm.vanillaPrefix &amp; "Keyword = Uvi_Wig_Distr_KYWD|" &amp; B2484 &amp; CHAR(10) &amp;
  _xlpm.vanillaPrefix &amp; "Spell = " &amp; _xlpm.spell &amp; "|" &amp; B2484
  )
)</f>
        <v>;EncBandit05Boss2HImperialM
;Keyword = Uvi_Wig_Distr_KYWD|EncBandit05Boss2HImperialM
;Spell = No Spell for Hairstyle|EncBandit05Boss2HImperialM</v>
      </c>
    </row>
    <row r="2485" ht="12.75" customHeight="1">
      <c r="A2485" s="5" t="s">
        <v>7340</v>
      </c>
      <c r="B2485" s="5" t="s">
        <v>7341</v>
      </c>
      <c r="D2485" s="5" t="s">
        <v>38</v>
      </c>
      <c r="E2485" s="5" t="s">
        <v>233</v>
      </c>
      <c r="F2485" s="5" t="s">
        <v>475</v>
      </c>
      <c r="G2485" s="14" t="str">
        <f t="array" ref="G2485">IF(B2485="", "",
  LET(_xlpm.spell, IFERROR(IF(F2485="", "", INDEX(_xlws.FILTER(Hairstyles!$F:$F, ISNUMBER(SEARCH(F2485, Hairstyles!$B:$B))), 1)), "No Spell for Hairstyle"),
  _xlpm.vanillaPrefix, IF(LEFT(_xlpm.spell, 7)="Uvi_Wig", "", ";"),
  ";" &amp; IF(C2485="", B2485, C2485) &amp; IF(M2485="", "", " ("&amp;M2485&amp;")") &amp; CHAR(10) &amp;
  _xlpm.vanillaPrefix &amp; "Keyword = Uvi_Wig_Distr_KYWD|" &amp; B2485 &amp; CHAR(10) &amp;
  _xlpm.vanillaPrefix &amp; "Spell = " &amp; _xlpm.spell &amp; "|" &amp; B2485
  )
)</f>
        <v>;EncBandit05Boss2HNordM
;Keyword = Uvi_Wig_Distr_KYWD|EncBandit05Boss2HNordM
;Spell = No Spell for Hairstyle|EncBandit05Boss2HNordM</v>
      </c>
    </row>
    <row r="2486" ht="12.75" customHeight="1">
      <c r="A2486" s="5" t="s">
        <v>7342</v>
      </c>
      <c r="B2486" s="5" t="s">
        <v>7343</v>
      </c>
      <c r="D2486" s="5" t="s">
        <v>80</v>
      </c>
      <c r="E2486" s="5" t="s">
        <v>233</v>
      </c>
      <c r="F2486" s="5" t="s">
        <v>3911</v>
      </c>
      <c r="G2486" s="14" t="str">
        <f t="array" ref="G2486">IF(B2486="", "",
  LET(_xlpm.spell, IFERROR(IF(F2486="", "", INDEX(_xlws.FILTER(Hairstyles!$F:$F, ISNUMBER(SEARCH(F2486, Hairstyles!$B:$B))), 1)), "No Spell for Hairstyle"),
  _xlpm.vanillaPrefix, IF(LEFT(_xlpm.spell, 7)="Uvi_Wig", "", ";"),
  ";" &amp; IF(C2486="", B2486, C2486) &amp; IF(M2486="", "", " ("&amp;M2486&amp;")") &amp; CHAR(10) &amp;
  _xlpm.vanillaPrefix &amp; "Keyword = Uvi_Wig_Distr_KYWD|" &amp; B2486 &amp; CHAR(10) &amp;
  _xlpm.vanillaPrefix &amp; "Spell = " &amp; _xlpm.spell &amp; "|" &amp; B2486
  )
)</f>
        <v>;EncBandit05Boss2HOrcM
;Keyword = Uvi_Wig_Distr_KYWD|EncBandit05Boss2HOrcM
;Spell = No Spell for Hairstyle|EncBandit05Boss2HOrcM</v>
      </c>
    </row>
    <row r="2487" ht="12.75" customHeight="1">
      <c r="A2487" s="5" t="s">
        <v>7344</v>
      </c>
      <c r="B2487" s="5" t="s">
        <v>7345</v>
      </c>
      <c r="D2487" s="5" t="s">
        <v>83</v>
      </c>
      <c r="E2487" s="5" t="s">
        <v>233</v>
      </c>
      <c r="F2487" s="5" t="s">
        <v>3700</v>
      </c>
      <c r="G2487" s="14" t="str">
        <f t="array" ref="G2487">IF(B2487="", "",
  LET(_xlpm.spell, IFERROR(IF(F2487="", "", INDEX(_xlws.FILTER(Hairstyles!$F:$F, ISNUMBER(SEARCH(F2487, Hairstyles!$B:$B))), 1)), "No Spell for Hairstyle"),
  _xlpm.vanillaPrefix, IF(LEFT(_xlpm.spell, 7)="Uvi_Wig", "", ";"),
  ";" &amp; IF(C2487="", B2487, C2487) &amp; IF(M2487="", "", " ("&amp;M2487&amp;")") &amp; CHAR(10) &amp;
  _xlpm.vanillaPrefix &amp; "Keyword = Uvi_Wig_Distr_KYWD|" &amp; B2487 &amp; CHAR(10) &amp;
  _xlpm.vanillaPrefix &amp; "Spell = " &amp; _xlpm.spell &amp; "|" &amp; B2487
  )
)</f>
        <v>;EncBandit05Boss2HRedguardM
;Keyword = Uvi_Wig_Distr_KYWD|EncBandit05Boss2HRedguardM
;Spell = No Spell for Hairstyle|EncBandit05Boss2HRedguardM</v>
      </c>
    </row>
    <row r="2488" ht="12.75" customHeight="1">
      <c r="A2488" s="5" t="s">
        <v>7346</v>
      </c>
      <c r="B2488" s="5" t="s">
        <v>7347</v>
      </c>
      <c r="D2488" s="5" t="s">
        <v>10</v>
      </c>
      <c r="E2488" s="5" t="s">
        <v>233</v>
      </c>
      <c r="F2488" s="5" t="s">
        <v>1749</v>
      </c>
      <c r="G2488" s="14" t="str">
        <f t="array" ref="G2488">IF(B2488="", "",
  LET(_xlpm.spell, IFERROR(IF(F2488="", "", INDEX(_xlws.FILTER(Hairstyles!$F:$F, ISNUMBER(SEARCH(F2488, Hairstyles!$B:$B))), 1)), "No Spell for Hairstyle"),
  _xlpm.vanillaPrefix, IF(LEFT(_xlpm.spell, 7)="Uvi_Wig", "", ";"),
  ";" &amp; IF(C2488="", B2488, C2488) &amp; IF(M2488="", "", " ("&amp;M2488&amp;")") &amp; CHAR(10) &amp;
  _xlpm.vanillaPrefix &amp; "Keyword = Uvi_Wig_Distr_KYWD|" &amp; B2488 &amp; CHAR(10) &amp;
  _xlpm.vanillaPrefix &amp; "Spell = " &amp; _xlpm.spell &amp; "|" &amp; B2488
  )
)</f>
        <v>;EncBandit05MagicArgonianM
;Keyword = Uvi_Wig_Distr_KYWD|EncBandit05MagicArgonianM
;Spell = No Spell for Hairstyle|EncBandit05MagicArgonianM</v>
      </c>
    </row>
    <row r="2489" ht="12.75" customHeight="1">
      <c r="A2489" s="5" t="s">
        <v>7348</v>
      </c>
      <c r="B2489" s="5" t="s">
        <v>7349</v>
      </c>
      <c r="D2489" s="5" t="s">
        <v>16</v>
      </c>
      <c r="E2489" s="5" t="s">
        <v>41</v>
      </c>
      <c r="F2489" s="5" t="s">
        <v>862</v>
      </c>
      <c r="G2489" s="14" t="str">
        <f t="array" ref="G2489">IF(B2489="", "",
  LET(_xlpm.spell, IFERROR(IF(F2489="", "", INDEX(_xlws.FILTER(Hairstyles!$F:$F, ISNUMBER(SEARCH(F2489, Hairstyles!$B:$B))), 1)), "No Spell for Hairstyle"),
  _xlpm.vanillaPrefix, IF(LEFT(_xlpm.spell, 7)="Uvi_Wig", "", ";"),
  ";" &amp; IF(C2489="", B2489, C2489) &amp; IF(M2489="", "", " ("&amp;M2489&amp;")") &amp; CHAR(10) &amp;
  _xlpm.vanillaPrefix &amp; "Keyword = Uvi_Wig_Distr_KYWD|" &amp; B2489 &amp; CHAR(10) &amp;
  _xlpm.vanillaPrefix &amp; "Spell = " &amp; _xlpm.spell &amp; "|" &amp; B2489
  )
)</f>
        <v>;EncBandit05MagicBretonF
;Keyword = Uvi_Wig_Distr_KYWD|EncBandit05MagicBretonF
;Spell = No Spell for Hairstyle|EncBandit05MagicBretonF</v>
      </c>
    </row>
    <row r="2490" ht="12.75" customHeight="1">
      <c r="A2490" s="5" t="s">
        <v>7350</v>
      </c>
      <c r="B2490" s="5" t="s">
        <v>7351</v>
      </c>
      <c r="D2490" s="5" t="s">
        <v>16</v>
      </c>
      <c r="E2490" s="5" t="s">
        <v>233</v>
      </c>
      <c r="F2490" s="5" t="s">
        <v>990</v>
      </c>
      <c r="G2490" s="14" t="str">
        <f t="array" ref="G2490">IF(B2490="", "",
  LET(_xlpm.spell, IFERROR(IF(F2490="", "", INDEX(_xlws.FILTER(Hairstyles!$F:$F, ISNUMBER(SEARCH(F2490, Hairstyles!$B:$B))), 1)), "No Spell for Hairstyle"),
  _xlpm.vanillaPrefix, IF(LEFT(_xlpm.spell, 7)="Uvi_Wig", "", ";"),
  ";" &amp; IF(C2490="", B2490, C2490) &amp; IF(M2490="", "", " ("&amp;M2490&amp;")") &amp; CHAR(10) &amp;
  _xlpm.vanillaPrefix &amp; "Keyword = Uvi_Wig_Distr_KYWD|" &amp; B2490 &amp; CHAR(10) &amp;
  _xlpm.vanillaPrefix &amp; "Spell = " &amp; _xlpm.spell &amp; "|" &amp; B2490
  )
)</f>
        <v>;EncBandit05MagicBretonM
;Keyword = Uvi_Wig_Distr_KYWD|EncBandit05MagicBretonM
;Spell = No Spell for Hairstyle|EncBandit05MagicBretonM</v>
      </c>
    </row>
    <row r="2491" ht="12.75" customHeight="1">
      <c r="A2491" s="5" t="s">
        <v>7352</v>
      </c>
      <c r="B2491" s="5" t="s">
        <v>7353</v>
      </c>
      <c r="D2491" s="5" t="s">
        <v>45</v>
      </c>
      <c r="E2491" s="5" t="s">
        <v>41</v>
      </c>
      <c r="F2491" s="5" t="s">
        <v>512</v>
      </c>
      <c r="G2491" s="14" t="str">
        <f t="array" ref="G2491">IF(B2491="", "",
  LET(_xlpm.spell, IFERROR(IF(F2491="", "", INDEX(_xlws.FILTER(Hairstyles!$F:$F, ISNUMBER(SEARCH(F2491, Hairstyles!$B:$B))), 1)), "No Spell for Hairstyle"),
  _xlpm.vanillaPrefix, IF(LEFT(_xlpm.spell, 7)="Uvi_Wig", "", ";"),
  ";" &amp; IF(C2491="", B2491, C2491) &amp; IF(M2491="", "", " ("&amp;M2491&amp;")") &amp; CHAR(10) &amp;
  _xlpm.vanillaPrefix &amp; "Keyword = Uvi_Wig_Distr_KYWD|" &amp; B2491 &amp; CHAR(10) &amp;
  _xlpm.vanillaPrefix &amp; "Spell = " &amp; _xlpm.spell &amp; "|" &amp; B2491
  )
)</f>
        <v>;EncBandit05MagicDarkElfF
;Keyword = Uvi_Wig_Distr_KYWD|EncBandit05MagicDarkElfF
;Spell = No Spell for Hairstyle|EncBandit05MagicDarkElfF</v>
      </c>
    </row>
    <row r="2492" ht="12.75" customHeight="1">
      <c r="A2492" s="5" t="s">
        <v>7354</v>
      </c>
      <c r="B2492" s="5" t="s">
        <v>7355</v>
      </c>
      <c r="D2492" s="5" t="s">
        <v>45</v>
      </c>
      <c r="E2492" s="5" t="s">
        <v>233</v>
      </c>
      <c r="F2492" s="5" t="s">
        <v>534</v>
      </c>
      <c r="G2492" s="14" t="str">
        <f t="array" ref="G2492">IF(B2492="", "",
  LET(_xlpm.spell, IFERROR(IF(F2492="", "", INDEX(_xlws.FILTER(Hairstyles!$F:$F, ISNUMBER(SEARCH(F2492, Hairstyles!$B:$B))), 1)), "No Spell for Hairstyle"),
  _xlpm.vanillaPrefix, IF(LEFT(_xlpm.spell, 7)="Uvi_Wig", "", ";"),
  ";" &amp; IF(C2492="", B2492, C2492) &amp; IF(M2492="", "", " ("&amp;M2492&amp;")") &amp; CHAR(10) &amp;
  _xlpm.vanillaPrefix &amp; "Keyword = Uvi_Wig_Distr_KYWD|" &amp; B2492 &amp; CHAR(10) &amp;
  _xlpm.vanillaPrefix &amp; "Spell = " &amp; _xlpm.spell &amp; "|" &amp; B2492
  )
)</f>
        <v>;EncBandit05MagicDarkElfM
;Keyword = Uvi_Wig_Distr_KYWD|EncBandit05MagicDarkElfM
;Spell = No Spell for Hairstyle|EncBandit05MagicDarkElfM</v>
      </c>
    </row>
    <row r="2493" ht="12.75" customHeight="1">
      <c r="A2493" s="5" t="s">
        <v>7356</v>
      </c>
      <c r="B2493" s="5" t="s">
        <v>7357</v>
      </c>
      <c r="D2493" s="5" t="s">
        <v>38</v>
      </c>
      <c r="E2493" s="5" t="s">
        <v>41</v>
      </c>
      <c r="F2493" s="5" t="s">
        <v>1557</v>
      </c>
      <c r="G2493" s="14" t="str">
        <f t="array" ref="G2493">IF(B2493="", "",
  LET(_xlpm.spell, IFERROR(IF(F2493="", "", INDEX(_xlws.FILTER(Hairstyles!$F:$F, ISNUMBER(SEARCH(F2493, Hairstyles!$B:$B))), 1)), "No Spell for Hairstyle"),
  _xlpm.vanillaPrefix, IF(LEFT(_xlpm.spell, 7)="Uvi_Wig", "", ";"),
  ";" &amp; IF(C2493="", B2493, C2493) &amp; IF(M2493="", "", " ("&amp;M2493&amp;")") &amp; CHAR(10) &amp;
  _xlpm.vanillaPrefix &amp; "Keyword = Uvi_Wig_Distr_KYWD|" &amp; B2493 &amp; CHAR(10) &amp;
  _xlpm.vanillaPrefix &amp; "Spell = " &amp; _xlpm.spell &amp; "|" &amp; B2493
  )
)</f>
        <v>;EncBandit05MagicNordF
;Keyword = Uvi_Wig_Distr_KYWD|EncBandit05MagicNordF
;Spell = No Spell for Hairstyle|EncBandit05MagicNordF</v>
      </c>
    </row>
    <row r="2494" ht="12.75" customHeight="1">
      <c r="A2494" s="5" t="s">
        <v>7358</v>
      </c>
      <c r="B2494" s="5" t="s">
        <v>7359</v>
      </c>
      <c r="D2494" s="5" t="s">
        <v>38</v>
      </c>
      <c r="E2494" s="5" t="s">
        <v>233</v>
      </c>
      <c r="F2494" s="5" t="s">
        <v>235</v>
      </c>
      <c r="G2494" s="14" t="str">
        <f t="array" ref="G2494">IF(B2494="", "",
  LET(_xlpm.spell, IFERROR(IF(F2494="", "", INDEX(_xlws.FILTER(Hairstyles!$F:$F, ISNUMBER(SEARCH(F2494, Hairstyles!$B:$B))), 1)), "No Spell for Hairstyle"),
  _xlpm.vanillaPrefix, IF(LEFT(_xlpm.spell, 7)="Uvi_Wig", "", ";"),
  ";" &amp; IF(C2494="", B2494, C2494) &amp; IF(M2494="", "", " ("&amp;M2494&amp;")") &amp; CHAR(10) &amp;
  _xlpm.vanillaPrefix &amp; "Keyword = Uvi_Wig_Distr_KYWD|" &amp; B2494 &amp; CHAR(10) &amp;
  _xlpm.vanillaPrefix &amp; "Spell = " &amp; _xlpm.spell &amp; "|" &amp; B2494
  )
)</f>
        <v>;EncBandit05MagicNordM
;Keyword = Uvi_Wig_Distr_KYWD|EncBandit05MagicNordM
;Spell = No Spell for Hairstyle|EncBandit05MagicNordM</v>
      </c>
    </row>
    <row r="2495" ht="12.75" customHeight="1">
      <c r="A2495" s="5" t="s">
        <v>7360</v>
      </c>
      <c r="B2495" s="5" t="s">
        <v>7361</v>
      </c>
      <c r="D2495" s="5" t="s">
        <v>59</v>
      </c>
      <c r="E2495" s="5" t="s">
        <v>41</v>
      </c>
      <c r="F2495" s="5" t="s">
        <v>69</v>
      </c>
      <c r="G2495" s="14" t="str">
        <f t="array" ref="G2495">IF(B2495="", "",
  LET(_xlpm.spell, IFERROR(IF(F2495="", "", INDEX(_xlws.FILTER(Hairstyles!$F:$F, ISNUMBER(SEARCH(F2495, Hairstyles!$B:$B))), 1)), "No Spell for Hairstyle"),
  _xlpm.vanillaPrefix, IF(LEFT(_xlpm.spell, 7)="Uvi_Wig", "", ";"),
  ";" &amp; IF(C2495="", B2495, C2495) &amp; IF(M2495="", "", " ("&amp;M2495&amp;")") &amp; CHAR(10) &amp;
  _xlpm.vanillaPrefix &amp; "Keyword = Uvi_Wig_Distr_KYWD|" &amp; B2495 &amp; CHAR(10) &amp;
  _xlpm.vanillaPrefix &amp; "Spell = " &amp; _xlpm.spell &amp; "|" &amp; B2495
  )
)</f>
        <v>;EncBandit05Melee1HImperialF
;Keyword = Uvi_Wig_Distr_KYWD|EncBandit05Melee1HImperialF
;Spell = No Spell for Hairstyle|EncBandit05Melee1HImperialF</v>
      </c>
    </row>
    <row r="2496" ht="12.75" customHeight="1">
      <c r="A2496" s="5" t="s">
        <v>7362</v>
      </c>
      <c r="B2496" s="5" t="s">
        <v>7363</v>
      </c>
      <c r="D2496" s="5" t="s">
        <v>59</v>
      </c>
      <c r="E2496" s="5" t="s">
        <v>233</v>
      </c>
      <c r="F2496" s="5" t="s">
        <v>84</v>
      </c>
      <c r="G2496" s="14" t="str">
        <f t="array" ref="G2496">IF(B2496="", "",
  LET(_xlpm.spell, IFERROR(IF(F2496="", "", INDEX(_xlws.FILTER(Hairstyles!$F:$F, ISNUMBER(SEARCH(F2496, Hairstyles!$B:$B))), 1)), "No Spell for Hairstyle"),
  _xlpm.vanillaPrefix, IF(LEFT(_xlpm.spell, 7)="Uvi_Wig", "", ";"),
  ";" &amp; IF(C2496="", B2496, C2496) &amp; IF(M2496="", "", " ("&amp;M2496&amp;")") &amp; CHAR(10) &amp;
  _xlpm.vanillaPrefix &amp; "Keyword = Uvi_Wig_Distr_KYWD|" &amp; B2496 &amp; CHAR(10) &amp;
  _xlpm.vanillaPrefix &amp; "Spell = " &amp; _xlpm.spell &amp; "|" &amp; B2496
  )
)</f>
        <v>;EncBandit05Melee1HImperialM
;Keyword = Uvi_Wig_Distr_KYWD|EncBandit05Melee1HImperialM
;Spell = No Spell for Hairstyle|EncBandit05Melee1HImperialM</v>
      </c>
    </row>
    <row r="2497" ht="12.75" customHeight="1">
      <c r="A2497" s="5" t="s">
        <v>7364</v>
      </c>
      <c r="B2497" s="5" t="s">
        <v>7365</v>
      </c>
      <c r="D2497" s="5" t="s">
        <v>65</v>
      </c>
      <c r="E2497" s="5" t="s">
        <v>233</v>
      </c>
      <c r="F2497" s="5" t="s">
        <v>1365</v>
      </c>
      <c r="G2497" s="14" t="str">
        <f t="array" ref="G2497">IF(B2497="", "",
  LET(_xlpm.spell, IFERROR(IF(F2497="", "", INDEX(_xlws.FILTER(Hairstyles!$F:$F, ISNUMBER(SEARCH(F2497, Hairstyles!$B:$B))), 1)), "No Spell for Hairstyle"),
  _xlpm.vanillaPrefix, IF(LEFT(_xlpm.spell, 7)="Uvi_Wig", "", ";"),
  ";" &amp; IF(C2497="", B2497, C2497) &amp; IF(M2497="", "", " ("&amp;M2497&amp;")") &amp; CHAR(10) &amp;
  _xlpm.vanillaPrefix &amp; "Keyword = Uvi_Wig_Distr_KYWD|" &amp; B2497 &amp; CHAR(10) &amp;
  _xlpm.vanillaPrefix &amp; "Spell = " &amp; _xlpm.spell &amp; "|" &amp; B2497
  )
)</f>
        <v>;EncBandit05Melee1HKhajiitM
;Keyword = Uvi_Wig_Distr_KYWD|EncBandit05Melee1HKhajiitM
;Spell = No Spell for Hairstyle|EncBandit05Melee1HKhajiitM</v>
      </c>
    </row>
    <row r="2498" ht="12.75" customHeight="1">
      <c r="A2498" s="5" t="s">
        <v>7366</v>
      </c>
      <c r="B2498" s="5" t="s">
        <v>7367</v>
      </c>
      <c r="D2498" s="5" t="s">
        <v>38</v>
      </c>
      <c r="E2498" s="5" t="s">
        <v>41</v>
      </c>
      <c r="F2498" s="5" t="s">
        <v>1759</v>
      </c>
      <c r="G2498" s="14" t="str">
        <f t="array" ref="G2498">IF(B2498="", "",
  LET(_xlpm.spell, IFERROR(IF(F2498="", "", INDEX(_xlws.FILTER(Hairstyles!$F:$F, ISNUMBER(SEARCH(F2498, Hairstyles!$B:$B))), 1)), "No Spell for Hairstyle"),
  _xlpm.vanillaPrefix, IF(LEFT(_xlpm.spell, 7)="Uvi_Wig", "", ";"),
  ";" &amp; IF(C2498="", B2498, C2498) &amp; IF(M2498="", "", " ("&amp;M2498&amp;")") &amp; CHAR(10) &amp;
  _xlpm.vanillaPrefix &amp; "Keyword = Uvi_Wig_Distr_KYWD|" &amp; B2498 &amp; CHAR(10) &amp;
  _xlpm.vanillaPrefix &amp; "Spell = " &amp; _xlpm.spell &amp; "|" &amp; B2498
  )
)</f>
        <v>;EncBandit05Melee1HNordF
;Keyword = Uvi_Wig_Distr_KYWD|EncBandit05Melee1HNordF
;Spell = No Spell for Hairstyle|EncBandit05Melee1HNordF</v>
      </c>
    </row>
    <row r="2499" ht="12.75" customHeight="1">
      <c r="A2499" s="5" t="s">
        <v>7368</v>
      </c>
      <c r="B2499" s="5" t="s">
        <v>7369</v>
      </c>
      <c r="D2499" s="5" t="s">
        <v>38</v>
      </c>
      <c r="E2499" s="5" t="s">
        <v>233</v>
      </c>
      <c r="F2499" s="5" t="s">
        <v>762</v>
      </c>
      <c r="G2499" s="14" t="str">
        <f t="array" ref="G2499">IF(B2499="", "",
  LET(_xlpm.spell, IFERROR(IF(F2499="", "", INDEX(_xlws.FILTER(Hairstyles!$F:$F, ISNUMBER(SEARCH(F2499, Hairstyles!$B:$B))), 1)), "No Spell for Hairstyle"),
  _xlpm.vanillaPrefix, IF(LEFT(_xlpm.spell, 7)="Uvi_Wig", "", ";"),
  ";" &amp; IF(C2499="", B2499, C2499) &amp; IF(M2499="", "", " ("&amp;M2499&amp;")") &amp; CHAR(10) &amp;
  _xlpm.vanillaPrefix &amp; "Keyword = Uvi_Wig_Distr_KYWD|" &amp; B2499 &amp; CHAR(10) &amp;
  _xlpm.vanillaPrefix &amp; "Spell = " &amp; _xlpm.spell &amp; "|" &amp; B2499
  )
)</f>
        <v>;EncBandit05Melee1HNordM
;Keyword = Uvi_Wig_Distr_KYWD|EncBandit05Melee1HNordM
;Spell = No Spell for Hairstyle|EncBandit05Melee1HNordM</v>
      </c>
    </row>
    <row r="2500" ht="12.75" customHeight="1">
      <c r="A2500" s="5" t="s">
        <v>7370</v>
      </c>
      <c r="B2500" s="5" t="s">
        <v>7371</v>
      </c>
      <c r="D2500" s="5" t="s">
        <v>80</v>
      </c>
      <c r="E2500" s="5" t="s">
        <v>233</v>
      </c>
      <c r="F2500" s="5" t="s">
        <v>2229</v>
      </c>
      <c r="G2500" s="14" t="str">
        <f t="array" ref="G2500">IF(B2500="", "",
  LET(_xlpm.spell, IFERROR(IF(F2500="", "", INDEX(_xlws.FILTER(Hairstyles!$F:$F, ISNUMBER(SEARCH(F2500, Hairstyles!$B:$B))), 1)), "No Spell for Hairstyle"),
  _xlpm.vanillaPrefix, IF(LEFT(_xlpm.spell, 7)="Uvi_Wig", "", ";"),
  ";" &amp; IF(C2500="", B2500, C2500) &amp; IF(M2500="", "", " ("&amp;M2500&amp;")") &amp; CHAR(10) &amp;
  _xlpm.vanillaPrefix &amp; "Keyword = Uvi_Wig_Distr_KYWD|" &amp; B2500 &amp; CHAR(10) &amp;
  _xlpm.vanillaPrefix &amp; "Spell = " &amp; _xlpm.spell &amp; "|" &amp; B2500
  )
)</f>
        <v>;EncBandit05Melee1HOrcM
;Keyword = Uvi_Wig_Distr_KYWD|EncBandit05Melee1HOrcM
;Spell = No Spell for Hairstyle|EncBandit05Melee1HOrcM</v>
      </c>
    </row>
    <row r="2501" ht="12.75" customHeight="1">
      <c r="A2501" s="5" t="s">
        <v>7372</v>
      </c>
      <c r="B2501" s="5" t="s">
        <v>7373</v>
      </c>
      <c r="D2501" s="5" t="s">
        <v>83</v>
      </c>
      <c r="E2501" s="5" t="s">
        <v>41</v>
      </c>
      <c r="F2501" s="5" t="s">
        <v>905</v>
      </c>
      <c r="G2501" s="14" t="str">
        <f t="array" ref="G2501">IF(B2501="", "",
  LET(_xlpm.spell, IFERROR(IF(F2501="", "", INDEX(_xlws.FILTER(Hairstyles!$F:$F, ISNUMBER(SEARCH(F2501, Hairstyles!$B:$B))), 1)), "No Spell for Hairstyle"),
  _xlpm.vanillaPrefix, IF(LEFT(_xlpm.spell, 7)="Uvi_Wig", "", ";"),
  ";" &amp; IF(C2501="", B2501, C2501) &amp; IF(M2501="", "", " ("&amp;M2501&amp;")") &amp; CHAR(10) &amp;
  _xlpm.vanillaPrefix &amp; "Keyword = Uvi_Wig_Distr_KYWD|" &amp; B2501 &amp; CHAR(10) &amp;
  _xlpm.vanillaPrefix &amp; "Spell = " &amp; _xlpm.spell &amp; "|" &amp; B2501
  )
)</f>
        <v>;EncBandit05Melee1HRedguardF
;Keyword = Uvi_Wig_Distr_KYWD|EncBandit05Melee1HRedguardF
;Spell = No Spell for Hairstyle|EncBandit05Melee1HRedguardF</v>
      </c>
    </row>
    <row r="2502" ht="12.75" customHeight="1">
      <c r="A2502" s="5" t="s">
        <v>7374</v>
      </c>
      <c r="B2502" s="5" t="s">
        <v>7375</v>
      </c>
      <c r="D2502" s="5" t="s">
        <v>83</v>
      </c>
      <c r="E2502" s="5" t="s">
        <v>233</v>
      </c>
      <c r="F2502" s="5" t="s">
        <v>762</v>
      </c>
      <c r="G2502" s="14" t="str">
        <f t="array" ref="G2502">IF(B2502="", "",
  LET(_xlpm.spell, IFERROR(IF(F2502="", "", INDEX(_xlws.FILTER(Hairstyles!$F:$F, ISNUMBER(SEARCH(F2502, Hairstyles!$B:$B))), 1)), "No Spell for Hairstyle"),
  _xlpm.vanillaPrefix, IF(LEFT(_xlpm.spell, 7)="Uvi_Wig", "", ";"),
  ";" &amp; IF(C2502="", B2502, C2502) &amp; IF(M2502="", "", " ("&amp;M2502&amp;")") &amp; CHAR(10) &amp;
  _xlpm.vanillaPrefix &amp; "Keyword = Uvi_Wig_Distr_KYWD|" &amp; B2502 &amp; CHAR(10) &amp;
  _xlpm.vanillaPrefix &amp; "Spell = " &amp; _xlpm.spell &amp; "|" &amp; B2502
  )
)</f>
        <v>;EncBandit05Melee1HRedguardM
;Keyword = Uvi_Wig_Distr_KYWD|EncBandit05Melee1HRedguardM
;Spell = No Spell for Hairstyle|EncBandit05Melee1HRedguardM</v>
      </c>
    </row>
    <row r="2503" ht="12.75" customHeight="1">
      <c r="A2503" s="5" t="s">
        <v>7376</v>
      </c>
      <c r="B2503" s="5" t="s">
        <v>7377</v>
      </c>
      <c r="D2503" s="5" t="s">
        <v>59</v>
      </c>
      <c r="E2503" s="5" t="s">
        <v>41</v>
      </c>
      <c r="F2503" s="5" t="s">
        <v>69</v>
      </c>
      <c r="G2503" s="14" t="str">
        <f t="array" ref="G2503">IF(B2503="", "",
  LET(_xlpm.spell, IFERROR(IF(F2503="", "", INDEX(_xlws.FILTER(Hairstyles!$F:$F, ISNUMBER(SEARCH(F2503, Hairstyles!$B:$B))), 1)), "No Spell for Hairstyle"),
  _xlpm.vanillaPrefix, IF(LEFT(_xlpm.spell, 7)="Uvi_Wig", "", ";"),
  ";" &amp; IF(C2503="", B2503, C2503) &amp; IF(M2503="", "", " ("&amp;M2503&amp;")") &amp; CHAR(10) &amp;
  _xlpm.vanillaPrefix &amp; "Keyword = Uvi_Wig_Distr_KYWD|" &amp; B2503 &amp; CHAR(10) &amp;
  _xlpm.vanillaPrefix &amp; "Spell = " &amp; _xlpm.spell &amp; "|" &amp; B2503
  )
)</f>
        <v>;EncBandit05Melee1HTankImperialF
;Keyword = Uvi_Wig_Distr_KYWD|EncBandit05Melee1HTankImperialF
;Spell = No Spell for Hairstyle|EncBandit05Melee1HTankImperialF</v>
      </c>
    </row>
    <row r="2504" ht="12.75" customHeight="1">
      <c r="A2504" s="5" t="s">
        <v>7378</v>
      </c>
      <c r="B2504" s="5" t="s">
        <v>7379</v>
      </c>
      <c r="D2504" s="5" t="s">
        <v>59</v>
      </c>
      <c r="E2504" s="5" t="s">
        <v>233</v>
      </c>
      <c r="F2504" s="5" t="s">
        <v>84</v>
      </c>
      <c r="G2504" s="14" t="str">
        <f t="array" ref="G2504">IF(B2504="", "",
  LET(_xlpm.spell, IFERROR(IF(F2504="", "", INDEX(_xlws.FILTER(Hairstyles!$F:$F, ISNUMBER(SEARCH(F2504, Hairstyles!$B:$B))), 1)), "No Spell for Hairstyle"),
  _xlpm.vanillaPrefix, IF(LEFT(_xlpm.spell, 7)="Uvi_Wig", "", ";"),
  ";" &amp; IF(C2504="", B2504, C2504) &amp; IF(M2504="", "", " ("&amp;M2504&amp;")") &amp; CHAR(10) &amp;
  _xlpm.vanillaPrefix &amp; "Keyword = Uvi_Wig_Distr_KYWD|" &amp; B2504 &amp; CHAR(10) &amp;
  _xlpm.vanillaPrefix &amp; "Spell = " &amp; _xlpm.spell &amp; "|" &amp; B2504
  )
)</f>
        <v>;EncBandit05Melee1HTankImperialM
;Keyword = Uvi_Wig_Distr_KYWD|EncBandit05Melee1HTankImperialM
;Spell = No Spell for Hairstyle|EncBandit05Melee1HTankImperialM</v>
      </c>
    </row>
    <row r="2505" ht="12.75" customHeight="1">
      <c r="A2505" s="5" t="s">
        <v>7380</v>
      </c>
      <c r="B2505" s="5" t="s">
        <v>7381</v>
      </c>
      <c r="D2505" s="5" t="s">
        <v>38</v>
      </c>
      <c r="E2505" s="5" t="s">
        <v>41</v>
      </c>
      <c r="F2505" s="5" t="s">
        <v>1759</v>
      </c>
      <c r="G2505" s="14" t="str">
        <f t="array" ref="G2505">IF(B2505="", "",
  LET(_xlpm.spell, IFERROR(IF(F2505="", "", INDEX(_xlws.FILTER(Hairstyles!$F:$F, ISNUMBER(SEARCH(F2505, Hairstyles!$B:$B))), 1)), "No Spell for Hairstyle"),
  _xlpm.vanillaPrefix, IF(LEFT(_xlpm.spell, 7)="Uvi_Wig", "", ";"),
  ";" &amp; IF(C2505="", B2505, C2505) &amp; IF(M2505="", "", " ("&amp;M2505&amp;")") &amp; CHAR(10) &amp;
  _xlpm.vanillaPrefix &amp; "Keyword = Uvi_Wig_Distr_KYWD|" &amp; B2505 &amp; CHAR(10) &amp;
  _xlpm.vanillaPrefix &amp; "Spell = " &amp; _xlpm.spell &amp; "|" &amp; B2505
  )
)</f>
        <v>;EncBandit05Melee1HTankNordF
;Keyword = Uvi_Wig_Distr_KYWD|EncBandit05Melee1HTankNordF
;Spell = No Spell for Hairstyle|EncBandit05Melee1HTankNordF</v>
      </c>
    </row>
    <row r="2506" ht="12.75" customHeight="1">
      <c r="A2506" s="5" t="s">
        <v>7382</v>
      </c>
      <c r="B2506" s="5" t="s">
        <v>7383</v>
      </c>
      <c r="D2506" s="5" t="s">
        <v>38</v>
      </c>
      <c r="E2506" s="5" t="s">
        <v>233</v>
      </c>
      <c r="F2506" s="5" t="s">
        <v>762</v>
      </c>
      <c r="G2506" s="14" t="str">
        <f t="array" ref="G2506">IF(B2506="", "",
  LET(_xlpm.spell, IFERROR(IF(F2506="", "", INDEX(_xlws.FILTER(Hairstyles!$F:$F, ISNUMBER(SEARCH(F2506, Hairstyles!$B:$B))), 1)), "No Spell for Hairstyle"),
  _xlpm.vanillaPrefix, IF(LEFT(_xlpm.spell, 7)="Uvi_Wig", "", ";"),
  ";" &amp; IF(C2506="", B2506, C2506) &amp; IF(M2506="", "", " ("&amp;M2506&amp;")") &amp; CHAR(10) &amp;
  _xlpm.vanillaPrefix &amp; "Keyword = Uvi_Wig_Distr_KYWD|" &amp; B2506 &amp; CHAR(10) &amp;
  _xlpm.vanillaPrefix &amp; "Spell = " &amp; _xlpm.spell &amp; "|" &amp; B2506
  )
)</f>
        <v>;EncBandit05Melee1HTankNordM
;Keyword = Uvi_Wig_Distr_KYWD|EncBandit05Melee1HTankNordM
;Spell = No Spell for Hairstyle|EncBandit05Melee1HTankNordM</v>
      </c>
    </row>
    <row r="2507" ht="12.75" customHeight="1">
      <c r="A2507" s="5" t="s">
        <v>7384</v>
      </c>
      <c r="B2507" s="5" t="s">
        <v>7385</v>
      </c>
      <c r="D2507" s="5" t="s">
        <v>80</v>
      </c>
      <c r="E2507" s="5" t="s">
        <v>233</v>
      </c>
      <c r="F2507" s="5" t="s">
        <v>2229</v>
      </c>
      <c r="G2507" s="14" t="str">
        <f t="array" ref="G2507">IF(B2507="", "",
  LET(_xlpm.spell, IFERROR(IF(F2507="", "", INDEX(_xlws.FILTER(Hairstyles!$F:$F, ISNUMBER(SEARCH(F2507, Hairstyles!$B:$B))), 1)), "No Spell for Hairstyle"),
  _xlpm.vanillaPrefix, IF(LEFT(_xlpm.spell, 7)="Uvi_Wig", "", ";"),
  ";" &amp; IF(C2507="", B2507, C2507) &amp; IF(M2507="", "", " ("&amp;M2507&amp;")") &amp; CHAR(10) &amp;
  _xlpm.vanillaPrefix &amp; "Keyword = Uvi_Wig_Distr_KYWD|" &amp; B2507 &amp; CHAR(10) &amp;
  _xlpm.vanillaPrefix &amp; "Spell = " &amp; _xlpm.spell &amp; "|" &amp; B2507
  )
)</f>
        <v>;EncBandit05Melee1HTankOrcM
;Keyword = Uvi_Wig_Distr_KYWD|EncBandit05Melee1HTankOrcM
;Spell = No Spell for Hairstyle|EncBandit05Melee1HTankOrcM</v>
      </c>
    </row>
    <row r="2508" ht="12.75" customHeight="1">
      <c r="A2508" s="5" t="s">
        <v>7386</v>
      </c>
      <c r="B2508" s="5" t="s">
        <v>7387</v>
      </c>
      <c r="D2508" s="5" t="s">
        <v>83</v>
      </c>
      <c r="E2508" s="5" t="s">
        <v>41</v>
      </c>
      <c r="F2508" s="5" t="s">
        <v>905</v>
      </c>
      <c r="G2508" s="14" t="str">
        <f t="array" ref="G2508">IF(B2508="", "",
  LET(_xlpm.spell, IFERROR(IF(F2508="", "", INDEX(_xlws.FILTER(Hairstyles!$F:$F, ISNUMBER(SEARCH(F2508, Hairstyles!$B:$B))), 1)), "No Spell for Hairstyle"),
  _xlpm.vanillaPrefix, IF(LEFT(_xlpm.spell, 7)="Uvi_Wig", "", ";"),
  ";" &amp; IF(C2508="", B2508, C2508) &amp; IF(M2508="", "", " ("&amp;M2508&amp;")") &amp; CHAR(10) &amp;
  _xlpm.vanillaPrefix &amp; "Keyword = Uvi_Wig_Distr_KYWD|" &amp; B2508 &amp; CHAR(10) &amp;
  _xlpm.vanillaPrefix &amp; "Spell = " &amp; _xlpm.spell &amp; "|" &amp; B2508
  )
)</f>
        <v>;EncBandit05Melee1HTankRedguardF
;Keyword = Uvi_Wig_Distr_KYWD|EncBandit05Melee1HTankRedguardF
;Spell = No Spell for Hairstyle|EncBandit05Melee1HTankRedguardF</v>
      </c>
    </row>
    <row r="2509" ht="12.75" customHeight="1">
      <c r="A2509" s="5" t="s">
        <v>7388</v>
      </c>
      <c r="B2509" s="5" t="s">
        <v>7389</v>
      </c>
      <c r="D2509" s="5" t="s">
        <v>83</v>
      </c>
      <c r="E2509" s="5" t="s">
        <v>233</v>
      </c>
      <c r="F2509" s="5" t="s">
        <v>762</v>
      </c>
      <c r="G2509" s="14" t="str">
        <f t="array" ref="G2509">IF(B2509="", "",
  LET(_xlpm.spell, IFERROR(IF(F2509="", "", INDEX(_xlws.FILTER(Hairstyles!$F:$F, ISNUMBER(SEARCH(F2509, Hairstyles!$B:$B))), 1)), "No Spell for Hairstyle"),
  _xlpm.vanillaPrefix, IF(LEFT(_xlpm.spell, 7)="Uvi_Wig", "", ";"),
  ";" &amp; IF(C2509="", B2509, C2509) &amp; IF(M2509="", "", " ("&amp;M2509&amp;")") &amp; CHAR(10) &amp;
  _xlpm.vanillaPrefix &amp; "Keyword = Uvi_Wig_Distr_KYWD|" &amp; B2509 &amp; CHAR(10) &amp;
  _xlpm.vanillaPrefix &amp; "Spell = " &amp; _xlpm.spell &amp; "|" &amp; B2509
  )
)</f>
        <v>;EncBandit05Melee1HTankRedguardM
;Keyword = Uvi_Wig_Distr_KYWD|EncBandit05Melee1HTankRedguardM
;Spell = No Spell for Hairstyle|EncBandit05Melee1HTankRedguardM</v>
      </c>
    </row>
    <row r="2510" ht="12.75" customHeight="1">
      <c r="A2510" s="5" t="s">
        <v>7390</v>
      </c>
      <c r="B2510" s="5" t="s">
        <v>7391</v>
      </c>
      <c r="D2510" s="5" t="s">
        <v>38</v>
      </c>
      <c r="E2510" s="5" t="s">
        <v>41</v>
      </c>
      <c r="F2510" s="5" t="s">
        <v>1759</v>
      </c>
      <c r="G2510" s="14" t="str">
        <f t="array" ref="G2510">IF(B2510="", "",
  LET(_xlpm.spell, IFERROR(IF(F2510="", "", INDEX(_xlws.FILTER(Hairstyles!$F:$F, ISNUMBER(SEARCH(F2510, Hairstyles!$B:$B))), 1)), "No Spell for Hairstyle"),
  _xlpm.vanillaPrefix, IF(LEFT(_xlpm.spell, 7)="Uvi_Wig", "", ";"),
  ";" &amp; IF(C2510="", B2510, C2510) &amp; IF(M2510="", "", " ("&amp;M2510&amp;")") &amp; CHAR(10) &amp;
  _xlpm.vanillaPrefix &amp; "Keyword = Uvi_Wig_Distr_KYWD|" &amp; B2510 &amp; CHAR(10) &amp;
  _xlpm.vanillaPrefix &amp; "Spell = " &amp; _xlpm.spell &amp; "|" &amp; B2510
  )
)</f>
        <v>;EncBandit05Melee2HBerserkNordF
;Keyword = Uvi_Wig_Distr_KYWD|EncBandit05Melee2HBerserkNordF
;Spell = No Spell for Hairstyle|EncBandit05Melee2HBerserkNordF</v>
      </c>
    </row>
    <row r="2511" ht="12.75" customHeight="1">
      <c r="A2511" s="5" t="s">
        <v>7392</v>
      </c>
      <c r="B2511" s="5" t="s">
        <v>7393</v>
      </c>
      <c r="D2511" s="5" t="s">
        <v>38</v>
      </c>
      <c r="E2511" s="5" t="s">
        <v>233</v>
      </c>
      <c r="F2511" s="5" t="s">
        <v>762</v>
      </c>
      <c r="G2511" s="14" t="str">
        <f t="array" ref="G2511">IF(B2511="", "",
  LET(_xlpm.spell, IFERROR(IF(F2511="", "", INDEX(_xlws.FILTER(Hairstyles!$F:$F, ISNUMBER(SEARCH(F2511, Hairstyles!$B:$B))), 1)), "No Spell for Hairstyle"),
  _xlpm.vanillaPrefix, IF(LEFT(_xlpm.spell, 7)="Uvi_Wig", "", ";"),
  ";" &amp; IF(C2511="", B2511, C2511) &amp; IF(M2511="", "", " ("&amp;M2511&amp;")") &amp; CHAR(10) &amp;
  _xlpm.vanillaPrefix &amp; "Keyword = Uvi_Wig_Distr_KYWD|" &amp; B2511 &amp; CHAR(10) &amp;
  _xlpm.vanillaPrefix &amp; "Spell = " &amp; _xlpm.spell &amp; "|" &amp; B2511
  )
)</f>
        <v>;EncBandit05Melee2HBerserkNordM
;Keyword = Uvi_Wig_Distr_KYWD|EncBandit05Melee2HBerserkNordM
;Spell = No Spell for Hairstyle|EncBandit05Melee2HBerserkNordM</v>
      </c>
    </row>
    <row r="2512" ht="12.75" customHeight="1">
      <c r="A2512" s="5" t="s">
        <v>7394</v>
      </c>
      <c r="B2512" s="5" t="s">
        <v>7395</v>
      </c>
      <c r="D2512" s="5" t="s">
        <v>80</v>
      </c>
      <c r="E2512" s="5" t="s">
        <v>233</v>
      </c>
      <c r="F2512" s="5" t="s">
        <v>2229</v>
      </c>
      <c r="G2512" s="14" t="str">
        <f t="array" ref="G2512">IF(B2512="", "",
  LET(_xlpm.spell, IFERROR(IF(F2512="", "", INDEX(_xlws.FILTER(Hairstyles!$F:$F, ISNUMBER(SEARCH(F2512, Hairstyles!$B:$B))), 1)), "No Spell for Hairstyle"),
  _xlpm.vanillaPrefix, IF(LEFT(_xlpm.spell, 7)="Uvi_Wig", "", ";"),
  ";" &amp; IF(C2512="", B2512, C2512) &amp; IF(M2512="", "", " ("&amp;M2512&amp;")") &amp; CHAR(10) &amp;
  _xlpm.vanillaPrefix &amp; "Keyword = Uvi_Wig_Distr_KYWD|" &amp; B2512 &amp; CHAR(10) &amp;
  _xlpm.vanillaPrefix &amp; "Spell = " &amp; _xlpm.spell &amp; "|" &amp; B2512
  )
)</f>
        <v>;EncBandit05Melee2HBerserkOrcM
;Keyword = Uvi_Wig_Distr_KYWD|EncBandit05Melee2HBerserkOrcM
;Spell = No Spell for Hairstyle|EncBandit05Melee2HBerserkOrcM</v>
      </c>
    </row>
    <row r="2513" ht="12.75" customHeight="1">
      <c r="A2513" s="5" t="s">
        <v>7396</v>
      </c>
      <c r="B2513" s="5" t="s">
        <v>7397</v>
      </c>
      <c r="D2513" s="5" t="s">
        <v>83</v>
      </c>
      <c r="E2513" s="5" t="s">
        <v>41</v>
      </c>
      <c r="F2513" s="5" t="s">
        <v>905</v>
      </c>
      <c r="G2513" s="14" t="str">
        <f t="array" ref="G2513">IF(B2513="", "",
  LET(_xlpm.spell, IFERROR(IF(F2513="", "", INDEX(_xlws.FILTER(Hairstyles!$F:$F, ISNUMBER(SEARCH(F2513, Hairstyles!$B:$B))), 1)), "No Spell for Hairstyle"),
  _xlpm.vanillaPrefix, IF(LEFT(_xlpm.spell, 7)="Uvi_Wig", "", ";"),
  ";" &amp; IF(C2513="", B2513, C2513) &amp; IF(M2513="", "", " ("&amp;M2513&amp;")") &amp; CHAR(10) &amp;
  _xlpm.vanillaPrefix &amp; "Keyword = Uvi_Wig_Distr_KYWD|" &amp; B2513 &amp; CHAR(10) &amp;
  _xlpm.vanillaPrefix &amp; "Spell = " &amp; _xlpm.spell &amp; "|" &amp; B2513
  )
)</f>
        <v>;EncBandit05Melee2HBerserkRedguardF
;Keyword = Uvi_Wig_Distr_KYWD|EncBandit05Melee2HBerserkRedguardF
;Spell = No Spell for Hairstyle|EncBandit05Melee2HBerserkRedguardF</v>
      </c>
    </row>
    <row r="2514" ht="12.75" customHeight="1">
      <c r="A2514" s="5" t="s">
        <v>7398</v>
      </c>
      <c r="B2514" s="5" t="s">
        <v>7399</v>
      </c>
      <c r="D2514" s="5" t="s">
        <v>83</v>
      </c>
      <c r="E2514" s="5" t="s">
        <v>233</v>
      </c>
      <c r="F2514" s="5" t="s">
        <v>762</v>
      </c>
      <c r="G2514" s="14" t="str">
        <f t="array" ref="G2514">IF(B2514="", "",
  LET(_xlpm.spell, IFERROR(IF(F2514="", "", INDEX(_xlws.FILTER(Hairstyles!$F:$F, ISNUMBER(SEARCH(F2514, Hairstyles!$B:$B))), 1)), "No Spell for Hairstyle"),
  _xlpm.vanillaPrefix, IF(LEFT(_xlpm.spell, 7)="Uvi_Wig", "", ";"),
  ";" &amp; IF(C2514="", B2514, C2514) &amp; IF(M2514="", "", " ("&amp;M2514&amp;")") &amp; CHAR(10) &amp;
  _xlpm.vanillaPrefix &amp; "Keyword = Uvi_Wig_Distr_KYWD|" &amp; B2514 &amp; CHAR(10) &amp;
  _xlpm.vanillaPrefix &amp; "Spell = " &amp; _xlpm.spell &amp; "|" &amp; B2514
  )
)</f>
        <v>;EncBandit05Melee2HBerserkRedguardM
;Keyword = Uvi_Wig_Distr_KYWD|EncBandit05Melee2HBerserkRedguardM
;Spell = No Spell for Hairstyle|EncBandit05Melee2HBerserkRedguardM</v>
      </c>
    </row>
    <row r="2515" ht="12.75" customHeight="1">
      <c r="A2515" s="5" t="s">
        <v>7400</v>
      </c>
      <c r="B2515" s="5" t="s">
        <v>7401</v>
      </c>
      <c r="D2515" s="5" t="s">
        <v>38</v>
      </c>
      <c r="E2515" s="5" t="s">
        <v>41</v>
      </c>
      <c r="F2515" s="5" t="s">
        <v>1759</v>
      </c>
      <c r="G2515" s="14" t="str">
        <f t="array" ref="G2515">IF(B2515="", "",
  LET(_xlpm.spell, IFERROR(IF(F2515="", "", INDEX(_xlws.FILTER(Hairstyles!$F:$F, ISNUMBER(SEARCH(F2515, Hairstyles!$B:$B))), 1)), "No Spell for Hairstyle"),
  _xlpm.vanillaPrefix, IF(LEFT(_xlpm.spell, 7)="Uvi_Wig", "", ";"),
  ";" &amp; IF(C2515="", B2515, C2515) &amp; IF(M2515="", "", " ("&amp;M2515&amp;")") &amp; CHAR(10) &amp;
  _xlpm.vanillaPrefix &amp; "Keyword = Uvi_Wig_Distr_KYWD|" &amp; B2515 &amp; CHAR(10) &amp;
  _xlpm.vanillaPrefix &amp; "Spell = " &amp; _xlpm.spell &amp; "|" &amp; B2515
  )
)</f>
        <v>;EncBandit05Melee2HNordF
;Keyword = Uvi_Wig_Distr_KYWD|EncBandit05Melee2HNordF
;Spell = No Spell for Hairstyle|EncBandit05Melee2HNordF</v>
      </c>
    </row>
    <row r="2516" ht="12.75" customHeight="1">
      <c r="A2516" s="5" t="s">
        <v>7402</v>
      </c>
      <c r="B2516" s="5" t="s">
        <v>7403</v>
      </c>
      <c r="D2516" s="5" t="s">
        <v>38</v>
      </c>
      <c r="E2516" s="5" t="s">
        <v>233</v>
      </c>
      <c r="F2516" s="5" t="s">
        <v>762</v>
      </c>
      <c r="G2516" s="14" t="str">
        <f t="array" ref="G2516">IF(B2516="", "",
  LET(_xlpm.spell, IFERROR(IF(F2516="", "", INDEX(_xlws.FILTER(Hairstyles!$F:$F, ISNUMBER(SEARCH(F2516, Hairstyles!$B:$B))), 1)), "No Spell for Hairstyle"),
  _xlpm.vanillaPrefix, IF(LEFT(_xlpm.spell, 7)="Uvi_Wig", "", ";"),
  ";" &amp; IF(C2516="", B2516, C2516) &amp; IF(M2516="", "", " ("&amp;M2516&amp;")") &amp; CHAR(10) &amp;
  _xlpm.vanillaPrefix &amp; "Keyword = Uvi_Wig_Distr_KYWD|" &amp; B2516 &amp; CHAR(10) &amp;
  _xlpm.vanillaPrefix &amp; "Spell = " &amp; _xlpm.spell &amp; "|" &amp; B2516
  )
)</f>
        <v>;EncBandit05Melee2HNordM
;Keyword = Uvi_Wig_Distr_KYWD|EncBandit05Melee2HNordM
;Spell = No Spell for Hairstyle|EncBandit05Melee2HNordM</v>
      </c>
    </row>
    <row r="2517" ht="12.75" customHeight="1">
      <c r="A2517" s="5" t="s">
        <v>7404</v>
      </c>
      <c r="B2517" s="5" t="s">
        <v>7405</v>
      </c>
      <c r="D2517" s="5" t="s">
        <v>80</v>
      </c>
      <c r="E2517" s="5" t="s">
        <v>233</v>
      </c>
      <c r="F2517" s="5" t="s">
        <v>2229</v>
      </c>
      <c r="G2517" s="14" t="str">
        <f t="array" ref="G2517">IF(B2517="", "",
  LET(_xlpm.spell, IFERROR(IF(F2517="", "", INDEX(_xlws.FILTER(Hairstyles!$F:$F, ISNUMBER(SEARCH(F2517, Hairstyles!$B:$B))), 1)), "No Spell for Hairstyle"),
  _xlpm.vanillaPrefix, IF(LEFT(_xlpm.spell, 7)="Uvi_Wig", "", ";"),
  ";" &amp; IF(C2517="", B2517, C2517) &amp; IF(M2517="", "", " ("&amp;M2517&amp;")") &amp; CHAR(10) &amp;
  _xlpm.vanillaPrefix &amp; "Keyword = Uvi_Wig_Distr_KYWD|" &amp; B2517 &amp; CHAR(10) &amp;
  _xlpm.vanillaPrefix &amp; "Spell = " &amp; _xlpm.spell &amp; "|" &amp; B2517
  )
)</f>
        <v>;EncBandit05Melee2HOrcM
;Keyword = Uvi_Wig_Distr_KYWD|EncBandit05Melee2HOrcM
;Spell = No Spell for Hairstyle|EncBandit05Melee2HOrcM</v>
      </c>
    </row>
    <row r="2518" ht="12.75" customHeight="1">
      <c r="A2518" s="5" t="s">
        <v>7406</v>
      </c>
      <c r="B2518" s="5" t="s">
        <v>7407</v>
      </c>
      <c r="D2518" s="5" t="s">
        <v>83</v>
      </c>
      <c r="E2518" s="5" t="s">
        <v>41</v>
      </c>
      <c r="F2518" s="5" t="s">
        <v>905</v>
      </c>
      <c r="G2518" s="14" t="str">
        <f t="array" ref="G2518">IF(B2518="", "",
  LET(_xlpm.spell, IFERROR(IF(F2518="", "", INDEX(_xlws.FILTER(Hairstyles!$F:$F, ISNUMBER(SEARCH(F2518, Hairstyles!$B:$B))), 1)), "No Spell for Hairstyle"),
  _xlpm.vanillaPrefix, IF(LEFT(_xlpm.spell, 7)="Uvi_Wig", "", ";"),
  ";" &amp; IF(C2518="", B2518, C2518) &amp; IF(M2518="", "", " ("&amp;M2518&amp;")") &amp; CHAR(10) &amp;
  _xlpm.vanillaPrefix &amp; "Keyword = Uvi_Wig_Distr_KYWD|" &amp; B2518 &amp; CHAR(10) &amp;
  _xlpm.vanillaPrefix &amp; "Spell = " &amp; _xlpm.spell &amp; "|" &amp; B2518
  )
)</f>
        <v>;EncBandit05Melee2HRedguardF
;Keyword = Uvi_Wig_Distr_KYWD|EncBandit05Melee2HRedguardF
;Spell = No Spell for Hairstyle|EncBandit05Melee2HRedguardF</v>
      </c>
    </row>
    <row r="2519" ht="12.75" customHeight="1">
      <c r="A2519" s="5" t="s">
        <v>7408</v>
      </c>
      <c r="B2519" s="5" t="s">
        <v>7409</v>
      </c>
      <c r="D2519" s="5" t="s">
        <v>83</v>
      </c>
      <c r="E2519" s="5" t="s">
        <v>233</v>
      </c>
      <c r="F2519" s="5" t="s">
        <v>762</v>
      </c>
      <c r="G2519" s="14" t="str">
        <f t="array" ref="G2519">IF(B2519="", "",
  LET(_xlpm.spell, IFERROR(IF(F2519="", "", INDEX(_xlws.FILTER(Hairstyles!$F:$F, ISNUMBER(SEARCH(F2519, Hairstyles!$B:$B))), 1)), "No Spell for Hairstyle"),
  _xlpm.vanillaPrefix, IF(LEFT(_xlpm.spell, 7)="Uvi_Wig", "", ";"),
  ";" &amp; IF(C2519="", B2519, C2519) &amp; IF(M2519="", "", " ("&amp;M2519&amp;")") &amp; CHAR(10) &amp;
  _xlpm.vanillaPrefix &amp; "Keyword = Uvi_Wig_Distr_KYWD|" &amp; B2519 &amp; CHAR(10) &amp;
  _xlpm.vanillaPrefix &amp; "Spell = " &amp; _xlpm.spell &amp; "|" &amp; B2519
  )
)</f>
        <v>;EncBandit05Melee2HRedguardM
;Keyword = Uvi_Wig_Distr_KYWD|EncBandit05Melee2HRedguardM
;Spell = No Spell for Hairstyle|EncBandit05Melee2HRedguardM</v>
      </c>
    </row>
    <row r="2520" ht="12.75" customHeight="1">
      <c r="A2520" s="5" t="s">
        <v>7410</v>
      </c>
      <c r="B2520" s="5" t="s">
        <v>7411</v>
      </c>
      <c r="D2520" s="5" t="s">
        <v>59</v>
      </c>
      <c r="E2520" s="5" t="s">
        <v>41</v>
      </c>
      <c r="F2520" s="5" t="s">
        <v>1557</v>
      </c>
      <c r="G2520" s="14" t="str">
        <f t="array" ref="G2520">IF(B2520="", "",
  LET(_xlpm.spell, IFERROR(IF(F2520="", "", INDEX(_xlws.FILTER(Hairstyles!$F:$F, ISNUMBER(SEARCH(F2520, Hairstyles!$B:$B))), 1)), "No Spell for Hairstyle"),
  _xlpm.vanillaPrefix, IF(LEFT(_xlpm.spell, 7)="Uvi_Wig", "", ";"),
  ";" &amp; IF(C2520="", B2520, C2520) &amp; IF(M2520="", "", " ("&amp;M2520&amp;")") &amp; CHAR(10) &amp;
  _xlpm.vanillaPrefix &amp; "Keyword = Uvi_Wig_Distr_KYWD|" &amp; B2520 &amp; CHAR(10) &amp;
  _xlpm.vanillaPrefix &amp; "Spell = " &amp; _xlpm.spell &amp; "|" &amp; B2520
  )
)</f>
        <v>;EncBandit05MissileImperialF
;Keyword = Uvi_Wig_Distr_KYWD|EncBandit05MissileImperialF
;Spell = No Spell for Hairstyle|EncBandit05MissileImperialF</v>
      </c>
    </row>
    <row r="2521" ht="12.75" customHeight="1">
      <c r="A2521" s="5" t="s">
        <v>7412</v>
      </c>
      <c r="B2521" s="5" t="s">
        <v>7413</v>
      </c>
      <c r="D2521" s="5" t="s">
        <v>59</v>
      </c>
      <c r="E2521" s="5" t="s">
        <v>233</v>
      </c>
      <c r="F2521" s="5" t="s">
        <v>1700</v>
      </c>
      <c r="G2521" s="14" t="str">
        <f t="array" ref="G2521">IF(B2521="", "",
  LET(_xlpm.spell, IFERROR(IF(F2521="", "", INDEX(_xlws.FILTER(Hairstyles!$F:$F, ISNUMBER(SEARCH(F2521, Hairstyles!$B:$B))), 1)), "No Spell for Hairstyle"),
  _xlpm.vanillaPrefix, IF(LEFT(_xlpm.spell, 7)="Uvi_Wig", "", ";"),
  ";" &amp; IF(C2521="", B2521, C2521) &amp; IF(M2521="", "", " ("&amp;M2521&amp;")") &amp; CHAR(10) &amp;
  _xlpm.vanillaPrefix &amp; "Keyword = Uvi_Wig_Distr_KYWD|" &amp; B2521 &amp; CHAR(10) &amp;
  _xlpm.vanillaPrefix &amp; "Spell = " &amp; _xlpm.spell &amp; "|" &amp; B2521
  )
)</f>
        <v>;EncBandit05MissileImperialM
;Keyword = Uvi_Wig_Distr_KYWD|EncBandit05MissileImperialM
;Spell = No Spell for Hairstyle|EncBandit05MissileImperialM</v>
      </c>
    </row>
    <row r="2522" ht="12.75" customHeight="1">
      <c r="A2522" s="5" t="s">
        <v>7414</v>
      </c>
      <c r="B2522" s="5" t="s">
        <v>7415</v>
      </c>
      <c r="D2522" s="5" t="s">
        <v>65</v>
      </c>
      <c r="E2522" s="5" t="s">
        <v>233</v>
      </c>
      <c r="F2522" s="5" t="s">
        <v>1365</v>
      </c>
      <c r="G2522" s="14" t="str">
        <f t="array" ref="G2522">IF(B2522="", "",
  LET(_xlpm.spell, IFERROR(IF(F2522="", "", INDEX(_xlws.FILTER(Hairstyles!$F:$F, ISNUMBER(SEARCH(F2522, Hairstyles!$B:$B))), 1)), "No Spell for Hairstyle"),
  _xlpm.vanillaPrefix, IF(LEFT(_xlpm.spell, 7)="Uvi_Wig", "", ";"),
  ";" &amp; IF(C2522="", B2522, C2522) &amp; IF(M2522="", "", " ("&amp;M2522&amp;")") &amp; CHAR(10) &amp;
  _xlpm.vanillaPrefix &amp; "Keyword = Uvi_Wig_Distr_KYWD|" &amp; B2522 &amp; CHAR(10) &amp;
  _xlpm.vanillaPrefix &amp; "Spell = " &amp; _xlpm.spell &amp; "|" &amp; B2522
  )
)</f>
        <v>;EncBandit05MissileKhajiitM
;Keyword = Uvi_Wig_Distr_KYWD|EncBandit05MissileKhajiitM
;Spell = No Spell for Hairstyle|EncBandit05MissileKhajiitM</v>
      </c>
    </row>
    <row r="2523" ht="12.75" customHeight="1">
      <c r="A2523" s="5" t="s">
        <v>7416</v>
      </c>
      <c r="B2523" s="5" t="s">
        <v>7417</v>
      </c>
      <c r="D2523" s="5" t="s">
        <v>38</v>
      </c>
      <c r="E2523" s="5" t="s">
        <v>41</v>
      </c>
      <c r="F2523" s="5" t="s">
        <v>1822</v>
      </c>
      <c r="G2523" s="14" t="str">
        <f t="array" ref="G2523">IF(B2523="", "",
  LET(_xlpm.spell, IFERROR(IF(F2523="", "", INDEX(_xlws.FILTER(Hairstyles!$F:$F, ISNUMBER(SEARCH(F2523, Hairstyles!$B:$B))), 1)), "No Spell for Hairstyle"),
  _xlpm.vanillaPrefix, IF(LEFT(_xlpm.spell, 7)="Uvi_Wig", "", ";"),
  ";" &amp; IF(C2523="", B2523, C2523) &amp; IF(M2523="", "", " ("&amp;M2523&amp;")") &amp; CHAR(10) &amp;
  _xlpm.vanillaPrefix &amp; "Keyword = Uvi_Wig_Distr_KYWD|" &amp; B2523 &amp; CHAR(10) &amp;
  _xlpm.vanillaPrefix &amp; "Spell = " &amp; _xlpm.spell &amp; "|" &amp; B2523
  )
)</f>
        <v>;EncBandit05MissileNordF
;Keyword = Uvi_Wig_Distr_KYWD|EncBandit05MissileNordF
;Spell = No Spell for Hairstyle|EncBandit05MissileNordF</v>
      </c>
    </row>
    <row r="2524" ht="12.75" customHeight="1">
      <c r="A2524" s="5" t="s">
        <v>7418</v>
      </c>
      <c r="B2524" s="5" t="s">
        <v>7419</v>
      </c>
      <c r="D2524" s="5" t="s">
        <v>38</v>
      </c>
      <c r="E2524" s="5" t="s">
        <v>233</v>
      </c>
      <c r="F2524" s="5" t="s">
        <v>1678</v>
      </c>
      <c r="G2524" s="14" t="str">
        <f t="array" ref="G2524">IF(B2524="", "",
  LET(_xlpm.spell, IFERROR(IF(F2524="", "", INDEX(_xlws.FILTER(Hairstyles!$F:$F, ISNUMBER(SEARCH(F2524, Hairstyles!$B:$B))), 1)), "No Spell for Hairstyle"),
  _xlpm.vanillaPrefix, IF(LEFT(_xlpm.spell, 7)="Uvi_Wig", "", ";"),
  ";" &amp; IF(C2524="", B2524, C2524) &amp; IF(M2524="", "", " ("&amp;M2524&amp;")") &amp; CHAR(10) &amp;
  _xlpm.vanillaPrefix &amp; "Keyword = Uvi_Wig_Distr_KYWD|" &amp; B2524 &amp; CHAR(10) &amp;
  _xlpm.vanillaPrefix &amp; "Spell = " &amp; _xlpm.spell &amp; "|" &amp; B2524
  )
)</f>
        <v>;EncBandit05MissileNordM
;Keyword = Uvi_Wig_Distr_KYWD|EncBandit05MissileNordM
;Spell = No Spell for Hairstyle|EncBandit05MissileNordM</v>
      </c>
    </row>
    <row r="2525" ht="12.75" customHeight="1">
      <c r="A2525" s="5" t="s">
        <v>7420</v>
      </c>
      <c r="B2525" s="5" t="s">
        <v>7421</v>
      </c>
      <c r="D2525" s="5" t="s">
        <v>83</v>
      </c>
      <c r="E2525" s="5" t="s">
        <v>41</v>
      </c>
      <c r="F2525" s="5" t="s">
        <v>1694</v>
      </c>
      <c r="G2525" s="14" t="str">
        <f t="array" ref="G2525">IF(B2525="", "",
  LET(_xlpm.spell, IFERROR(IF(F2525="", "", INDEX(_xlws.FILTER(Hairstyles!$F:$F, ISNUMBER(SEARCH(F2525, Hairstyles!$B:$B))), 1)), "No Spell for Hairstyle"),
  _xlpm.vanillaPrefix, IF(LEFT(_xlpm.spell, 7)="Uvi_Wig", "", ";"),
  ";" &amp; IF(C2525="", B2525, C2525) &amp; IF(M2525="", "", " ("&amp;M2525&amp;")") &amp; CHAR(10) &amp;
  _xlpm.vanillaPrefix &amp; "Keyword = Uvi_Wig_Distr_KYWD|" &amp; B2525 &amp; CHAR(10) &amp;
  _xlpm.vanillaPrefix &amp; "Spell = " &amp; _xlpm.spell &amp; "|" &amp; B2525
  )
)</f>
        <v>;EncBandit05MissileRedguardF
;Keyword = Uvi_Wig_Distr_KYWD|EncBandit05MissileRedguardF
;Spell = No Spell for Hairstyle|EncBandit05MissileRedguardF</v>
      </c>
    </row>
    <row r="2526" ht="12.75" customHeight="1">
      <c r="A2526" s="5" t="s">
        <v>7422</v>
      </c>
      <c r="B2526" s="5" t="s">
        <v>7423</v>
      </c>
      <c r="D2526" s="5" t="s">
        <v>83</v>
      </c>
      <c r="E2526" s="5" t="s">
        <v>233</v>
      </c>
      <c r="F2526" s="5" t="s">
        <v>1622</v>
      </c>
      <c r="G2526" s="14" t="str">
        <f t="array" ref="G2526">IF(B2526="", "",
  LET(_xlpm.spell, IFERROR(IF(F2526="", "", INDEX(_xlws.FILTER(Hairstyles!$F:$F, ISNUMBER(SEARCH(F2526, Hairstyles!$B:$B))), 1)), "No Spell for Hairstyle"),
  _xlpm.vanillaPrefix, IF(LEFT(_xlpm.spell, 7)="Uvi_Wig", "", ";"),
  ";" &amp; IF(C2526="", B2526, C2526) &amp; IF(M2526="", "", " ("&amp;M2526&amp;")") &amp; CHAR(10) &amp;
  _xlpm.vanillaPrefix &amp; "Keyword = Uvi_Wig_Distr_KYWD|" &amp; B2526 &amp; CHAR(10) &amp;
  _xlpm.vanillaPrefix &amp; "Spell = " &amp; _xlpm.spell &amp; "|" &amp; B2526
  )
)</f>
        <v>;EncBandit05MissileRedguardM
;Keyword = Uvi_Wig_Distr_KYWD|EncBandit05MissileRedguardM
;Spell = No Spell for Hairstyle|EncBandit05MissileRedguardM</v>
      </c>
    </row>
    <row r="2527" ht="12.75" customHeight="1">
      <c r="A2527" s="5" t="s">
        <v>7424</v>
      </c>
      <c r="B2527" s="5" t="s">
        <v>7425</v>
      </c>
      <c r="D2527" s="5" t="s">
        <v>90</v>
      </c>
      <c r="E2527" s="5" t="s">
        <v>41</v>
      </c>
      <c r="F2527" s="5" t="s">
        <v>2034</v>
      </c>
      <c r="G2527" s="14" t="str">
        <f t="array" ref="G2527">IF(B2527="", "",
  LET(_xlpm.spell, IFERROR(IF(F2527="", "", INDEX(_xlws.FILTER(Hairstyles!$F:$F, ISNUMBER(SEARCH(F2527, Hairstyles!$B:$B))), 1)), "No Spell for Hairstyle"),
  _xlpm.vanillaPrefix, IF(LEFT(_xlpm.spell, 7)="Uvi_Wig", "", ";"),
  ";" &amp; IF(C2527="", B2527, C2527) &amp; IF(M2527="", "", " ("&amp;M2527&amp;")") &amp; CHAR(10) &amp;
  _xlpm.vanillaPrefix &amp; "Keyword = Uvi_Wig_Distr_KYWD|" &amp; B2527 &amp; CHAR(10) &amp;
  _xlpm.vanillaPrefix &amp; "Spell = " &amp; _xlpm.spell &amp; "|" &amp; B2527
  )
)</f>
        <v>;EncBandit05MissileWoodElfF
;Keyword = Uvi_Wig_Distr_KYWD|EncBandit05MissileWoodElfF
;Spell = No Spell for Hairstyle|EncBandit05MissileWoodElfF</v>
      </c>
    </row>
    <row r="2528" ht="12.75" customHeight="1">
      <c r="A2528" s="5" t="s">
        <v>7426</v>
      </c>
      <c r="B2528" s="5" t="s">
        <v>7427</v>
      </c>
      <c r="D2528" s="5" t="s">
        <v>90</v>
      </c>
      <c r="E2528" s="5" t="s">
        <v>233</v>
      </c>
      <c r="F2528" s="5" t="s">
        <v>1684</v>
      </c>
      <c r="G2528" s="14" t="str">
        <f t="array" ref="G2528">IF(B2528="", "",
  LET(_xlpm.spell, IFERROR(IF(F2528="", "", INDEX(_xlws.FILTER(Hairstyles!$F:$F, ISNUMBER(SEARCH(F2528, Hairstyles!$B:$B))), 1)), "No Spell for Hairstyle"),
  _xlpm.vanillaPrefix, IF(LEFT(_xlpm.spell, 7)="Uvi_Wig", "", ";"),
  ";" &amp; IF(C2528="", B2528, C2528) &amp; IF(M2528="", "", " ("&amp;M2528&amp;")") &amp; CHAR(10) &amp;
  _xlpm.vanillaPrefix &amp; "Keyword = Uvi_Wig_Distr_KYWD|" &amp; B2528 &amp; CHAR(10) &amp;
  _xlpm.vanillaPrefix &amp; "Spell = " &amp; _xlpm.spell &amp; "|" &amp; B2528
  )
)</f>
        <v>;EncBandit05MissileWoodElfM
;Keyword = Uvi_Wig_Distr_KYWD|EncBandit05MissileWoodElfM
;Spell = No Spell for Hairstyle|EncBandit05MissileWoodElfM</v>
      </c>
    </row>
    <row r="2529" ht="12.75" customHeight="1">
      <c r="A2529" s="5" t="s">
        <v>7428</v>
      </c>
      <c r="B2529" s="5" t="s">
        <v>7429</v>
      </c>
      <c r="D2529" s="5" t="s">
        <v>59</v>
      </c>
      <c r="E2529" s="5" t="s">
        <v>41</v>
      </c>
      <c r="F2529" s="5" t="s">
        <v>1759</v>
      </c>
      <c r="G2529" s="14" t="str">
        <f t="array" ref="G2529">IF(B2529="", "",
  LET(_xlpm.spell, IFERROR(IF(F2529="", "", INDEX(_xlws.FILTER(Hairstyles!$F:$F, ISNUMBER(SEARCH(F2529, Hairstyles!$B:$B))), 1)), "No Spell for Hairstyle"),
  _xlpm.vanillaPrefix, IF(LEFT(_xlpm.spell, 7)="Uvi_Wig", "", ";"),
  ";" &amp; IF(C2529="", B2529, C2529) &amp; IF(M2529="", "", " ("&amp;M2529&amp;")") &amp; CHAR(10) &amp;
  _xlpm.vanillaPrefix &amp; "Keyword = Uvi_Wig_Distr_KYWD|" &amp; B2529 &amp; CHAR(10) &amp;
  _xlpm.vanillaPrefix &amp; "Spell = " &amp; _xlpm.spell &amp; "|" &amp; B2529
  )
)</f>
        <v>;EncBandit06Boss1HImperialF
;Keyword = Uvi_Wig_Distr_KYWD|EncBandit06Boss1HImperialF
;Spell = No Spell for Hairstyle|EncBandit06Boss1HImperialF</v>
      </c>
    </row>
    <row r="2530" ht="12.75" customHeight="1">
      <c r="A2530" s="5" t="s">
        <v>7430</v>
      </c>
      <c r="B2530" s="5" t="s">
        <v>7431</v>
      </c>
      <c r="D2530" s="5" t="s">
        <v>59</v>
      </c>
      <c r="E2530" s="5" t="s">
        <v>233</v>
      </c>
      <c r="F2530" s="5" t="s">
        <v>224</v>
      </c>
      <c r="G2530" s="14" t="str">
        <f t="array" ref="G2530">IF(B2530="", "",
  LET(_xlpm.spell, IFERROR(IF(F2530="", "", INDEX(_xlws.FILTER(Hairstyles!$F:$F, ISNUMBER(SEARCH(F2530, Hairstyles!$B:$B))), 1)), "No Spell for Hairstyle"),
  _xlpm.vanillaPrefix, IF(LEFT(_xlpm.spell, 7)="Uvi_Wig", "", ";"),
  ";" &amp; IF(C2530="", B2530, C2530) &amp; IF(M2530="", "", " ("&amp;M2530&amp;")") &amp; CHAR(10) &amp;
  _xlpm.vanillaPrefix &amp; "Keyword = Uvi_Wig_Distr_KYWD|" &amp; B2530 &amp; CHAR(10) &amp;
  _xlpm.vanillaPrefix &amp; "Spell = " &amp; _xlpm.spell &amp; "|" &amp; B2530
  )
)</f>
        <v>;EncBandit06Boss1HImperialM
;Keyword = Uvi_Wig_Distr_KYWD|EncBandit06Boss1HImperialM
;Spell = No Spell for Hairstyle|EncBandit06Boss1HImperialM</v>
      </c>
    </row>
    <row r="2531" ht="12.75" customHeight="1">
      <c r="A2531" s="5" t="s">
        <v>7432</v>
      </c>
      <c r="B2531" s="5" t="s">
        <v>7433</v>
      </c>
      <c r="D2531" s="5" t="s">
        <v>38</v>
      </c>
      <c r="E2531" s="5" t="s">
        <v>41</v>
      </c>
      <c r="F2531" s="5" t="s">
        <v>862</v>
      </c>
      <c r="G2531" s="14" t="str">
        <f t="array" ref="G2531">IF(B2531="", "",
  LET(_xlpm.spell, IFERROR(IF(F2531="", "", INDEX(_xlws.FILTER(Hairstyles!$F:$F, ISNUMBER(SEARCH(F2531, Hairstyles!$B:$B))), 1)), "No Spell for Hairstyle"),
  _xlpm.vanillaPrefix, IF(LEFT(_xlpm.spell, 7)="Uvi_Wig", "", ";"),
  ";" &amp; IF(C2531="", B2531, C2531) &amp; IF(M2531="", "", " ("&amp;M2531&amp;")") &amp; CHAR(10) &amp;
  _xlpm.vanillaPrefix &amp; "Keyword = Uvi_Wig_Distr_KYWD|" &amp; B2531 &amp; CHAR(10) &amp;
  _xlpm.vanillaPrefix &amp; "Spell = " &amp; _xlpm.spell &amp; "|" &amp; B2531
  )
)</f>
        <v>;EncBandit06Boss1HNordF
;Keyword = Uvi_Wig_Distr_KYWD|EncBandit06Boss1HNordF
;Spell = No Spell for Hairstyle|EncBandit06Boss1HNordF</v>
      </c>
    </row>
    <row r="2532" ht="12.75" customHeight="1">
      <c r="A2532" s="5" t="s">
        <v>7434</v>
      </c>
      <c r="B2532" s="5" t="s">
        <v>7435</v>
      </c>
      <c r="D2532" s="5" t="s">
        <v>38</v>
      </c>
      <c r="E2532" s="5" t="s">
        <v>233</v>
      </c>
      <c r="F2532" s="5" t="s">
        <v>19</v>
      </c>
      <c r="G2532" s="14" t="str">
        <f t="array" ref="G2532">IF(B2532="", "",
  LET(_xlpm.spell, IFERROR(IF(F2532="", "", INDEX(_xlws.FILTER(Hairstyles!$F:$F, ISNUMBER(SEARCH(F2532, Hairstyles!$B:$B))), 1)), "No Spell for Hairstyle"),
  _xlpm.vanillaPrefix, IF(LEFT(_xlpm.spell, 7)="Uvi_Wig", "", ";"),
  ";" &amp; IF(C2532="", B2532, C2532) &amp; IF(M2532="", "", " ("&amp;M2532&amp;")") &amp; CHAR(10) &amp;
  _xlpm.vanillaPrefix &amp; "Keyword = Uvi_Wig_Distr_KYWD|" &amp; B2532 &amp; CHAR(10) &amp;
  _xlpm.vanillaPrefix &amp; "Spell = " &amp; _xlpm.spell &amp; "|" &amp; B2532
  )
)</f>
        <v>;EncBandit06Boss1HNordM
;Keyword = Uvi_Wig_Distr_KYWD|EncBandit06Boss1HNordM
;Spell = No Spell for Hairstyle|EncBandit06Boss1HNordM</v>
      </c>
    </row>
    <row r="2533" ht="12.75" customHeight="1">
      <c r="A2533" s="5" t="s">
        <v>7436</v>
      </c>
      <c r="B2533" s="5" t="s">
        <v>7437</v>
      </c>
      <c r="D2533" s="5" t="s">
        <v>83</v>
      </c>
      <c r="E2533" s="5" t="s">
        <v>41</v>
      </c>
      <c r="F2533" s="5" t="s">
        <v>85</v>
      </c>
      <c r="G2533" s="14" t="str">
        <f t="array" ref="G2533">IF(B2533="", "",
  LET(_xlpm.spell, IFERROR(IF(F2533="", "", INDEX(_xlws.FILTER(Hairstyles!$F:$F, ISNUMBER(SEARCH(F2533, Hairstyles!$B:$B))), 1)), "No Spell for Hairstyle"),
  _xlpm.vanillaPrefix, IF(LEFT(_xlpm.spell, 7)="Uvi_Wig", "", ";"),
  ";" &amp; IF(C2533="", B2533, C2533) &amp; IF(M2533="", "", " ("&amp;M2533&amp;")") &amp; CHAR(10) &amp;
  _xlpm.vanillaPrefix &amp; "Keyword = Uvi_Wig_Distr_KYWD|" &amp; B2533 &amp; CHAR(10) &amp;
  _xlpm.vanillaPrefix &amp; "Spell = " &amp; _xlpm.spell &amp; "|" &amp; B2533
  )
)</f>
        <v>;EncBandit06Boss1HRedguardF
;Keyword = Uvi_Wig_Distr_KYWD|EncBandit06Boss1HRedguardF
;Spell = No Spell for Hairstyle|EncBandit06Boss1HRedguardF</v>
      </c>
    </row>
    <row r="2534" ht="12.75" customHeight="1">
      <c r="A2534" s="5" t="s">
        <v>7438</v>
      </c>
      <c r="B2534" s="5" t="s">
        <v>7439</v>
      </c>
      <c r="D2534" s="5" t="s">
        <v>83</v>
      </c>
      <c r="E2534" s="5" t="s">
        <v>233</v>
      </c>
      <c r="F2534" s="5" t="s">
        <v>1553</v>
      </c>
      <c r="G2534" s="14" t="str">
        <f t="array" ref="G2534">IF(B2534="", "",
  LET(_xlpm.spell, IFERROR(IF(F2534="", "", INDEX(_xlws.FILTER(Hairstyles!$F:$F, ISNUMBER(SEARCH(F2534, Hairstyles!$B:$B))), 1)), "No Spell for Hairstyle"),
  _xlpm.vanillaPrefix, IF(LEFT(_xlpm.spell, 7)="Uvi_Wig", "", ";"),
  ";" &amp; IF(C2534="", B2534, C2534) &amp; IF(M2534="", "", " ("&amp;M2534&amp;")") &amp; CHAR(10) &amp;
  _xlpm.vanillaPrefix &amp; "Keyword = Uvi_Wig_Distr_KYWD|" &amp; B2534 &amp; CHAR(10) &amp;
  _xlpm.vanillaPrefix &amp; "Spell = " &amp; _xlpm.spell &amp; "|" &amp; B2534
  )
)</f>
        <v>;EncBandit06Boss1HRedguardM
;Keyword = Uvi_Wig_Distr_KYWD|EncBandit06Boss1HRedguardM
;Spell = No Spell for Hairstyle|EncBandit06Boss1HRedguardM</v>
      </c>
    </row>
    <row r="2535" ht="12.75" customHeight="1">
      <c r="A2535" s="5" t="s">
        <v>7440</v>
      </c>
      <c r="B2535" s="5" t="s">
        <v>7441</v>
      </c>
      <c r="D2535" s="5" t="s">
        <v>59</v>
      </c>
      <c r="E2535" s="5" t="s">
        <v>233</v>
      </c>
      <c r="F2535" s="5" t="s">
        <v>346</v>
      </c>
      <c r="G2535" s="14" t="str">
        <f t="array" ref="G2535">IF(B2535="", "",
  LET(_xlpm.spell, IFERROR(IF(F2535="", "", INDEX(_xlws.FILTER(Hairstyles!$F:$F, ISNUMBER(SEARCH(F2535, Hairstyles!$B:$B))), 1)), "No Spell for Hairstyle"),
  _xlpm.vanillaPrefix, IF(LEFT(_xlpm.spell, 7)="Uvi_Wig", "", ";"),
  ";" &amp; IF(C2535="", B2535, C2535) &amp; IF(M2535="", "", " ("&amp;M2535&amp;")") &amp; CHAR(10) &amp;
  _xlpm.vanillaPrefix &amp; "Keyword = Uvi_Wig_Distr_KYWD|" &amp; B2535 &amp; CHAR(10) &amp;
  _xlpm.vanillaPrefix &amp; "Spell = " &amp; _xlpm.spell &amp; "|" &amp; B2535
  )
)</f>
        <v>;EncBandit06Boss2HImperialM
;Keyword = Uvi_Wig_Distr_KYWD|EncBandit06Boss2HImperialM
;Spell = No Spell for Hairstyle|EncBandit06Boss2HImperialM</v>
      </c>
    </row>
    <row r="2536" ht="12.75" customHeight="1">
      <c r="A2536" s="5" t="s">
        <v>7442</v>
      </c>
      <c r="B2536" s="5" t="s">
        <v>7443</v>
      </c>
      <c r="D2536" s="5" t="s">
        <v>38</v>
      </c>
      <c r="E2536" s="5" t="s">
        <v>233</v>
      </c>
      <c r="F2536" s="5" t="s">
        <v>475</v>
      </c>
      <c r="G2536" s="14" t="str">
        <f t="array" ref="G2536">IF(B2536="", "",
  LET(_xlpm.spell, IFERROR(IF(F2536="", "", INDEX(_xlws.FILTER(Hairstyles!$F:$F, ISNUMBER(SEARCH(F2536, Hairstyles!$B:$B))), 1)), "No Spell for Hairstyle"),
  _xlpm.vanillaPrefix, IF(LEFT(_xlpm.spell, 7)="Uvi_Wig", "", ";"),
  ";" &amp; IF(C2536="", B2536, C2536) &amp; IF(M2536="", "", " ("&amp;M2536&amp;")") &amp; CHAR(10) &amp;
  _xlpm.vanillaPrefix &amp; "Keyword = Uvi_Wig_Distr_KYWD|" &amp; B2536 &amp; CHAR(10) &amp;
  _xlpm.vanillaPrefix &amp; "Spell = " &amp; _xlpm.spell &amp; "|" &amp; B2536
  )
)</f>
        <v>;EncBandit06Boss2HNordM
;Keyword = Uvi_Wig_Distr_KYWD|EncBandit06Boss2HNordM
;Spell = No Spell for Hairstyle|EncBandit06Boss2HNordM</v>
      </c>
    </row>
    <row r="2537" ht="12.75" customHeight="1">
      <c r="A2537" s="5" t="s">
        <v>7444</v>
      </c>
      <c r="B2537" s="5" t="s">
        <v>7445</v>
      </c>
      <c r="D2537" s="5" t="s">
        <v>80</v>
      </c>
      <c r="E2537" s="5" t="s">
        <v>233</v>
      </c>
      <c r="F2537" s="5" t="s">
        <v>81</v>
      </c>
      <c r="G2537" s="14" t="str">
        <f t="array" ref="G2537">IF(B2537="", "",
  LET(_xlpm.spell, IFERROR(IF(F2537="", "", INDEX(_xlws.FILTER(Hairstyles!$F:$F, ISNUMBER(SEARCH(F2537, Hairstyles!$B:$B))), 1)), "No Spell for Hairstyle"),
  _xlpm.vanillaPrefix, IF(LEFT(_xlpm.spell, 7)="Uvi_Wig", "", ";"),
  ";" &amp; IF(C2537="", B2537, C2537) &amp; IF(M2537="", "", " ("&amp;M2537&amp;")") &amp; CHAR(10) &amp;
  _xlpm.vanillaPrefix &amp; "Keyword = Uvi_Wig_Distr_KYWD|" &amp; B2537 &amp; CHAR(10) &amp;
  _xlpm.vanillaPrefix &amp; "Spell = " &amp; _xlpm.spell &amp; "|" &amp; B2537
  )
)</f>
        <v>;EncBandit06Boss2HOrcM
;Keyword = Uvi_Wig_Distr_KYWD|EncBandit06Boss2HOrcM
;Spell = No Spell for Hairstyle|EncBandit06Boss2HOrcM</v>
      </c>
    </row>
    <row r="2538" ht="12.75" customHeight="1">
      <c r="A2538" s="5" t="s">
        <v>7446</v>
      </c>
      <c r="B2538" s="5" t="s">
        <v>7447</v>
      </c>
      <c r="D2538" s="5" t="s">
        <v>83</v>
      </c>
      <c r="E2538" s="5" t="s">
        <v>233</v>
      </c>
      <c r="F2538" s="5" t="s">
        <v>167</v>
      </c>
      <c r="G2538" s="14" t="str">
        <f t="array" ref="G2538">IF(B2538="", "",
  LET(_xlpm.spell, IFERROR(IF(F2538="", "", INDEX(_xlws.FILTER(Hairstyles!$F:$F, ISNUMBER(SEARCH(F2538, Hairstyles!$B:$B))), 1)), "No Spell for Hairstyle"),
  _xlpm.vanillaPrefix, IF(LEFT(_xlpm.spell, 7)="Uvi_Wig", "", ";"),
  ";" &amp; IF(C2538="", B2538, C2538) &amp; IF(M2538="", "", " ("&amp;M2538&amp;")") &amp; CHAR(10) &amp;
  _xlpm.vanillaPrefix &amp; "Keyword = Uvi_Wig_Distr_KYWD|" &amp; B2538 &amp; CHAR(10) &amp;
  _xlpm.vanillaPrefix &amp; "Spell = " &amp; _xlpm.spell &amp; "|" &amp; B2538
  )
)</f>
        <v>;EncBandit06Boss2HRedguardM
;Keyword = Uvi_Wig_Distr_KYWD|EncBandit06Boss2HRedguardM
;Spell = No Spell for Hairstyle|EncBandit06Boss2HRedguardM</v>
      </c>
    </row>
    <row r="2539" ht="12.75" customHeight="1">
      <c r="A2539" s="5" t="s">
        <v>7448</v>
      </c>
      <c r="B2539" s="5" t="s">
        <v>7449</v>
      </c>
      <c r="D2539" s="5" t="s">
        <v>10</v>
      </c>
      <c r="E2539" s="5" t="s">
        <v>233</v>
      </c>
      <c r="F2539" s="5" t="s">
        <v>1755</v>
      </c>
      <c r="G2539" s="14" t="str">
        <f t="array" ref="G2539">IF(B2539="", "",
  LET(_xlpm.spell, IFERROR(IF(F2539="", "", INDEX(_xlws.FILTER(Hairstyles!$F:$F, ISNUMBER(SEARCH(F2539, Hairstyles!$B:$B))), 1)), "No Spell for Hairstyle"),
  _xlpm.vanillaPrefix, IF(LEFT(_xlpm.spell, 7)="Uvi_Wig", "", ";"),
  ";" &amp; IF(C2539="", B2539, C2539) &amp; IF(M2539="", "", " ("&amp;M2539&amp;")") &amp; CHAR(10) &amp;
  _xlpm.vanillaPrefix &amp; "Keyword = Uvi_Wig_Distr_KYWD|" &amp; B2539 &amp; CHAR(10) &amp;
  _xlpm.vanillaPrefix &amp; "Spell = " &amp; _xlpm.spell &amp; "|" &amp; B2539
  )
)</f>
        <v>;EncBandit06MagicArgonianM
;Keyword = Uvi_Wig_Distr_KYWD|EncBandit06MagicArgonianM
;Spell = No Spell for Hairstyle|EncBandit06MagicArgonianM</v>
      </c>
    </row>
    <row r="2540" ht="12.75" customHeight="1">
      <c r="A2540" s="5" t="s">
        <v>7450</v>
      </c>
      <c r="B2540" s="5" t="s">
        <v>7451</v>
      </c>
      <c r="D2540" s="5" t="s">
        <v>16</v>
      </c>
      <c r="E2540" s="5" t="s">
        <v>41</v>
      </c>
      <c r="F2540" s="5" t="s">
        <v>44</v>
      </c>
      <c r="G2540" s="14" t="str">
        <f t="array" ref="G2540">IF(B2540="", "",
  LET(_xlpm.spell, IFERROR(IF(F2540="", "", INDEX(_xlws.FILTER(Hairstyles!$F:$F, ISNUMBER(SEARCH(F2540, Hairstyles!$B:$B))), 1)), "No Spell for Hairstyle"),
  _xlpm.vanillaPrefix, IF(LEFT(_xlpm.spell, 7)="Uvi_Wig", "", ";"),
  ";" &amp; IF(C2540="", B2540, C2540) &amp; IF(M2540="", "", " ("&amp;M2540&amp;")") &amp; CHAR(10) &amp;
  _xlpm.vanillaPrefix &amp; "Keyword = Uvi_Wig_Distr_KYWD|" &amp; B2540 &amp; CHAR(10) &amp;
  _xlpm.vanillaPrefix &amp; "Spell = " &amp; _xlpm.spell &amp; "|" &amp; B2540
  )
)</f>
        <v>;EncBandit06MagicBretonF
;Keyword = Uvi_Wig_Distr_KYWD|EncBandit06MagicBretonF
;Spell = No Spell for Hairstyle|EncBandit06MagicBretonF</v>
      </c>
    </row>
    <row r="2541" ht="12.75" customHeight="1">
      <c r="A2541" s="5" t="s">
        <v>7452</v>
      </c>
      <c r="B2541" s="5" t="s">
        <v>7453</v>
      </c>
      <c r="D2541" s="5" t="s">
        <v>16</v>
      </c>
      <c r="E2541" s="5" t="s">
        <v>233</v>
      </c>
      <c r="F2541" s="5" t="s">
        <v>1700</v>
      </c>
      <c r="G2541" s="14" t="str">
        <f t="array" ref="G2541">IF(B2541="", "",
  LET(_xlpm.spell, IFERROR(IF(F2541="", "", INDEX(_xlws.FILTER(Hairstyles!$F:$F, ISNUMBER(SEARCH(F2541, Hairstyles!$B:$B))), 1)), "No Spell for Hairstyle"),
  _xlpm.vanillaPrefix, IF(LEFT(_xlpm.spell, 7)="Uvi_Wig", "", ";"),
  ";" &amp; IF(C2541="", B2541, C2541) &amp; IF(M2541="", "", " ("&amp;M2541&amp;")") &amp; CHAR(10) &amp;
  _xlpm.vanillaPrefix &amp; "Keyword = Uvi_Wig_Distr_KYWD|" &amp; B2541 &amp; CHAR(10) &amp;
  _xlpm.vanillaPrefix &amp; "Spell = " &amp; _xlpm.spell &amp; "|" &amp; B2541
  )
)</f>
        <v>;EncBandit06MagicBretonM
;Keyword = Uvi_Wig_Distr_KYWD|EncBandit06MagicBretonM
;Spell = No Spell for Hairstyle|EncBandit06MagicBretonM</v>
      </c>
    </row>
    <row r="2542" ht="12.75" customHeight="1">
      <c r="A2542" s="5" t="s">
        <v>7454</v>
      </c>
      <c r="B2542" s="5" t="s">
        <v>7455</v>
      </c>
      <c r="D2542" s="5" t="s">
        <v>45</v>
      </c>
      <c r="E2542" s="5" t="s">
        <v>41</v>
      </c>
      <c r="F2542" s="5" t="s">
        <v>2380</v>
      </c>
      <c r="G2542" s="14" t="str">
        <f t="array" ref="G2542">IF(B2542="", "",
  LET(_xlpm.spell, IFERROR(IF(F2542="", "", INDEX(_xlws.FILTER(Hairstyles!$F:$F, ISNUMBER(SEARCH(F2542, Hairstyles!$B:$B))), 1)), "No Spell for Hairstyle"),
  _xlpm.vanillaPrefix, IF(LEFT(_xlpm.spell, 7)="Uvi_Wig", "", ";"),
  ";" &amp; IF(C2542="", B2542, C2542) &amp; IF(M2542="", "", " ("&amp;M2542&amp;")") &amp; CHAR(10) &amp;
  _xlpm.vanillaPrefix &amp; "Keyword = Uvi_Wig_Distr_KYWD|" &amp; B2542 &amp; CHAR(10) &amp;
  _xlpm.vanillaPrefix &amp; "Spell = " &amp; _xlpm.spell &amp; "|" &amp; B2542
  )
)</f>
        <v>;EncBandit06MagicDarkElfF
;Keyword = Uvi_Wig_Distr_KYWD|EncBandit06MagicDarkElfF
;Spell = No Spell for Hairstyle|EncBandit06MagicDarkElfF</v>
      </c>
    </row>
    <row r="2543" ht="12.75" customHeight="1">
      <c r="A2543" s="5" t="s">
        <v>7456</v>
      </c>
      <c r="B2543" s="5" t="s">
        <v>7457</v>
      </c>
      <c r="D2543" s="5" t="s">
        <v>45</v>
      </c>
      <c r="E2543" s="5" t="s">
        <v>233</v>
      </c>
      <c r="F2543" s="5" t="s">
        <v>47</v>
      </c>
      <c r="G2543" s="14" t="str">
        <f t="array" ref="G2543">IF(B2543="", "",
  LET(_xlpm.spell, IFERROR(IF(F2543="", "", INDEX(_xlws.FILTER(Hairstyles!$F:$F, ISNUMBER(SEARCH(F2543, Hairstyles!$B:$B))), 1)), "No Spell for Hairstyle"),
  _xlpm.vanillaPrefix, IF(LEFT(_xlpm.spell, 7)="Uvi_Wig", "", ";"),
  ";" &amp; IF(C2543="", B2543, C2543) &amp; IF(M2543="", "", " ("&amp;M2543&amp;")") &amp; CHAR(10) &amp;
  _xlpm.vanillaPrefix &amp; "Keyword = Uvi_Wig_Distr_KYWD|" &amp; B2543 &amp; CHAR(10) &amp;
  _xlpm.vanillaPrefix &amp; "Spell = " &amp; _xlpm.spell &amp; "|" &amp; B2543
  )
)</f>
        <v>;EncBandit06MagicDarkElfM
;Keyword = Uvi_Wig_Distr_KYWD|EncBandit06MagicDarkElfM
;Spell = No Spell for Hairstyle|EncBandit06MagicDarkElfM</v>
      </c>
    </row>
    <row r="2544" ht="12.75" customHeight="1">
      <c r="A2544" s="5" t="s">
        <v>7458</v>
      </c>
      <c r="B2544" s="5" t="s">
        <v>7459</v>
      </c>
      <c r="D2544" s="5" t="s">
        <v>38</v>
      </c>
      <c r="E2544" s="5" t="s">
        <v>41</v>
      </c>
      <c r="F2544" s="5" t="s">
        <v>2118</v>
      </c>
      <c r="G2544" s="14" t="str">
        <f t="array" ref="G2544">IF(B2544="", "",
  LET(_xlpm.spell, IFERROR(IF(F2544="", "", INDEX(_xlws.FILTER(Hairstyles!$F:$F, ISNUMBER(SEARCH(F2544, Hairstyles!$B:$B))), 1)), "No Spell for Hairstyle"),
  _xlpm.vanillaPrefix, IF(LEFT(_xlpm.spell, 7)="Uvi_Wig", "", ";"),
  ";" &amp; IF(C2544="", B2544, C2544) &amp; IF(M2544="", "", " ("&amp;M2544&amp;")") &amp; CHAR(10) &amp;
  _xlpm.vanillaPrefix &amp; "Keyword = Uvi_Wig_Distr_KYWD|" &amp; B2544 &amp; CHAR(10) &amp;
  _xlpm.vanillaPrefix &amp; "Spell = " &amp; _xlpm.spell &amp; "|" &amp; B2544
  )
)</f>
        <v>;EncBandit06MagicNordF
;Keyword = Uvi_Wig_Distr_KYWD|EncBandit06MagicNordF
;Spell = No Spell for Hairstyle|EncBandit06MagicNordF</v>
      </c>
    </row>
    <row r="2545" ht="12.75" customHeight="1">
      <c r="A2545" s="5" t="s">
        <v>7460</v>
      </c>
      <c r="B2545" s="5" t="s">
        <v>7461</v>
      </c>
      <c r="D2545" s="5" t="s">
        <v>38</v>
      </c>
      <c r="E2545" s="5" t="s">
        <v>233</v>
      </c>
      <c r="F2545" s="5" t="s">
        <v>68</v>
      </c>
      <c r="G2545" s="14" t="str">
        <f t="array" ref="G2545">IF(B2545="", "",
  LET(_xlpm.spell, IFERROR(IF(F2545="", "", INDEX(_xlws.FILTER(Hairstyles!$F:$F, ISNUMBER(SEARCH(F2545, Hairstyles!$B:$B))), 1)), "No Spell for Hairstyle"),
  _xlpm.vanillaPrefix, IF(LEFT(_xlpm.spell, 7)="Uvi_Wig", "", ";"),
  ";" &amp; IF(C2545="", B2545, C2545) &amp; IF(M2545="", "", " ("&amp;M2545&amp;")") &amp; CHAR(10) &amp;
  _xlpm.vanillaPrefix &amp; "Keyword = Uvi_Wig_Distr_KYWD|" &amp; B2545 &amp; CHAR(10) &amp;
  _xlpm.vanillaPrefix &amp; "Spell = " &amp; _xlpm.spell &amp; "|" &amp; B2545
  )
)</f>
        <v>;EncBandit06MagicNordM
;Keyword = Uvi_Wig_Distr_KYWD|EncBandit06MagicNordM
;Spell = No Spell for Hairstyle|EncBandit06MagicNordM</v>
      </c>
    </row>
    <row r="2546" ht="12.75" customHeight="1">
      <c r="A2546" s="5" t="s">
        <v>7462</v>
      </c>
      <c r="B2546" s="5" t="s">
        <v>7463</v>
      </c>
      <c r="D2546" s="5" t="s">
        <v>59</v>
      </c>
      <c r="E2546" s="5" t="s">
        <v>41</v>
      </c>
      <c r="F2546" s="5" t="s">
        <v>1596</v>
      </c>
      <c r="G2546" s="14" t="str">
        <f t="array" ref="G2546">IF(B2546="", "",
  LET(_xlpm.spell, IFERROR(IF(F2546="", "", INDEX(_xlws.FILTER(Hairstyles!$F:$F, ISNUMBER(SEARCH(F2546, Hairstyles!$B:$B))), 1)), "No Spell for Hairstyle"),
  _xlpm.vanillaPrefix, IF(LEFT(_xlpm.spell, 7)="Uvi_Wig", "", ";"),
  ";" &amp; IF(C2546="", B2546, C2546) &amp; IF(M2546="", "", " ("&amp;M2546&amp;")") &amp; CHAR(10) &amp;
  _xlpm.vanillaPrefix &amp; "Keyword = Uvi_Wig_Distr_KYWD|" &amp; B2546 &amp; CHAR(10) &amp;
  _xlpm.vanillaPrefix &amp; "Spell = " &amp; _xlpm.spell &amp; "|" &amp; B2546
  )
)</f>
        <v>;EncBandit06Melee1HImperialF
;Keyword = Uvi_Wig_Distr_KYWD|EncBandit06Melee1HImperialF
;Spell = No Spell for Hairstyle|EncBandit06Melee1HImperialF</v>
      </c>
    </row>
    <row r="2547" ht="12.75" customHeight="1">
      <c r="A2547" s="5" t="s">
        <v>7464</v>
      </c>
      <c r="B2547" s="5" t="s">
        <v>7465</v>
      </c>
      <c r="D2547" s="5" t="s">
        <v>59</v>
      </c>
      <c r="E2547" s="5" t="s">
        <v>233</v>
      </c>
      <c r="F2547" s="5" t="s">
        <v>40</v>
      </c>
      <c r="G2547" s="14" t="str">
        <f t="array" ref="G2547">IF(B2547="", "",
  LET(_xlpm.spell, IFERROR(IF(F2547="", "", INDEX(_xlws.FILTER(Hairstyles!$F:$F, ISNUMBER(SEARCH(F2547, Hairstyles!$B:$B))), 1)), "No Spell for Hairstyle"),
  _xlpm.vanillaPrefix, IF(LEFT(_xlpm.spell, 7)="Uvi_Wig", "", ";"),
  ";" &amp; IF(C2547="", B2547, C2547) &amp; IF(M2547="", "", " ("&amp;M2547&amp;")") &amp; CHAR(10) &amp;
  _xlpm.vanillaPrefix &amp; "Keyword = Uvi_Wig_Distr_KYWD|" &amp; B2547 &amp; CHAR(10) &amp;
  _xlpm.vanillaPrefix &amp; "Spell = " &amp; _xlpm.spell &amp; "|" &amp; B2547
  )
)</f>
        <v>;EncBandit06Melee1HImperialM
;Keyword = Uvi_Wig_Distr_KYWD|EncBandit06Melee1HImperialM
;Spell = No Spell for Hairstyle|EncBandit06Melee1HImperialM</v>
      </c>
    </row>
    <row r="2548" ht="12.75" customHeight="1">
      <c r="A2548" s="5" t="s">
        <v>7466</v>
      </c>
      <c r="B2548" s="5" t="s">
        <v>7467</v>
      </c>
      <c r="D2548" s="5" t="s">
        <v>65</v>
      </c>
      <c r="E2548" s="5" t="s">
        <v>233</v>
      </c>
      <c r="F2548" s="5" t="s">
        <v>321</v>
      </c>
      <c r="G2548" s="14" t="str">
        <f t="array" ref="G2548">IF(B2548="", "",
  LET(_xlpm.spell, IFERROR(IF(F2548="", "", INDEX(_xlws.FILTER(Hairstyles!$F:$F, ISNUMBER(SEARCH(F2548, Hairstyles!$B:$B))), 1)), "No Spell for Hairstyle"),
  _xlpm.vanillaPrefix, IF(LEFT(_xlpm.spell, 7)="Uvi_Wig", "", ";"),
  ";" &amp; IF(C2548="", B2548, C2548) &amp; IF(M2548="", "", " ("&amp;M2548&amp;")") &amp; CHAR(10) &amp;
  _xlpm.vanillaPrefix &amp; "Keyword = Uvi_Wig_Distr_KYWD|" &amp; B2548 &amp; CHAR(10) &amp;
  _xlpm.vanillaPrefix &amp; "Spell = " &amp; _xlpm.spell &amp; "|" &amp; B2548
  )
)</f>
        <v>;EncBandit06Melee1HKhajiitM
;Keyword = Uvi_Wig_Distr_KYWD|EncBandit06Melee1HKhajiitM
;Spell = No Spell for Hairstyle|EncBandit06Melee1HKhajiitM</v>
      </c>
    </row>
    <row r="2549" ht="12.75" customHeight="1">
      <c r="A2549" s="5" t="s">
        <v>7468</v>
      </c>
      <c r="B2549" s="5" t="s">
        <v>7469</v>
      </c>
      <c r="D2549" s="5" t="s">
        <v>38</v>
      </c>
      <c r="E2549" s="5" t="s">
        <v>41</v>
      </c>
      <c r="F2549" s="5" t="s">
        <v>1557</v>
      </c>
      <c r="G2549" s="14" t="str">
        <f t="array" ref="G2549">IF(B2549="", "",
  LET(_xlpm.spell, IFERROR(IF(F2549="", "", INDEX(_xlws.FILTER(Hairstyles!$F:$F, ISNUMBER(SEARCH(F2549, Hairstyles!$B:$B))), 1)), "No Spell for Hairstyle"),
  _xlpm.vanillaPrefix, IF(LEFT(_xlpm.spell, 7)="Uvi_Wig", "", ";"),
  ";" &amp; IF(C2549="", B2549, C2549) &amp; IF(M2549="", "", " ("&amp;M2549&amp;")") &amp; CHAR(10) &amp;
  _xlpm.vanillaPrefix &amp; "Keyword = Uvi_Wig_Distr_KYWD|" &amp; B2549 &amp; CHAR(10) &amp;
  _xlpm.vanillaPrefix &amp; "Spell = " &amp; _xlpm.spell &amp; "|" &amp; B2549
  )
)</f>
        <v>;EncBandit06Melee1HNordF
;Keyword = Uvi_Wig_Distr_KYWD|EncBandit06Melee1HNordF
;Spell = No Spell for Hairstyle|EncBandit06Melee1HNordF</v>
      </c>
    </row>
    <row r="2550" ht="12.75" customHeight="1">
      <c r="A2550" s="5" t="s">
        <v>7470</v>
      </c>
      <c r="B2550" s="5" t="s">
        <v>7471</v>
      </c>
      <c r="D2550" s="5" t="s">
        <v>38</v>
      </c>
      <c r="E2550" s="5" t="s">
        <v>233</v>
      </c>
      <c r="F2550" s="5" t="s">
        <v>1894</v>
      </c>
      <c r="G2550" s="14" t="str">
        <f t="array" ref="G2550">IF(B2550="", "",
  LET(_xlpm.spell, IFERROR(IF(F2550="", "", INDEX(_xlws.FILTER(Hairstyles!$F:$F, ISNUMBER(SEARCH(F2550, Hairstyles!$B:$B))), 1)), "No Spell for Hairstyle"),
  _xlpm.vanillaPrefix, IF(LEFT(_xlpm.spell, 7)="Uvi_Wig", "", ";"),
  ";" &amp; IF(C2550="", B2550, C2550) &amp; IF(M2550="", "", " ("&amp;M2550&amp;")") &amp; CHAR(10) &amp;
  _xlpm.vanillaPrefix &amp; "Keyword = Uvi_Wig_Distr_KYWD|" &amp; B2550 &amp; CHAR(10) &amp;
  _xlpm.vanillaPrefix &amp; "Spell = " &amp; _xlpm.spell &amp; "|" &amp; B2550
  )
)</f>
        <v>;EncBandit06Melee1HNordM
;Keyword = Uvi_Wig_Distr_KYWD|EncBandit06Melee1HNordM
;Spell = No Spell for Hairstyle|EncBandit06Melee1HNordM</v>
      </c>
    </row>
    <row r="2551" ht="12.75" customHeight="1">
      <c r="A2551" s="5" t="s">
        <v>7472</v>
      </c>
      <c r="B2551" s="5" t="s">
        <v>7473</v>
      </c>
      <c r="D2551" s="5" t="s">
        <v>80</v>
      </c>
      <c r="E2551" s="5" t="s">
        <v>233</v>
      </c>
      <c r="F2551" s="5" t="s">
        <v>81</v>
      </c>
      <c r="G2551" s="14" t="str">
        <f t="array" ref="G2551">IF(B2551="", "",
  LET(_xlpm.spell, IFERROR(IF(F2551="", "", INDEX(_xlws.FILTER(Hairstyles!$F:$F, ISNUMBER(SEARCH(F2551, Hairstyles!$B:$B))), 1)), "No Spell for Hairstyle"),
  _xlpm.vanillaPrefix, IF(LEFT(_xlpm.spell, 7)="Uvi_Wig", "", ";"),
  ";" &amp; IF(C2551="", B2551, C2551) &amp; IF(M2551="", "", " ("&amp;M2551&amp;")") &amp; CHAR(10) &amp;
  _xlpm.vanillaPrefix &amp; "Keyword = Uvi_Wig_Distr_KYWD|" &amp; B2551 &amp; CHAR(10) &amp;
  _xlpm.vanillaPrefix &amp; "Spell = " &amp; _xlpm.spell &amp; "|" &amp; B2551
  )
)</f>
        <v>;EncBandit06Melee1HOrcM
;Keyword = Uvi_Wig_Distr_KYWD|EncBandit06Melee1HOrcM
;Spell = No Spell for Hairstyle|EncBandit06Melee1HOrcM</v>
      </c>
    </row>
    <row r="2552" ht="12.75" customHeight="1">
      <c r="A2552" s="5" t="s">
        <v>7474</v>
      </c>
      <c r="B2552" s="5" t="s">
        <v>7475</v>
      </c>
      <c r="D2552" s="5" t="s">
        <v>83</v>
      </c>
      <c r="E2552" s="5" t="s">
        <v>41</v>
      </c>
      <c r="F2552" s="5" t="s">
        <v>281</v>
      </c>
      <c r="G2552" s="14" t="str">
        <f t="array" ref="G2552">IF(B2552="", "",
  LET(_xlpm.spell, IFERROR(IF(F2552="", "", INDEX(_xlws.FILTER(Hairstyles!$F:$F, ISNUMBER(SEARCH(F2552, Hairstyles!$B:$B))), 1)), "No Spell for Hairstyle"),
  _xlpm.vanillaPrefix, IF(LEFT(_xlpm.spell, 7)="Uvi_Wig", "", ";"),
  ";" &amp; IF(C2552="", B2552, C2552) &amp; IF(M2552="", "", " ("&amp;M2552&amp;")") &amp; CHAR(10) &amp;
  _xlpm.vanillaPrefix &amp; "Keyword = Uvi_Wig_Distr_KYWD|" &amp; B2552 &amp; CHAR(10) &amp;
  _xlpm.vanillaPrefix &amp; "Spell = " &amp; _xlpm.spell &amp; "|" &amp; B2552
  )
)</f>
        <v>;EncBandit06Melee1HRedguardF
;Keyword = Uvi_Wig_Distr_KYWD|EncBandit06Melee1HRedguardF
;Spell = No Spell for Hairstyle|EncBandit06Melee1HRedguardF</v>
      </c>
    </row>
    <row r="2553" ht="12.75" customHeight="1">
      <c r="A2553" s="5" t="s">
        <v>7476</v>
      </c>
      <c r="B2553" s="5" t="s">
        <v>7477</v>
      </c>
      <c r="D2553" s="5" t="s">
        <v>83</v>
      </c>
      <c r="E2553" s="5" t="s">
        <v>233</v>
      </c>
      <c r="F2553" s="5" t="s">
        <v>2107</v>
      </c>
      <c r="G2553" s="14" t="str">
        <f t="array" ref="G2553">IF(B2553="", "",
  LET(_xlpm.spell, IFERROR(IF(F2553="", "", INDEX(_xlws.FILTER(Hairstyles!$F:$F, ISNUMBER(SEARCH(F2553, Hairstyles!$B:$B))), 1)), "No Spell for Hairstyle"),
  _xlpm.vanillaPrefix, IF(LEFT(_xlpm.spell, 7)="Uvi_Wig", "", ";"),
  ";" &amp; IF(C2553="", B2553, C2553) &amp; IF(M2553="", "", " ("&amp;M2553&amp;")") &amp; CHAR(10) &amp;
  _xlpm.vanillaPrefix &amp; "Keyword = Uvi_Wig_Distr_KYWD|" &amp; B2553 &amp; CHAR(10) &amp;
  _xlpm.vanillaPrefix &amp; "Spell = " &amp; _xlpm.spell &amp; "|" &amp; B2553
  )
)</f>
        <v>;EncBandit06Melee1HRedguardM
;Keyword = Uvi_Wig_Distr_KYWD|EncBandit06Melee1HRedguardM
;Spell = No Spell for Hairstyle|EncBandit06Melee1HRedguardM</v>
      </c>
    </row>
    <row r="2554" ht="12.75" customHeight="1">
      <c r="A2554" s="5" t="s">
        <v>7478</v>
      </c>
      <c r="B2554" s="5" t="s">
        <v>7479</v>
      </c>
      <c r="D2554" s="5" t="s">
        <v>59</v>
      </c>
      <c r="E2554" s="5" t="s">
        <v>41</v>
      </c>
      <c r="F2554" s="5" t="s">
        <v>1596</v>
      </c>
      <c r="G2554" s="14" t="str">
        <f t="array" ref="G2554">IF(B2554="", "",
  LET(_xlpm.spell, IFERROR(IF(F2554="", "", INDEX(_xlws.FILTER(Hairstyles!$F:$F, ISNUMBER(SEARCH(F2554, Hairstyles!$B:$B))), 1)), "No Spell for Hairstyle"),
  _xlpm.vanillaPrefix, IF(LEFT(_xlpm.spell, 7)="Uvi_Wig", "", ";"),
  ";" &amp; IF(C2554="", B2554, C2554) &amp; IF(M2554="", "", " ("&amp;M2554&amp;")") &amp; CHAR(10) &amp;
  _xlpm.vanillaPrefix &amp; "Keyword = Uvi_Wig_Distr_KYWD|" &amp; B2554 &amp; CHAR(10) &amp;
  _xlpm.vanillaPrefix &amp; "Spell = " &amp; _xlpm.spell &amp; "|" &amp; B2554
  )
)</f>
        <v>;EncBandit06Melee1HTankImperialF
;Keyword = Uvi_Wig_Distr_KYWD|EncBandit06Melee1HTankImperialF
;Spell = No Spell for Hairstyle|EncBandit06Melee1HTankImperialF</v>
      </c>
    </row>
    <row r="2555" ht="12.75" customHeight="1">
      <c r="A2555" s="5" t="s">
        <v>7480</v>
      </c>
      <c r="B2555" s="5" t="s">
        <v>7481</v>
      </c>
      <c r="D2555" s="5" t="s">
        <v>59</v>
      </c>
      <c r="E2555" s="5" t="s">
        <v>233</v>
      </c>
      <c r="F2555" s="5" t="s">
        <v>40</v>
      </c>
      <c r="G2555" s="14" t="str">
        <f t="array" ref="G2555">IF(B2555="", "",
  LET(_xlpm.spell, IFERROR(IF(F2555="", "", INDEX(_xlws.FILTER(Hairstyles!$F:$F, ISNUMBER(SEARCH(F2555, Hairstyles!$B:$B))), 1)), "No Spell for Hairstyle"),
  _xlpm.vanillaPrefix, IF(LEFT(_xlpm.spell, 7)="Uvi_Wig", "", ";"),
  ";" &amp; IF(C2555="", B2555, C2555) &amp; IF(M2555="", "", " ("&amp;M2555&amp;")") &amp; CHAR(10) &amp;
  _xlpm.vanillaPrefix &amp; "Keyword = Uvi_Wig_Distr_KYWD|" &amp; B2555 &amp; CHAR(10) &amp;
  _xlpm.vanillaPrefix &amp; "Spell = " &amp; _xlpm.spell &amp; "|" &amp; B2555
  )
)</f>
        <v>;EncBandit06Melee1HTankImperialM
;Keyword = Uvi_Wig_Distr_KYWD|EncBandit06Melee1HTankImperialM
;Spell = No Spell for Hairstyle|EncBandit06Melee1HTankImperialM</v>
      </c>
    </row>
    <row r="2556" ht="12.75" customHeight="1">
      <c r="A2556" s="5" t="s">
        <v>7482</v>
      </c>
      <c r="B2556" s="5" t="s">
        <v>7483</v>
      </c>
      <c r="D2556" s="5" t="s">
        <v>38</v>
      </c>
      <c r="E2556" s="5" t="s">
        <v>41</v>
      </c>
      <c r="F2556" s="5" t="s">
        <v>1557</v>
      </c>
      <c r="G2556" s="14" t="str">
        <f t="array" ref="G2556">IF(B2556="", "",
  LET(_xlpm.spell, IFERROR(IF(F2556="", "", INDEX(_xlws.FILTER(Hairstyles!$F:$F, ISNUMBER(SEARCH(F2556, Hairstyles!$B:$B))), 1)), "No Spell for Hairstyle"),
  _xlpm.vanillaPrefix, IF(LEFT(_xlpm.spell, 7)="Uvi_Wig", "", ";"),
  ";" &amp; IF(C2556="", B2556, C2556) &amp; IF(M2556="", "", " ("&amp;M2556&amp;")") &amp; CHAR(10) &amp;
  _xlpm.vanillaPrefix &amp; "Keyword = Uvi_Wig_Distr_KYWD|" &amp; B2556 &amp; CHAR(10) &amp;
  _xlpm.vanillaPrefix &amp; "Spell = " &amp; _xlpm.spell &amp; "|" &amp; B2556
  )
)</f>
        <v>;EncBandit06Melee1HTankNordF
;Keyword = Uvi_Wig_Distr_KYWD|EncBandit06Melee1HTankNordF
;Spell = No Spell for Hairstyle|EncBandit06Melee1HTankNordF</v>
      </c>
    </row>
    <row r="2557" ht="12.75" customHeight="1">
      <c r="A2557" s="5" t="s">
        <v>7484</v>
      </c>
      <c r="B2557" s="5" t="s">
        <v>7485</v>
      </c>
      <c r="D2557" s="5" t="s">
        <v>38</v>
      </c>
      <c r="E2557" s="5" t="s">
        <v>233</v>
      </c>
      <c r="F2557" s="5" t="s">
        <v>1894</v>
      </c>
      <c r="G2557" s="14" t="str">
        <f t="array" ref="G2557">IF(B2557="", "",
  LET(_xlpm.spell, IFERROR(IF(F2557="", "", INDEX(_xlws.FILTER(Hairstyles!$F:$F, ISNUMBER(SEARCH(F2557, Hairstyles!$B:$B))), 1)), "No Spell for Hairstyle"),
  _xlpm.vanillaPrefix, IF(LEFT(_xlpm.spell, 7)="Uvi_Wig", "", ";"),
  ";" &amp; IF(C2557="", B2557, C2557) &amp; IF(M2557="", "", " ("&amp;M2557&amp;")") &amp; CHAR(10) &amp;
  _xlpm.vanillaPrefix &amp; "Keyword = Uvi_Wig_Distr_KYWD|" &amp; B2557 &amp; CHAR(10) &amp;
  _xlpm.vanillaPrefix &amp; "Spell = " &amp; _xlpm.spell &amp; "|" &amp; B2557
  )
)</f>
        <v>;EncBandit06Melee1HTankNordM
;Keyword = Uvi_Wig_Distr_KYWD|EncBandit06Melee1HTankNordM
;Spell = No Spell for Hairstyle|EncBandit06Melee1HTankNordM</v>
      </c>
    </row>
    <row r="2558" ht="12.75" customHeight="1">
      <c r="A2558" s="5" t="s">
        <v>7486</v>
      </c>
      <c r="B2558" s="5" t="s">
        <v>7487</v>
      </c>
      <c r="D2558" s="5" t="s">
        <v>80</v>
      </c>
      <c r="E2558" s="5" t="s">
        <v>233</v>
      </c>
      <c r="F2558" s="5" t="s">
        <v>81</v>
      </c>
      <c r="G2558" s="14" t="str">
        <f t="array" ref="G2558">IF(B2558="", "",
  LET(_xlpm.spell, IFERROR(IF(F2558="", "", INDEX(_xlws.FILTER(Hairstyles!$F:$F, ISNUMBER(SEARCH(F2558, Hairstyles!$B:$B))), 1)), "No Spell for Hairstyle"),
  _xlpm.vanillaPrefix, IF(LEFT(_xlpm.spell, 7)="Uvi_Wig", "", ";"),
  ";" &amp; IF(C2558="", B2558, C2558) &amp; IF(M2558="", "", " ("&amp;M2558&amp;")") &amp; CHAR(10) &amp;
  _xlpm.vanillaPrefix &amp; "Keyword = Uvi_Wig_Distr_KYWD|" &amp; B2558 &amp; CHAR(10) &amp;
  _xlpm.vanillaPrefix &amp; "Spell = " &amp; _xlpm.spell &amp; "|" &amp; B2558
  )
)</f>
        <v>;EncBandit06Melee1HTankOrcM
;Keyword = Uvi_Wig_Distr_KYWD|EncBandit06Melee1HTankOrcM
;Spell = No Spell for Hairstyle|EncBandit06Melee1HTankOrcM</v>
      </c>
    </row>
    <row r="2559" ht="12.75" customHeight="1">
      <c r="A2559" s="5" t="s">
        <v>7488</v>
      </c>
      <c r="B2559" s="5" t="s">
        <v>7489</v>
      </c>
      <c r="D2559" s="5" t="s">
        <v>83</v>
      </c>
      <c r="E2559" s="5" t="s">
        <v>41</v>
      </c>
      <c r="F2559" s="5" t="s">
        <v>281</v>
      </c>
      <c r="G2559" s="14" t="str">
        <f t="array" ref="G2559">IF(B2559="", "",
  LET(_xlpm.spell, IFERROR(IF(F2559="", "", INDEX(_xlws.FILTER(Hairstyles!$F:$F, ISNUMBER(SEARCH(F2559, Hairstyles!$B:$B))), 1)), "No Spell for Hairstyle"),
  _xlpm.vanillaPrefix, IF(LEFT(_xlpm.spell, 7)="Uvi_Wig", "", ";"),
  ";" &amp; IF(C2559="", B2559, C2559) &amp; IF(M2559="", "", " ("&amp;M2559&amp;")") &amp; CHAR(10) &amp;
  _xlpm.vanillaPrefix &amp; "Keyword = Uvi_Wig_Distr_KYWD|" &amp; B2559 &amp; CHAR(10) &amp;
  _xlpm.vanillaPrefix &amp; "Spell = " &amp; _xlpm.spell &amp; "|" &amp; B2559
  )
)</f>
        <v>;EncBandit06Melee1HTankRedguardF
;Keyword = Uvi_Wig_Distr_KYWD|EncBandit06Melee1HTankRedguardF
;Spell = No Spell for Hairstyle|EncBandit06Melee1HTankRedguardF</v>
      </c>
    </row>
    <row r="2560" ht="12.75" customHeight="1">
      <c r="A2560" s="5" t="s">
        <v>7490</v>
      </c>
      <c r="B2560" s="5" t="s">
        <v>7491</v>
      </c>
      <c r="D2560" s="5" t="s">
        <v>83</v>
      </c>
      <c r="E2560" s="5" t="s">
        <v>233</v>
      </c>
      <c r="F2560" s="5" t="s">
        <v>2107</v>
      </c>
      <c r="G2560" s="14" t="str">
        <f t="array" ref="G2560">IF(B2560="", "",
  LET(_xlpm.spell, IFERROR(IF(F2560="", "", INDEX(_xlws.FILTER(Hairstyles!$F:$F, ISNUMBER(SEARCH(F2560, Hairstyles!$B:$B))), 1)), "No Spell for Hairstyle"),
  _xlpm.vanillaPrefix, IF(LEFT(_xlpm.spell, 7)="Uvi_Wig", "", ";"),
  ";" &amp; IF(C2560="", B2560, C2560) &amp; IF(M2560="", "", " ("&amp;M2560&amp;")") &amp; CHAR(10) &amp;
  _xlpm.vanillaPrefix &amp; "Keyword = Uvi_Wig_Distr_KYWD|" &amp; B2560 &amp; CHAR(10) &amp;
  _xlpm.vanillaPrefix &amp; "Spell = " &amp; _xlpm.spell &amp; "|" &amp; B2560
  )
)</f>
        <v>;EncBandit06Melee1HTankRedguardM
;Keyword = Uvi_Wig_Distr_KYWD|EncBandit06Melee1HTankRedguardM
;Spell = No Spell for Hairstyle|EncBandit06Melee1HTankRedguardM</v>
      </c>
    </row>
    <row r="2561" ht="12.75" customHeight="1">
      <c r="A2561" s="5" t="s">
        <v>7492</v>
      </c>
      <c r="B2561" s="5" t="s">
        <v>7493</v>
      </c>
      <c r="D2561" s="5" t="s">
        <v>38</v>
      </c>
      <c r="E2561" s="5" t="s">
        <v>41</v>
      </c>
      <c r="F2561" s="5" t="s">
        <v>1557</v>
      </c>
      <c r="G2561" s="14" t="str">
        <f t="array" ref="G2561">IF(B2561="", "",
  LET(_xlpm.spell, IFERROR(IF(F2561="", "", INDEX(_xlws.FILTER(Hairstyles!$F:$F, ISNUMBER(SEARCH(F2561, Hairstyles!$B:$B))), 1)), "No Spell for Hairstyle"),
  _xlpm.vanillaPrefix, IF(LEFT(_xlpm.spell, 7)="Uvi_Wig", "", ";"),
  ";" &amp; IF(C2561="", B2561, C2561) &amp; IF(M2561="", "", " ("&amp;M2561&amp;")") &amp; CHAR(10) &amp;
  _xlpm.vanillaPrefix &amp; "Keyword = Uvi_Wig_Distr_KYWD|" &amp; B2561 &amp; CHAR(10) &amp;
  _xlpm.vanillaPrefix &amp; "Spell = " &amp; _xlpm.spell &amp; "|" &amp; B2561
  )
)</f>
        <v>;EncBandit06Melee2HBerserkNordF
;Keyword = Uvi_Wig_Distr_KYWD|EncBandit06Melee2HBerserkNordF
;Spell = No Spell for Hairstyle|EncBandit06Melee2HBerserkNordF</v>
      </c>
    </row>
    <row r="2562" ht="12.75" customHeight="1">
      <c r="A2562" s="5" t="s">
        <v>7494</v>
      </c>
      <c r="B2562" s="5" t="s">
        <v>7495</v>
      </c>
      <c r="D2562" s="5" t="s">
        <v>38</v>
      </c>
      <c r="E2562" s="5" t="s">
        <v>233</v>
      </c>
      <c r="F2562" s="5" t="s">
        <v>1894</v>
      </c>
      <c r="G2562" s="14" t="str">
        <f t="array" ref="G2562">IF(B2562="", "",
  LET(_xlpm.spell, IFERROR(IF(F2562="", "", INDEX(_xlws.FILTER(Hairstyles!$F:$F, ISNUMBER(SEARCH(F2562, Hairstyles!$B:$B))), 1)), "No Spell for Hairstyle"),
  _xlpm.vanillaPrefix, IF(LEFT(_xlpm.spell, 7)="Uvi_Wig", "", ";"),
  ";" &amp; IF(C2562="", B2562, C2562) &amp; IF(M2562="", "", " ("&amp;M2562&amp;")") &amp; CHAR(10) &amp;
  _xlpm.vanillaPrefix &amp; "Keyword = Uvi_Wig_Distr_KYWD|" &amp; B2562 &amp; CHAR(10) &amp;
  _xlpm.vanillaPrefix &amp; "Spell = " &amp; _xlpm.spell &amp; "|" &amp; B2562
  )
)</f>
        <v>;EncBandit06Melee2HBerserkNordM
;Keyword = Uvi_Wig_Distr_KYWD|EncBandit06Melee2HBerserkNordM
;Spell = No Spell for Hairstyle|EncBandit06Melee2HBerserkNordM</v>
      </c>
    </row>
    <row r="2563" ht="12.75" customHeight="1">
      <c r="A2563" s="5" t="s">
        <v>7496</v>
      </c>
      <c r="B2563" s="5" t="s">
        <v>7497</v>
      </c>
      <c r="D2563" s="5" t="s">
        <v>80</v>
      </c>
      <c r="E2563" s="5" t="s">
        <v>233</v>
      </c>
      <c r="F2563" s="5" t="s">
        <v>81</v>
      </c>
      <c r="G2563" s="14" t="str">
        <f t="array" ref="G2563">IF(B2563="", "",
  LET(_xlpm.spell, IFERROR(IF(F2563="", "", INDEX(_xlws.FILTER(Hairstyles!$F:$F, ISNUMBER(SEARCH(F2563, Hairstyles!$B:$B))), 1)), "No Spell for Hairstyle"),
  _xlpm.vanillaPrefix, IF(LEFT(_xlpm.spell, 7)="Uvi_Wig", "", ";"),
  ";" &amp; IF(C2563="", B2563, C2563) &amp; IF(M2563="", "", " ("&amp;M2563&amp;")") &amp; CHAR(10) &amp;
  _xlpm.vanillaPrefix &amp; "Keyword = Uvi_Wig_Distr_KYWD|" &amp; B2563 &amp; CHAR(10) &amp;
  _xlpm.vanillaPrefix &amp; "Spell = " &amp; _xlpm.spell &amp; "|" &amp; B2563
  )
)</f>
        <v>;EncBandit06Melee2HBerserkOrcM
;Keyword = Uvi_Wig_Distr_KYWD|EncBandit06Melee2HBerserkOrcM
;Spell = No Spell for Hairstyle|EncBandit06Melee2HBerserkOrcM</v>
      </c>
    </row>
    <row r="2564" ht="12.75" customHeight="1">
      <c r="A2564" s="5" t="s">
        <v>7498</v>
      </c>
      <c r="B2564" s="5" t="s">
        <v>7499</v>
      </c>
      <c r="D2564" s="5" t="s">
        <v>83</v>
      </c>
      <c r="E2564" s="5" t="s">
        <v>41</v>
      </c>
      <c r="F2564" s="5" t="s">
        <v>281</v>
      </c>
      <c r="G2564" s="14" t="str">
        <f t="array" ref="G2564">IF(B2564="", "",
  LET(_xlpm.spell, IFERROR(IF(F2564="", "", INDEX(_xlws.FILTER(Hairstyles!$F:$F, ISNUMBER(SEARCH(F2564, Hairstyles!$B:$B))), 1)), "No Spell for Hairstyle"),
  _xlpm.vanillaPrefix, IF(LEFT(_xlpm.spell, 7)="Uvi_Wig", "", ";"),
  ";" &amp; IF(C2564="", B2564, C2564) &amp; IF(M2564="", "", " ("&amp;M2564&amp;")") &amp; CHAR(10) &amp;
  _xlpm.vanillaPrefix &amp; "Keyword = Uvi_Wig_Distr_KYWD|" &amp; B2564 &amp; CHAR(10) &amp;
  _xlpm.vanillaPrefix &amp; "Spell = " &amp; _xlpm.spell &amp; "|" &amp; B2564
  )
)</f>
        <v>;EncBandit06Melee2HBerserkRedguardF
;Keyword = Uvi_Wig_Distr_KYWD|EncBandit06Melee2HBerserkRedguardF
;Spell = No Spell for Hairstyle|EncBandit06Melee2HBerserkRedguardF</v>
      </c>
    </row>
    <row r="2565" ht="12.75" customHeight="1">
      <c r="A2565" s="5" t="s">
        <v>7500</v>
      </c>
      <c r="B2565" s="5" t="s">
        <v>7501</v>
      </c>
      <c r="D2565" s="5" t="s">
        <v>83</v>
      </c>
      <c r="E2565" s="5" t="s">
        <v>233</v>
      </c>
      <c r="F2565" s="5" t="s">
        <v>2107</v>
      </c>
      <c r="G2565" s="14" t="str">
        <f t="array" ref="G2565">IF(B2565="", "",
  LET(_xlpm.spell, IFERROR(IF(F2565="", "", INDEX(_xlws.FILTER(Hairstyles!$F:$F, ISNUMBER(SEARCH(F2565, Hairstyles!$B:$B))), 1)), "No Spell for Hairstyle"),
  _xlpm.vanillaPrefix, IF(LEFT(_xlpm.spell, 7)="Uvi_Wig", "", ";"),
  ";" &amp; IF(C2565="", B2565, C2565) &amp; IF(M2565="", "", " ("&amp;M2565&amp;")") &amp; CHAR(10) &amp;
  _xlpm.vanillaPrefix &amp; "Keyword = Uvi_Wig_Distr_KYWD|" &amp; B2565 &amp; CHAR(10) &amp;
  _xlpm.vanillaPrefix &amp; "Spell = " &amp; _xlpm.spell &amp; "|" &amp; B2565
  )
)</f>
        <v>;EncBandit06Melee2HBerserkRedguardM
;Keyword = Uvi_Wig_Distr_KYWD|EncBandit06Melee2HBerserkRedguardM
;Spell = No Spell for Hairstyle|EncBandit06Melee2HBerserkRedguardM</v>
      </c>
    </row>
    <row r="2566" ht="12.75" customHeight="1">
      <c r="A2566" s="5" t="s">
        <v>7502</v>
      </c>
      <c r="B2566" s="5" t="s">
        <v>7503</v>
      </c>
      <c r="D2566" s="5" t="s">
        <v>38</v>
      </c>
      <c r="E2566" s="5" t="s">
        <v>41</v>
      </c>
      <c r="F2566" s="5" t="s">
        <v>1557</v>
      </c>
      <c r="G2566" s="14" t="str">
        <f t="array" ref="G2566">IF(B2566="", "",
  LET(_xlpm.spell, IFERROR(IF(F2566="", "", INDEX(_xlws.FILTER(Hairstyles!$F:$F, ISNUMBER(SEARCH(F2566, Hairstyles!$B:$B))), 1)), "No Spell for Hairstyle"),
  _xlpm.vanillaPrefix, IF(LEFT(_xlpm.spell, 7)="Uvi_Wig", "", ";"),
  ";" &amp; IF(C2566="", B2566, C2566) &amp; IF(M2566="", "", " ("&amp;M2566&amp;")") &amp; CHAR(10) &amp;
  _xlpm.vanillaPrefix &amp; "Keyword = Uvi_Wig_Distr_KYWD|" &amp; B2566 &amp; CHAR(10) &amp;
  _xlpm.vanillaPrefix &amp; "Spell = " &amp; _xlpm.spell &amp; "|" &amp; B2566
  )
)</f>
        <v>;EncBandit06Melee2HNordF
;Keyword = Uvi_Wig_Distr_KYWD|EncBandit06Melee2HNordF
;Spell = No Spell for Hairstyle|EncBandit06Melee2HNordF</v>
      </c>
    </row>
    <row r="2567" ht="12.75" customHeight="1">
      <c r="A2567" s="5" t="s">
        <v>7504</v>
      </c>
      <c r="B2567" s="5" t="s">
        <v>7505</v>
      </c>
      <c r="D2567" s="5" t="s">
        <v>38</v>
      </c>
      <c r="E2567" s="5" t="s">
        <v>233</v>
      </c>
      <c r="F2567" s="5" t="s">
        <v>1894</v>
      </c>
      <c r="G2567" s="14" t="str">
        <f t="array" ref="G2567">IF(B2567="", "",
  LET(_xlpm.spell, IFERROR(IF(F2567="", "", INDEX(_xlws.FILTER(Hairstyles!$F:$F, ISNUMBER(SEARCH(F2567, Hairstyles!$B:$B))), 1)), "No Spell for Hairstyle"),
  _xlpm.vanillaPrefix, IF(LEFT(_xlpm.spell, 7)="Uvi_Wig", "", ";"),
  ";" &amp; IF(C2567="", B2567, C2567) &amp; IF(M2567="", "", " ("&amp;M2567&amp;")") &amp; CHAR(10) &amp;
  _xlpm.vanillaPrefix &amp; "Keyword = Uvi_Wig_Distr_KYWD|" &amp; B2567 &amp; CHAR(10) &amp;
  _xlpm.vanillaPrefix &amp; "Spell = " &amp; _xlpm.spell &amp; "|" &amp; B2567
  )
)</f>
        <v>;EncBandit06Melee2HNordM
;Keyword = Uvi_Wig_Distr_KYWD|EncBandit06Melee2HNordM
;Spell = No Spell for Hairstyle|EncBandit06Melee2HNordM</v>
      </c>
    </row>
    <row r="2568" ht="12.75" customHeight="1">
      <c r="A2568" s="5" t="s">
        <v>7506</v>
      </c>
      <c r="B2568" s="5" t="s">
        <v>7507</v>
      </c>
      <c r="D2568" s="5" t="s">
        <v>80</v>
      </c>
      <c r="E2568" s="5" t="s">
        <v>233</v>
      </c>
      <c r="F2568" s="5" t="s">
        <v>81</v>
      </c>
      <c r="G2568" s="14" t="str">
        <f t="array" ref="G2568">IF(B2568="", "",
  LET(_xlpm.spell, IFERROR(IF(F2568="", "", INDEX(_xlws.FILTER(Hairstyles!$F:$F, ISNUMBER(SEARCH(F2568, Hairstyles!$B:$B))), 1)), "No Spell for Hairstyle"),
  _xlpm.vanillaPrefix, IF(LEFT(_xlpm.spell, 7)="Uvi_Wig", "", ";"),
  ";" &amp; IF(C2568="", B2568, C2568) &amp; IF(M2568="", "", " ("&amp;M2568&amp;")") &amp; CHAR(10) &amp;
  _xlpm.vanillaPrefix &amp; "Keyword = Uvi_Wig_Distr_KYWD|" &amp; B2568 &amp; CHAR(10) &amp;
  _xlpm.vanillaPrefix &amp; "Spell = " &amp; _xlpm.spell &amp; "|" &amp; B2568
  )
)</f>
        <v>;EncBandit06Melee2HOrcM
;Keyword = Uvi_Wig_Distr_KYWD|EncBandit06Melee2HOrcM
;Spell = No Spell for Hairstyle|EncBandit06Melee2HOrcM</v>
      </c>
    </row>
    <row r="2569" ht="12.75" customHeight="1">
      <c r="A2569" s="5" t="s">
        <v>7508</v>
      </c>
      <c r="B2569" s="5" t="s">
        <v>7509</v>
      </c>
      <c r="D2569" s="5" t="s">
        <v>83</v>
      </c>
      <c r="E2569" s="5" t="s">
        <v>41</v>
      </c>
      <c r="F2569" s="5" t="s">
        <v>281</v>
      </c>
      <c r="G2569" s="14" t="str">
        <f t="array" ref="G2569">IF(B2569="", "",
  LET(_xlpm.spell, IFERROR(IF(F2569="", "", INDEX(_xlws.FILTER(Hairstyles!$F:$F, ISNUMBER(SEARCH(F2569, Hairstyles!$B:$B))), 1)), "No Spell for Hairstyle"),
  _xlpm.vanillaPrefix, IF(LEFT(_xlpm.spell, 7)="Uvi_Wig", "", ";"),
  ";" &amp; IF(C2569="", B2569, C2569) &amp; IF(M2569="", "", " ("&amp;M2569&amp;")") &amp; CHAR(10) &amp;
  _xlpm.vanillaPrefix &amp; "Keyword = Uvi_Wig_Distr_KYWD|" &amp; B2569 &amp; CHAR(10) &amp;
  _xlpm.vanillaPrefix &amp; "Spell = " &amp; _xlpm.spell &amp; "|" &amp; B2569
  )
)</f>
        <v>;EncBandit06Melee2HRedguardF
;Keyword = Uvi_Wig_Distr_KYWD|EncBandit06Melee2HRedguardF
;Spell = No Spell for Hairstyle|EncBandit06Melee2HRedguardF</v>
      </c>
    </row>
    <row r="2570" ht="12.75" customHeight="1">
      <c r="A2570" s="5" t="s">
        <v>7510</v>
      </c>
      <c r="B2570" s="5" t="s">
        <v>7511</v>
      </c>
      <c r="D2570" s="5" t="s">
        <v>83</v>
      </c>
      <c r="E2570" s="5" t="s">
        <v>233</v>
      </c>
      <c r="F2570" s="5" t="s">
        <v>2107</v>
      </c>
      <c r="G2570" s="14" t="str">
        <f t="array" ref="G2570">IF(B2570="", "",
  LET(_xlpm.spell, IFERROR(IF(F2570="", "", INDEX(_xlws.FILTER(Hairstyles!$F:$F, ISNUMBER(SEARCH(F2570, Hairstyles!$B:$B))), 1)), "No Spell for Hairstyle"),
  _xlpm.vanillaPrefix, IF(LEFT(_xlpm.spell, 7)="Uvi_Wig", "", ";"),
  ";" &amp; IF(C2570="", B2570, C2570) &amp; IF(M2570="", "", " ("&amp;M2570&amp;")") &amp; CHAR(10) &amp;
  _xlpm.vanillaPrefix &amp; "Keyword = Uvi_Wig_Distr_KYWD|" &amp; B2570 &amp; CHAR(10) &amp;
  _xlpm.vanillaPrefix &amp; "Spell = " &amp; _xlpm.spell &amp; "|" &amp; B2570
  )
)</f>
        <v>;EncBandit06Melee2HRedguardM
;Keyword = Uvi_Wig_Distr_KYWD|EncBandit06Melee2HRedguardM
;Spell = No Spell for Hairstyle|EncBandit06Melee2HRedguardM</v>
      </c>
    </row>
    <row r="2571" ht="12.75" customHeight="1">
      <c r="A2571" s="5" t="s">
        <v>7512</v>
      </c>
      <c r="B2571" s="5" t="s">
        <v>7513</v>
      </c>
      <c r="D2571" s="5" t="s">
        <v>59</v>
      </c>
      <c r="E2571" s="5" t="s">
        <v>41</v>
      </c>
      <c r="F2571" s="5" t="s">
        <v>2912</v>
      </c>
      <c r="G2571" s="14" t="str">
        <f t="array" ref="G2571">IF(B2571="", "",
  LET(_xlpm.spell, IFERROR(IF(F2571="", "", INDEX(_xlws.FILTER(Hairstyles!$F:$F, ISNUMBER(SEARCH(F2571, Hairstyles!$B:$B))), 1)), "No Spell for Hairstyle"),
  _xlpm.vanillaPrefix, IF(LEFT(_xlpm.spell, 7)="Uvi_Wig", "", ";"),
  ";" &amp; IF(C2571="", B2571, C2571) &amp; IF(M2571="", "", " ("&amp;M2571&amp;")") &amp; CHAR(10) &amp;
  _xlpm.vanillaPrefix &amp; "Keyword = Uvi_Wig_Distr_KYWD|" &amp; B2571 &amp; CHAR(10) &amp;
  _xlpm.vanillaPrefix &amp; "Spell = " &amp; _xlpm.spell &amp; "|" &amp; B2571
  )
)</f>
        <v>;EncBandit06MissileImperialF
;Keyword = Uvi_Wig_Distr_KYWD|EncBandit06MissileImperialF
;Spell = No Spell for Hairstyle|EncBandit06MissileImperialF</v>
      </c>
    </row>
    <row r="2572" ht="12.75" customHeight="1">
      <c r="A2572" s="5" t="s">
        <v>7514</v>
      </c>
      <c r="B2572" s="5" t="s">
        <v>7515</v>
      </c>
      <c r="D2572" s="5" t="s">
        <v>59</v>
      </c>
      <c r="E2572" s="5" t="s">
        <v>233</v>
      </c>
      <c r="F2572" s="5" t="s">
        <v>1622</v>
      </c>
      <c r="G2572" s="14" t="str">
        <f t="array" ref="G2572">IF(B2572="", "",
  LET(_xlpm.spell, IFERROR(IF(F2572="", "", INDEX(_xlws.FILTER(Hairstyles!$F:$F, ISNUMBER(SEARCH(F2572, Hairstyles!$B:$B))), 1)), "No Spell for Hairstyle"),
  _xlpm.vanillaPrefix, IF(LEFT(_xlpm.spell, 7)="Uvi_Wig", "", ";"),
  ";" &amp; IF(C2572="", B2572, C2572) &amp; IF(M2572="", "", " ("&amp;M2572&amp;")") &amp; CHAR(10) &amp;
  _xlpm.vanillaPrefix &amp; "Keyword = Uvi_Wig_Distr_KYWD|" &amp; B2572 &amp; CHAR(10) &amp;
  _xlpm.vanillaPrefix &amp; "Spell = " &amp; _xlpm.spell &amp; "|" &amp; B2572
  )
)</f>
        <v>;EncBandit06MissileImperialM
;Keyword = Uvi_Wig_Distr_KYWD|EncBandit06MissileImperialM
;Spell = No Spell for Hairstyle|EncBandit06MissileImperialM</v>
      </c>
    </row>
    <row r="2573" ht="12.75" customHeight="1">
      <c r="A2573" s="5" t="s">
        <v>7516</v>
      </c>
      <c r="B2573" s="5" t="s">
        <v>7517</v>
      </c>
      <c r="D2573" s="5" t="s">
        <v>65</v>
      </c>
      <c r="E2573" s="5" t="s">
        <v>233</v>
      </c>
      <c r="F2573" s="5" t="s">
        <v>324</v>
      </c>
      <c r="G2573" s="14" t="str">
        <f t="array" ref="G2573">IF(B2573="", "",
  LET(_xlpm.spell, IFERROR(IF(F2573="", "", INDEX(_xlws.FILTER(Hairstyles!$F:$F, ISNUMBER(SEARCH(F2573, Hairstyles!$B:$B))), 1)), "No Spell for Hairstyle"),
  _xlpm.vanillaPrefix, IF(LEFT(_xlpm.spell, 7)="Uvi_Wig", "", ";"),
  ";" &amp; IF(C2573="", B2573, C2573) &amp; IF(M2573="", "", " ("&amp;M2573&amp;")") &amp; CHAR(10) &amp;
  _xlpm.vanillaPrefix &amp; "Keyword = Uvi_Wig_Distr_KYWD|" &amp; B2573 &amp; CHAR(10) &amp;
  _xlpm.vanillaPrefix &amp; "Spell = " &amp; _xlpm.spell &amp; "|" &amp; B2573
  )
)</f>
        <v>;EncBandit06MissileKhajiitM
;Keyword = Uvi_Wig_Distr_KYWD|EncBandit06MissileKhajiitM
;Spell = No Spell for Hairstyle|EncBandit06MissileKhajiitM</v>
      </c>
    </row>
    <row r="2574" ht="12.75" customHeight="1">
      <c r="A2574" s="5" t="s">
        <v>7518</v>
      </c>
      <c r="B2574" s="5" t="s">
        <v>7519</v>
      </c>
      <c r="D2574" s="5" t="s">
        <v>38</v>
      </c>
      <c r="E2574" s="5" t="s">
        <v>41</v>
      </c>
      <c r="F2574" s="5" t="s">
        <v>42</v>
      </c>
      <c r="G2574" s="14" t="str">
        <f t="array" ref="G2574">IF(B2574="", "",
  LET(_xlpm.spell, IFERROR(IF(F2574="", "", INDEX(_xlws.FILTER(Hairstyles!$F:$F, ISNUMBER(SEARCH(F2574, Hairstyles!$B:$B))), 1)), "No Spell for Hairstyle"),
  _xlpm.vanillaPrefix, IF(LEFT(_xlpm.spell, 7)="Uvi_Wig", "", ";"),
  ";" &amp; IF(C2574="", B2574, C2574) &amp; IF(M2574="", "", " ("&amp;M2574&amp;")") &amp; CHAR(10) &amp;
  _xlpm.vanillaPrefix &amp; "Keyword = Uvi_Wig_Distr_KYWD|" &amp; B2574 &amp; CHAR(10) &amp;
  _xlpm.vanillaPrefix &amp; "Spell = " &amp; _xlpm.spell &amp; "|" &amp; B2574
  )
)</f>
        <v>;EncBandit06MissileNordF
;Keyword = Uvi_Wig_Distr_KYWD|EncBandit06MissileNordF
;Spell = No Spell for Hairstyle|EncBandit06MissileNordF</v>
      </c>
    </row>
    <row r="2575" ht="12.75" customHeight="1">
      <c r="A2575" s="5" t="s">
        <v>7520</v>
      </c>
      <c r="B2575" s="5" t="s">
        <v>7521</v>
      </c>
      <c r="D2575" s="5" t="s">
        <v>38</v>
      </c>
      <c r="E2575" s="5" t="s">
        <v>233</v>
      </c>
      <c r="F2575" s="5" t="s">
        <v>1894</v>
      </c>
      <c r="G2575" s="14" t="str">
        <f t="array" ref="G2575">IF(B2575="", "",
  LET(_xlpm.spell, IFERROR(IF(F2575="", "", INDEX(_xlws.FILTER(Hairstyles!$F:$F, ISNUMBER(SEARCH(F2575, Hairstyles!$B:$B))), 1)), "No Spell for Hairstyle"),
  _xlpm.vanillaPrefix, IF(LEFT(_xlpm.spell, 7)="Uvi_Wig", "", ";"),
  ";" &amp; IF(C2575="", B2575, C2575) &amp; IF(M2575="", "", " ("&amp;M2575&amp;")") &amp; CHAR(10) &amp;
  _xlpm.vanillaPrefix &amp; "Keyword = Uvi_Wig_Distr_KYWD|" &amp; B2575 &amp; CHAR(10) &amp;
  _xlpm.vanillaPrefix &amp; "Spell = " &amp; _xlpm.spell &amp; "|" &amp; B2575
  )
)</f>
        <v>;EncBandit06MissileNordM
;Keyword = Uvi_Wig_Distr_KYWD|EncBandit06MissileNordM
;Spell = No Spell for Hairstyle|EncBandit06MissileNordM</v>
      </c>
    </row>
    <row r="2576" ht="12.75" customHeight="1">
      <c r="A2576" s="5" t="s">
        <v>7522</v>
      </c>
      <c r="B2576" s="5" t="s">
        <v>7523</v>
      </c>
      <c r="D2576" s="5" t="s">
        <v>83</v>
      </c>
      <c r="E2576" s="5" t="s">
        <v>41</v>
      </c>
      <c r="F2576" s="5" t="s">
        <v>2912</v>
      </c>
      <c r="G2576" s="14" t="str">
        <f t="array" ref="G2576">IF(B2576="", "",
  LET(_xlpm.spell, IFERROR(IF(F2576="", "", INDEX(_xlws.FILTER(Hairstyles!$F:$F, ISNUMBER(SEARCH(F2576, Hairstyles!$B:$B))), 1)), "No Spell for Hairstyle"),
  _xlpm.vanillaPrefix, IF(LEFT(_xlpm.spell, 7)="Uvi_Wig", "", ";"),
  ";" &amp; IF(C2576="", B2576, C2576) &amp; IF(M2576="", "", " ("&amp;M2576&amp;")") &amp; CHAR(10) &amp;
  _xlpm.vanillaPrefix &amp; "Keyword = Uvi_Wig_Distr_KYWD|" &amp; B2576 &amp; CHAR(10) &amp;
  _xlpm.vanillaPrefix &amp; "Spell = " &amp; _xlpm.spell &amp; "|" &amp; B2576
  )
)</f>
        <v>;EncBandit06MissileRedguardF
;Keyword = Uvi_Wig_Distr_KYWD|EncBandit06MissileRedguardF
;Spell = No Spell for Hairstyle|EncBandit06MissileRedguardF</v>
      </c>
    </row>
    <row r="2577" ht="12.75" customHeight="1">
      <c r="A2577" s="5" t="s">
        <v>7524</v>
      </c>
      <c r="B2577" s="5" t="s">
        <v>7525</v>
      </c>
      <c r="D2577" s="5" t="s">
        <v>83</v>
      </c>
      <c r="E2577" s="5" t="s">
        <v>233</v>
      </c>
      <c r="F2577" s="5" t="s">
        <v>695</v>
      </c>
      <c r="G2577" s="14" t="str">
        <f t="array" ref="G2577">IF(B2577="", "",
  LET(_xlpm.spell, IFERROR(IF(F2577="", "", INDEX(_xlws.FILTER(Hairstyles!$F:$F, ISNUMBER(SEARCH(F2577, Hairstyles!$B:$B))), 1)), "No Spell for Hairstyle"),
  _xlpm.vanillaPrefix, IF(LEFT(_xlpm.spell, 7)="Uvi_Wig", "", ";"),
  ";" &amp; IF(C2577="", B2577, C2577) &amp; IF(M2577="", "", " ("&amp;M2577&amp;")") &amp; CHAR(10) &amp;
  _xlpm.vanillaPrefix &amp; "Keyword = Uvi_Wig_Distr_KYWD|" &amp; B2577 &amp; CHAR(10) &amp;
  _xlpm.vanillaPrefix &amp; "Spell = " &amp; _xlpm.spell &amp; "|" &amp; B2577
  )
)</f>
        <v>;EncBandit06MissileRedguardM
;Keyword = Uvi_Wig_Distr_KYWD|EncBandit06MissileRedguardM
;Spell = No Spell for Hairstyle|EncBandit06MissileRedguardM</v>
      </c>
    </row>
    <row r="2578" ht="12.75" customHeight="1">
      <c r="A2578" s="5" t="s">
        <v>7526</v>
      </c>
      <c r="B2578" s="5" t="s">
        <v>7527</v>
      </c>
      <c r="D2578" s="5" t="s">
        <v>90</v>
      </c>
      <c r="E2578" s="5" t="s">
        <v>41</v>
      </c>
      <c r="F2578" s="5" t="s">
        <v>491</v>
      </c>
      <c r="G2578" s="14" t="str">
        <f t="array" ref="G2578">IF(B2578="", "",
  LET(_xlpm.spell, IFERROR(IF(F2578="", "", INDEX(_xlws.FILTER(Hairstyles!$F:$F, ISNUMBER(SEARCH(F2578, Hairstyles!$B:$B))), 1)), "No Spell for Hairstyle"),
  _xlpm.vanillaPrefix, IF(LEFT(_xlpm.spell, 7)="Uvi_Wig", "", ";"),
  ";" &amp; IF(C2578="", B2578, C2578) &amp; IF(M2578="", "", " ("&amp;M2578&amp;")") &amp; CHAR(10) &amp;
  _xlpm.vanillaPrefix &amp; "Keyword = Uvi_Wig_Distr_KYWD|" &amp; B2578 &amp; CHAR(10) &amp;
  _xlpm.vanillaPrefix &amp; "Spell = " &amp; _xlpm.spell &amp; "|" &amp; B2578
  )
)</f>
        <v>;EncBandit06MissileWoodElfF
;Keyword = Uvi_Wig_Distr_KYWD|EncBandit06MissileWoodElfF
;Spell = No Spell for Hairstyle|EncBandit06MissileWoodElfF</v>
      </c>
    </row>
    <row r="2579" ht="12.75" customHeight="1">
      <c r="A2579" s="5" t="s">
        <v>7528</v>
      </c>
      <c r="B2579" s="5" t="s">
        <v>7529</v>
      </c>
      <c r="D2579" s="5" t="s">
        <v>90</v>
      </c>
      <c r="E2579" s="5" t="s">
        <v>233</v>
      </c>
      <c r="F2579" s="5" t="s">
        <v>543</v>
      </c>
      <c r="G2579" s="14" t="str">
        <f t="array" ref="G2579">IF(B2579="", "",
  LET(_xlpm.spell, IFERROR(IF(F2579="", "", INDEX(_xlws.FILTER(Hairstyles!$F:$F, ISNUMBER(SEARCH(F2579, Hairstyles!$B:$B))), 1)), "No Spell for Hairstyle"),
  _xlpm.vanillaPrefix, IF(LEFT(_xlpm.spell, 7)="Uvi_Wig", "", ";"),
  ";" &amp; IF(C2579="", B2579, C2579) &amp; IF(M2579="", "", " ("&amp;M2579&amp;")") &amp; CHAR(10) &amp;
  _xlpm.vanillaPrefix &amp; "Keyword = Uvi_Wig_Distr_KYWD|" &amp; B2579 &amp; CHAR(10) &amp;
  _xlpm.vanillaPrefix &amp; "Spell = " &amp; _xlpm.spell &amp; "|" &amp; B2579
  )
)</f>
        <v>;EncBandit06MissileWoodElfM
;Keyword = Uvi_Wig_Distr_KYWD|EncBandit06MissileWoodElfM
;Spell = No Spell for Hairstyle|EncBandit06MissileWoodElfM</v>
      </c>
    </row>
    <row r="2580" ht="12.75" customHeight="1">
      <c r="A2580" s="15" t="s">
        <v>7530</v>
      </c>
      <c r="B2580" s="5" t="s">
        <v>7531</v>
      </c>
      <c r="D2580" s="5" t="s">
        <v>59</v>
      </c>
      <c r="E2580" s="5" t="s">
        <v>41</v>
      </c>
      <c r="F2580" s="5" t="s">
        <v>44</v>
      </c>
      <c r="G2580" s="14" t="str">
        <f t="array" ref="G2580">IF(B2580="", "",
  LET(_xlpm.spell, IFERROR(IF(F2580="", "", INDEX(_xlws.FILTER(Hairstyles!$F:$F, ISNUMBER(SEARCH(F2580, Hairstyles!$B:$B))), 1)), "No Spell for Hairstyle"),
  _xlpm.vanillaPrefix, IF(LEFT(_xlpm.spell, 7)="Uvi_Wig", "", ";"),
  ";" &amp; IF(C2580="", B2580, C2580) &amp; IF(M2580="", "", " ("&amp;M2580&amp;")") &amp; CHAR(10) &amp;
  _xlpm.vanillaPrefix &amp; "Keyword = Uvi_Wig_Distr_KYWD|" &amp; B2580 &amp; CHAR(10) &amp;
  _xlpm.vanillaPrefix &amp; "Spell = " &amp; _xlpm.spell &amp; "|" &amp; B2580
  )
)</f>
        <v>;EncDawnguard01Melee1HImperialF
;Keyword = Uvi_Wig_Distr_KYWD|EncDawnguard01Melee1HImperialF
;Spell = No Spell for Hairstyle|EncDawnguard01Melee1HImperialF</v>
      </c>
    </row>
    <row r="2581" ht="12.75" customHeight="1">
      <c r="A2581" s="15" t="s">
        <v>7532</v>
      </c>
      <c r="B2581" s="5" t="s">
        <v>7533</v>
      </c>
      <c r="D2581" s="5" t="s">
        <v>59</v>
      </c>
      <c r="E2581" s="5" t="s">
        <v>233</v>
      </c>
      <c r="F2581" s="5" t="s">
        <v>235</v>
      </c>
      <c r="G2581" s="14" t="str">
        <f t="array" ref="G2581">IF(B2581="", "",
  LET(_xlpm.spell, IFERROR(IF(F2581="", "", INDEX(_xlws.FILTER(Hairstyles!$F:$F, ISNUMBER(SEARCH(F2581, Hairstyles!$B:$B))), 1)), "No Spell for Hairstyle"),
  _xlpm.vanillaPrefix, IF(LEFT(_xlpm.spell, 7)="Uvi_Wig", "", ";"),
  ";" &amp; IF(C2581="", B2581, C2581) &amp; IF(M2581="", "", " ("&amp;M2581&amp;")") &amp; CHAR(10) &amp;
  _xlpm.vanillaPrefix &amp; "Keyword = Uvi_Wig_Distr_KYWD|" &amp; B2581 &amp; CHAR(10) &amp;
  _xlpm.vanillaPrefix &amp; "Spell = " &amp; _xlpm.spell &amp; "|" &amp; B2581
  )
)</f>
        <v>;EncDawnguard01Melee1HImperialM
;Keyword = Uvi_Wig_Distr_KYWD|EncDawnguard01Melee1HImperialM
;Spell = No Spell for Hairstyle|EncDawnguard01Melee1HImperialM</v>
      </c>
    </row>
    <row r="2582" ht="12.75" customHeight="1">
      <c r="A2582" s="15" t="s">
        <v>7534</v>
      </c>
      <c r="B2582" s="5" t="s">
        <v>7535</v>
      </c>
      <c r="D2582" s="5" t="s">
        <v>38</v>
      </c>
      <c r="E2582" s="5" t="s">
        <v>41</v>
      </c>
      <c r="F2582" s="5" t="s">
        <v>1041</v>
      </c>
      <c r="G2582" s="14" t="str">
        <f t="array" ref="G2582">IF(B2582="", "",
  LET(_xlpm.spell, IFERROR(IF(F2582="", "", INDEX(_xlws.FILTER(Hairstyles!$F:$F, ISNUMBER(SEARCH(F2582, Hairstyles!$B:$B))), 1)), "No Spell for Hairstyle"),
  _xlpm.vanillaPrefix, IF(LEFT(_xlpm.spell, 7)="Uvi_Wig", "", ";"),
  ";" &amp; IF(C2582="", B2582, C2582) &amp; IF(M2582="", "", " ("&amp;M2582&amp;")") &amp; CHAR(10) &amp;
  _xlpm.vanillaPrefix &amp; "Keyword = Uvi_Wig_Distr_KYWD|" &amp; B2582 &amp; CHAR(10) &amp;
  _xlpm.vanillaPrefix &amp; "Spell = " &amp; _xlpm.spell &amp; "|" &amp; B2582
  )
)</f>
        <v>;EncDawnguard01Melee1HNordF
;Keyword = Uvi_Wig_Distr_KYWD|EncDawnguard01Melee1HNordF
;Spell = No Spell for Hairstyle|EncDawnguard01Melee1HNordF</v>
      </c>
    </row>
    <row r="2583" ht="12.75" customHeight="1">
      <c r="A2583" s="15" t="s">
        <v>7536</v>
      </c>
      <c r="B2583" s="5" t="s">
        <v>7537</v>
      </c>
      <c r="D2583" s="5" t="s">
        <v>38</v>
      </c>
      <c r="E2583" s="5" t="s">
        <v>233</v>
      </c>
      <c r="F2583" s="5" t="s">
        <v>1622</v>
      </c>
      <c r="G2583" s="14" t="str">
        <f t="array" ref="G2583">IF(B2583="", "",
  LET(_xlpm.spell, IFERROR(IF(F2583="", "", INDEX(_xlws.FILTER(Hairstyles!$F:$F, ISNUMBER(SEARCH(F2583, Hairstyles!$B:$B))), 1)), "No Spell for Hairstyle"),
  _xlpm.vanillaPrefix, IF(LEFT(_xlpm.spell, 7)="Uvi_Wig", "", ";"),
  ";" &amp; IF(C2583="", B2583, C2583) &amp; IF(M2583="", "", " ("&amp;M2583&amp;")") &amp; CHAR(10) &amp;
  _xlpm.vanillaPrefix &amp; "Keyword = Uvi_Wig_Distr_KYWD|" &amp; B2583 &amp; CHAR(10) &amp;
  _xlpm.vanillaPrefix &amp; "Spell = " &amp; _xlpm.spell &amp; "|" &amp; B2583
  )
)</f>
        <v>;EncDawnguard01Melee1HNordM
;Keyword = Uvi_Wig_Distr_KYWD|EncDawnguard01Melee1HNordM
;Spell = No Spell for Hairstyle|EncDawnguard01Melee1HNordM</v>
      </c>
    </row>
    <row r="2584" ht="12.75" customHeight="1">
      <c r="A2584" s="5" t="s">
        <v>7538</v>
      </c>
      <c r="B2584" s="5" t="s">
        <v>7539</v>
      </c>
      <c r="D2584" s="5" t="s">
        <v>80</v>
      </c>
      <c r="E2584" s="5" t="s">
        <v>233</v>
      </c>
      <c r="F2584" s="5" t="s">
        <v>452</v>
      </c>
      <c r="G2584" s="14" t="str">
        <f t="array" ref="G2584">IF(B2584="", "",
  LET(_xlpm.spell, IFERROR(IF(F2584="", "", INDEX(_xlws.FILTER(Hairstyles!$F:$F, ISNUMBER(SEARCH(F2584, Hairstyles!$B:$B))), 1)), "No Spell for Hairstyle"),
  _xlpm.vanillaPrefix, IF(LEFT(_xlpm.spell, 7)="Uvi_Wig", "", ";"),
  ";" &amp; IF(C2584="", B2584, C2584) &amp; IF(M2584="", "", " ("&amp;M2584&amp;")") &amp; CHAR(10) &amp;
  _xlpm.vanillaPrefix &amp; "Keyword = Uvi_Wig_Distr_KYWD|" &amp; B2584 &amp; CHAR(10) &amp;
  _xlpm.vanillaPrefix &amp; "Spell = " &amp; _xlpm.spell &amp; "|" &amp; B2584
  )
)</f>
        <v>;EncDawnguard01Melee1HOrcM
;Keyword = Uvi_Wig_Distr_KYWD|EncDawnguard01Melee1HOrcM
;Spell = No Spell for Hairstyle|EncDawnguard01Melee1HOrcM</v>
      </c>
    </row>
    <row r="2585" ht="12.75" customHeight="1">
      <c r="A2585" s="5" t="s">
        <v>7540</v>
      </c>
      <c r="B2585" s="5" t="s">
        <v>7541</v>
      </c>
      <c r="D2585" s="5" t="s">
        <v>83</v>
      </c>
      <c r="E2585" s="5" t="s">
        <v>41</v>
      </c>
      <c r="F2585" s="5" t="s">
        <v>2618</v>
      </c>
      <c r="G2585" s="14" t="str">
        <f t="array" ref="G2585">IF(B2585="", "",
  LET(_xlpm.spell, IFERROR(IF(F2585="", "", INDEX(_xlws.FILTER(Hairstyles!$F:$F, ISNUMBER(SEARCH(F2585, Hairstyles!$B:$B))), 1)), "No Spell for Hairstyle"),
  _xlpm.vanillaPrefix, IF(LEFT(_xlpm.spell, 7)="Uvi_Wig", "", ";"),
  ";" &amp; IF(C2585="", B2585, C2585) &amp; IF(M2585="", "", " ("&amp;M2585&amp;")") &amp; CHAR(10) &amp;
  _xlpm.vanillaPrefix &amp; "Keyword = Uvi_Wig_Distr_KYWD|" &amp; B2585 &amp; CHAR(10) &amp;
  _xlpm.vanillaPrefix &amp; "Spell = " &amp; _xlpm.spell &amp; "|" &amp; B2585
  )
)</f>
        <v>;EncDawnguard01Melee1HRedguardF
;Keyword = Uvi_Wig_Distr_KYWD|EncDawnguard01Melee1HRedguardF
;Spell = No Spell for Hairstyle|EncDawnguard01Melee1HRedguardF</v>
      </c>
    </row>
    <row r="2586" ht="12.75" customHeight="1">
      <c r="A2586" s="5" t="s">
        <v>7542</v>
      </c>
      <c r="B2586" s="5" t="s">
        <v>7543</v>
      </c>
      <c r="D2586" s="5" t="s">
        <v>83</v>
      </c>
      <c r="E2586" s="5" t="s">
        <v>233</v>
      </c>
      <c r="F2586" s="5" t="s">
        <v>174</v>
      </c>
      <c r="G2586" s="14" t="str">
        <f t="array" ref="G2586">IF(B2586="", "",
  LET(_xlpm.spell, IFERROR(IF(F2586="", "", INDEX(_xlws.FILTER(Hairstyles!$F:$F, ISNUMBER(SEARCH(F2586, Hairstyles!$B:$B))), 1)), "No Spell for Hairstyle"),
  _xlpm.vanillaPrefix, IF(LEFT(_xlpm.spell, 7)="Uvi_Wig", "", ";"),
  ";" &amp; IF(C2586="", B2586, C2586) &amp; IF(M2586="", "", " ("&amp;M2586&amp;")") &amp; CHAR(10) &amp;
  _xlpm.vanillaPrefix &amp; "Keyword = Uvi_Wig_Distr_KYWD|" &amp; B2586 &amp; CHAR(10) &amp;
  _xlpm.vanillaPrefix &amp; "Spell = " &amp; _xlpm.spell &amp; "|" &amp; B2586
  )
)</f>
        <v>;EncDawnguard01Melee1HRedguardM
;Keyword = Uvi_Wig_Distr_KYWD|EncDawnguard01Melee1HRedguardM
;Spell = No Spell for Hairstyle|EncDawnguard01Melee1HRedguardM</v>
      </c>
    </row>
    <row r="2587" ht="12.75" customHeight="1">
      <c r="A2587" s="15" t="s">
        <v>7544</v>
      </c>
      <c r="B2587" s="5" t="s">
        <v>7545</v>
      </c>
      <c r="D2587" s="5" t="s">
        <v>59</v>
      </c>
      <c r="E2587" s="5" t="s">
        <v>41</v>
      </c>
      <c r="F2587" s="5" t="s">
        <v>371</v>
      </c>
      <c r="G2587" s="14" t="str">
        <f t="array" ref="G2587">IF(B2587="", "",
  LET(_xlpm.spell, IFERROR(IF(F2587="", "", INDEX(_xlws.FILTER(Hairstyles!$F:$F, ISNUMBER(SEARCH(F2587, Hairstyles!$B:$B))), 1)), "No Spell for Hairstyle"),
  _xlpm.vanillaPrefix, IF(LEFT(_xlpm.spell, 7)="Uvi_Wig", "", ";"),
  ";" &amp; IF(C2587="", B2587, C2587) &amp; IF(M2587="", "", " ("&amp;M2587&amp;")") &amp; CHAR(10) &amp;
  _xlpm.vanillaPrefix &amp; "Keyword = Uvi_Wig_Distr_KYWD|" &amp; B2587 &amp; CHAR(10) &amp;
  _xlpm.vanillaPrefix &amp; "Spell = " &amp; _xlpm.spell &amp; "|" &amp; B2587
  )
)</f>
        <v>;EncDawnguard02Melee1HImperialF
;Keyword = Uvi_Wig_Distr_KYWD|EncDawnguard02Melee1HImperialF
;Spell = No Spell for Hairstyle|EncDawnguard02Melee1HImperialF</v>
      </c>
    </row>
    <row r="2588" ht="12.75" customHeight="1">
      <c r="A2588" s="15" t="s">
        <v>7546</v>
      </c>
      <c r="B2588" s="5" t="s">
        <v>7547</v>
      </c>
      <c r="D2588" s="5" t="s">
        <v>59</v>
      </c>
      <c r="E2588" s="5" t="s">
        <v>233</v>
      </c>
      <c r="F2588" s="5" t="s">
        <v>19</v>
      </c>
      <c r="G2588" s="14" t="str">
        <f t="array" ref="G2588">IF(B2588="", "",
  LET(_xlpm.spell, IFERROR(IF(F2588="", "", INDEX(_xlws.FILTER(Hairstyles!$F:$F, ISNUMBER(SEARCH(F2588, Hairstyles!$B:$B))), 1)), "No Spell for Hairstyle"),
  _xlpm.vanillaPrefix, IF(LEFT(_xlpm.spell, 7)="Uvi_Wig", "", ";"),
  ";" &amp; IF(C2588="", B2588, C2588) &amp; IF(M2588="", "", " ("&amp;M2588&amp;")") &amp; CHAR(10) &amp;
  _xlpm.vanillaPrefix &amp; "Keyword = Uvi_Wig_Distr_KYWD|" &amp; B2588 &amp; CHAR(10) &amp;
  _xlpm.vanillaPrefix &amp; "Spell = " &amp; _xlpm.spell &amp; "|" &amp; B2588
  )
)</f>
        <v>;EncDawnguard02Melee1HImperialM
;Keyword = Uvi_Wig_Distr_KYWD|EncDawnguard02Melee1HImperialM
;Spell = No Spell for Hairstyle|EncDawnguard02Melee1HImperialM</v>
      </c>
    </row>
    <row r="2589" ht="12.75" customHeight="1">
      <c r="A2589" s="15" t="s">
        <v>7548</v>
      </c>
      <c r="B2589" s="5" t="s">
        <v>7549</v>
      </c>
      <c r="D2589" s="5" t="s">
        <v>38</v>
      </c>
      <c r="E2589" s="5" t="s">
        <v>41</v>
      </c>
      <c r="F2589" s="5" t="s">
        <v>1596</v>
      </c>
      <c r="G2589" s="14" t="str">
        <f t="array" ref="G2589">IF(B2589="", "",
  LET(_xlpm.spell, IFERROR(IF(F2589="", "", INDEX(_xlws.FILTER(Hairstyles!$F:$F, ISNUMBER(SEARCH(F2589, Hairstyles!$B:$B))), 1)), "No Spell for Hairstyle"),
  _xlpm.vanillaPrefix, IF(LEFT(_xlpm.spell, 7)="Uvi_Wig", "", ";"),
  ";" &amp; IF(C2589="", B2589, C2589) &amp; IF(M2589="", "", " ("&amp;M2589&amp;")") &amp; CHAR(10) &amp;
  _xlpm.vanillaPrefix &amp; "Keyword = Uvi_Wig_Distr_KYWD|" &amp; B2589 &amp; CHAR(10) &amp;
  _xlpm.vanillaPrefix &amp; "Spell = " &amp; _xlpm.spell &amp; "|" &amp; B2589
  )
)</f>
        <v>;EncDawnguard02Melee1HNordF
;Keyword = Uvi_Wig_Distr_KYWD|EncDawnguard02Melee1HNordF
;Spell = No Spell for Hairstyle|EncDawnguard02Melee1HNordF</v>
      </c>
    </row>
    <row r="2590" ht="12.75" customHeight="1">
      <c r="A2590" s="15" t="s">
        <v>7550</v>
      </c>
      <c r="B2590" s="5" t="s">
        <v>7551</v>
      </c>
      <c r="D2590" s="5" t="s">
        <v>38</v>
      </c>
      <c r="E2590" s="5" t="s">
        <v>233</v>
      </c>
      <c r="F2590" s="5" t="s">
        <v>1088</v>
      </c>
      <c r="G2590" s="14" t="str">
        <f t="array" ref="G2590">IF(B2590="", "",
  LET(_xlpm.spell, IFERROR(IF(F2590="", "", INDEX(_xlws.FILTER(Hairstyles!$F:$F, ISNUMBER(SEARCH(F2590, Hairstyles!$B:$B))), 1)), "No Spell for Hairstyle"),
  _xlpm.vanillaPrefix, IF(LEFT(_xlpm.spell, 7)="Uvi_Wig", "", ";"),
  ";" &amp; IF(C2590="", B2590, C2590) &amp; IF(M2590="", "", " ("&amp;M2590&amp;")") &amp; CHAR(10) &amp;
  _xlpm.vanillaPrefix &amp; "Keyword = Uvi_Wig_Distr_KYWD|" &amp; B2590 &amp; CHAR(10) &amp;
  _xlpm.vanillaPrefix &amp; "Spell = " &amp; _xlpm.spell &amp; "|" &amp; B2590
  )
)</f>
        <v>;EncDawnguard02Melee1HNordM
;Keyword = Uvi_Wig_Distr_KYWD|EncDawnguard02Melee1HNordM
;Spell = No Spell for Hairstyle|EncDawnguard02Melee1HNordM</v>
      </c>
    </row>
    <row r="2591" ht="12.75" customHeight="1">
      <c r="A2591" s="5" t="s">
        <v>7552</v>
      </c>
      <c r="B2591" s="5" t="s">
        <v>7553</v>
      </c>
      <c r="D2591" s="5" t="s">
        <v>80</v>
      </c>
      <c r="E2591" s="5" t="s">
        <v>233</v>
      </c>
      <c r="F2591" s="5" t="s">
        <v>537</v>
      </c>
      <c r="G2591" s="14" t="str">
        <f t="array" ref="G2591">IF(B2591="", "",
  LET(_xlpm.spell, IFERROR(IF(F2591="", "", INDEX(_xlws.FILTER(Hairstyles!$F:$F, ISNUMBER(SEARCH(F2591, Hairstyles!$B:$B))), 1)), "No Spell for Hairstyle"),
  _xlpm.vanillaPrefix, IF(LEFT(_xlpm.spell, 7)="Uvi_Wig", "", ";"),
  ";" &amp; IF(C2591="", B2591, C2591) &amp; IF(M2591="", "", " ("&amp;M2591&amp;")") &amp; CHAR(10) &amp;
  _xlpm.vanillaPrefix &amp; "Keyword = Uvi_Wig_Distr_KYWD|" &amp; B2591 &amp; CHAR(10) &amp;
  _xlpm.vanillaPrefix &amp; "Spell = " &amp; _xlpm.spell &amp; "|" &amp; B2591
  )
)</f>
        <v>;EncDawnguard02Melee1HOrcM
;Keyword = Uvi_Wig_Distr_KYWD|EncDawnguard02Melee1HOrcM
;Spell = No Spell for Hairstyle|EncDawnguard02Melee1HOrcM</v>
      </c>
    </row>
    <row r="2592" ht="12.75" customHeight="1">
      <c r="A2592" s="5" t="s">
        <v>7554</v>
      </c>
      <c r="B2592" s="5" t="s">
        <v>7555</v>
      </c>
      <c r="D2592" s="5" t="s">
        <v>83</v>
      </c>
      <c r="E2592" s="5" t="s">
        <v>41</v>
      </c>
      <c r="F2592" s="5" t="s">
        <v>4628</v>
      </c>
      <c r="G2592" s="14" t="str">
        <f t="array" ref="G2592">IF(B2592="", "",
  LET(_xlpm.spell, IFERROR(IF(F2592="", "", INDEX(_xlws.FILTER(Hairstyles!$F:$F, ISNUMBER(SEARCH(F2592, Hairstyles!$B:$B))), 1)), "No Spell for Hairstyle"),
  _xlpm.vanillaPrefix, IF(LEFT(_xlpm.spell, 7)="Uvi_Wig", "", ";"),
  ";" &amp; IF(C2592="", B2592, C2592) &amp; IF(M2592="", "", " ("&amp;M2592&amp;")") &amp; CHAR(10) &amp;
  _xlpm.vanillaPrefix &amp; "Keyword = Uvi_Wig_Distr_KYWD|" &amp; B2592 &amp; CHAR(10) &amp;
  _xlpm.vanillaPrefix &amp; "Spell = " &amp; _xlpm.spell &amp; "|" &amp; B2592
  )
)</f>
        <v>;EncDawnguard02Melee1HRedguardF
;Keyword = Uvi_Wig_Distr_KYWD|EncDawnguard02Melee1HRedguardF
;Spell = No Spell for Hairstyle|EncDawnguard02Melee1HRedguardF</v>
      </c>
    </row>
    <row r="2593" ht="12.75" customHeight="1">
      <c r="A2593" s="5" t="s">
        <v>7556</v>
      </c>
      <c r="B2593" s="5" t="s">
        <v>7557</v>
      </c>
      <c r="D2593" s="5" t="s">
        <v>83</v>
      </c>
      <c r="E2593" s="5" t="s">
        <v>233</v>
      </c>
      <c r="F2593" s="5" t="s">
        <v>209</v>
      </c>
      <c r="G2593" s="14" t="str">
        <f t="array" ref="G2593">IF(B2593="", "",
  LET(_xlpm.spell, IFERROR(IF(F2593="", "", INDEX(_xlws.FILTER(Hairstyles!$F:$F, ISNUMBER(SEARCH(F2593, Hairstyles!$B:$B))), 1)), "No Spell for Hairstyle"),
  _xlpm.vanillaPrefix, IF(LEFT(_xlpm.spell, 7)="Uvi_Wig", "", ";"),
  ";" &amp; IF(C2593="", B2593, C2593) &amp; IF(M2593="", "", " ("&amp;M2593&amp;")") &amp; CHAR(10) &amp;
  _xlpm.vanillaPrefix &amp; "Keyword = Uvi_Wig_Distr_KYWD|" &amp; B2593 &amp; CHAR(10) &amp;
  _xlpm.vanillaPrefix &amp; "Spell = " &amp; _xlpm.spell &amp; "|" &amp; B2593
  )
)</f>
        <v>;EncDawnguard02Melee1HRedguardM
;Keyword = Uvi_Wig_Distr_KYWD|EncDawnguard02Melee1HRedguardM
;Spell = No Spell for Hairstyle|EncDawnguard02Melee1HRedguardM</v>
      </c>
    </row>
    <row r="2594" ht="12.75" customHeight="1">
      <c r="A2594" s="5" t="s">
        <v>7558</v>
      </c>
      <c r="B2594" s="5" t="s">
        <v>7559</v>
      </c>
      <c r="D2594" s="5" t="s">
        <v>59</v>
      </c>
      <c r="E2594" s="5" t="s">
        <v>41</v>
      </c>
      <c r="F2594" s="5" t="s">
        <v>356</v>
      </c>
      <c r="G2594" s="14" t="str">
        <f t="array" ref="G2594">IF(B2594="", "",
  LET(_xlpm.spell, IFERROR(IF(F2594="", "", INDEX(_xlws.FILTER(Hairstyles!$F:$F, ISNUMBER(SEARCH(F2594, Hairstyles!$B:$B))), 1)), "No Spell for Hairstyle"),
  _xlpm.vanillaPrefix, IF(LEFT(_xlpm.spell, 7)="Uvi_Wig", "", ";"),
  ";" &amp; IF(C2594="", B2594, C2594) &amp; IF(M2594="", "", " ("&amp;M2594&amp;")") &amp; CHAR(10) &amp;
  _xlpm.vanillaPrefix &amp; "Keyword = Uvi_Wig_Distr_KYWD|" &amp; B2594 &amp; CHAR(10) &amp;
  _xlpm.vanillaPrefix &amp; "Spell = " &amp; _xlpm.spell &amp; "|" &amp; B2594
  )
)</f>
        <v>;EncDawnguard03Melee1HImperialF
;Keyword = Uvi_Wig_Distr_KYWD|EncDawnguard03Melee1HImperialF
;Spell = No Spell for Hairstyle|EncDawnguard03Melee1HImperialF</v>
      </c>
    </row>
    <row r="2595" ht="12.75" customHeight="1">
      <c r="A2595" s="5" t="s">
        <v>7560</v>
      </c>
      <c r="B2595" s="5" t="s">
        <v>7561</v>
      </c>
      <c r="D2595" s="5" t="s">
        <v>59</v>
      </c>
      <c r="E2595" s="5" t="s">
        <v>233</v>
      </c>
      <c r="F2595" s="5" t="s">
        <v>234</v>
      </c>
      <c r="G2595" s="14" t="str">
        <f t="array" ref="G2595">IF(B2595="", "",
  LET(_xlpm.spell, IFERROR(IF(F2595="", "", INDEX(_xlws.FILTER(Hairstyles!$F:$F, ISNUMBER(SEARCH(F2595, Hairstyles!$B:$B))), 1)), "No Spell for Hairstyle"),
  _xlpm.vanillaPrefix, IF(LEFT(_xlpm.spell, 7)="Uvi_Wig", "", ";"),
  ";" &amp; IF(C2595="", B2595, C2595) &amp; IF(M2595="", "", " ("&amp;M2595&amp;")") &amp; CHAR(10) &amp;
  _xlpm.vanillaPrefix &amp; "Keyword = Uvi_Wig_Distr_KYWD|" &amp; B2595 &amp; CHAR(10) &amp;
  _xlpm.vanillaPrefix &amp; "Spell = " &amp; _xlpm.spell &amp; "|" &amp; B2595
  )
)</f>
        <v>;EncDawnguard03Melee1HImperialM
;Keyword = Uvi_Wig_Distr_KYWD|EncDawnguard03Melee1HImperialM
;Spell = No Spell for Hairstyle|EncDawnguard03Melee1HImperialM</v>
      </c>
    </row>
    <row r="2596" ht="12.75" customHeight="1">
      <c r="A2596" s="15" t="s">
        <v>7562</v>
      </c>
      <c r="B2596" s="5" t="s">
        <v>7563</v>
      </c>
      <c r="D2596" s="5" t="s">
        <v>38</v>
      </c>
      <c r="E2596" s="5" t="s">
        <v>41</v>
      </c>
      <c r="F2596" s="5" t="s">
        <v>1822</v>
      </c>
      <c r="G2596" s="14" t="str">
        <f t="array" ref="G2596">IF(B2596="", "",
  LET(_xlpm.spell, IFERROR(IF(F2596="", "", INDEX(_xlws.FILTER(Hairstyles!$F:$F, ISNUMBER(SEARCH(F2596, Hairstyles!$B:$B))), 1)), "No Spell for Hairstyle"),
  _xlpm.vanillaPrefix, IF(LEFT(_xlpm.spell, 7)="Uvi_Wig", "", ";"),
  ";" &amp; IF(C2596="", B2596, C2596) &amp; IF(M2596="", "", " ("&amp;M2596&amp;")") &amp; CHAR(10) &amp;
  _xlpm.vanillaPrefix &amp; "Keyword = Uvi_Wig_Distr_KYWD|" &amp; B2596 &amp; CHAR(10) &amp;
  _xlpm.vanillaPrefix &amp; "Spell = " &amp; _xlpm.spell &amp; "|" &amp; B2596
  )
)</f>
        <v>;EncDawnguard03Melee1HNordF
;Keyword = Uvi_Wig_Distr_KYWD|EncDawnguard03Melee1HNordF
;Spell = No Spell for Hairstyle|EncDawnguard03Melee1HNordF</v>
      </c>
    </row>
    <row r="2597" ht="12.75" customHeight="1">
      <c r="A2597" s="15" t="s">
        <v>7564</v>
      </c>
      <c r="B2597" s="5" t="s">
        <v>7565</v>
      </c>
      <c r="D2597" s="5" t="s">
        <v>38</v>
      </c>
      <c r="E2597" s="5" t="s">
        <v>233</v>
      </c>
      <c r="F2597" s="5" t="s">
        <v>1700</v>
      </c>
      <c r="G2597" s="14" t="str">
        <f t="array" ref="G2597">IF(B2597="", "",
  LET(_xlpm.spell, IFERROR(IF(F2597="", "", INDEX(_xlws.FILTER(Hairstyles!$F:$F, ISNUMBER(SEARCH(F2597, Hairstyles!$B:$B))), 1)), "No Spell for Hairstyle"),
  _xlpm.vanillaPrefix, IF(LEFT(_xlpm.spell, 7)="Uvi_Wig", "", ";"),
  ";" &amp; IF(C2597="", B2597, C2597) &amp; IF(M2597="", "", " ("&amp;M2597&amp;")") &amp; CHAR(10) &amp;
  _xlpm.vanillaPrefix &amp; "Keyword = Uvi_Wig_Distr_KYWD|" &amp; B2597 &amp; CHAR(10) &amp;
  _xlpm.vanillaPrefix &amp; "Spell = " &amp; _xlpm.spell &amp; "|" &amp; B2597
  )
)</f>
        <v>;EncDawnguard03Melee1HNordM
;Keyword = Uvi_Wig_Distr_KYWD|EncDawnguard03Melee1HNordM
;Spell = No Spell for Hairstyle|EncDawnguard03Melee1HNordM</v>
      </c>
    </row>
    <row r="2598" ht="12.75" customHeight="1">
      <c r="A2598" s="15" t="s">
        <v>7566</v>
      </c>
      <c r="B2598" s="5" t="s">
        <v>7567</v>
      </c>
      <c r="D2598" s="5" t="s">
        <v>80</v>
      </c>
      <c r="E2598" s="5" t="s">
        <v>233</v>
      </c>
      <c r="F2598" s="5" t="s">
        <v>537</v>
      </c>
      <c r="G2598" s="14" t="str">
        <f t="array" ref="G2598">IF(B2598="", "",
  LET(_xlpm.spell, IFERROR(IF(F2598="", "", INDEX(_xlws.FILTER(Hairstyles!$F:$F, ISNUMBER(SEARCH(F2598, Hairstyles!$B:$B))), 1)), "No Spell for Hairstyle"),
  _xlpm.vanillaPrefix, IF(LEFT(_xlpm.spell, 7)="Uvi_Wig", "", ";"),
  ";" &amp; IF(C2598="", B2598, C2598) &amp; IF(M2598="", "", " ("&amp;M2598&amp;")") &amp; CHAR(10) &amp;
  _xlpm.vanillaPrefix &amp; "Keyword = Uvi_Wig_Distr_KYWD|" &amp; B2598 &amp; CHAR(10) &amp;
  _xlpm.vanillaPrefix &amp; "Spell = " &amp; _xlpm.spell &amp; "|" &amp; B2598
  )
)</f>
        <v>;EncDawnguard03Melee1HOrcM
;Keyword = Uvi_Wig_Distr_KYWD|EncDawnguard03Melee1HOrcM
;Spell = No Spell for Hairstyle|EncDawnguard03Melee1HOrcM</v>
      </c>
    </row>
    <row r="2599" ht="12.75" customHeight="1">
      <c r="A2599" s="15" t="s">
        <v>7568</v>
      </c>
      <c r="B2599" s="5" t="s">
        <v>7569</v>
      </c>
      <c r="D2599" s="5" t="s">
        <v>83</v>
      </c>
      <c r="E2599" s="5" t="s">
        <v>41</v>
      </c>
      <c r="F2599" s="5" t="s">
        <v>85</v>
      </c>
      <c r="G2599" s="14" t="str">
        <f t="array" ref="G2599">IF(B2599="", "",
  LET(_xlpm.spell, IFERROR(IF(F2599="", "", INDEX(_xlws.FILTER(Hairstyles!$F:$F, ISNUMBER(SEARCH(F2599, Hairstyles!$B:$B))), 1)), "No Spell for Hairstyle"),
  _xlpm.vanillaPrefix, IF(LEFT(_xlpm.spell, 7)="Uvi_Wig", "", ";"),
  ";" &amp; IF(C2599="", B2599, C2599) &amp; IF(M2599="", "", " ("&amp;M2599&amp;")") &amp; CHAR(10) &amp;
  _xlpm.vanillaPrefix &amp; "Keyword = Uvi_Wig_Distr_KYWD|" &amp; B2599 &amp; CHAR(10) &amp;
  _xlpm.vanillaPrefix &amp; "Spell = " &amp; _xlpm.spell &amp; "|" &amp; B2599
  )
)</f>
        <v>;EncDawnguard03Melee1HRedguardF
;Keyword = Uvi_Wig_Distr_KYWD|EncDawnguard03Melee1HRedguardF
;Spell = No Spell for Hairstyle|EncDawnguard03Melee1HRedguardF</v>
      </c>
    </row>
    <row r="2600" ht="12.75" customHeight="1">
      <c r="A2600" s="15" t="s">
        <v>7570</v>
      </c>
      <c r="B2600" s="5" t="s">
        <v>7571</v>
      </c>
      <c r="D2600" s="5" t="s">
        <v>83</v>
      </c>
      <c r="E2600" s="5" t="s">
        <v>233</v>
      </c>
      <c r="F2600" s="5" t="s">
        <v>209</v>
      </c>
      <c r="G2600" s="14" t="str">
        <f t="array" ref="G2600">IF(B2600="", "",
  LET(_xlpm.spell, IFERROR(IF(F2600="", "", INDEX(_xlws.FILTER(Hairstyles!$F:$F, ISNUMBER(SEARCH(F2600, Hairstyles!$B:$B))), 1)), "No Spell for Hairstyle"),
  _xlpm.vanillaPrefix, IF(LEFT(_xlpm.spell, 7)="Uvi_Wig", "", ";"),
  ";" &amp; IF(C2600="", B2600, C2600) &amp; IF(M2600="", "", " ("&amp;M2600&amp;")") &amp; CHAR(10) &amp;
  _xlpm.vanillaPrefix &amp; "Keyword = Uvi_Wig_Distr_KYWD|" &amp; B2600 &amp; CHAR(10) &amp;
  _xlpm.vanillaPrefix &amp; "Spell = " &amp; _xlpm.spell &amp; "|" &amp; B2600
  )
)</f>
        <v>;EncDawnguard03Melee1HRedguardM
;Keyword = Uvi_Wig_Distr_KYWD|EncDawnguard03Melee1HRedguardM
;Spell = No Spell for Hairstyle|EncDawnguard03Melee1HRedguardM</v>
      </c>
    </row>
    <row r="2601" ht="12.75" customHeight="1">
      <c r="A2601" s="15" t="s">
        <v>7572</v>
      </c>
      <c r="B2601" s="5" t="s">
        <v>7573</v>
      </c>
      <c r="D2601" s="5" t="s">
        <v>59</v>
      </c>
      <c r="E2601" s="5" t="s">
        <v>41</v>
      </c>
      <c r="F2601" s="5" t="s">
        <v>270</v>
      </c>
      <c r="G2601" s="14" t="str">
        <f t="array" ref="G2601">IF(B2601="", "",
  LET(_xlpm.spell, IFERROR(IF(F2601="", "", INDEX(_xlws.FILTER(Hairstyles!$F:$F, ISNUMBER(SEARCH(F2601, Hairstyles!$B:$B))), 1)), "No Spell for Hairstyle"),
  _xlpm.vanillaPrefix, IF(LEFT(_xlpm.spell, 7)="Uvi_Wig", "", ";"),
  ";" &amp; IF(C2601="", B2601, C2601) &amp; IF(M2601="", "", " ("&amp;M2601&amp;")") &amp; CHAR(10) &amp;
  _xlpm.vanillaPrefix &amp; "Keyword = Uvi_Wig_Distr_KYWD|" &amp; B2601 &amp; CHAR(10) &amp;
  _xlpm.vanillaPrefix &amp; "Spell = " &amp; _xlpm.spell &amp; "|" &amp; B2601
  )
)</f>
        <v>;EncDawnguard04Melee1HImperialF
;Keyword = Uvi_Wig_Distr_KYWD|EncDawnguard04Melee1HImperialF
;Spell = No Spell for Hairstyle|EncDawnguard04Melee1HImperialF</v>
      </c>
    </row>
    <row r="2602" ht="12.75" customHeight="1">
      <c r="A2602" s="15" t="s">
        <v>7574</v>
      </c>
      <c r="B2602" s="5" t="s">
        <v>7575</v>
      </c>
      <c r="D2602" s="5" t="s">
        <v>59</v>
      </c>
      <c r="E2602" s="5" t="s">
        <v>233</v>
      </c>
      <c r="F2602" s="5" t="s">
        <v>224</v>
      </c>
      <c r="G2602" s="14" t="str">
        <f t="array" ref="G2602">IF(B2602="", "",
  LET(_xlpm.spell, IFERROR(IF(F2602="", "", INDEX(_xlws.FILTER(Hairstyles!$F:$F, ISNUMBER(SEARCH(F2602, Hairstyles!$B:$B))), 1)), "No Spell for Hairstyle"),
  _xlpm.vanillaPrefix, IF(LEFT(_xlpm.spell, 7)="Uvi_Wig", "", ";"),
  ";" &amp; IF(C2602="", B2602, C2602) &amp; IF(M2602="", "", " ("&amp;M2602&amp;")") &amp; CHAR(10) &amp;
  _xlpm.vanillaPrefix &amp; "Keyword = Uvi_Wig_Distr_KYWD|" &amp; B2602 &amp; CHAR(10) &amp;
  _xlpm.vanillaPrefix &amp; "Spell = " &amp; _xlpm.spell &amp; "|" &amp; B2602
  )
)</f>
        <v>;EncDawnguard04Melee1HImperialM
;Keyword = Uvi_Wig_Distr_KYWD|EncDawnguard04Melee1HImperialM
;Spell = No Spell for Hairstyle|EncDawnguard04Melee1HImperialM</v>
      </c>
    </row>
    <row r="2603" ht="12.75" customHeight="1">
      <c r="A2603" s="15" t="s">
        <v>7576</v>
      </c>
      <c r="B2603" s="5" t="s">
        <v>7577</v>
      </c>
      <c r="D2603" s="5" t="s">
        <v>38</v>
      </c>
      <c r="E2603" s="5" t="s">
        <v>41</v>
      </c>
      <c r="F2603" s="5" t="s">
        <v>7578</v>
      </c>
      <c r="G2603" s="14" t="str">
        <f t="array" ref="G2603">IF(B2603="", "",
  LET(_xlpm.spell, IFERROR(IF(F2603="", "", INDEX(_xlws.FILTER(Hairstyles!$F:$F, ISNUMBER(SEARCH(F2603, Hairstyles!$B:$B))), 1)), "No Spell for Hairstyle"),
  _xlpm.vanillaPrefix, IF(LEFT(_xlpm.spell, 7)="Uvi_Wig", "", ";"),
  ";" &amp; IF(C2603="", B2603, C2603) &amp; IF(M2603="", "", " ("&amp;M2603&amp;")") &amp; CHAR(10) &amp;
  _xlpm.vanillaPrefix &amp; "Keyword = Uvi_Wig_Distr_KYWD|" &amp; B2603 &amp; CHAR(10) &amp;
  _xlpm.vanillaPrefix &amp; "Spell = " &amp; _xlpm.spell &amp; "|" &amp; B2603
  )
)</f>
        <v>;EncDawnguard04Melee1HNordF
;Keyword = Uvi_Wig_Distr_KYWD|EncDawnguard04Melee1HNordF
;Spell = No Spell for Hairstyle|EncDawnguard04Melee1HNordF</v>
      </c>
    </row>
    <row r="2604" ht="12.75" customHeight="1">
      <c r="A2604" s="15" t="s">
        <v>7579</v>
      </c>
      <c r="B2604" s="5" t="s">
        <v>7580</v>
      </c>
      <c r="D2604" s="5" t="s">
        <v>38</v>
      </c>
      <c r="E2604" s="5" t="s">
        <v>233</v>
      </c>
      <c r="F2604" s="5" t="s">
        <v>1700</v>
      </c>
      <c r="G2604" s="14" t="str">
        <f t="array" ref="G2604">IF(B2604="", "",
  LET(_xlpm.spell, IFERROR(IF(F2604="", "", INDEX(_xlws.FILTER(Hairstyles!$F:$F, ISNUMBER(SEARCH(F2604, Hairstyles!$B:$B))), 1)), "No Spell for Hairstyle"),
  _xlpm.vanillaPrefix, IF(LEFT(_xlpm.spell, 7)="Uvi_Wig", "", ";"),
  ";" &amp; IF(C2604="", B2604, C2604) &amp; IF(M2604="", "", " ("&amp;M2604&amp;")") &amp; CHAR(10) &amp;
  _xlpm.vanillaPrefix &amp; "Keyword = Uvi_Wig_Distr_KYWD|" &amp; B2604 &amp; CHAR(10) &amp;
  _xlpm.vanillaPrefix &amp; "Spell = " &amp; _xlpm.spell &amp; "|" &amp; B2604
  )
)</f>
        <v>;EncDawnguard04Melee1HNordM
;Keyword = Uvi_Wig_Distr_KYWD|EncDawnguard04Melee1HNordM
;Spell = No Spell for Hairstyle|EncDawnguard04Melee1HNordM</v>
      </c>
    </row>
    <row r="2605" ht="12.75" customHeight="1">
      <c r="A2605" s="5" t="s">
        <v>7581</v>
      </c>
      <c r="B2605" s="5" t="s">
        <v>7582</v>
      </c>
      <c r="D2605" s="5" t="s">
        <v>80</v>
      </c>
      <c r="E2605" s="5" t="s">
        <v>233</v>
      </c>
      <c r="F2605" s="5" t="s">
        <v>7583</v>
      </c>
      <c r="G2605" s="14" t="str">
        <f t="array" ref="G2605">IF(B2605="", "",
  LET(_xlpm.spell, IFERROR(IF(F2605="", "", INDEX(_xlws.FILTER(Hairstyles!$F:$F, ISNUMBER(SEARCH(F2605, Hairstyles!$B:$B))), 1)), "No Spell for Hairstyle"),
  _xlpm.vanillaPrefix, IF(LEFT(_xlpm.spell, 7)="Uvi_Wig", "", ";"),
  ";" &amp; IF(C2605="", B2605, C2605) &amp; IF(M2605="", "", " ("&amp;M2605&amp;")") &amp; CHAR(10) &amp;
  _xlpm.vanillaPrefix &amp; "Keyword = Uvi_Wig_Distr_KYWD|" &amp; B2605 &amp; CHAR(10) &amp;
  _xlpm.vanillaPrefix &amp; "Spell = " &amp; _xlpm.spell &amp; "|" &amp; B2605
  )
)</f>
        <v>;EncDawnguard04Melee1HOrcM
;Keyword = Uvi_Wig_Distr_KYWD|EncDawnguard04Melee1HOrcM
;Spell = No Spell for Hairstyle|EncDawnguard04Melee1HOrcM</v>
      </c>
    </row>
    <row r="2606" ht="12.75" customHeight="1">
      <c r="A2606" s="5" t="s">
        <v>7584</v>
      </c>
      <c r="B2606" s="5" t="s">
        <v>7585</v>
      </c>
      <c r="D2606" s="5" t="s">
        <v>83</v>
      </c>
      <c r="E2606" s="5" t="s">
        <v>41</v>
      </c>
      <c r="F2606" s="5" t="s">
        <v>1996</v>
      </c>
      <c r="G2606" s="14" t="str">
        <f t="array" ref="G2606">IF(B2606="", "",
  LET(_xlpm.spell, IFERROR(IF(F2606="", "", INDEX(_xlws.FILTER(Hairstyles!$F:$F, ISNUMBER(SEARCH(F2606, Hairstyles!$B:$B))), 1)), "No Spell for Hairstyle"),
  _xlpm.vanillaPrefix, IF(LEFT(_xlpm.spell, 7)="Uvi_Wig", "", ";"),
  ";" &amp; IF(C2606="", B2606, C2606) &amp; IF(M2606="", "", " ("&amp;M2606&amp;")") &amp; CHAR(10) &amp;
  _xlpm.vanillaPrefix &amp; "Keyword = Uvi_Wig_Distr_KYWD|" &amp; B2606 &amp; CHAR(10) &amp;
  _xlpm.vanillaPrefix &amp; "Spell = " &amp; _xlpm.spell &amp; "|" &amp; B2606
  )
)</f>
        <v>;EncDawnguard04Melee1HRedguardF
;Keyword = Uvi_Wig_Distr_KYWD|EncDawnguard04Melee1HRedguardF
;Spell = No Spell for Hairstyle|EncDawnguard04Melee1HRedguardF</v>
      </c>
    </row>
    <row r="2607" ht="12.75" customHeight="1">
      <c r="A2607" s="5" t="s">
        <v>7586</v>
      </c>
      <c r="B2607" s="5" t="s">
        <v>7587</v>
      </c>
      <c r="D2607" s="5" t="s">
        <v>83</v>
      </c>
      <c r="E2607" s="5" t="s">
        <v>233</v>
      </c>
      <c r="F2607" s="5" t="s">
        <v>167</v>
      </c>
      <c r="G2607" s="14" t="str">
        <f t="array" ref="G2607">IF(B2607="", "",
  LET(_xlpm.spell, IFERROR(IF(F2607="", "", INDEX(_xlws.FILTER(Hairstyles!$F:$F, ISNUMBER(SEARCH(F2607, Hairstyles!$B:$B))), 1)), "No Spell for Hairstyle"),
  _xlpm.vanillaPrefix, IF(LEFT(_xlpm.spell, 7)="Uvi_Wig", "", ";"),
  ";" &amp; IF(C2607="", B2607, C2607) &amp; IF(M2607="", "", " ("&amp;M2607&amp;")") &amp; CHAR(10) &amp;
  _xlpm.vanillaPrefix &amp; "Keyword = Uvi_Wig_Distr_KYWD|" &amp; B2607 &amp; CHAR(10) &amp;
  _xlpm.vanillaPrefix &amp; "Spell = " &amp; _xlpm.spell &amp; "|" &amp; B2607
  )
)</f>
        <v>;EncDawnguard04Melee1HRedguardM
;Keyword = Uvi_Wig_Distr_KYWD|EncDawnguard04Melee1HRedguardM
;Spell = No Spell for Hairstyle|EncDawnguard04Melee1HRedguardM</v>
      </c>
    </row>
    <row r="2608" ht="12.75" customHeight="1">
      <c r="A2608" s="5" t="s">
        <v>7588</v>
      </c>
      <c r="B2608" s="5" t="s">
        <v>7589</v>
      </c>
      <c r="D2608" s="5" t="s">
        <v>59</v>
      </c>
      <c r="E2608" s="5" t="s">
        <v>41</v>
      </c>
      <c r="F2608" s="5" t="s">
        <v>2118</v>
      </c>
      <c r="G2608" s="14" t="str">
        <f t="array" ref="G2608">IF(B2608="", "",
  LET(_xlpm.spell, IFERROR(IF(F2608="", "", INDEX(_xlws.FILTER(Hairstyles!$F:$F, ISNUMBER(SEARCH(F2608, Hairstyles!$B:$B))), 1)), "No Spell for Hairstyle"),
  _xlpm.vanillaPrefix, IF(LEFT(_xlpm.spell, 7)="Uvi_Wig", "", ";"),
  ";" &amp; IF(C2608="", B2608, C2608) &amp; IF(M2608="", "", " ("&amp;M2608&amp;")") &amp; CHAR(10) &amp;
  _xlpm.vanillaPrefix &amp; "Keyword = Uvi_Wig_Distr_KYWD|" &amp; B2608 &amp; CHAR(10) &amp;
  _xlpm.vanillaPrefix &amp; "Spell = " &amp; _xlpm.spell &amp; "|" &amp; B2608
  )
)</f>
        <v>;EncDawnguard05Melee1HImperialF
;Keyword = Uvi_Wig_Distr_KYWD|EncDawnguard05Melee1HImperialF
;Spell = No Spell for Hairstyle|EncDawnguard05Melee1HImperialF</v>
      </c>
    </row>
    <row r="2609" ht="12.75" customHeight="1">
      <c r="A2609" s="5" t="s">
        <v>7590</v>
      </c>
      <c r="B2609" s="5" t="s">
        <v>7591</v>
      </c>
      <c r="D2609" s="5" t="s">
        <v>59</v>
      </c>
      <c r="E2609" s="5" t="s">
        <v>233</v>
      </c>
      <c r="F2609" s="5" t="s">
        <v>224</v>
      </c>
      <c r="G2609" s="14" t="str">
        <f t="array" ref="G2609">IF(B2609="", "",
  LET(_xlpm.spell, IFERROR(IF(F2609="", "", INDEX(_xlws.FILTER(Hairstyles!$F:$F, ISNUMBER(SEARCH(F2609, Hairstyles!$B:$B))), 1)), "No Spell for Hairstyle"),
  _xlpm.vanillaPrefix, IF(LEFT(_xlpm.spell, 7)="Uvi_Wig", "", ";"),
  ";" &amp; IF(C2609="", B2609, C2609) &amp; IF(M2609="", "", " ("&amp;M2609&amp;")") &amp; CHAR(10) &amp;
  _xlpm.vanillaPrefix &amp; "Keyword = Uvi_Wig_Distr_KYWD|" &amp; B2609 &amp; CHAR(10) &amp;
  _xlpm.vanillaPrefix &amp; "Spell = " &amp; _xlpm.spell &amp; "|" &amp; B2609
  )
)</f>
        <v>;EncDawnguard05Melee1HImperialM
;Keyword = Uvi_Wig_Distr_KYWD|EncDawnguard05Melee1HImperialM
;Spell = No Spell for Hairstyle|EncDawnguard05Melee1HImperialM</v>
      </c>
    </row>
    <row r="2610" ht="12.75" customHeight="1">
      <c r="A2610" s="15" t="s">
        <v>7592</v>
      </c>
      <c r="B2610" s="5" t="s">
        <v>7593</v>
      </c>
      <c r="D2610" s="5" t="s">
        <v>38</v>
      </c>
      <c r="E2610" s="5" t="s">
        <v>41</v>
      </c>
      <c r="F2610" s="5" t="s">
        <v>42</v>
      </c>
      <c r="G2610" s="14" t="str">
        <f t="array" ref="G2610">IF(B2610="", "",
  LET(_xlpm.spell, IFERROR(IF(F2610="", "", INDEX(_xlws.FILTER(Hairstyles!$F:$F, ISNUMBER(SEARCH(F2610, Hairstyles!$B:$B))), 1)), "No Spell for Hairstyle"),
  _xlpm.vanillaPrefix, IF(LEFT(_xlpm.spell, 7)="Uvi_Wig", "", ";"),
  ";" &amp; IF(C2610="", B2610, C2610) &amp; IF(M2610="", "", " ("&amp;M2610&amp;")") &amp; CHAR(10) &amp;
  _xlpm.vanillaPrefix &amp; "Keyword = Uvi_Wig_Distr_KYWD|" &amp; B2610 &amp; CHAR(10) &amp;
  _xlpm.vanillaPrefix &amp; "Spell = " &amp; _xlpm.spell &amp; "|" &amp; B2610
  )
)</f>
        <v>;EncDawnguard05Melee1HNordF
;Keyword = Uvi_Wig_Distr_KYWD|EncDawnguard05Melee1HNordF
;Spell = No Spell for Hairstyle|EncDawnguard05Melee1HNordF</v>
      </c>
    </row>
    <row r="2611" ht="12.75" customHeight="1">
      <c r="A2611" s="15" t="s">
        <v>7594</v>
      </c>
      <c r="B2611" s="5" t="s">
        <v>7595</v>
      </c>
      <c r="D2611" s="5" t="s">
        <v>38</v>
      </c>
      <c r="E2611" s="5" t="s">
        <v>233</v>
      </c>
      <c r="F2611" s="5" t="s">
        <v>19</v>
      </c>
      <c r="G2611" s="14" t="str">
        <f t="array" ref="G2611">IF(B2611="", "",
  LET(_xlpm.spell, IFERROR(IF(F2611="", "", INDEX(_xlws.FILTER(Hairstyles!$F:$F, ISNUMBER(SEARCH(F2611, Hairstyles!$B:$B))), 1)), "No Spell for Hairstyle"),
  _xlpm.vanillaPrefix, IF(LEFT(_xlpm.spell, 7)="Uvi_Wig", "", ";"),
  ";" &amp; IF(C2611="", B2611, C2611) &amp; IF(M2611="", "", " ("&amp;M2611&amp;")") &amp; CHAR(10) &amp;
  _xlpm.vanillaPrefix &amp; "Keyword = Uvi_Wig_Distr_KYWD|" &amp; B2611 &amp; CHAR(10) &amp;
  _xlpm.vanillaPrefix &amp; "Spell = " &amp; _xlpm.spell &amp; "|" &amp; B2611
  )
)</f>
        <v>;EncDawnguard05Melee1HNordM
;Keyword = Uvi_Wig_Distr_KYWD|EncDawnguard05Melee1HNordM
;Spell = No Spell for Hairstyle|EncDawnguard05Melee1HNordM</v>
      </c>
    </row>
    <row r="2612" ht="12.75" customHeight="1">
      <c r="A2612" s="15" t="s">
        <v>7596</v>
      </c>
      <c r="B2612" s="5" t="s">
        <v>7597</v>
      </c>
      <c r="D2612" s="5" t="s">
        <v>80</v>
      </c>
      <c r="E2612" s="5" t="s">
        <v>233</v>
      </c>
      <c r="F2612" s="5" t="s">
        <v>2229</v>
      </c>
      <c r="G2612" s="14" t="str">
        <f t="array" ref="G2612">IF(B2612="", "",
  LET(_xlpm.spell, IFERROR(IF(F2612="", "", INDEX(_xlws.FILTER(Hairstyles!$F:$F, ISNUMBER(SEARCH(F2612, Hairstyles!$B:$B))), 1)), "No Spell for Hairstyle"),
  _xlpm.vanillaPrefix, IF(LEFT(_xlpm.spell, 7)="Uvi_Wig", "", ";"),
  ";" &amp; IF(C2612="", B2612, C2612) &amp; IF(M2612="", "", " ("&amp;M2612&amp;")") &amp; CHAR(10) &amp;
  _xlpm.vanillaPrefix &amp; "Keyword = Uvi_Wig_Distr_KYWD|" &amp; B2612 &amp; CHAR(10) &amp;
  _xlpm.vanillaPrefix &amp; "Spell = " &amp; _xlpm.spell &amp; "|" &amp; B2612
  )
)</f>
        <v>;EncDawnguard05Melee1HOrcM
;Keyword = Uvi_Wig_Distr_KYWD|EncDawnguard05Melee1HOrcM
;Spell = No Spell for Hairstyle|EncDawnguard05Melee1HOrcM</v>
      </c>
    </row>
    <row r="2613" ht="12.75" customHeight="1">
      <c r="A2613" s="15" t="s">
        <v>7598</v>
      </c>
      <c r="B2613" s="5" t="s">
        <v>7599</v>
      </c>
      <c r="D2613" s="5" t="s">
        <v>83</v>
      </c>
      <c r="E2613" s="5" t="s">
        <v>41</v>
      </c>
      <c r="F2613" s="5" t="s">
        <v>1759</v>
      </c>
      <c r="G2613" s="14" t="str">
        <f t="array" ref="G2613">IF(B2613="", "",
  LET(_xlpm.spell, IFERROR(IF(F2613="", "", INDEX(_xlws.FILTER(Hairstyles!$F:$F, ISNUMBER(SEARCH(F2613, Hairstyles!$B:$B))), 1)), "No Spell for Hairstyle"),
  _xlpm.vanillaPrefix, IF(LEFT(_xlpm.spell, 7)="Uvi_Wig", "", ";"),
  ";" &amp; IF(C2613="", B2613, C2613) &amp; IF(M2613="", "", " ("&amp;M2613&amp;")") &amp; CHAR(10) &amp;
  _xlpm.vanillaPrefix &amp; "Keyword = Uvi_Wig_Distr_KYWD|" &amp; B2613 &amp; CHAR(10) &amp;
  _xlpm.vanillaPrefix &amp; "Spell = " &amp; _xlpm.spell &amp; "|" &amp; B2613
  )
)</f>
        <v>;EncDawnguard05Melee1HRedguardF
;Keyword = Uvi_Wig_Distr_KYWD|EncDawnguard05Melee1HRedguardF
;Spell = No Spell for Hairstyle|EncDawnguard05Melee1HRedguardF</v>
      </c>
    </row>
    <row r="2614" ht="12.75" customHeight="1">
      <c r="A2614" s="15" t="s">
        <v>7600</v>
      </c>
      <c r="B2614" s="5" t="s">
        <v>7601</v>
      </c>
      <c r="D2614" s="5" t="s">
        <v>83</v>
      </c>
      <c r="E2614" s="5" t="s">
        <v>233</v>
      </c>
      <c r="F2614" s="5" t="s">
        <v>1622</v>
      </c>
      <c r="G2614" s="14" t="str">
        <f t="array" ref="G2614">IF(B2614="", "",
  LET(_xlpm.spell, IFERROR(IF(F2614="", "", INDEX(_xlws.FILTER(Hairstyles!$F:$F, ISNUMBER(SEARCH(F2614, Hairstyles!$B:$B))), 1)), "No Spell for Hairstyle"),
  _xlpm.vanillaPrefix, IF(LEFT(_xlpm.spell, 7)="Uvi_Wig", "", ";"),
  ";" &amp; IF(C2614="", B2614, C2614) &amp; IF(M2614="", "", " ("&amp;M2614&amp;")") &amp; CHAR(10) &amp;
  _xlpm.vanillaPrefix &amp; "Keyword = Uvi_Wig_Distr_KYWD|" &amp; B2614 &amp; CHAR(10) &amp;
  _xlpm.vanillaPrefix &amp; "Spell = " &amp; _xlpm.spell &amp; "|" &amp; B2614
  )
)</f>
        <v>;EncDawnguard05Melee1HRedguardM
;Keyword = Uvi_Wig_Distr_KYWD|EncDawnguard05Melee1HRedguardM
;Spell = No Spell for Hairstyle|EncDawnguard05Melee1HRedguardM</v>
      </c>
    </row>
    <row r="2615" ht="12.75" customHeight="1">
      <c r="A2615" s="15" t="s">
        <v>7602</v>
      </c>
      <c r="B2615" s="5" t="s">
        <v>7603</v>
      </c>
      <c r="D2615" s="5" t="s">
        <v>59</v>
      </c>
      <c r="E2615" s="5" t="s">
        <v>41</v>
      </c>
      <c r="F2615" s="5" t="s">
        <v>1557</v>
      </c>
      <c r="G2615" s="14" t="str">
        <f t="array" ref="G2615">IF(B2615="", "",
  LET(_xlpm.spell, IFERROR(IF(F2615="", "", INDEX(_xlws.FILTER(Hairstyles!$F:$F, ISNUMBER(SEARCH(F2615, Hairstyles!$B:$B))), 1)), "No Spell for Hairstyle"),
  _xlpm.vanillaPrefix, IF(LEFT(_xlpm.spell, 7)="Uvi_Wig", "", ";"),
  ";" &amp; IF(C2615="", B2615, C2615) &amp; IF(M2615="", "", " ("&amp;M2615&amp;")") &amp; CHAR(10) &amp;
  _xlpm.vanillaPrefix &amp; "Keyword = Uvi_Wig_Distr_KYWD|" &amp; B2615 &amp; CHAR(10) &amp;
  _xlpm.vanillaPrefix &amp; "Spell = " &amp; _xlpm.spell &amp; "|" &amp; B2615
  )
)</f>
        <v>;EncDawnguard06Melee1HImperialF
;Keyword = Uvi_Wig_Distr_KYWD|EncDawnguard06Melee1HImperialF
;Spell = No Spell for Hairstyle|EncDawnguard06Melee1HImperialF</v>
      </c>
    </row>
    <row r="2616" ht="12.75" customHeight="1">
      <c r="A2616" s="15" t="s">
        <v>7604</v>
      </c>
      <c r="B2616" s="5" t="s">
        <v>7605</v>
      </c>
      <c r="D2616" s="5" t="s">
        <v>59</v>
      </c>
      <c r="E2616" s="5" t="s">
        <v>233</v>
      </c>
      <c r="F2616" s="5" t="s">
        <v>2694</v>
      </c>
      <c r="G2616" s="14" t="str">
        <f t="array" ref="G2616">IF(B2616="", "",
  LET(_xlpm.spell, IFERROR(IF(F2616="", "", INDEX(_xlws.FILTER(Hairstyles!$F:$F, ISNUMBER(SEARCH(F2616, Hairstyles!$B:$B))), 1)), "No Spell for Hairstyle"),
  _xlpm.vanillaPrefix, IF(LEFT(_xlpm.spell, 7)="Uvi_Wig", "", ";"),
  ";" &amp; IF(C2616="", B2616, C2616) &amp; IF(M2616="", "", " ("&amp;M2616&amp;")") &amp; CHAR(10) &amp;
  _xlpm.vanillaPrefix &amp; "Keyword = Uvi_Wig_Distr_KYWD|" &amp; B2616 &amp; CHAR(10) &amp;
  _xlpm.vanillaPrefix &amp; "Spell = " &amp; _xlpm.spell &amp; "|" &amp; B2616
  )
)</f>
        <v>;EncDawnguard06Melee1HImperialM
;Keyword = Uvi_Wig_Distr_KYWD|EncDawnguard06Melee1HImperialM
;Spell = No Spell for Hairstyle|EncDawnguard06Melee1HImperialM</v>
      </c>
    </row>
    <row r="2617" ht="12.75" customHeight="1">
      <c r="A2617" s="15" t="s">
        <v>7606</v>
      </c>
      <c r="B2617" s="5" t="s">
        <v>7607</v>
      </c>
      <c r="D2617" s="5" t="s">
        <v>38</v>
      </c>
      <c r="E2617" s="5" t="s">
        <v>41</v>
      </c>
      <c r="F2617" s="5" t="s">
        <v>1063</v>
      </c>
      <c r="G2617" s="14" t="str">
        <f t="array" ref="G2617">IF(B2617="", "",
  LET(_xlpm.spell, IFERROR(IF(F2617="", "", INDEX(_xlws.FILTER(Hairstyles!$F:$F, ISNUMBER(SEARCH(F2617, Hairstyles!$B:$B))), 1)), "No Spell for Hairstyle"),
  _xlpm.vanillaPrefix, IF(LEFT(_xlpm.spell, 7)="Uvi_Wig", "", ";"),
  ";" &amp; IF(C2617="", B2617, C2617) &amp; IF(M2617="", "", " ("&amp;M2617&amp;")") &amp; CHAR(10) &amp;
  _xlpm.vanillaPrefix &amp; "Keyword = Uvi_Wig_Distr_KYWD|" &amp; B2617 &amp; CHAR(10) &amp;
  _xlpm.vanillaPrefix &amp; "Spell = " &amp; _xlpm.spell &amp; "|" &amp; B2617
  )
)</f>
        <v>;EncDawnguard06Melee1HNordF
;Keyword = Uvi_Wig_Distr_KYWD|EncDawnguard06Melee1HNordF
;Spell = No Spell for Hairstyle|EncDawnguard06Melee1HNordF</v>
      </c>
    </row>
    <row r="2618" ht="12.75" customHeight="1">
      <c r="A2618" s="15" t="s">
        <v>7608</v>
      </c>
      <c r="B2618" s="5" t="s">
        <v>7609</v>
      </c>
      <c r="D2618" s="5" t="s">
        <v>38</v>
      </c>
      <c r="E2618" s="5" t="s">
        <v>233</v>
      </c>
      <c r="F2618" s="5" t="s">
        <v>19</v>
      </c>
      <c r="G2618" s="14" t="str">
        <f t="array" ref="G2618">IF(B2618="", "",
  LET(_xlpm.spell, IFERROR(IF(F2618="", "", INDEX(_xlws.FILTER(Hairstyles!$F:$F, ISNUMBER(SEARCH(F2618, Hairstyles!$B:$B))), 1)), "No Spell for Hairstyle"),
  _xlpm.vanillaPrefix, IF(LEFT(_xlpm.spell, 7)="Uvi_Wig", "", ";"),
  ";" &amp; IF(C2618="", B2618, C2618) &amp; IF(M2618="", "", " ("&amp;M2618&amp;")") &amp; CHAR(10) &amp;
  _xlpm.vanillaPrefix &amp; "Keyword = Uvi_Wig_Distr_KYWD|" &amp; B2618 &amp; CHAR(10) &amp;
  _xlpm.vanillaPrefix &amp; "Spell = " &amp; _xlpm.spell &amp; "|" &amp; B2618
  )
)</f>
        <v>;EncDawnguard06Melee1HNordM
;Keyword = Uvi_Wig_Distr_KYWD|EncDawnguard06Melee1HNordM
;Spell = No Spell for Hairstyle|EncDawnguard06Melee1HNordM</v>
      </c>
    </row>
    <row r="2619" ht="12.75" customHeight="1">
      <c r="A2619" s="5" t="s">
        <v>7610</v>
      </c>
      <c r="B2619" s="5" t="s">
        <v>7611</v>
      </c>
      <c r="D2619" s="5" t="s">
        <v>80</v>
      </c>
      <c r="E2619" s="5" t="s">
        <v>233</v>
      </c>
      <c r="F2619" s="5" t="s">
        <v>81</v>
      </c>
      <c r="G2619" s="14" t="str">
        <f t="array" ref="G2619">IF(B2619="", "",
  LET(_xlpm.spell, IFERROR(IF(F2619="", "", INDEX(_xlws.FILTER(Hairstyles!$F:$F, ISNUMBER(SEARCH(F2619, Hairstyles!$B:$B))), 1)), "No Spell for Hairstyle"),
  _xlpm.vanillaPrefix, IF(LEFT(_xlpm.spell, 7)="Uvi_Wig", "", ";"),
  ";" &amp; IF(C2619="", B2619, C2619) &amp; IF(M2619="", "", " ("&amp;M2619&amp;")") &amp; CHAR(10) &amp;
  _xlpm.vanillaPrefix &amp; "Keyword = Uvi_Wig_Distr_KYWD|" &amp; B2619 &amp; CHAR(10) &amp;
  _xlpm.vanillaPrefix &amp; "Spell = " &amp; _xlpm.spell &amp; "|" &amp; B2619
  )
)</f>
        <v>;EncDawnguard06Melee1HOrcM
;Keyword = Uvi_Wig_Distr_KYWD|EncDawnguard06Melee1HOrcM
;Spell = No Spell for Hairstyle|EncDawnguard06Melee1HOrcM</v>
      </c>
    </row>
    <row r="2620" ht="12.75" customHeight="1">
      <c r="A2620" s="5" t="s">
        <v>7612</v>
      </c>
      <c r="B2620" s="5" t="s">
        <v>7613</v>
      </c>
      <c r="D2620" s="5" t="s">
        <v>83</v>
      </c>
      <c r="E2620" s="5" t="s">
        <v>41</v>
      </c>
      <c r="F2620" s="5" t="s">
        <v>2118</v>
      </c>
      <c r="G2620" s="14" t="str">
        <f t="array" ref="G2620">IF(B2620="", "",
  LET(_xlpm.spell, IFERROR(IF(F2620="", "", INDEX(_xlws.FILTER(Hairstyles!$F:$F, ISNUMBER(SEARCH(F2620, Hairstyles!$B:$B))), 1)), "No Spell for Hairstyle"),
  _xlpm.vanillaPrefix, IF(LEFT(_xlpm.spell, 7)="Uvi_Wig", "", ";"),
  ";" &amp; IF(C2620="", B2620, C2620) &amp; IF(M2620="", "", " ("&amp;M2620&amp;")") &amp; CHAR(10) &amp;
  _xlpm.vanillaPrefix &amp; "Keyword = Uvi_Wig_Distr_KYWD|" &amp; B2620 &amp; CHAR(10) &amp;
  _xlpm.vanillaPrefix &amp; "Spell = " &amp; _xlpm.spell &amp; "|" &amp; B2620
  )
)</f>
        <v>;EncDawnguard06Melee1HRedguardF
;Keyword = Uvi_Wig_Distr_KYWD|EncDawnguard06Melee1HRedguardF
;Spell = No Spell for Hairstyle|EncDawnguard06Melee1HRedguardF</v>
      </c>
    </row>
    <row r="2621" ht="12.75" customHeight="1">
      <c r="A2621" s="5" t="s">
        <v>7614</v>
      </c>
      <c r="B2621" s="5" t="s">
        <v>7615</v>
      </c>
      <c r="D2621" s="5" t="s">
        <v>83</v>
      </c>
      <c r="E2621" s="5" t="s">
        <v>233</v>
      </c>
      <c r="F2621" s="5" t="s">
        <v>174</v>
      </c>
      <c r="G2621" s="14" t="str">
        <f t="array" ref="G2621">IF(B2621="", "",
  LET(_xlpm.spell, IFERROR(IF(F2621="", "", INDEX(_xlws.FILTER(Hairstyles!$F:$F, ISNUMBER(SEARCH(F2621, Hairstyles!$B:$B))), 1)), "No Spell for Hairstyle"),
  _xlpm.vanillaPrefix, IF(LEFT(_xlpm.spell, 7)="Uvi_Wig", "", ";"),
  ";" &amp; IF(C2621="", B2621, C2621) &amp; IF(M2621="", "", " ("&amp;M2621&amp;")") &amp; CHAR(10) &amp;
  _xlpm.vanillaPrefix &amp; "Keyword = Uvi_Wig_Distr_KYWD|" &amp; B2621 &amp; CHAR(10) &amp;
  _xlpm.vanillaPrefix &amp; "Spell = " &amp; _xlpm.spell &amp; "|" &amp; B2621
  )
)</f>
        <v>;EncDawnguard06Melee1HRedguardM
;Keyword = Uvi_Wig_Distr_KYWD|EncDawnguard06Melee1HRedguardM
;Spell = No Spell for Hairstyle|EncDawnguard06Melee1HRedguardM</v>
      </c>
    </row>
    <row r="2622" ht="12.75" customHeight="1">
      <c r="A2622" s="5" t="s">
        <v>7616</v>
      </c>
      <c r="B2622" s="5" t="s">
        <v>7617</v>
      </c>
      <c r="D2622" s="5" t="s">
        <v>16</v>
      </c>
      <c r="E2622" s="5" t="s">
        <v>41</v>
      </c>
      <c r="F2622" s="5" t="s">
        <v>1041</v>
      </c>
      <c r="G2622" s="14" t="str">
        <f t="array" ref="G2622">IF(B2622="", "",
  LET(_xlpm.spell, IFERROR(IF(F2622="", "", INDEX(_xlws.FILTER(Hairstyles!$F:$F, ISNUMBER(SEARCH(F2622, Hairstyles!$B:$B))), 1)), "No Spell for Hairstyle"),
  _xlpm.vanillaPrefix, IF(LEFT(_xlpm.spell, 7)="Uvi_Wig", "", ";"),
  ";" &amp; IF(C2622="", B2622, C2622) &amp; IF(M2622="", "", " ("&amp;M2622&amp;")") &amp; CHAR(10) &amp;
  _xlpm.vanillaPrefix &amp; "Keyword = Uvi_Wig_Distr_KYWD|" &amp; B2622 &amp; CHAR(10) &amp;
  _xlpm.vanillaPrefix &amp; "Spell = " &amp; _xlpm.spell &amp; "|" &amp; B2622
  )
)</f>
        <v>;EncForsworn01MagicBretonF01
;Keyword = Uvi_Wig_Distr_KYWD|EncForsworn01MagicBretonF01
;Spell = No Spell for Hairstyle|EncForsworn01MagicBretonF01</v>
      </c>
    </row>
    <row r="2623" ht="12.75" customHeight="1">
      <c r="A2623" s="5" t="s">
        <v>7618</v>
      </c>
      <c r="B2623" s="5" t="s">
        <v>7619</v>
      </c>
      <c r="D2623" s="5" t="s">
        <v>16</v>
      </c>
      <c r="E2623" s="5" t="s">
        <v>41</v>
      </c>
      <c r="F2623" s="5" t="s">
        <v>4628</v>
      </c>
      <c r="G2623" s="14" t="str">
        <f t="array" ref="G2623">IF(B2623="", "",
  LET(_xlpm.spell, IFERROR(IF(F2623="", "", INDEX(_xlws.FILTER(Hairstyles!$F:$F, ISNUMBER(SEARCH(F2623, Hairstyles!$B:$B))), 1)), "No Spell for Hairstyle"),
  _xlpm.vanillaPrefix, IF(LEFT(_xlpm.spell, 7)="Uvi_Wig", "", ";"),
  ";" &amp; IF(C2623="", B2623, C2623) &amp; IF(M2623="", "", " ("&amp;M2623&amp;")") &amp; CHAR(10) &amp;
  _xlpm.vanillaPrefix &amp; "Keyword = Uvi_Wig_Distr_KYWD|" &amp; B2623 &amp; CHAR(10) &amp;
  _xlpm.vanillaPrefix &amp; "Spell = " &amp; _xlpm.spell &amp; "|" &amp; B2623
  )
)</f>
        <v>;EncForsworn01MagicBretonF02
;Keyword = Uvi_Wig_Distr_KYWD|EncForsworn01MagicBretonF02
;Spell = No Spell for Hairstyle|EncForsworn01MagicBretonF02</v>
      </c>
    </row>
    <row r="2624" ht="12.75" customHeight="1">
      <c r="A2624" s="5" t="s">
        <v>7620</v>
      </c>
      <c r="B2624" s="5" t="s">
        <v>7621</v>
      </c>
      <c r="D2624" s="5" t="s">
        <v>16</v>
      </c>
      <c r="E2624" s="5" t="s">
        <v>41</v>
      </c>
      <c r="F2624" s="5" t="s">
        <v>862</v>
      </c>
      <c r="G2624" s="14" t="str">
        <f t="array" ref="G2624">IF(B2624="", "",
  LET(_xlpm.spell, IFERROR(IF(F2624="", "", INDEX(_xlws.FILTER(Hairstyles!$F:$F, ISNUMBER(SEARCH(F2624, Hairstyles!$B:$B))), 1)), "No Spell for Hairstyle"),
  _xlpm.vanillaPrefix, IF(LEFT(_xlpm.spell, 7)="Uvi_Wig", "", ";"),
  ";" &amp; IF(C2624="", B2624, C2624) &amp; IF(M2624="", "", " ("&amp;M2624&amp;")") &amp; CHAR(10) &amp;
  _xlpm.vanillaPrefix &amp; "Keyword = Uvi_Wig_Distr_KYWD|" &amp; B2624 &amp; CHAR(10) &amp;
  _xlpm.vanillaPrefix &amp; "Spell = " &amp; _xlpm.spell &amp; "|" &amp; B2624
  )
)</f>
        <v>;EncForsworn01MagicBretonF03
;Keyword = Uvi_Wig_Distr_KYWD|EncForsworn01MagicBretonF03
;Spell = No Spell for Hairstyle|EncForsworn01MagicBretonF03</v>
      </c>
    </row>
    <row r="2625" ht="12.75" customHeight="1">
      <c r="A2625" s="5" t="s">
        <v>7622</v>
      </c>
      <c r="B2625" s="5" t="s">
        <v>7623</v>
      </c>
      <c r="D2625" s="5" t="s">
        <v>16</v>
      </c>
      <c r="E2625" s="5" t="s">
        <v>233</v>
      </c>
      <c r="F2625" s="5" t="s">
        <v>19</v>
      </c>
      <c r="G2625" s="14" t="str">
        <f t="array" ref="G2625">IF(B2625="", "",
  LET(_xlpm.spell, IFERROR(IF(F2625="", "", INDEX(_xlws.FILTER(Hairstyles!$F:$F, ISNUMBER(SEARCH(F2625, Hairstyles!$B:$B))), 1)), "No Spell for Hairstyle"),
  _xlpm.vanillaPrefix, IF(LEFT(_xlpm.spell, 7)="Uvi_Wig", "", ";"),
  ";" &amp; IF(C2625="", B2625, C2625) &amp; IF(M2625="", "", " ("&amp;M2625&amp;")") &amp; CHAR(10) &amp;
  _xlpm.vanillaPrefix &amp; "Keyword = Uvi_Wig_Distr_KYWD|" &amp; B2625 &amp; CHAR(10) &amp;
  _xlpm.vanillaPrefix &amp; "Spell = " &amp; _xlpm.spell &amp; "|" &amp; B2625
  )
)</f>
        <v>;EncForsworn01Melee1HBretonBerserk
;Keyword = Uvi_Wig_Distr_KYWD|EncForsworn01Melee1HBretonBerserk
;Spell = No Spell for Hairstyle|EncForsworn01Melee1HBretonBerserk</v>
      </c>
    </row>
    <row r="2626" ht="12.75" customHeight="1">
      <c r="A2626" s="5" t="s">
        <v>7624</v>
      </c>
      <c r="B2626" s="5" t="s">
        <v>7625</v>
      </c>
      <c r="D2626" s="5" t="s">
        <v>16</v>
      </c>
      <c r="E2626" s="5" t="s">
        <v>41</v>
      </c>
      <c r="F2626" s="5" t="s">
        <v>1041</v>
      </c>
      <c r="G2626" s="14" t="str">
        <f t="array" ref="G2626">IF(B2626="", "",
  LET(_xlpm.spell, IFERROR(IF(F2626="", "", INDEX(_xlws.FILTER(Hairstyles!$F:$F, ISNUMBER(SEARCH(F2626, Hairstyles!$B:$B))), 1)), "No Spell for Hairstyle"),
  _xlpm.vanillaPrefix, IF(LEFT(_xlpm.spell, 7)="Uvi_Wig", "", ";"),
  ";" &amp; IF(C2626="", B2626, C2626) &amp; IF(M2626="", "", " ("&amp;M2626&amp;")") &amp; CHAR(10) &amp;
  _xlpm.vanillaPrefix &amp; "Keyword = Uvi_Wig_Distr_KYWD|" &amp; B2626 &amp; CHAR(10) &amp;
  _xlpm.vanillaPrefix &amp; "Spell = " &amp; _xlpm.spell &amp; "|" &amp; B2626
  )
)</f>
        <v>;EncForsworn01Melee1HBretonF01
;Keyword = Uvi_Wig_Distr_KYWD|EncForsworn01Melee1HBretonF01
;Spell = No Spell for Hairstyle|EncForsworn01Melee1HBretonF01</v>
      </c>
    </row>
    <row r="2627" ht="12.75" customHeight="1">
      <c r="A2627" s="5" t="s">
        <v>7626</v>
      </c>
      <c r="B2627" s="5" t="s">
        <v>7627</v>
      </c>
      <c r="D2627" s="5" t="s">
        <v>16</v>
      </c>
      <c r="E2627" s="5" t="s">
        <v>41</v>
      </c>
      <c r="F2627" s="5" t="s">
        <v>1759</v>
      </c>
      <c r="G2627" s="14" t="str">
        <f t="array" ref="G2627">IF(B2627="", "",
  LET(_xlpm.spell, IFERROR(IF(F2627="", "", INDEX(_xlws.FILTER(Hairstyles!$F:$F, ISNUMBER(SEARCH(F2627, Hairstyles!$B:$B))), 1)), "No Spell for Hairstyle"),
  _xlpm.vanillaPrefix, IF(LEFT(_xlpm.spell, 7)="Uvi_Wig", "", ";"),
  ";" &amp; IF(C2627="", B2627, C2627) &amp; IF(M2627="", "", " ("&amp;M2627&amp;")") &amp; CHAR(10) &amp;
  _xlpm.vanillaPrefix &amp; "Keyword = Uvi_Wig_Distr_KYWD|" &amp; B2627 &amp; CHAR(10) &amp;
  _xlpm.vanillaPrefix &amp; "Spell = " &amp; _xlpm.spell &amp; "|" &amp; B2627
  )
)</f>
        <v>;EncForsworn01Melee1HBretonF02
;Keyword = Uvi_Wig_Distr_KYWD|EncForsworn01Melee1HBretonF02
;Spell = No Spell for Hairstyle|EncForsworn01Melee1HBretonF02</v>
      </c>
    </row>
    <row r="2628" ht="12.75" customHeight="1">
      <c r="A2628" s="5" t="s">
        <v>7628</v>
      </c>
      <c r="B2628" s="5" t="s">
        <v>7629</v>
      </c>
      <c r="D2628" s="5" t="s">
        <v>16</v>
      </c>
      <c r="E2628" s="5" t="s">
        <v>41</v>
      </c>
      <c r="F2628" s="5" t="s">
        <v>862</v>
      </c>
      <c r="G2628" s="14" t="str">
        <f t="array" ref="G2628">IF(B2628="", "",
  LET(_xlpm.spell, IFERROR(IF(F2628="", "", INDEX(_xlws.FILTER(Hairstyles!$F:$F, ISNUMBER(SEARCH(F2628, Hairstyles!$B:$B))), 1)), "No Spell for Hairstyle"),
  _xlpm.vanillaPrefix, IF(LEFT(_xlpm.spell, 7)="Uvi_Wig", "", ";"),
  ";" &amp; IF(C2628="", B2628, C2628) &amp; IF(M2628="", "", " ("&amp;M2628&amp;")") &amp; CHAR(10) &amp;
  _xlpm.vanillaPrefix &amp; "Keyword = Uvi_Wig_Distr_KYWD|" &amp; B2628 &amp; CHAR(10) &amp;
  _xlpm.vanillaPrefix &amp; "Spell = " &amp; _xlpm.spell &amp; "|" &amp; B2628
  )
)</f>
        <v>;EncForsworn01Melee1HBretonF03
;Keyword = Uvi_Wig_Distr_KYWD|EncForsworn01Melee1HBretonF03
;Spell = No Spell for Hairstyle|EncForsworn01Melee1HBretonF03</v>
      </c>
    </row>
    <row r="2629" ht="12.75" customHeight="1">
      <c r="A2629" s="5" t="s">
        <v>7630</v>
      </c>
      <c r="B2629" s="5" t="s">
        <v>7631</v>
      </c>
      <c r="D2629" s="5" t="s">
        <v>16</v>
      </c>
      <c r="E2629" s="5" t="s">
        <v>233</v>
      </c>
      <c r="F2629" s="5" t="s">
        <v>1622</v>
      </c>
      <c r="G2629" s="14" t="str">
        <f t="array" ref="G2629">IF(B2629="", "",
  LET(_xlpm.spell, IFERROR(IF(F2629="", "", INDEX(_xlws.FILTER(Hairstyles!$F:$F, ISNUMBER(SEARCH(F2629, Hairstyles!$B:$B))), 1)), "No Spell for Hairstyle"),
  _xlpm.vanillaPrefix, IF(LEFT(_xlpm.spell, 7)="Uvi_Wig", "", ";"),
  ";" &amp; IF(C2629="", B2629, C2629) &amp; IF(M2629="", "", " ("&amp;M2629&amp;")") &amp; CHAR(10) &amp;
  _xlpm.vanillaPrefix &amp; "Keyword = Uvi_Wig_Distr_KYWD|" &amp; B2629 &amp; CHAR(10) &amp;
  _xlpm.vanillaPrefix &amp; "Spell = " &amp; _xlpm.spell &amp; "|" &amp; B2629
  )
)</f>
        <v>;EncForsworn01Melee1HBretonM01
;Keyword = Uvi_Wig_Distr_KYWD|EncForsworn01Melee1HBretonM01
;Spell = No Spell for Hairstyle|EncForsworn01Melee1HBretonM01</v>
      </c>
    </row>
    <row r="2630" ht="12.75" customHeight="1">
      <c r="A2630" s="5" t="s">
        <v>7632</v>
      </c>
      <c r="B2630" s="5" t="s">
        <v>7633</v>
      </c>
      <c r="D2630" s="5" t="s">
        <v>16</v>
      </c>
      <c r="E2630" s="5" t="s">
        <v>233</v>
      </c>
      <c r="F2630" s="5" t="s">
        <v>1553</v>
      </c>
      <c r="G2630" s="14" t="str">
        <f t="array" ref="G2630">IF(B2630="", "",
  LET(_xlpm.spell, IFERROR(IF(F2630="", "", INDEX(_xlws.FILTER(Hairstyles!$F:$F, ISNUMBER(SEARCH(F2630, Hairstyles!$B:$B))), 1)), "No Spell for Hairstyle"),
  _xlpm.vanillaPrefix, IF(LEFT(_xlpm.spell, 7)="Uvi_Wig", "", ";"),
  ";" &amp; IF(C2630="", B2630, C2630) &amp; IF(M2630="", "", " ("&amp;M2630&amp;")") &amp; CHAR(10) &amp;
  _xlpm.vanillaPrefix &amp; "Keyword = Uvi_Wig_Distr_KYWD|" &amp; B2630 &amp; CHAR(10) &amp;
  _xlpm.vanillaPrefix &amp; "Spell = " &amp; _xlpm.spell &amp; "|" &amp; B2630
  )
)</f>
        <v>;EncForsworn01Melee1HBretonM02
;Keyword = Uvi_Wig_Distr_KYWD|EncForsworn01Melee1HBretonM02
;Spell = No Spell for Hairstyle|EncForsworn01Melee1HBretonM02</v>
      </c>
    </row>
    <row r="2631" ht="12.75" customHeight="1">
      <c r="A2631" s="5" t="s">
        <v>7634</v>
      </c>
      <c r="B2631" s="5" t="s">
        <v>7635</v>
      </c>
      <c r="D2631" s="5" t="s">
        <v>16</v>
      </c>
      <c r="E2631" s="5" t="s">
        <v>233</v>
      </c>
      <c r="F2631" s="5" t="s">
        <v>990</v>
      </c>
      <c r="G2631" s="14" t="str">
        <f t="array" ref="G2631">IF(B2631="", "",
  LET(_xlpm.spell, IFERROR(IF(F2631="", "", INDEX(_xlws.FILTER(Hairstyles!$F:$F, ISNUMBER(SEARCH(F2631, Hairstyles!$B:$B))), 1)), "No Spell for Hairstyle"),
  _xlpm.vanillaPrefix, IF(LEFT(_xlpm.spell, 7)="Uvi_Wig", "", ";"),
  ";" &amp; IF(C2631="", B2631, C2631) &amp; IF(M2631="", "", " ("&amp;M2631&amp;")") &amp; CHAR(10) &amp;
  _xlpm.vanillaPrefix &amp; "Keyword = Uvi_Wig_Distr_KYWD|" &amp; B2631 &amp; CHAR(10) &amp;
  _xlpm.vanillaPrefix &amp; "Spell = " &amp; _xlpm.spell &amp; "|" &amp; B2631
  )
)</f>
        <v>;EncForsworn01Melee1HBretonM03
;Keyword = Uvi_Wig_Distr_KYWD|EncForsworn01Melee1HBretonM03
;Spell = No Spell for Hairstyle|EncForsworn01Melee1HBretonM03</v>
      </c>
    </row>
    <row r="2632" ht="12.75" customHeight="1">
      <c r="A2632" s="5" t="s">
        <v>7636</v>
      </c>
      <c r="B2632" s="5" t="s">
        <v>7637</v>
      </c>
      <c r="D2632" s="5" t="s">
        <v>16</v>
      </c>
      <c r="E2632" s="5" t="s">
        <v>233</v>
      </c>
      <c r="F2632" s="5" t="s">
        <v>84</v>
      </c>
      <c r="G2632" s="14" t="str">
        <f t="array" ref="G2632">IF(B2632="", "",
  LET(_xlpm.spell, IFERROR(IF(F2632="", "", INDEX(_xlws.FILTER(Hairstyles!$F:$F, ISNUMBER(SEARCH(F2632, Hairstyles!$B:$B))), 1)), "No Spell for Hairstyle"),
  _xlpm.vanillaPrefix, IF(LEFT(_xlpm.spell, 7)="Uvi_Wig", "", ";"),
  ";" &amp; IF(C2632="", B2632, C2632) &amp; IF(M2632="", "", " ("&amp;M2632&amp;")") &amp; CHAR(10) &amp;
  _xlpm.vanillaPrefix &amp; "Keyword = Uvi_Wig_Distr_KYWD|" &amp; B2632 &amp; CHAR(10) &amp;
  _xlpm.vanillaPrefix &amp; "Spell = " &amp; _xlpm.spell &amp; "|" &amp; B2632
  )
)</f>
        <v>;EncForsworn01Melee1HBretonM04
;Keyword = Uvi_Wig_Distr_KYWD|EncForsworn01Melee1HBretonM04
;Spell = No Spell for Hairstyle|EncForsworn01Melee1HBretonM04</v>
      </c>
    </row>
    <row r="2633" ht="12.75" customHeight="1">
      <c r="A2633" s="5" t="s">
        <v>7638</v>
      </c>
      <c r="B2633" s="5" t="s">
        <v>7639</v>
      </c>
      <c r="D2633" s="5" t="s">
        <v>16</v>
      </c>
      <c r="E2633" s="5" t="s">
        <v>41</v>
      </c>
      <c r="F2633" s="5" t="s">
        <v>1694</v>
      </c>
      <c r="G2633" s="14" t="str">
        <f t="array" ref="G2633">IF(B2633="", "",
  LET(_xlpm.spell, IFERROR(IF(F2633="", "", INDEX(_xlws.FILTER(Hairstyles!$F:$F, ISNUMBER(SEARCH(F2633, Hairstyles!$B:$B))), 1)), "No Spell for Hairstyle"),
  _xlpm.vanillaPrefix, IF(LEFT(_xlpm.spell, 7)="Uvi_Wig", "", ";"),
  ";" &amp; IF(C2633="", B2633, C2633) &amp; IF(M2633="", "", " ("&amp;M2633&amp;")") &amp; CHAR(10) &amp;
  _xlpm.vanillaPrefix &amp; "Keyword = Uvi_Wig_Distr_KYWD|" &amp; B2633 &amp; CHAR(10) &amp;
  _xlpm.vanillaPrefix &amp; "Spell = " &amp; _xlpm.spell &amp; "|" &amp; B2633
  )
)</f>
        <v>;EncForsworn01MissileBretonF01
;Keyword = Uvi_Wig_Distr_KYWD|EncForsworn01MissileBretonF01
;Spell = No Spell for Hairstyle|EncForsworn01MissileBretonF01</v>
      </c>
    </row>
    <row r="2634" ht="12.75" customHeight="1">
      <c r="A2634" s="5" t="s">
        <v>7640</v>
      </c>
      <c r="B2634" s="5" t="s">
        <v>7641</v>
      </c>
      <c r="D2634" s="5" t="s">
        <v>16</v>
      </c>
      <c r="E2634" s="5" t="s">
        <v>41</v>
      </c>
      <c r="F2634" s="5" t="s">
        <v>371</v>
      </c>
      <c r="G2634" s="14" t="str">
        <f t="array" ref="G2634">IF(B2634="", "",
  LET(_xlpm.spell, IFERROR(IF(F2634="", "", INDEX(_xlws.FILTER(Hairstyles!$F:$F, ISNUMBER(SEARCH(F2634, Hairstyles!$B:$B))), 1)), "No Spell for Hairstyle"),
  _xlpm.vanillaPrefix, IF(LEFT(_xlpm.spell, 7)="Uvi_Wig", "", ";"),
  ";" &amp; IF(C2634="", B2634, C2634) &amp; IF(M2634="", "", " ("&amp;M2634&amp;")") &amp; CHAR(10) &amp;
  _xlpm.vanillaPrefix &amp; "Keyword = Uvi_Wig_Distr_KYWD|" &amp; B2634 &amp; CHAR(10) &amp;
  _xlpm.vanillaPrefix &amp; "Spell = " &amp; _xlpm.spell &amp; "|" &amp; B2634
  )
)</f>
        <v>;EncForsworn01MissileBretonF02
;Keyword = Uvi_Wig_Distr_KYWD|EncForsworn01MissileBretonF02
;Spell = No Spell for Hairstyle|EncForsworn01MissileBretonF02</v>
      </c>
    </row>
    <row r="2635" ht="12.75" customHeight="1">
      <c r="A2635" s="5" t="s">
        <v>7642</v>
      </c>
      <c r="B2635" s="5" t="s">
        <v>7643</v>
      </c>
      <c r="D2635" s="5" t="s">
        <v>16</v>
      </c>
      <c r="E2635" s="5" t="s">
        <v>41</v>
      </c>
      <c r="F2635" s="5" t="s">
        <v>371</v>
      </c>
      <c r="G2635" s="14" t="str">
        <f t="array" ref="G2635">IF(B2635="", "",
  LET(_xlpm.spell, IFERROR(IF(F2635="", "", INDEX(_xlws.FILTER(Hairstyles!$F:$F, ISNUMBER(SEARCH(F2635, Hairstyles!$B:$B))), 1)), "No Spell for Hairstyle"),
  _xlpm.vanillaPrefix, IF(LEFT(_xlpm.spell, 7)="Uvi_Wig", "", ";"),
  ";" &amp; IF(C2635="", B2635, C2635) &amp; IF(M2635="", "", " ("&amp;M2635&amp;")") &amp; CHAR(10) &amp;
  _xlpm.vanillaPrefix &amp; "Keyword = Uvi_Wig_Distr_KYWD|" &amp; B2635 &amp; CHAR(10) &amp;
  _xlpm.vanillaPrefix &amp; "Spell = " &amp; _xlpm.spell &amp; "|" &amp; B2635
  )
)</f>
        <v>;EncForsworn01MissileBretonF03
;Keyword = Uvi_Wig_Distr_KYWD|EncForsworn01MissileBretonF03
;Spell = No Spell for Hairstyle|EncForsworn01MissileBretonF03</v>
      </c>
    </row>
    <row r="2636" ht="12.75" customHeight="1">
      <c r="A2636" s="5" t="s">
        <v>7644</v>
      </c>
      <c r="B2636" s="5" t="s">
        <v>7645</v>
      </c>
      <c r="D2636" s="5" t="s">
        <v>16</v>
      </c>
      <c r="E2636" s="5" t="s">
        <v>233</v>
      </c>
      <c r="F2636" s="5" t="s">
        <v>1906</v>
      </c>
      <c r="G2636" s="14" t="str">
        <f t="array" ref="G2636">IF(B2636="", "",
  LET(_xlpm.spell, IFERROR(IF(F2636="", "", INDEX(_xlws.FILTER(Hairstyles!$F:$F, ISNUMBER(SEARCH(F2636, Hairstyles!$B:$B))), 1)), "No Spell for Hairstyle"),
  _xlpm.vanillaPrefix, IF(LEFT(_xlpm.spell, 7)="Uvi_Wig", "", ";"),
  ";" &amp; IF(C2636="", B2636, C2636) &amp; IF(M2636="", "", " ("&amp;M2636&amp;")") &amp; CHAR(10) &amp;
  _xlpm.vanillaPrefix &amp; "Keyword = Uvi_Wig_Distr_KYWD|" &amp; B2636 &amp; CHAR(10) &amp;
  _xlpm.vanillaPrefix &amp; "Spell = " &amp; _xlpm.spell &amp; "|" &amp; B2636
  )
)</f>
        <v>;EncForsworn01MissileBretonM01
;Keyword = Uvi_Wig_Distr_KYWD|EncForsworn01MissileBretonM01
;Spell = No Spell for Hairstyle|EncForsworn01MissileBretonM01</v>
      </c>
    </row>
    <row r="2637" ht="12.75" customHeight="1">
      <c r="A2637" s="5" t="s">
        <v>7646</v>
      </c>
      <c r="B2637" s="5" t="s">
        <v>7647</v>
      </c>
      <c r="D2637" s="5" t="s">
        <v>16</v>
      </c>
      <c r="E2637" s="5" t="s">
        <v>233</v>
      </c>
      <c r="F2637" s="5" t="s">
        <v>40</v>
      </c>
      <c r="G2637" s="14" t="str">
        <f t="array" ref="G2637">IF(B2637="", "",
  LET(_xlpm.spell, IFERROR(IF(F2637="", "", INDEX(_xlws.FILTER(Hairstyles!$F:$F, ISNUMBER(SEARCH(F2637, Hairstyles!$B:$B))), 1)), "No Spell for Hairstyle"),
  _xlpm.vanillaPrefix, IF(LEFT(_xlpm.spell, 7)="Uvi_Wig", "", ";"),
  ";" &amp; IF(C2637="", B2637, C2637) &amp; IF(M2637="", "", " ("&amp;M2637&amp;")") &amp; CHAR(10) &amp;
  _xlpm.vanillaPrefix &amp; "Keyword = Uvi_Wig_Distr_KYWD|" &amp; B2637 &amp; CHAR(10) &amp;
  _xlpm.vanillaPrefix &amp; "Spell = " &amp; _xlpm.spell &amp; "|" &amp; B2637
  )
)</f>
        <v>;EncForsworn01MissileBretonM02
;Keyword = Uvi_Wig_Distr_KYWD|EncForsworn01MissileBretonM02
;Spell = No Spell for Hairstyle|EncForsworn01MissileBretonM02</v>
      </c>
    </row>
    <row r="2638" ht="12.75" customHeight="1">
      <c r="A2638" s="5" t="s">
        <v>7648</v>
      </c>
      <c r="B2638" s="5" t="s">
        <v>7649</v>
      </c>
      <c r="D2638" s="5" t="s">
        <v>16</v>
      </c>
      <c r="E2638" s="5" t="s">
        <v>233</v>
      </c>
      <c r="F2638" s="5" t="s">
        <v>218</v>
      </c>
      <c r="G2638" s="14" t="str">
        <f t="array" ref="G2638">IF(B2638="", "",
  LET(_xlpm.spell, IFERROR(IF(F2638="", "", INDEX(_xlws.FILTER(Hairstyles!$F:$F, ISNUMBER(SEARCH(F2638, Hairstyles!$B:$B))), 1)), "No Spell for Hairstyle"),
  _xlpm.vanillaPrefix, IF(LEFT(_xlpm.spell, 7)="Uvi_Wig", "", ";"),
  ";" &amp; IF(C2638="", B2638, C2638) &amp; IF(M2638="", "", " ("&amp;M2638&amp;")") &amp; CHAR(10) &amp;
  _xlpm.vanillaPrefix &amp; "Keyword = Uvi_Wig_Distr_KYWD|" &amp; B2638 &amp; CHAR(10) &amp;
  _xlpm.vanillaPrefix &amp; "Spell = " &amp; _xlpm.spell &amp; "|" &amp; B2638
  )
)</f>
        <v>;EncForsworn01MissileBretonM03
;Keyword = Uvi_Wig_Distr_KYWD|EncForsworn01MissileBretonM03
;Spell = No Spell for Hairstyle|EncForsworn01MissileBretonM03</v>
      </c>
    </row>
    <row r="2639" ht="12.75" customHeight="1">
      <c r="A2639" s="5" t="s">
        <v>7650</v>
      </c>
      <c r="B2639" s="5" t="s">
        <v>7651</v>
      </c>
      <c r="D2639" s="5" t="s">
        <v>16</v>
      </c>
      <c r="E2639" s="5" t="s">
        <v>233</v>
      </c>
      <c r="F2639" s="5" t="s">
        <v>521</v>
      </c>
      <c r="G2639" s="14" t="str">
        <f t="array" ref="G2639">IF(B2639="", "",
  LET(_xlpm.spell, IFERROR(IF(F2639="", "", INDEX(_xlws.FILTER(Hairstyles!$F:$F, ISNUMBER(SEARCH(F2639, Hairstyles!$B:$B))), 1)), "No Spell for Hairstyle"),
  _xlpm.vanillaPrefix, IF(LEFT(_xlpm.spell, 7)="Uvi_Wig", "", ";"),
  ";" &amp; IF(C2639="", B2639, C2639) &amp; IF(M2639="", "", " ("&amp;M2639&amp;")") &amp; CHAR(10) &amp;
  _xlpm.vanillaPrefix &amp; "Keyword = Uvi_Wig_Distr_KYWD|" &amp; B2639 &amp; CHAR(10) &amp;
  _xlpm.vanillaPrefix &amp; "Spell = " &amp; _xlpm.spell &amp; "|" &amp; B2639
  )
)</f>
        <v>;EncForsworn01MissileBretonM04
;Keyword = Uvi_Wig_Distr_KYWD|EncForsworn01MissileBretonM04
;Spell = No Spell for Hairstyle|EncForsworn01MissileBretonM04</v>
      </c>
    </row>
    <row r="2640" ht="12.75" customHeight="1">
      <c r="A2640" s="5" t="s">
        <v>7652</v>
      </c>
      <c r="B2640" s="5" t="s">
        <v>7653</v>
      </c>
      <c r="D2640" s="5" t="s">
        <v>16</v>
      </c>
      <c r="E2640" s="5" t="s">
        <v>233</v>
      </c>
      <c r="F2640" s="5" t="s">
        <v>1700</v>
      </c>
      <c r="G2640" s="14" t="str">
        <f t="array" ref="G2640">IF(B2640="", "",
  LET(_xlpm.spell, IFERROR(IF(F2640="", "", INDEX(_xlws.FILTER(Hairstyles!$F:$F, ISNUMBER(SEARCH(F2640, Hairstyles!$B:$B))), 1)), "No Spell for Hairstyle"),
  _xlpm.vanillaPrefix, IF(LEFT(_xlpm.spell, 7)="Uvi_Wig", "", ";"),
  ";" &amp; IF(C2640="", B2640, C2640) &amp; IF(M2640="", "", " ("&amp;M2640&amp;")") &amp; CHAR(10) &amp;
  _xlpm.vanillaPrefix &amp; "Keyword = Uvi_Wig_Distr_KYWD|" &amp; B2640 &amp; CHAR(10) &amp;
  _xlpm.vanillaPrefix &amp; "Spell = " &amp; _xlpm.spell &amp; "|" &amp; B2640
  )
)</f>
        <v>;EncForsworn02BossMagicBretonM01
;Keyword = Uvi_Wig_Distr_KYWD|EncForsworn02BossMagicBretonM01
;Spell = No Spell for Hairstyle|EncForsworn02BossMagicBretonM01</v>
      </c>
    </row>
    <row r="2641" ht="12.75" customHeight="1">
      <c r="A2641" s="5" t="s">
        <v>7654</v>
      </c>
      <c r="B2641" s="5" t="s">
        <v>7655</v>
      </c>
      <c r="D2641" s="5" t="s">
        <v>16</v>
      </c>
      <c r="E2641" s="5" t="s">
        <v>233</v>
      </c>
      <c r="F2641" s="5" t="s">
        <v>1700</v>
      </c>
      <c r="G2641" s="14" t="str">
        <f t="array" ref="G2641">IF(B2641="", "",
  LET(_xlpm.spell, IFERROR(IF(F2641="", "", INDEX(_xlws.FILTER(Hairstyles!$F:$F, ISNUMBER(SEARCH(F2641, Hairstyles!$B:$B))), 1)), "No Spell for Hairstyle"),
  _xlpm.vanillaPrefix, IF(LEFT(_xlpm.spell, 7)="Uvi_Wig", "", ";"),
  ";" &amp; IF(C2641="", B2641, C2641) &amp; IF(M2641="", "", " ("&amp;M2641&amp;")") &amp; CHAR(10) &amp;
  _xlpm.vanillaPrefix &amp; "Keyword = Uvi_Wig_Distr_KYWD|" &amp; B2641 &amp; CHAR(10) &amp;
  _xlpm.vanillaPrefix &amp; "Spell = " &amp; _xlpm.spell &amp; "|" &amp; B2641
  )
)</f>
        <v>;EncForsworn02BossMagicBretonM02
;Keyword = Uvi_Wig_Distr_KYWD|EncForsworn02BossMagicBretonM02
;Spell = No Spell for Hairstyle|EncForsworn02BossMagicBretonM02</v>
      </c>
    </row>
    <row r="2642" ht="12.75" customHeight="1">
      <c r="A2642" s="5" t="s">
        <v>7656</v>
      </c>
      <c r="B2642" s="5" t="s">
        <v>7657</v>
      </c>
      <c r="D2642" s="5" t="s">
        <v>16</v>
      </c>
      <c r="E2642" s="5" t="s">
        <v>233</v>
      </c>
      <c r="F2642" s="5" t="s">
        <v>1622</v>
      </c>
      <c r="G2642" s="14" t="str">
        <f t="array" ref="G2642">IF(B2642="", "",
  LET(_xlpm.spell, IFERROR(IF(F2642="", "", INDEX(_xlws.FILTER(Hairstyles!$F:$F, ISNUMBER(SEARCH(F2642, Hairstyles!$B:$B))), 1)), "No Spell for Hairstyle"),
  _xlpm.vanillaPrefix, IF(LEFT(_xlpm.spell, 7)="Uvi_Wig", "", ";"),
  ";" &amp; IF(C2642="", B2642, C2642) &amp; IF(M2642="", "", " ("&amp;M2642&amp;")") &amp; CHAR(10) &amp;
  _xlpm.vanillaPrefix &amp; "Keyword = Uvi_Wig_Distr_KYWD|" &amp; B2642 &amp; CHAR(10) &amp;
  _xlpm.vanillaPrefix &amp; "Spell = " &amp; _xlpm.spell &amp; "|" &amp; B2642
  )
)</f>
        <v>;EncForsworn02BossMagicBretonM03
;Keyword = Uvi_Wig_Distr_KYWD|EncForsworn02BossMagicBretonM03
;Spell = No Spell for Hairstyle|EncForsworn02BossMagicBretonM03</v>
      </c>
    </row>
    <row r="2643" ht="12.75" customHeight="1">
      <c r="A2643" s="5" t="s">
        <v>7658</v>
      </c>
      <c r="B2643" s="5" t="s">
        <v>7659</v>
      </c>
      <c r="D2643" s="5" t="s">
        <v>16</v>
      </c>
      <c r="E2643" s="5" t="s">
        <v>233</v>
      </c>
      <c r="F2643" s="5" t="s">
        <v>475</v>
      </c>
      <c r="G2643" s="14" t="str">
        <f t="array" ref="G2643">IF(B2643="", "",
  LET(_xlpm.spell, IFERROR(IF(F2643="", "", INDEX(_xlws.FILTER(Hairstyles!$F:$F, ISNUMBER(SEARCH(F2643, Hairstyles!$B:$B))), 1)), "No Spell for Hairstyle"),
  _xlpm.vanillaPrefix, IF(LEFT(_xlpm.spell, 7)="Uvi_Wig", "", ";"),
  ";" &amp; IF(C2643="", B2643, C2643) &amp; IF(M2643="", "", " ("&amp;M2643&amp;")") &amp; CHAR(10) &amp;
  _xlpm.vanillaPrefix &amp; "Keyword = Uvi_Wig_Distr_KYWD|" &amp; B2643 &amp; CHAR(10) &amp;
  _xlpm.vanillaPrefix &amp; "Spell = " &amp; _xlpm.spell &amp; "|" &amp; B2643
  )
)</f>
        <v>;EncForsworn02BossMelee1HBretonM01
;Keyword = Uvi_Wig_Distr_KYWD|EncForsworn02BossMelee1HBretonM01
;Spell = No Spell for Hairstyle|EncForsworn02BossMelee1HBretonM01</v>
      </c>
    </row>
    <row r="2644" ht="12.75" customHeight="1">
      <c r="A2644" s="5" t="s">
        <v>7660</v>
      </c>
      <c r="B2644" s="5" t="s">
        <v>7661</v>
      </c>
      <c r="D2644" s="5" t="s">
        <v>16</v>
      </c>
      <c r="E2644" s="5" t="s">
        <v>233</v>
      </c>
      <c r="F2644" s="5" t="s">
        <v>1553</v>
      </c>
      <c r="G2644" s="14" t="str">
        <f t="array" ref="G2644">IF(B2644="", "",
  LET(_xlpm.spell, IFERROR(IF(F2644="", "", INDEX(_xlws.FILTER(Hairstyles!$F:$F, ISNUMBER(SEARCH(F2644, Hairstyles!$B:$B))), 1)), "No Spell for Hairstyle"),
  _xlpm.vanillaPrefix, IF(LEFT(_xlpm.spell, 7)="Uvi_Wig", "", ";"),
  ";" &amp; IF(C2644="", B2644, C2644) &amp; IF(M2644="", "", " ("&amp;M2644&amp;")") &amp; CHAR(10) &amp;
  _xlpm.vanillaPrefix &amp; "Keyword = Uvi_Wig_Distr_KYWD|" &amp; B2644 &amp; CHAR(10) &amp;
  _xlpm.vanillaPrefix &amp; "Spell = " &amp; _xlpm.spell &amp; "|" &amp; B2644
  )
)</f>
        <v>;EncForsworn02BossMelee1HBretonM02
;Keyword = Uvi_Wig_Distr_KYWD|EncForsworn02BossMelee1HBretonM02
;Spell = No Spell for Hairstyle|EncForsworn02BossMelee1HBretonM02</v>
      </c>
    </row>
    <row r="2645" ht="12.75" customHeight="1">
      <c r="A2645" s="5" t="s">
        <v>7662</v>
      </c>
      <c r="B2645" s="5" t="s">
        <v>7663</v>
      </c>
      <c r="D2645" s="5" t="s">
        <v>16</v>
      </c>
      <c r="E2645" s="5" t="s">
        <v>233</v>
      </c>
      <c r="F2645" s="5" t="s">
        <v>1622</v>
      </c>
      <c r="G2645" s="14" t="str">
        <f t="array" ref="G2645">IF(B2645="", "",
  LET(_xlpm.spell, IFERROR(IF(F2645="", "", INDEX(_xlws.FILTER(Hairstyles!$F:$F, ISNUMBER(SEARCH(F2645, Hairstyles!$B:$B))), 1)), "No Spell for Hairstyle"),
  _xlpm.vanillaPrefix, IF(LEFT(_xlpm.spell, 7)="Uvi_Wig", "", ";"),
  ";" &amp; IF(C2645="", B2645, C2645) &amp; IF(M2645="", "", " ("&amp;M2645&amp;")") &amp; CHAR(10) &amp;
  _xlpm.vanillaPrefix &amp; "Keyword = Uvi_Wig_Distr_KYWD|" &amp; B2645 &amp; CHAR(10) &amp;
  _xlpm.vanillaPrefix &amp; "Spell = " &amp; _xlpm.spell &amp; "|" &amp; B2645
  )
)</f>
        <v>;EncForsworn02BossMelee1HBretonM03
;Keyword = Uvi_Wig_Distr_KYWD|EncForsworn02BossMelee1HBretonM03
;Spell = No Spell for Hairstyle|EncForsworn02BossMelee1HBretonM03</v>
      </c>
    </row>
    <row r="2646" ht="12.75" customHeight="1">
      <c r="A2646" s="5" t="s">
        <v>7664</v>
      </c>
      <c r="B2646" s="5" t="s">
        <v>7665</v>
      </c>
      <c r="D2646" s="5" t="s">
        <v>16</v>
      </c>
      <c r="E2646" s="5" t="s">
        <v>41</v>
      </c>
      <c r="F2646" s="5" t="s">
        <v>1759</v>
      </c>
      <c r="G2646" s="14" t="str">
        <f t="array" ref="G2646">IF(B2646="", "",
  LET(_xlpm.spell, IFERROR(IF(F2646="", "", INDEX(_xlws.FILTER(Hairstyles!$F:$F, ISNUMBER(SEARCH(F2646, Hairstyles!$B:$B))), 1)), "No Spell for Hairstyle"),
  _xlpm.vanillaPrefix, IF(LEFT(_xlpm.spell, 7)="Uvi_Wig", "", ";"),
  ";" &amp; IF(C2646="", B2646, C2646) &amp; IF(M2646="", "", " ("&amp;M2646&amp;")") &amp; CHAR(10) &amp;
  _xlpm.vanillaPrefix &amp; "Keyword = Uvi_Wig_Distr_KYWD|" &amp; B2646 &amp; CHAR(10) &amp;
  _xlpm.vanillaPrefix &amp; "Spell = " &amp; _xlpm.spell &amp; "|" &amp; B2646
  )
)</f>
        <v>;EncForsworn02MagicBretonF01
;Keyword = Uvi_Wig_Distr_KYWD|EncForsworn02MagicBretonF01
;Spell = No Spell for Hairstyle|EncForsworn02MagicBretonF01</v>
      </c>
    </row>
    <row r="2647" ht="12.75" customHeight="1">
      <c r="A2647" s="5" t="s">
        <v>7666</v>
      </c>
      <c r="B2647" s="5" t="s">
        <v>7667</v>
      </c>
      <c r="D2647" s="5" t="s">
        <v>16</v>
      </c>
      <c r="E2647" s="5" t="s">
        <v>41</v>
      </c>
      <c r="F2647" s="5" t="s">
        <v>1596</v>
      </c>
      <c r="G2647" s="14" t="str">
        <f t="array" ref="G2647">IF(B2647="", "",
  LET(_xlpm.spell, IFERROR(IF(F2647="", "", INDEX(_xlws.FILTER(Hairstyles!$F:$F, ISNUMBER(SEARCH(F2647, Hairstyles!$B:$B))), 1)), "No Spell for Hairstyle"),
  _xlpm.vanillaPrefix, IF(LEFT(_xlpm.spell, 7)="Uvi_Wig", "", ";"),
  ";" &amp; IF(C2647="", B2647, C2647) &amp; IF(M2647="", "", " ("&amp;M2647&amp;")") &amp; CHAR(10) &amp;
  _xlpm.vanillaPrefix &amp; "Keyword = Uvi_Wig_Distr_KYWD|" &amp; B2647 &amp; CHAR(10) &amp;
  _xlpm.vanillaPrefix &amp; "Spell = " &amp; _xlpm.spell &amp; "|" &amp; B2647
  )
)</f>
        <v>;EncForsworn02MagicBretonF02
;Keyword = Uvi_Wig_Distr_KYWD|EncForsworn02MagicBretonF02
;Spell = No Spell for Hairstyle|EncForsworn02MagicBretonF02</v>
      </c>
    </row>
    <row r="2648" ht="12.75" customHeight="1">
      <c r="A2648" s="5" t="s">
        <v>7668</v>
      </c>
      <c r="B2648" s="5" t="s">
        <v>7669</v>
      </c>
      <c r="D2648" s="5" t="s">
        <v>16</v>
      </c>
      <c r="E2648" s="5" t="s">
        <v>41</v>
      </c>
      <c r="F2648" s="5" t="s">
        <v>1041</v>
      </c>
      <c r="G2648" s="14" t="str">
        <f t="array" ref="G2648">IF(B2648="", "",
  LET(_xlpm.spell, IFERROR(IF(F2648="", "", INDEX(_xlws.FILTER(Hairstyles!$F:$F, ISNUMBER(SEARCH(F2648, Hairstyles!$B:$B))), 1)), "No Spell for Hairstyle"),
  _xlpm.vanillaPrefix, IF(LEFT(_xlpm.spell, 7)="Uvi_Wig", "", ";"),
  ";" &amp; IF(C2648="", B2648, C2648) &amp; IF(M2648="", "", " ("&amp;M2648&amp;")") &amp; CHAR(10) &amp;
  _xlpm.vanillaPrefix &amp; "Keyword = Uvi_Wig_Distr_KYWD|" &amp; B2648 &amp; CHAR(10) &amp;
  _xlpm.vanillaPrefix &amp; "Spell = " &amp; _xlpm.spell &amp; "|" &amp; B2648
  )
)</f>
        <v>;EncForsworn02MagicBretonF03
;Keyword = Uvi_Wig_Distr_KYWD|EncForsworn02MagicBretonF03
;Spell = No Spell for Hairstyle|EncForsworn02MagicBretonF03</v>
      </c>
    </row>
    <row r="2649" ht="12.75" customHeight="1">
      <c r="A2649" s="5" t="s">
        <v>7670</v>
      </c>
      <c r="B2649" s="5" t="s">
        <v>7671</v>
      </c>
      <c r="D2649" s="5" t="s">
        <v>16</v>
      </c>
      <c r="E2649" s="5" t="s">
        <v>233</v>
      </c>
      <c r="F2649" s="5" t="s">
        <v>19</v>
      </c>
      <c r="G2649" s="14" t="str">
        <f t="array" ref="G2649">IF(B2649="", "",
  LET(_xlpm.spell, IFERROR(IF(F2649="", "", INDEX(_xlws.FILTER(Hairstyles!$F:$F, ISNUMBER(SEARCH(F2649, Hairstyles!$B:$B))), 1)), "No Spell for Hairstyle"),
  _xlpm.vanillaPrefix, IF(LEFT(_xlpm.spell, 7)="Uvi_Wig", "", ";"),
  ";" &amp; IF(C2649="", B2649, C2649) &amp; IF(M2649="", "", " ("&amp;M2649&amp;")") &amp; CHAR(10) &amp;
  _xlpm.vanillaPrefix &amp; "Keyword = Uvi_Wig_Distr_KYWD|" &amp; B2649 &amp; CHAR(10) &amp;
  _xlpm.vanillaPrefix &amp; "Spell = " &amp; _xlpm.spell &amp; "|" &amp; B2649
  )
)</f>
        <v>;EncForsworn02Melee1HBretonBerserk
;Keyword = Uvi_Wig_Distr_KYWD|EncForsworn02Melee1HBretonBerserk
;Spell = No Spell for Hairstyle|EncForsworn02Melee1HBretonBerserk</v>
      </c>
    </row>
    <row r="2650" ht="12.75" customHeight="1">
      <c r="A2650" s="15" t="s">
        <v>7672</v>
      </c>
      <c r="B2650" s="5" t="s">
        <v>7673</v>
      </c>
      <c r="D2650" s="5" t="s">
        <v>16</v>
      </c>
      <c r="E2650" s="5" t="s">
        <v>41</v>
      </c>
      <c r="F2650" s="5" t="s">
        <v>4628</v>
      </c>
      <c r="G2650" s="14" t="str">
        <f t="array" ref="G2650">IF(B2650="", "",
  LET(_xlpm.spell, IFERROR(IF(F2650="", "", INDEX(_xlws.FILTER(Hairstyles!$F:$F, ISNUMBER(SEARCH(F2650, Hairstyles!$B:$B))), 1)), "No Spell for Hairstyle"),
  _xlpm.vanillaPrefix, IF(LEFT(_xlpm.spell, 7)="Uvi_Wig", "", ";"),
  ";" &amp; IF(C2650="", B2650, C2650) &amp; IF(M2650="", "", " ("&amp;M2650&amp;")") &amp; CHAR(10) &amp;
  _xlpm.vanillaPrefix &amp; "Keyword = Uvi_Wig_Distr_KYWD|" &amp; B2650 &amp; CHAR(10) &amp;
  _xlpm.vanillaPrefix &amp; "Spell = " &amp; _xlpm.spell &amp; "|" &amp; B2650
  )
)</f>
        <v>;EncForsworn02Melee1HBretonF01
;Keyword = Uvi_Wig_Distr_KYWD|EncForsworn02Melee1HBretonF01
;Spell = No Spell for Hairstyle|EncForsworn02Melee1HBretonF01</v>
      </c>
    </row>
    <row r="2651" ht="12.75" customHeight="1">
      <c r="A2651" s="15" t="s">
        <v>7674</v>
      </c>
      <c r="B2651" s="5" t="s">
        <v>7675</v>
      </c>
      <c r="D2651" s="5" t="s">
        <v>16</v>
      </c>
      <c r="E2651" s="5" t="s">
        <v>41</v>
      </c>
      <c r="F2651" s="5" t="s">
        <v>1041</v>
      </c>
      <c r="G2651" s="14" t="str">
        <f t="array" ref="G2651">IF(B2651="", "",
  LET(_xlpm.spell, IFERROR(IF(F2651="", "", INDEX(_xlws.FILTER(Hairstyles!$F:$F, ISNUMBER(SEARCH(F2651, Hairstyles!$B:$B))), 1)), "No Spell for Hairstyle"),
  _xlpm.vanillaPrefix, IF(LEFT(_xlpm.spell, 7)="Uvi_Wig", "", ";"),
  ";" &amp; IF(C2651="", B2651, C2651) &amp; IF(M2651="", "", " ("&amp;M2651&amp;")") &amp; CHAR(10) &amp;
  _xlpm.vanillaPrefix &amp; "Keyword = Uvi_Wig_Distr_KYWD|" &amp; B2651 &amp; CHAR(10) &amp;
  _xlpm.vanillaPrefix &amp; "Spell = " &amp; _xlpm.spell &amp; "|" &amp; B2651
  )
)</f>
        <v>;EncForsworn02Melee1HBretonF02
;Keyword = Uvi_Wig_Distr_KYWD|EncForsworn02Melee1HBretonF02
;Spell = No Spell for Hairstyle|EncForsworn02Melee1HBretonF02</v>
      </c>
    </row>
    <row r="2652" ht="12.75" customHeight="1">
      <c r="A2652" s="15" t="s">
        <v>7676</v>
      </c>
      <c r="B2652" s="5" t="s">
        <v>7677</v>
      </c>
      <c r="D2652" s="5" t="s">
        <v>16</v>
      </c>
      <c r="E2652" s="5" t="s">
        <v>41</v>
      </c>
      <c r="F2652" s="5" t="s">
        <v>42</v>
      </c>
      <c r="G2652" s="14" t="str">
        <f t="array" ref="G2652">IF(B2652="", "",
  LET(_xlpm.spell, IFERROR(IF(F2652="", "", INDEX(_xlws.FILTER(Hairstyles!$F:$F, ISNUMBER(SEARCH(F2652, Hairstyles!$B:$B))), 1)), "No Spell for Hairstyle"),
  _xlpm.vanillaPrefix, IF(LEFT(_xlpm.spell, 7)="Uvi_Wig", "", ";"),
  ";" &amp; IF(C2652="", B2652, C2652) &amp; IF(M2652="", "", " ("&amp;M2652&amp;")") &amp; CHAR(10) &amp;
  _xlpm.vanillaPrefix &amp; "Keyword = Uvi_Wig_Distr_KYWD|" &amp; B2652 &amp; CHAR(10) &amp;
  _xlpm.vanillaPrefix &amp; "Spell = " &amp; _xlpm.spell &amp; "|" &amp; B2652
  )
)</f>
        <v>;EncForsworn02Melee1HBretonF03
;Keyword = Uvi_Wig_Distr_KYWD|EncForsworn02Melee1HBretonF03
;Spell = No Spell for Hairstyle|EncForsworn02Melee1HBretonF03</v>
      </c>
    </row>
    <row r="2653" ht="12.75" customHeight="1">
      <c r="A2653" s="15" t="s">
        <v>7678</v>
      </c>
      <c r="B2653" s="5" t="s">
        <v>7679</v>
      </c>
      <c r="D2653" s="5" t="s">
        <v>16</v>
      </c>
      <c r="E2653" s="5" t="s">
        <v>233</v>
      </c>
      <c r="F2653" s="5" t="s">
        <v>1622</v>
      </c>
      <c r="G2653" s="14" t="str">
        <f t="array" ref="G2653">IF(B2653="", "",
  LET(_xlpm.spell, IFERROR(IF(F2653="", "", INDEX(_xlws.FILTER(Hairstyles!$F:$F, ISNUMBER(SEARCH(F2653, Hairstyles!$B:$B))), 1)), "No Spell for Hairstyle"),
  _xlpm.vanillaPrefix, IF(LEFT(_xlpm.spell, 7)="Uvi_Wig", "", ";"),
  ";" &amp; IF(C2653="", B2653, C2653) &amp; IF(M2653="", "", " ("&amp;M2653&amp;")") &amp; CHAR(10) &amp;
  _xlpm.vanillaPrefix &amp; "Keyword = Uvi_Wig_Distr_KYWD|" &amp; B2653 &amp; CHAR(10) &amp;
  _xlpm.vanillaPrefix &amp; "Spell = " &amp; _xlpm.spell &amp; "|" &amp; B2653
  )
)</f>
        <v>;EncForsworn02Melee1HBretonM01
;Keyword = Uvi_Wig_Distr_KYWD|EncForsworn02Melee1HBretonM01
;Spell = No Spell for Hairstyle|EncForsworn02Melee1HBretonM01</v>
      </c>
    </row>
    <row r="2654" ht="12.75" customHeight="1">
      <c r="A2654" s="5" t="s">
        <v>7680</v>
      </c>
      <c r="B2654" s="5" t="s">
        <v>7681</v>
      </c>
      <c r="D2654" s="5" t="s">
        <v>16</v>
      </c>
      <c r="E2654" s="5" t="s">
        <v>233</v>
      </c>
      <c r="F2654" s="5" t="s">
        <v>84</v>
      </c>
      <c r="G2654" s="14" t="str">
        <f t="array" ref="G2654">IF(B2654="", "",
  LET(_xlpm.spell, IFERROR(IF(F2654="", "", INDEX(_xlws.FILTER(Hairstyles!$F:$F, ISNUMBER(SEARCH(F2654, Hairstyles!$B:$B))), 1)), "No Spell for Hairstyle"),
  _xlpm.vanillaPrefix, IF(LEFT(_xlpm.spell, 7)="Uvi_Wig", "", ";"),
  ";" &amp; IF(C2654="", B2654, C2654) &amp; IF(M2654="", "", " ("&amp;M2654&amp;")") &amp; CHAR(10) &amp;
  _xlpm.vanillaPrefix &amp; "Keyword = Uvi_Wig_Distr_KYWD|" &amp; B2654 &amp; CHAR(10) &amp;
  _xlpm.vanillaPrefix &amp; "Spell = " &amp; _xlpm.spell &amp; "|" &amp; B2654
  )
)</f>
        <v>;EncForsworn02Melee1HBretonM02
;Keyword = Uvi_Wig_Distr_KYWD|EncForsworn02Melee1HBretonM02
;Spell = No Spell for Hairstyle|EncForsworn02Melee1HBretonM02</v>
      </c>
    </row>
    <row r="2655" ht="12.75" customHeight="1">
      <c r="A2655" s="5" t="s">
        <v>7682</v>
      </c>
      <c r="B2655" s="5" t="s">
        <v>7683</v>
      </c>
      <c r="D2655" s="5" t="s">
        <v>16</v>
      </c>
      <c r="E2655" s="5" t="s">
        <v>233</v>
      </c>
      <c r="F2655" s="5" t="s">
        <v>346</v>
      </c>
      <c r="G2655" s="14" t="str">
        <f t="array" ref="G2655">IF(B2655="", "",
  LET(_xlpm.spell, IFERROR(IF(F2655="", "", INDEX(_xlws.FILTER(Hairstyles!$F:$F, ISNUMBER(SEARCH(F2655, Hairstyles!$B:$B))), 1)), "No Spell for Hairstyle"),
  _xlpm.vanillaPrefix, IF(LEFT(_xlpm.spell, 7)="Uvi_Wig", "", ";"),
  ";" &amp; IF(C2655="", B2655, C2655) &amp; IF(M2655="", "", " ("&amp;M2655&amp;")") &amp; CHAR(10) &amp;
  _xlpm.vanillaPrefix &amp; "Keyword = Uvi_Wig_Distr_KYWD|" &amp; B2655 &amp; CHAR(10) &amp;
  _xlpm.vanillaPrefix &amp; "Spell = " &amp; _xlpm.spell &amp; "|" &amp; B2655
  )
)</f>
        <v>;EncForsworn02Melee1HBretonM03
;Keyword = Uvi_Wig_Distr_KYWD|EncForsworn02Melee1HBretonM03
;Spell = No Spell for Hairstyle|EncForsworn02Melee1HBretonM03</v>
      </c>
    </row>
    <row r="2656" ht="12.75" customHeight="1">
      <c r="A2656" s="5" t="s">
        <v>7684</v>
      </c>
      <c r="B2656" s="5" t="s">
        <v>7685</v>
      </c>
      <c r="D2656" s="5" t="s">
        <v>16</v>
      </c>
      <c r="E2656" s="5" t="s">
        <v>233</v>
      </c>
      <c r="F2656" s="5" t="s">
        <v>1894</v>
      </c>
      <c r="G2656" s="14" t="str">
        <f t="array" ref="G2656">IF(B2656="", "",
  LET(_xlpm.spell, IFERROR(IF(F2656="", "", INDEX(_xlws.FILTER(Hairstyles!$F:$F, ISNUMBER(SEARCH(F2656, Hairstyles!$B:$B))), 1)), "No Spell for Hairstyle"),
  _xlpm.vanillaPrefix, IF(LEFT(_xlpm.spell, 7)="Uvi_Wig", "", ";"),
  ";" &amp; IF(C2656="", B2656, C2656) &amp; IF(M2656="", "", " ("&amp;M2656&amp;")") &amp; CHAR(10) &amp;
  _xlpm.vanillaPrefix &amp; "Keyword = Uvi_Wig_Distr_KYWD|" &amp; B2656 &amp; CHAR(10) &amp;
  _xlpm.vanillaPrefix &amp; "Spell = " &amp; _xlpm.spell &amp; "|" &amp; B2656
  )
)</f>
        <v>;EncForsworn02Melee1HBretonM04
;Keyword = Uvi_Wig_Distr_KYWD|EncForsworn02Melee1HBretonM04
;Spell = No Spell for Hairstyle|EncForsworn02Melee1HBretonM04</v>
      </c>
    </row>
    <row r="2657" ht="12.75" customHeight="1">
      <c r="A2657" s="5" t="s">
        <v>7686</v>
      </c>
      <c r="B2657" s="5" t="s">
        <v>7687</v>
      </c>
      <c r="D2657" s="5" t="s">
        <v>16</v>
      </c>
      <c r="E2657" s="5" t="s">
        <v>41</v>
      </c>
      <c r="F2657" s="5" t="s">
        <v>356</v>
      </c>
      <c r="G2657" s="14" t="str">
        <f t="array" ref="G2657">IF(B2657="", "",
  LET(_xlpm.spell, IFERROR(IF(F2657="", "", INDEX(_xlws.FILTER(Hairstyles!$F:$F, ISNUMBER(SEARCH(F2657, Hairstyles!$B:$B))), 1)), "No Spell for Hairstyle"),
  _xlpm.vanillaPrefix, IF(LEFT(_xlpm.spell, 7)="Uvi_Wig", "", ";"),
  ";" &amp; IF(C2657="", B2657, C2657) &amp; IF(M2657="", "", " ("&amp;M2657&amp;")") &amp; CHAR(10) &amp;
  _xlpm.vanillaPrefix &amp; "Keyword = Uvi_Wig_Distr_KYWD|" &amp; B2657 &amp; CHAR(10) &amp;
  _xlpm.vanillaPrefix &amp; "Spell = " &amp; _xlpm.spell &amp; "|" &amp; B2657
  )
)</f>
        <v>;EncForsworn02MissileBretonF01
;Keyword = Uvi_Wig_Distr_KYWD|EncForsworn02MissileBretonF01
;Spell = No Spell for Hairstyle|EncForsworn02MissileBretonF01</v>
      </c>
    </row>
    <row r="2658" ht="12.75" customHeight="1">
      <c r="A2658" s="5" t="s">
        <v>7688</v>
      </c>
      <c r="B2658" s="5" t="s">
        <v>7689</v>
      </c>
      <c r="D2658" s="5" t="s">
        <v>16</v>
      </c>
      <c r="E2658" s="5" t="s">
        <v>41</v>
      </c>
      <c r="F2658" s="5" t="s">
        <v>371</v>
      </c>
      <c r="G2658" s="14" t="str">
        <f t="array" ref="G2658">IF(B2658="", "",
  LET(_xlpm.spell, IFERROR(IF(F2658="", "", INDEX(_xlws.FILTER(Hairstyles!$F:$F, ISNUMBER(SEARCH(F2658, Hairstyles!$B:$B))), 1)), "No Spell for Hairstyle"),
  _xlpm.vanillaPrefix, IF(LEFT(_xlpm.spell, 7)="Uvi_Wig", "", ";"),
  ";" &amp; IF(C2658="", B2658, C2658) &amp; IF(M2658="", "", " ("&amp;M2658&amp;")") &amp; CHAR(10) &amp;
  _xlpm.vanillaPrefix &amp; "Keyword = Uvi_Wig_Distr_KYWD|" &amp; B2658 &amp; CHAR(10) &amp;
  _xlpm.vanillaPrefix &amp; "Spell = " &amp; _xlpm.spell &amp; "|" &amp; B2658
  )
)</f>
        <v>;EncForsworn02MissileBretonF02
;Keyword = Uvi_Wig_Distr_KYWD|EncForsworn02MissileBretonF02
;Spell = No Spell for Hairstyle|EncForsworn02MissileBretonF02</v>
      </c>
    </row>
    <row r="2659" ht="12.75" customHeight="1">
      <c r="A2659" s="5" t="s">
        <v>7690</v>
      </c>
      <c r="B2659" s="5" t="s">
        <v>7691</v>
      </c>
      <c r="D2659" s="5" t="s">
        <v>16</v>
      </c>
      <c r="E2659" s="5" t="s">
        <v>41</v>
      </c>
      <c r="F2659" s="5" t="s">
        <v>1041</v>
      </c>
      <c r="G2659" s="14" t="str">
        <f t="array" ref="G2659">IF(B2659="", "",
  LET(_xlpm.spell, IFERROR(IF(F2659="", "", INDEX(_xlws.FILTER(Hairstyles!$F:$F, ISNUMBER(SEARCH(F2659, Hairstyles!$B:$B))), 1)), "No Spell for Hairstyle"),
  _xlpm.vanillaPrefix, IF(LEFT(_xlpm.spell, 7)="Uvi_Wig", "", ";"),
  ";" &amp; IF(C2659="", B2659, C2659) &amp; IF(M2659="", "", " ("&amp;M2659&amp;")") &amp; CHAR(10) &amp;
  _xlpm.vanillaPrefix &amp; "Keyword = Uvi_Wig_Distr_KYWD|" &amp; B2659 &amp; CHAR(10) &amp;
  _xlpm.vanillaPrefix &amp; "Spell = " &amp; _xlpm.spell &amp; "|" &amp; B2659
  )
)</f>
        <v>;EncForsworn02MissileBretonF03
;Keyword = Uvi_Wig_Distr_KYWD|EncForsworn02MissileBretonF03
;Spell = No Spell for Hairstyle|EncForsworn02MissileBretonF03</v>
      </c>
    </row>
    <row r="2660" ht="12.75" customHeight="1">
      <c r="A2660" s="5" t="s">
        <v>7692</v>
      </c>
      <c r="B2660" s="5" t="s">
        <v>7693</v>
      </c>
      <c r="D2660" s="5" t="s">
        <v>16</v>
      </c>
      <c r="E2660" s="5" t="s">
        <v>233</v>
      </c>
      <c r="F2660" s="5" t="s">
        <v>424</v>
      </c>
      <c r="G2660" s="14" t="str">
        <f t="array" ref="G2660">IF(B2660="", "",
  LET(_xlpm.spell, IFERROR(IF(F2660="", "", INDEX(_xlws.FILTER(Hairstyles!$F:$F, ISNUMBER(SEARCH(F2660, Hairstyles!$B:$B))), 1)), "No Spell for Hairstyle"),
  _xlpm.vanillaPrefix, IF(LEFT(_xlpm.spell, 7)="Uvi_Wig", "", ";"),
  ";" &amp; IF(C2660="", B2660, C2660) &amp; IF(M2660="", "", " ("&amp;M2660&amp;")") &amp; CHAR(10) &amp;
  _xlpm.vanillaPrefix &amp; "Keyword = Uvi_Wig_Distr_KYWD|" &amp; B2660 &amp; CHAR(10) &amp;
  _xlpm.vanillaPrefix &amp; "Spell = " &amp; _xlpm.spell &amp; "|" &amp; B2660
  )
)</f>
        <v>;EncForsworn02MissileBretonM01
;Keyword = Uvi_Wig_Distr_KYWD|EncForsworn02MissileBretonM01
;Spell = No Spell for Hairstyle|EncForsworn02MissileBretonM01</v>
      </c>
    </row>
    <row r="2661" ht="12.75" customHeight="1">
      <c r="A2661" s="15" t="s">
        <v>7694</v>
      </c>
      <c r="B2661" s="5" t="s">
        <v>7695</v>
      </c>
      <c r="D2661" s="5" t="s">
        <v>16</v>
      </c>
      <c r="E2661" s="5" t="s">
        <v>233</v>
      </c>
      <c r="F2661" s="5" t="s">
        <v>84</v>
      </c>
      <c r="G2661" s="14" t="str">
        <f t="array" ref="G2661">IF(B2661="", "",
  LET(_xlpm.spell, IFERROR(IF(F2661="", "", INDEX(_xlws.FILTER(Hairstyles!$F:$F, ISNUMBER(SEARCH(F2661, Hairstyles!$B:$B))), 1)), "No Spell for Hairstyle"),
  _xlpm.vanillaPrefix, IF(LEFT(_xlpm.spell, 7)="Uvi_Wig", "", ";"),
  ";" &amp; IF(C2661="", B2661, C2661) &amp; IF(M2661="", "", " ("&amp;M2661&amp;")") &amp; CHAR(10) &amp;
  _xlpm.vanillaPrefix &amp; "Keyword = Uvi_Wig_Distr_KYWD|" &amp; B2661 &amp; CHAR(10) &amp;
  _xlpm.vanillaPrefix &amp; "Spell = " &amp; _xlpm.spell &amp; "|" &amp; B2661
  )
)</f>
        <v>;EncForsworn02MissileBretonM02
;Keyword = Uvi_Wig_Distr_KYWD|EncForsworn02MissileBretonM02
;Spell = No Spell for Hairstyle|EncForsworn02MissileBretonM02</v>
      </c>
    </row>
    <row r="2662" ht="12.75" customHeight="1">
      <c r="A2662" s="15" t="s">
        <v>7696</v>
      </c>
      <c r="B2662" s="5" t="s">
        <v>7697</v>
      </c>
      <c r="D2662" s="5" t="s">
        <v>16</v>
      </c>
      <c r="E2662" s="5" t="s">
        <v>233</v>
      </c>
      <c r="F2662" s="5" t="s">
        <v>475</v>
      </c>
      <c r="G2662" s="14" t="str">
        <f t="array" ref="G2662">IF(B2662="", "",
  LET(_xlpm.spell, IFERROR(IF(F2662="", "", INDEX(_xlws.FILTER(Hairstyles!$F:$F, ISNUMBER(SEARCH(F2662, Hairstyles!$B:$B))), 1)), "No Spell for Hairstyle"),
  _xlpm.vanillaPrefix, IF(LEFT(_xlpm.spell, 7)="Uvi_Wig", "", ";"),
  ";" &amp; IF(C2662="", B2662, C2662) &amp; IF(M2662="", "", " ("&amp;M2662&amp;")") &amp; CHAR(10) &amp;
  _xlpm.vanillaPrefix &amp; "Keyword = Uvi_Wig_Distr_KYWD|" &amp; B2662 &amp; CHAR(10) &amp;
  _xlpm.vanillaPrefix &amp; "Spell = " &amp; _xlpm.spell &amp; "|" &amp; B2662
  )
)</f>
        <v>;EncForsworn02MissileBretonM03
;Keyword = Uvi_Wig_Distr_KYWD|EncForsworn02MissileBretonM03
;Spell = No Spell for Hairstyle|EncForsworn02MissileBretonM03</v>
      </c>
    </row>
    <row r="2663" ht="12.75" customHeight="1">
      <c r="A2663" s="5" t="s">
        <v>7698</v>
      </c>
      <c r="B2663" s="5" t="s">
        <v>7699</v>
      </c>
      <c r="D2663" s="5" t="s">
        <v>16</v>
      </c>
      <c r="E2663" s="5" t="s">
        <v>233</v>
      </c>
      <c r="F2663" s="5" t="s">
        <v>521</v>
      </c>
      <c r="G2663" s="14" t="str">
        <f t="array" ref="G2663">IF(B2663="", "",
  LET(_xlpm.spell, IFERROR(IF(F2663="", "", INDEX(_xlws.FILTER(Hairstyles!$F:$F, ISNUMBER(SEARCH(F2663, Hairstyles!$B:$B))), 1)), "No Spell for Hairstyle"),
  _xlpm.vanillaPrefix, IF(LEFT(_xlpm.spell, 7)="Uvi_Wig", "", ";"),
  ";" &amp; IF(C2663="", B2663, C2663) &amp; IF(M2663="", "", " ("&amp;M2663&amp;")") &amp; CHAR(10) &amp;
  _xlpm.vanillaPrefix &amp; "Keyword = Uvi_Wig_Distr_KYWD|" &amp; B2663 &amp; CHAR(10) &amp;
  _xlpm.vanillaPrefix &amp; "Spell = " &amp; _xlpm.spell &amp; "|" &amp; B2663
  )
)</f>
        <v>;EncForsworn02MissileBretonM04
;Keyword = Uvi_Wig_Distr_KYWD|EncForsworn02MissileBretonM04
;Spell = No Spell for Hairstyle|EncForsworn02MissileBretonM04</v>
      </c>
    </row>
    <row r="2664" ht="12.75" customHeight="1">
      <c r="A2664" s="5" t="s">
        <v>7700</v>
      </c>
      <c r="B2664" s="5" t="s">
        <v>7701</v>
      </c>
      <c r="D2664" s="5" t="s">
        <v>16</v>
      </c>
      <c r="E2664" s="5" t="s">
        <v>233</v>
      </c>
      <c r="F2664" s="5" t="s">
        <v>218</v>
      </c>
      <c r="G2664" s="14" t="str">
        <f t="array" ref="G2664">IF(B2664="", "",
  LET(_xlpm.spell, IFERROR(IF(F2664="", "", INDEX(_xlws.FILTER(Hairstyles!$F:$F, ISNUMBER(SEARCH(F2664, Hairstyles!$B:$B))), 1)), "No Spell for Hairstyle"),
  _xlpm.vanillaPrefix, IF(LEFT(_xlpm.spell, 7)="Uvi_Wig", "", ";"),
  ";" &amp; IF(C2664="", B2664, C2664) &amp; IF(M2664="", "", " ("&amp;M2664&amp;")") &amp; CHAR(10) &amp;
  _xlpm.vanillaPrefix &amp; "Keyword = Uvi_Wig_Distr_KYWD|" &amp; B2664 &amp; CHAR(10) &amp;
  _xlpm.vanillaPrefix &amp; "Spell = " &amp; _xlpm.spell &amp; "|" &amp; B2664
  )
)</f>
        <v>;EncForsworn03BossMagicBretonM01
;Keyword = Uvi_Wig_Distr_KYWD|EncForsworn03BossMagicBretonM01
;Spell = No Spell for Hairstyle|EncForsworn03BossMagicBretonM01</v>
      </c>
    </row>
    <row r="2665" ht="12.75" customHeight="1">
      <c r="A2665" s="5" t="s">
        <v>7702</v>
      </c>
      <c r="B2665" s="5" t="s">
        <v>7703</v>
      </c>
      <c r="D2665" s="5" t="s">
        <v>16</v>
      </c>
      <c r="E2665" s="5" t="s">
        <v>233</v>
      </c>
      <c r="F2665" s="5" t="s">
        <v>1622</v>
      </c>
      <c r="G2665" s="14" t="str">
        <f t="array" ref="G2665">IF(B2665="", "",
  LET(_xlpm.spell, IFERROR(IF(F2665="", "", INDEX(_xlws.FILTER(Hairstyles!$F:$F, ISNUMBER(SEARCH(F2665, Hairstyles!$B:$B))), 1)), "No Spell for Hairstyle"),
  _xlpm.vanillaPrefix, IF(LEFT(_xlpm.spell, 7)="Uvi_Wig", "", ";"),
  ";" &amp; IF(C2665="", B2665, C2665) &amp; IF(M2665="", "", " ("&amp;M2665&amp;")") &amp; CHAR(10) &amp;
  _xlpm.vanillaPrefix &amp; "Keyword = Uvi_Wig_Distr_KYWD|" &amp; B2665 &amp; CHAR(10) &amp;
  _xlpm.vanillaPrefix &amp; "Spell = " &amp; _xlpm.spell &amp; "|" &amp; B2665
  )
)</f>
        <v>;EncForsworn03BossMagicBretonM02
;Keyword = Uvi_Wig_Distr_KYWD|EncForsworn03BossMagicBretonM02
;Spell = No Spell for Hairstyle|EncForsworn03BossMagicBretonM02</v>
      </c>
    </row>
    <row r="2666" ht="12.75" customHeight="1">
      <c r="A2666" s="5" t="s">
        <v>7704</v>
      </c>
      <c r="B2666" s="5" t="s">
        <v>7705</v>
      </c>
      <c r="D2666" s="5" t="s">
        <v>16</v>
      </c>
      <c r="E2666" s="5" t="s">
        <v>233</v>
      </c>
      <c r="F2666" s="5" t="s">
        <v>84</v>
      </c>
      <c r="G2666" s="14" t="str">
        <f t="array" ref="G2666">IF(B2666="", "",
  LET(_xlpm.spell, IFERROR(IF(F2666="", "", INDEX(_xlws.FILTER(Hairstyles!$F:$F, ISNUMBER(SEARCH(F2666, Hairstyles!$B:$B))), 1)), "No Spell for Hairstyle"),
  _xlpm.vanillaPrefix, IF(LEFT(_xlpm.spell, 7)="Uvi_Wig", "", ";"),
  ";" &amp; IF(C2666="", B2666, C2666) &amp; IF(M2666="", "", " ("&amp;M2666&amp;")") &amp; CHAR(10) &amp;
  _xlpm.vanillaPrefix &amp; "Keyword = Uvi_Wig_Distr_KYWD|" &amp; B2666 &amp; CHAR(10) &amp;
  _xlpm.vanillaPrefix &amp; "Spell = " &amp; _xlpm.spell &amp; "|" &amp; B2666
  )
)</f>
        <v>;EncForsworn03BossMagicBretonM03
;Keyword = Uvi_Wig_Distr_KYWD|EncForsworn03BossMagicBretonM03
;Spell = No Spell for Hairstyle|EncForsworn03BossMagicBretonM03</v>
      </c>
    </row>
    <row r="2667" ht="12.75" customHeight="1">
      <c r="A2667" s="5" t="s">
        <v>7706</v>
      </c>
      <c r="B2667" s="5" t="s">
        <v>7707</v>
      </c>
      <c r="D2667" s="5" t="s">
        <v>16</v>
      </c>
      <c r="E2667" s="5" t="s">
        <v>233</v>
      </c>
      <c r="F2667" s="5" t="s">
        <v>1622</v>
      </c>
      <c r="G2667" s="14" t="str">
        <f t="array" ref="G2667">IF(B2667="", "",
  LET(_xlpm.spell, IFERROR(IF(F2667="", "", INDEX(_xlws.FILTER(Hairstyles!$F:$F, ISNUMBER(SEARCH(F2667, Hairstyles!$B:$B))), 1)), "No Spell for Hairstyle"),
  _xlpm.vanillaPrefix, IF(LEFT(_xlpm.spell, 7)="Uvi_Wig", "", ";"),
  ";" &amp; IF(C2667="", B2667, C2667) &amp; IF(M2667="", "", " ("&amp;M2667&amp;")") &amp; CHAR(10) &amp;
  _xlpm.vanillaPrefix &amp; "Keyword = Uvi_Wig_Distr_KYWD|" &amp; B2667 &amp; CHAR(10) &amp;
  _xlpm.vanillaPrefix &amp; "Spell = " &amp; _xlpm.spell &amp; "|" &amp; B2667
  )
)</f>
        <v>;EncForsworn03BossMelee1HBretonM01
;Keyword = Uvi_Wig_Distr_KYWD|EncForsworn03BossMelee1HBretonM01
;Spell = No Spell for Hairstyle|EncForsworn03BossMelee1HBretonM01</v>
      </c>
    </row>
    <row r="2668" ht="12.75" customHeight="1">
      <c r="A2668" s="5" t="s">
        <v>7708</v>
      </c>
      <c r="B2668" s="5" t="s">
        <v>7709</v>
      </c>
      <c r="D2668" s="5" t="s">
        <v>16</v>
      </c>
      <c r="E2668" s="5" t="s">
        <v>233</v>
      </c>
      <c r="F2668" s="5" t="s">
        <v>84</v>
      </c>
      <c r="G2668" s="14" t="str">
        <f t="array" ref="G2668">IF(B2668="", "",
  LET(_xlpm.spell, IFERROR(IF(F2668="", "", INDEX(_xlws.FILTER(Hairstyles!$F:$F, ISNUMBER(SEARCH(F2668, Hairstyles!$B:$B))), 1)), "No Spell for Hairstyle"),
  _xlpm.vanillaPrefix, IF(LEFT(_xlpm.spell, 7)="Uvi_Wig", "", ";"),
  ";" &amp; IF(C2668="", B2668, C2668) &amp; IF(M2668="", "", " ("&amp;M2668&amp;")") &amp; CHAR(10) &amp;
  _xlpm.vanillaPrefix &amp; "Keyword = Uvi_Wig_Distr_KYWD|" &amp; B2668 &amp; CHAR(10) &amp;
  _xlpm.vanillaPrefix &amp; "Spell = " &amp; _xlpm.spell &amp; "|" &amp; B2668
  )
)</f>
        <v>;EncForsworn03BossMelee1HBretonM02
;Keyword = Uvi_Wig_Distr_KYWD|EncForsworn03BossMelee1HBretonM02
;Spell = No Spell for Hairstyle|EncForsworn03BossMelee1HBretonM02</v>
      </c>
    </row>
    <row r="2669" ht="12.75" customHeight="1">
      <c r="A2669" s="5" t="s">
        <v>7710</v>
      </c>
      <c r="B2669" s="5" t="s">
        <v>7711</v>
      </c>
      <c r="D2669" s="5" t="s">
        <v>16</v>
      </c>
      <c r="E2669" s="5" t="s">
        <v>233</v>
      </c>
      <c r="F2669" s="5" t="s">
        <v>84</v>
      </c>
      <c r="G2669" s="14" t="str">
        <f t="array" ref="G2669">IF(B2669="", "",
  LET(_xlpm.spell, IFERROR(IF(F2669="", "", INDEX(_xlws.FILTER(Hairstyles!$F:$F, ISNUMBER(SEARCH(F2669, Hairstyles!$B:$B))), 1)), "No Spell for Hairstyle"),
  _xlpm.vanillaPrefix, IF(LEFT(_xlpm.spell, 7)="Uvi_Wig", "", ";"),
  ";" &amp; IF(C2669="", B2669, C2669) &amp; IF(M2669="", "", " ("&amp;M2669&amp;")") &amp; CHAR(10) &amp;
  _xlpm.vanillaPrefix &amp; "Keyword = Uvi_Wig_Distr_KYWD|" &amp; B2669 &amp; CHAR(10) &amp;
  _xlpm.vanillaPrefix &amp; "Spell = " &amp; _xlpm.spell &amp; "|" &amp; B2669
  )
)</f>
        <v>;EncForsworn03BossMelee1HBretonM03
;Keyword = Uvi_Wig_Distr_KYWD|EncForsworn03BossMelee1HBretonM03
;Spell = No Spell for Hairstyle|EncForsworn03BossMelee1HBretonM03</v>
      </c>
    </row>
    <row r="2670" ht="12.75" customHeight="1">
      <c r="A2670" s="15" t="s">
        <v>7712</v>
      </c>
      <c r="B2670" s="5" t="s">
        <v>7713</v>
      </c>
      <c r="D2670" s="5" t="s">
        <v>16</v>
      </c>
      <c r="E2670" s="5" t="s">
        <v>41</v>
      </c>
      <c r="F2670" s="5" t="s">
        <v>1063</v>
      </c>
      <c r="G2670" s="14" t="str">
        <f t="array" ref="G2670">IF(B2670="", "",
  LET(_xlpm.spell, IFERROR(IF(F2670="", "", INDEX(_xlws.FILTER(Hairstyles!$F:$F, ISNUMBER(SEARCH(F2670, Hairstyles!$B:$B))), 1)), "No Spell for Hairstyle"),
  _xlpm.vanillaPrefix, IF(LEFT(_xlpm.spell, 7)="Uvi_Wig", "", ";"),
  ";" &amp; IF(C2670="", B2670, C2670) &amp; IF(M2670="", "", " ("&amp;M2670&amp;")") &amp; CHAR(10) &amp;
  _xlpm.vanillaPrefix &amp; "Keyword = Uvi_Wig_Distr_KYWD|" &amp; B2670 &amp; CHAR(10) &amp;
  _xlpm.vanillaPrefix &amp; "Spell = " &amp; _xlpm.spell &amp; "|" &amp; B2670
  )
)</f>
        <v>;EncForsworn03MagicBretonF01
;Keyword = Uvi_Wig_Distr_KYWD|EncForsworn03MagicBretonF01
;Spell = No Spell for Hairstyle|EncForsworn03MagicBretonF01</v>
      </c>
    </row>
    <row r="2671" ht="12.75" customHeight="1">
      <c r="A2671" s="15" t="s">
        <v>7714</v>
      </c>
      <c r="B2671" s="5" t="s">
        <v>7715</v>
      </c>
      <c r="D2671" s="5" t="s">
        <v>16</v>
      </c>
      <c r="E2671" s="5" t="s">
        <v>41</v>
      </c>
      <c r="F2671" s="5" t="s">
        <v>4628</v>
      </c>
      <c r="G2671" s="14" t="str">
        <f t="array" ref="G2671">IF(B2671="", "",
  LET(_xlpm.spell, IFERROR(IF(F2671="", "", INDEX(_xlws.FILTER(Hairstyles!$F:$F, ISNUMBER(SEARCH(F2671, Hairstyles!$B:$B))), 1)), "No Spell for Hairstyle"),
  _xlpm.vanillaPrefix, IF(LEFT(_xlpm.spell, 7)="Uvi_Wig", "", ";"),
  ";" &amp; IF(C2671="", B2671, C2671) &amp; IF(M2671="", "", " ("&amp;M2671&amp;")") &amp; CHAR(10) &amp;
  _xlpm.vanillaPrefix &amp; "Keyword = Uvi_Wig_Distr_KYWD|" &amp; B2671 &amp; CHAR(10) &amp;
  _xlpm.vanillaPrefix &amp; "Spell = " &amp; _xlpm.spell &amp; "|" &amp; B2671
  )
)</f>
        <v>;EncForsworn03MagicBretonF02
;Keyword = Uvi_Wig_Distr_KYWD|EncForsworn03MagicBretonF02
;Spell = No Spell for Hairstyle|EncForsworn03MagicBretonF02</v>
      </c>
    </row>
    <row r="2672" ht="12.75" customHeight="1">
      <c r="A2672" s="15" t="s">
        <v>7716</v>
      </c>
      <c r="B2672" s="5" t="s">
        <v>7717</v>
      </c>
      <c r="D2672" s="5" t="s">
        <v>16</v>
      </c>
      <c r="E2672" s="5" t="s">
        <v>41</v>
      </c>
      <c r="F2672" s="5" t="s">
        <v>1557</v>
      </c>
      <c r="G2672" s="14" t="str">
        <f t="array" ref="G2672">IF(B2672="", "",
  LET(_xlpm.spell, IFERROR(IF(F2672="", "", INDEX(_xlws.FILTER(Hairstyles!$F:$F, ISNUMBER(SEARCH(F2672, Hairstyles!$B:$B))), 1)), "No Spell for Hairstyle"),
  _xlpm.vanillaPrefix, IF(LEFT(_xlpm.spell, 7)="Uvi_Wig", "", ";"),
  ";" &amp; IF(C2672="", B2672, C2672) &amp; IF(M2672="", "", " ("&amp;M2672&amp;")") &amp; CHAR(10) &amp;
  _xlpm.vanillaPrefix &amp; "Keyword = Uvi_Wig_Distr_KYWD|" &amp; B2672 &amp; CHAR(10) &amp;
  _xlpm.vanillaPrefix &amp; "Spell = " &amp; _xlpm.spell &amp; "|" &amp; B2672
  )
)</f>
        <v>;EncForsworn03MagicBretonF03
;Keyword = Uvi_Wig_Distr_KYWD|EncForsworn03MagicBretonF03
;Spell = No Spell for Hairstyle|EncForsworn03MagicBretonF03</v>
      </c>
    </row>
    <row r="2673" ht="12.75" customHeight="1">
      <c r="A2673" s="5" t="s">
        <v>7718</v>
      </c>
      <c r="B2673" s="5" t="s">
        <v>7719</v>
      </c>
      <c r="D2673" s="5" t="s">
        <v>16</v>
      </c>
      <c r="E2673" s="5" t="s">
        <v>233</v>
      </c>
      <c r="F2673" s="5" t="s">
        <v>19</v>
      </c>
      <c r="G2673" s="14" t="str">
        <f t="array" ref="G2673">IF(B2673="", "",
  LET(_xlpm.spell, IFERROR(IF(F2673="", "", INDEX(_xlws.FILTER(Hairstyles!$F:$F, ISNUMBER(SEARCH(F2673, Hairstyles!$B:$B))), 1)), "No Spell for Hairstyle"),
  _xlpm.vanillaPrefix, IF(LEFT(_xlpm.spell, 7)="Uvi_Wig", "", ";"),
  ";" &amp; IF(C2673="", B2673, C2673) &amp; IF(M2673="", "", " ("&amp;M2673&amp;")") &amp; CHAR(10) &amp;
  _xlpm.vanillaPrefix &amp; "Keyword = Uvi_Wig_Distr_KYWD|" &amp; B2673 &amp; CHAR(10) &amp;
  _xlpm.vanillaPrefix &amp; "Spell = " &amp; _xlpm.spell &amp; "|" &amp; B2673
  )
)</f>
        <v>;EncForsworn03Melee1HBretonBerserk
;Keyword = Uvi_Wig_Distr_KYWD|EncForsworn03Melee1HBretonBerserk
;Spell = No Spell for Hairstyle|EncForsworn03Melee1HBretonBerserk</v>
      </c>
    </row>
    <row r="2674" ht="12.75" customHeight="1">
      <c r="A2674" s="15" t="s">
        <v>7720</v>
      </c>
      <c r="B2674" s="5" t="s">
        <v>7721</v>
      </c>
      <c r="D2674" s="5" t="s">
        <v>16</v>
      </c>
      <c r="E2674" s="5" t="s">
        <v>41</v>
      </c>
      <c r="F2674" s="5" t="s">
        <v>862</v>
      </c>
      <c r="G2674" s="14" t="str">
        <f t="array" ref="G2674">IF(B2674="", "",
  LET(_xlpm.spell, IFERROR(IF(F2674="", "", INDEX(_xlws.FILTER(Hairstyles!$F:$F, ISNUMBER(SEARCH(F2674, Hairstyles!$B:$B))), 1)), "No Spell for Hairstyle"),
  _xlpm.vanillaPrefix, IF(LEFT(_xlpm.spell, 7)="Uvi_Wig", "", ";"),
  ";" &amp; IF(C2674="", B2674, C2674) &amp; IF(M2674="", "", " ("&amp;M2674&amp;")") &amp; CHAR(10) &amp;
  _xlpm.vanillaPrefix &amp; "Keyword = Uvi_Wig_Distr_KYWD|" &amp; B2674 &amp; CHAR(10) &amp;
  _xlpm.vanillaPrefix &amp; "Spell = " &amp; _xlpm.spell &amp; "|" &amp; B2674
  )
)</f>
        <v>;EncForsworn03Melee1HBretonF01
;Keyword = Uvi_Wig_Distr_KYWD|EncForsworn03Melee1HBretonF01
;Spell = No Spell for Hairstyle|EncForsworn03Melee1HBretonF01</v>
      </c>
    </row>
    <row r="2675" ht="12.75" customHeight="1">
      <c r="A2675" s="15" t="s">
        <v>7722</v>
      </c>
      <c r="B2675" s="5" t="s">
        <v>7723</v>
      </c>
      <c r="D2675" s="5" t="s">
        <v>16</v>
      </c>
      <c r="E2675" s="5" t="s">
        <v>41</v>
      </c>
      <c r="F2675" s="5" t="s">
        <v>22</v>
      </c>
      <c r="G2675" s="14" t="str">
        <f t="array" ref="G2675">IF(B2675="", "",
  LET(_xlpm.spell, IFERROR(IF(F2675="", "", INDEX(_xlws.FILTER(Hairstyles!$F:$F, ISNUMBER(SEARCH(F2675, Hairstyles!$B:$B))), 1)), "No Spell for Hairstyle"),
  _xlpm.vanillaPrefix, IF(LEFT(_xlpm.spell, 7)="Uvi_Wig", "", ";"),
  ";" &amp; IF(C2675="", B2675, C2675) &amp; IF(M2675="", "", " ("&amp;M2675&amp;")") &amp; CHAR(10) &amp;
  _xlpm.vanillaPrefix &amp; "Keyword = Uvi_Wig_Distr_KYWD|" &amp; B2675 &amp; CHAR(10) &amp;
  _xlpm.vanillaPrefix &amp; "Spell = " &amp; _xlpm.spell &amp; "|" &amp; B2675
  )
)</f>
        <v>;EncForsworn03Melee1HBretonF02
;Keyword = Uvi_Wig_Distr_KYWD|EncForsworn03Melee1HBretonF02
;Spell = No Spell for Hairstyle|EncForsworn03Melee1HBretonF02</v>
      </c>
    </row>
    <row r="2676" ht="12.75" customHeight="1">
      <c r="A2676" s="5" t="s">
        <v>7724</v>
      </c>
      <c r="B2676" s="5" t="s">
        <v>7725</v>
      </c>
      <c r="D2676" s="5" t="s">
        <v>16</v>
      </c>
      <c r="E2676" s="5" t="s">
        <v>41</v>
      </c>
      <c r="F2676" s="5" t="s">
        <v>42</v>
      </c>
      <c r="G2676" s="14" t="str">
        <f t="array" ref="G2676">IF(B2676="", "",
  LET(_xlpm.spell, IFERROR(IF(F2676="", "", INDEX(_xlws.FILTER(Hairstyles!$F:$F, ISNUMBER(SEARCH(F2676, Hairstyles!$B:$B))), 1)), "No Spell for Hairstyle"),
  _xlpm.vanillaPrefix, IF(LEFT(_xlpm.spell, 7)="Uvi_Wig", "", ";"),
  ";" &amp; IF(C2676="", B2676, C2676) &amp; IF(M2676="", "", " ("&amp;M2676&amp;")") &amp; CHAR(10) &amp;
  _xlpm.vanillaPrefix &amp; "Keyword = Uvi_Wig_Distr_KYWD|" &amp; B2676 &amp; CHAR(10) &amp;
  _xlpm.vanillaPrefix &amp; "Spell = " &amp; _xlpm.spell &amp; "|" &amp; B2676
  )
)</f>
        <v>;EncForsworn03Melee1HBretonF03
;Keyword = Uvi_Wig_Distr_KYWD|EncForsworn03Melee1HBretonF03
;Spell = No Spell for Hairstyle|EncForsworn03Melee1HBretonF03</v>
      </c>
    </row>
    <row r="2677" ht="12.75" customHeight="1">
      <c r="A2677" s="5" t="s">
        <v>7726</v>
      </c>
      <c r="B2677" s="5" t="s">
        <v>7727</v>
      </c>
      <c r="D2677" s="5" t="s">
        <v>16</v>
      </c>
      <c r="E2677" s="5" t="s">
        <v>233</v>
      </c>
      <c r="F2677" s="5" t="s">
        <v>84</v>
      </c>
      <c r="G2677" s="14" t="str">
        <f t="array" ref="G2677">IF(B2677="", "",
  LET(_xlpm.spell, IFERROR(IF(F2677="", "", INDEX(_xlws.FILTER(Hairstyles!$F:$F, ISNUMBER(SEARCH(F2677, Hairstyles!$B:$B))), 1)), "No Spell for Hairstyle"),
  _xlpm.vanillaPrefix, IF(LEFT(_xlpm.spell, 7)="Uvi_Wig", "", ";"),
  ";" &amp; IF(C2677="", B2677, C2677) &amp; IF(M2677="", "", " ("&amp;M2677&amp;")") &amp; CHAR(10) &amp;
  _xlpm.vanillaPrefix &amp; "Keyword = Uvi_Wig_Distr_KYWD|" &amp; B2677 &amp; CHAR(10) &amp;
  _xlpm.vanillaPrefix &amp; "Spell = " &amp; _xlpm.spell &amp; "|" &amp; B2677
  )
)</f>
        <v>;EncForsworn03Melee1HBretonM01
;Keyword = Uvi_Wig_Distr_KYWD|EncForsworn03Melee1HBretonM01
;Spell = No Spell for Hairstyle|EncForsworn03Melee1HBretonM01</v>
      </c>
    </row>
    <row r="2678" ht="12.75" customHeight="1">
      <c r="A2678" s="5" t="s">
        <v>7728</v>
      </c>
      <c r="B2678" s="5" t="s">
        <v>7729</v>
      </c>
      <c r="D2678" s="5" t="s">
        <v>16</v>
      </c>
      <c r="E2678" s="5" t="s">
        <v>233</v>
      </c>
      <c r="F2678" s="5" t="s">
        <v>234</v>
      </c>
      <c r="G2678" s="14" t="str">
        <f t="array" ref="G2678">IF(B2678="", "",
  LET(_xlpm.spell, IFERROR(IF(F2678="", "", INDEX(_xlws.FILTER(Hairstyles!$F:$F, ISNUMBER(SEARCH(F2678, Hairstyles!$B:$B))), 1)), "No Spell for Hairstyle"),
  _xlpm.vanillaPrefix, IF(LEFT(_xlpm.spell, 7)="Uvi_Wig", "", ";"),
  ";" &amp; IF(C2678="", B2678, C2678) &amp; IF(M2678="", "", " ("&amp;M2678&amp;")") &amp; CHAR(10) &amp;
  _xlpm.vanillaPrefix &amp; "Keyword = Uvi_Wig_Distr_KYWD|" &amp; B2678 &amp; CHAR(10) &amp;
  _xlpm.vanillaPrefix &amp; "Spell = " &amp; _xlpm.spell &amp; "|" &amp; B2678
  )
)</f>
        <v>;EncForsworn03Melee1HBretonM02
;Keyword = Uvi_Wig_Distr_KYWD|EncForsworn03Melee1HBretonM02
;Spell = No Spell for Hairstyle|EncForsworn03Melee1HBretonM02</v>
      </c>
    </row>
    <row r="2679" ht="12.75" customHeight="1">
      <c r="A2679" s="5" t="s">
        <v>7730</v>
      </c>
      <c r="B2679" s="5" t="s">
        <v>7731</v>
      </c>
      <c r="D2679" s="5" t="s">
        <v>16</v>
      </c>
      <c r="E2679" s="5" t="s">
        <v>233</v>
      </c>
      <c r="F2679" s="5" t="s">
        <v>40</v>
      </c>
      <c r="G2679" s="14" t="str">
        <f t="array" ref="G2679">IF(B2679="", "",
  LET(_xlpm.spell, IFERROR(IF(F2679="", "", INDEX(_xlws.FILTER(Hairstyles!$F:$F, ISNUMBER(SEARCH(F2679, Hairstyles!$B:$B))), 1)), "No Spell for Hairstyle"),
  _xlpm.vanillaPrefix, IF(LEFT(_xlpm.spell, 7)="Uvi_Wig", "", ";"),
  ";" &amp; IF(C2679="", B2679, C2679) &amp; IF(M2679="", "", " ("&amp;M2679&amp;")") &amp; CHAR(10) &amp;
  _xlpm.vanillaPrefix &amp; "Keyword = Uvi_Wig_Distr_KYWD|" &amp; B2679 &amp; CHAR(10) &amp;
  _xlpm.vanillaPrefix &amp; "Spell = " &amp; _xlpm.spell &amp; "|" &amp; B2679
  )
)</f>
        <v>;EncForsworn03Melee1HBretonM03
;Keyword = Uvi_Wig_Distr_KYWD|EncForsworn03Melee1HBretonM03
;Spell = No Spell for Hairstyle|EncForsworn03Melee1HBretonM03</v>
      </c>
    </row>
    <row r="2680" ht="12.75" customHeight="1">
      <c r="A2680" s="5" t="s">
        <v>7732</v>
      </c>
      <c r="B2680" s="5" t="s">
        <v>7733</v>
      </c>
      <c r="D2680" s="5" t="s">
        <v>16</v>
      </c>
      <c r="E2680" s="5" t="s">
        <v>233</v>
      </c>
      <c r="F2680" s="5" t="s">
        <v>990</v>
      </c>
      <c r="G2680" s="14" t="str">
        <f t="array" ref="G2680">IF(B2680="", "",
  LET(_xlpm.spell, IFERROR(IF(F2680="", "", INDEX(_xlws.FILTER(Hairstyles!$F:$F, ISNUMBER(SEARCH(F2680, Hairstyles!$B:$B))), 1)), "No Spell for Hairstyle"),
  _xlpm.vanillaPrefix, IF(LEFT(_xlpm.spell, 7)="Uvi_Wig", "", ";"),
  ";" &amp; IF(C2680="", B2680, C2680) &amp; IF(M2680="", "", " ("&amp;M2680&amp;")") &amp; CHAR(10) &amp;
  _xlpm.vanillaPrefix &amp; "Keyword = Uvi_Wig_Distr_KYWD|" &amp; B2680 &amp; CHAR(10) &amp;
  _xlpm.vanillaPrefix &amp; "Spell = " &amp; _xlpm.spell &amp; "|" &amp; B2680
  )
)</f>
        <v>;EncForsworn03Melee1HBretonM04
;Keyword = Uvi_Wig_Distr_KYWD|EncForsworn03Melee1HBretonM04
;Spell = No Spell for Hairstyle|EncForsworn03Melee1HBretonM04</v>
      </c>
    </row>
    <row r="2681" ht="12.75" customHeight="1">
      <c r="A2681" s="5" t="s">
        <v>7734</v>
      </c>
      <c r="B2681" s="5" t="s">
        <v>7735</v>
      </c>
      <c r="D2681" s="5" t="s">
        <v>16</v>
      </c>
      <c r="E2681" s="5" t="s">
        <v>41</v>
      </c>
      <c r="F2681" s="5" t="s">
        <v>2912</v>
      </c>
      <c r="G2681" s="14" t="str">
        <f t="array" ref="G2681">IF(B2681="", "",
  LET(_xlpm.spell, IFERROR(IF(F2681="", "", INDEX(_xlws.FILTER(Hairstyles!$F:$F, ISNUMBER(SEARCH(F2681, Hairstyles!$B:$B))), 1)), "No Spell for Hairstyle"),
  _xlpm.vanillaPrefix, IF(LEFT(_xlpm.spell, 7)="Uvi_Wig", "", ";"),
  ";" &amp; IF(C2681="", B2681, C2681) &amp; IF(M2681="", "", " ("&amp;M2681&amp;")") &amp; CHAR(10) &amp;
  _xlpm.vanillaPrefix &amp; "Keyword = Uvi_Wig_Distr_KYWD|" &amp; B2681 &amp; CHAR(10) &amp;
  _xlpm.vanillaPrefix &amp; "Spell = " &amp; _xlpm.spell &amp; "|" &amp; B2681
  )
)</f>
        <v>;EncForsworn03MissileBretonF01
;Keyword = Uvi_Wig_Distr_KYWD|EncForsworn03MissileBretonF01
;Spell = No Spell for Hairstyle|EncForsworn03MissileBretonF01</v>
      </c>
    </row>
    <row r="2682" ht="12.75" customHeight="1">
      <c r="A2682" s="5" t="s">
        <v>7736</v>
      </c>
      <c r="B2682" s="5" t="s">
        <v>7737</v>
      </c>
      <c r="D2682" s="5" t="s">
        <v>16</v>
      </c>
      <c r="E2682" s="5" t="s">
        <v>41</v>
      </c>
      <c r="F2682" s="5" t="s">
        <v>2118</v>
      </c>
      <c r="G2682" s="14" t="str">
        <f t="array" ref="G2682">IF(B2682="", "",
  LET(_xlpm.spell, IFERROR(IF(F2682="", "", INDEX(_xlws.FILTER(Hairstyles!$F:$F, ISNUMBER(SEARCH(F2682, Hairstyles!$B:$B))), 1)), "No Spell for Hairstyle"),
  _xlpm.vanillaPrefix, IF(LEFT(_xlpm.spell, 7)="Uvi_Wig", "", ";"),
  ";" &amp; IF(C2682="", B2682, C2682) &amp; IF(M2682="", "", " ("&amp;M2682&amp;")") &amp; CHAR(10) &amp;
  _xlpm.vanillaPrefix &amp; "Keyword = Uvi_Wig_Distr_KYWD|" &amp; B2682 &amp; CHAR(10) &amp;
  _xlpm.vanillaPrefix &amp; "Spell = " &amp; _xlpm.spell &amp; "|" &amp; B2682
  )
)</f>
        <v>;EncForsworn03MissileBretonF02
;Keyword = Uvi_Wig_Distr_KYWD|EncForsworn03MissileBretonF02
;Spell = No Spell for Hairstyle|EncForsworn03MissileBretonF02</v>
      </c>
    </row>
    <row r="2683" ht="12.75" customHeight="1">
      <c r="A2683" s="15" t="s">
        <v>7738</v>
      </c>
      <c r="B2683" s="5" t="s">
        <v>7739</v>
      </c>
      <c r="D2683" s="5" t="s">
        <v>16</v>
      </c>
      <c r="E2683" s="5" t="s">
        <v>41</v>
      </c>
      <c r="F2683" s="5" t="s">
        <v>42</v>
      </c>
      <c r="G2683" s="14" t="str">
        <f t="array" ref="G2683">IF(B2683="", "",
  LET(_xlpm.spell, IFERROR(IF(F2683="", "", INDEX(_xlws.FILTER(Hairstyles!$F:$F, ISNUMBER(SEARCH(F2683, Hairstyles!$B:$B))), 1)), "No Spell for Hairstyle"),
  _xlpm.vanillaPrefix, IF(LEFT(_xlpm.spell, 7)="Uvi_Wig", "", ";"),
  ";" &amp; IF(C2683="", B2683, C2683) &amp; IF(M2683="", "", " ("&amp;M2683&amp;")") &amp; CHAR(10) &amp;
  _xlpm.vanillaPrefix &amp; "Keyword = Uvi_Wig_Distr_KYWD|" &amp; B2683 &amp; CHAR(10) &amp;
  _xlpm.vanillaPrefix &amp; "Spell = " &amp; _xlpm.spell &amp; "|" &amp; B2683
  )
)</f>
        <v>;EncForsworn03MissileBretonF03
;Keyword = Uvi_Wig_Distr_KYWD|EncForsworn03MissileBretonF03
;Spell = No Spell for Hairstyle|EncForsworn03MissileBretonF03</v>
      </c>
    </row>
    <row r="2684" ht="12.75" customHeight="1">
      <c r="A2684" s="15" t="s">
        <v>7740</v>
      </c>
      <c r="B2684" s="5" t="s">
        <v>7741</v>
      </c>
      <c r="D2684" s="5" t="s">
        <v>16</v>
      </c>
      <c r="E2684" s="5" t="s">
        <v>233</v>
      </c>
      <c r="F2684" s="5" t="s">
        <v>1906</v>
      </c>
      <c r="G2684" s="14" t="str">
        <f t="array" ref="G2684">IF(B2684="", "",
  LET(_xlpm.spell, IFERROR(IF(F2684="", "", INDEX(_xlws.FILTER(Hairstyles!$F:$F, ISNUMBER(SEARCH(F2684, Hairstyles!$B:$B))), 1)), "No Spell for Hairstyle"),
  _xlpm.vanillaPrefix, IF(LEFT(_xlpm.spell, 7)="Uvi_Wig", "", ";"),
  ";" &amp; IF(C2684="", B2684, C2684) &amp; IF(M2684="", "", " ("&amp;M2684&amp;")") &amp; CHAR(10) &amp;
  _xlpm.vanillaPrefix &amp; "Keyword = Uvi_Wig_Distr_KYWD|" &amp; B2684 &amp; CHAR(10) &amp;
  _xlpm.vanillaPrefix &amp; "Spell = " &amp; _xlpm.spell &amp; "|" &amp; B2684
  )
)</f>
        <v>;EncForsworn03MissileBretonM01
;Keyword = Uvi_Wig_Distr_KYWD|EncForsworn03MissileBretonM01
;Spell = No Spell for Hairstyle|EncForsworn03MissileBretonM01</v>
      </c>
    </row>
    <row r="2685" ht="12.75" customHeight="1">
      <c r="A2685" s="15" t="s">
        <v>7742</v>
      </c>
      <c r="B2685" s="5" t="s">
        <v>7743</v>
      </c>
      <c r="D2685" s="5" t="s">
        <v>16</v>
      </c>
      <c r="E2685" s="5" t="s">
        <v>233</v>
      </c>
      <c r="F2685" s="5" t="s">
        <v>521</v>
      </c>
      <c r="G2685" s="14" t="str">
        <f t="array" ref="G2685">IF(B2685="", "",
  LET(_xlpm.spell, IFERROR(IF(F2685="", "", INDEX(_xlws.FILTER(Hairstyles!$F:$F, ISNUMBER(SEARCH(F2685, Hairstyles!$B:$B))), 1)), "No Spell for Hairstyle"),
  _xlpm.vanillaPrefix, IF(LEFT(_xlpm.spell, 7)="Uvi_Wig", "", ";"),
  ";" &amp; IF(C2685="", B2685, C2685) &amp; IF(M2685="", "", " ("&amp;M2685&amp;")") &amp; CHAR(10) &amp;
  _xlpm.vanillaPrefix &amp; "Keyword = Uvi_Wig_Distr_KYWD|" &amp; B2685 &amp; CHAR(10) &amp;
  _xlpm.vanillaPrefix &amp; "Spell = " &amp; _xlpm.spell &amp; "|" &amp; B2685
  )
)</f>
        <v>;EncForsworn03MissileBretonM02
;Keyword = Uvi_Wig_Distr_KYWD|EncForsworn03MissileBretonM02
;Spell = No Spell for Hairstyle|EncForsworn03MissileBretonM02</v>
      </c>
    </row>
    <row r="2686" ht="12.75" customHeight="1">
      <c r="A2686" s="15" t="s">
        <v>7744</v>
      </c>
      <c r="B2686" s="5" t="s">
        <v>7745</v>
      </c>
      <c r="D2686" s="5" t="s">
        <v>16</v>
      </c>
      <c r="E2686" s="5" t="s">
        <v>233</v>
      </c>
      <c r="F2686" s="5" t="s">
        <v>19</v>
      </c>
      <c r="G2686" s="14" t="str">
        <f t="array" ref="G2686">IF(B2686="", "",
  LET(_xlpm.spell, IFERROR(IF(F2686="", "", INDEX(_xlws.FILTER(Hairstyles!$F:$F, ISNUMBER(SEARCH(F2686, Hairstyles!$B:$B))), 1)), "No Spell for Hairstyle"),
  _xlpm.vanillaPrefix, IF(LEFT(_xlpm.spell, 7)="Uvi_Wig", "", ";"),
  ";" &amp; IF(C2686="", B2686, C2686) &amp; IF(M2686="", "", " ("&amp;M2686&amp;")") &amp; CHAR(10) &amp;
  _xlpm.vanillaPrefix &amp; "Keyword = Uvi_Wig_Distr_KYWD|" &amp; B2686 &amp; CHAR(10) &amp;
  _xlpm.vanillaPrefix &amp; "Spell = " &amp; _xlpm.spell &amp; "|" &amp; B2686
  )
)</f>
        <v>;EncForsworn03MissileBretonM03
;Keyword = Uvi_Wig_Distr_KYWD|EncForsworn03MissileBretonM03
;Spell = No Spell for Hairstyle|EncForsworn03MissileBretonM03</v>
      </c>
    </row>
    <row r="2687" ht="12.75" customHeight="1">
      <c r="A2687" s="5" t="s">
        <v>7746</v>
      </c>
      <c r="B2687" s="5" t="s">
        <v>7747</v>
      </c>
      <c r="D2687" s="5" t="s">
        <v>16</v>
      </c>
      <c r="E2687" s="5" t="s">
        <v>233</v>
      </c>
      <c r="F2687" s="5" t="s">
        <v>424</v>
      </c>
      <c r="G2687" s="14" t="str">
        <f t="array" ref="G2687">IF(B2687="", "",
  LET(_xlpm.spell, IFERROR(IF(F2687="", "", INDEX(_xlws.FILTER(Hairstyles!$F:$F, ISNUMBER(SEARCH(F2687, Hairstyles!$B:$B))), 1)), "No Spell for Hairstyle"),
  _xlpm.vanillaPrefix, IF(LEFT(_xlpm.spell, 7)="Uvi_Wig", "", ";"),
  ";" &amp; IF(C2687="", B2687, C2687) &amp; IF(M2687="", "", " ("&amp;M2687&amp;")") &amp; CHAR(10) &amp;
  _xlpm.vanillaPrefix &amp; "Keyword = Uvi_Wig_Distr_KYWD|" &amp; B2687 &amp; CHAR(10) &amp;
  _xlpm.vanillaPrefix &amp; "Spell = " &amp; _xlpm.spell &amp; "|" &amp; B2687
  )
)</f>
        <v>;EncForsworn03MissileBretonM04
;Keyword = Uvi_Wig_Distr_KYWD|EncForsworn03MissileBretonM04
;Spell = No Spell for Hairstyle|EncForsworn03MissileBretonM04</v>
      </c>
    </row>
    <row r="2688" ht="12.75" customHeight="1">
      <c r="A2688" s="15" t="s">
        <v>7748</v>
      </c>
      <c r="B2688" s="5" t="s">
        <v>7749</v>
      </c>
      <c r="D2688" s="5" t="s">
        <v>16</v>
      </c>
      <c r="E2688" s="5" t="s">
        <v>233</v>
      </c>
      <c r="F2688" s="5" t="s">
        <v>1566</v>
      </c>
      <c r="G2688" s="14" t="str">
        <f t="array" ref="G2688">IF(B2688="", "",
  LET(_xlpm.spell, IFERROR(IF(F2688="", "", INDEX(_xlws.FILTER(Hairstyles!$F:$F, ISNUMBER(SEARCH(F2688, Hairstyles!$B:$B))), 1)), "No Spell for Hairstyle"),
  _xlpm.vanillaPrefix, IF(LEFT(_xlpm.spell, 7)="Uvi_Wig", "", ";"),
  ";" &amp; IF(C2688="", B2688, C2688) &amp; IF(M2688="", "", " ("&amp;M2688&amp;")") &amp; CHAR(10) &amp;
  _xlpm.vanillaPrefix &amp; "Keyword = Uvi_Wig_Distr_KYWD|" &amp; B2688 &amp; CHAR(10) &amp;
  _xlpm.vanillaPrefix &amp; "Spell = " &amp; _xlpm.spell &amp; "|" &amp; B2688
  )
)</f>
        <v>;EncForsworn04BossMagicBretonM01
;Keyword = Uvi_Wig_Distr_KYWD|EncForsworn04BossMagicBretonM01
;Spell = No Spell for Hairstyle|EncForsworn04BossMagicBretonM01</v>
      </c>
    </row>
    <row r="2689" ht="12.75" customHeight="1">
      <c r="A2689" s="15" t="s">
        <v>7750</v>
      </c>
      <c r="B2689" s="5" t="s">
        <v>7751</v>
      </c>
      <c r="D2689" s="5" t="s">
        <v>16</v>
      </c>
      <c r="E2689" s="5" t="s">
        <v>233</v>
      </c>
      <c r="F2689" s="5" t="s">
        <v>40</v>
      </c>
      <c r="G2689" s="14" t="str">
        <f t="array" ref="G2689">IF(B2689="", "",
  LET(_xlpm.spell, IFERROR(IF(F2689="", "", INDEX(_xlws.FILTER(Hairstyles!$F:$F, ISNUMBER(SEARCH(F2689, Hairstyles!$B:$B))), 1)), "No Spell for Hairstyle"),
  _xlpm.vanillaPrefix, IF(LEFT(_xlpm.spell, 7)="Uvi_Wig", "", ";"),
  ";" &amp; IF(C2689="", B2689, C2689) &amp; IF(M2689="", "", " ("&amp;M2689&amp;")") &amp; CHAR(10) &amp;
  _xlpm.vanillaPrefix &amp; "Keyword = Uvi_Wig_Distr_KYWD|" &amp; B2689 &amp; CHAR(10) &amp;
  _xlpm.vanillaPrefix &amp; "Spell = " &amp; _xlpm.spell &amp; "|" &amp; B2689
  )
)</f>
        <v>;EncForsworn04BossMagicBretonM02
;Keyword = Uvi_Wig_Distr_KYWD|EncForsworn04BossMagicBretonM02
;Spell = No Spell for Hairstyle|EncForsworn04BossMagicBretonM02</v>
      </c>
    </row>
    <row r="2690" ht="12.75" customHeight="1">
      <c r="A2690" s="5" t="s">
        <v>7752</v>
      </c>
      <c r="B2690" s="5" t="s">
        <v>7753</v>
      </c>
      <c r="D2690" s="5" t="s">
        <v>16</v>
      </c>
      <c r="E2690" s="5" t="s">
        <v>233</v>
      </c>
      <c r="F2690" s="5" t="s">
        <v>1700</v>
      </c>
      <c r="G2690" s="14" t="str">
        <f t="array" ref="G2690">IF(B2690="", "",
  LET(_xlpm.spell, IFERROR(IF(F2690="", "", INDEX(_xlws.FILTER(Hairstyles!$F:$F, ISNUMBER(SEARCH(F2690, Hairstyles!$B:$B))), 1)), "No Spell for Hairstyle"),
  _xlpm.vanillaPrefix, IF(LEFT(_xlpm.spell, 7)="Uvi_Wig", "", ";"),
  ";" &amp; IF(C2690="", B2690, C2690) &amp; IF(M2690="", "", " ("&amp;M2690&amp;")") &amp; CHAR(10) &amp;
  _xlpm.vanillaPrefix &amp; "Keyword = Uvi_Wig_Distr_KYWD|" &amp; B2690 &amp; CHAR(10) &amp;
  _xlpm.vanillaPrefix &amp; "Spell = " &amp; _xlpm.spell &amp; "|" &amp; B2690
  )
)</f>
        <v>;EncForsworn04BossMagicBretonM03
;Keyword = Uvi_Wig_Distr_KYWD|EncForsworn04BossMagicBretonM03
;Spell = No Spell for Hairstyle|EncForsworn04BossMagicBretonM03</v>
      </c>
    </row>
    <row r="2691" ht="12.75" customHeight="1">
      <c r="A2691" s="15" t="s">
        <v>7754</v>
      </c>
      <c r="B2691" s="5" t="s">
        <v>7755</v>
      </c>
      <c r="D2691" s="5" t="s">
        <v>16</v>
      </c>
      <c r="E2691" s="5" t="s">
        <v>233</v>
      </c>
      <c r="F2691" s="5" t="s">
        <v>2694</v>
      </c>
      <c r="G2691" s="14" t="str">
        <f t="array" ref="G2691">IF(B2691="", "",
  LET(_xlpm.spell, IFERROR(IF(F2691="", "", INDEX(_xlws.FILTER(Hairstyles!$F:$F, ISNUMBER(SEARCH(F2691, Hairstyles!$B:$B))), 1)), "No Spell for Hairstyle"),
  _xlpm.vanillaPrefix, IF(LEFT(_xlpm.spell, 7)="Uvi_Wig", "", ";"),
  ";" &amp; IF(C2691="", B2691, C2691) &amp; IF(M2691="", "", " ("&amp;M2691&amp;")") &amp; CHAR(10) &amp;
  _xlpm.vanillaPrefix &amp; "Keyword = Uvi_Wig_Distr_KYWD|" &amp; B2691 &amp; CHAR(10) &amp;
  _xlpm.vanillaPrefix &amp; "Spell = " &amp; _xlpm.spell &amp; "|" &amp; B2691
  )
)</f>
        <v>;EncForsworn04BossMelee1HBretonM01
;Keyword = Uvi_Wig_Distr_KYWD|EncForsworn04BossMelee1HBretonM01
;Spell = No Spell for Hairstyle|EncForsworn04BossMelee1HBretonM01</v>
      </c>
    </row>
    <row r="2692" ht="12.75" customHeight="1">
      <c r="A2692" s="15" t="s">
        <v>7756</v>
      </c>
      <c r="B2692" s="5" t="s">
        <v>7757</v>
      </c>
      <c r="D2692" s="5" t="s">
        <v>16</v>
      </c>
      <c r="E2692" s="5" t="s">
        <v>233</v>
      </c>
      <c r="F2692" s="5" t="s">
        <v>84</v>
      </c>
      <c r="G2692" s="14" t="str">
        <f t="array" ref="G2692">IF(B2692="", "",
  LET(_xlpm.spell, IFERROR(IF(F2692="", "", INDEX(_xlws.FILTER(Hairstyles!$F:$F, ISNUMBER(SEARCH(F2692, Hairstyles!$B:$B))), 1)), "No Spell for Hairstyle"),
  _xlpm.vanillaPrefix, IF(LEFT(_xlpm.spell, 7)="Uvi_Wig", "", ";"),
  ";" &amp; IF(C2692="", B2692, C2692) &amp; IF(M2692="", "", " ("&amp;M2692&amp;")") &amp; CHAR(10) &amp;
  _xlpm.vanillaPrefix &amp; "Keyword = Uvi_Wig_Distr_KYWD|" &amp; B2692 &amp; CHAR(10) &amp;
  _xlpm.vanillaPrefix &amp; "Spell = " &amp; _xlpm.spell &amp; "|" &amp; B2692
  )
)</f>
        <v>;EncForsworn04BossMelee1HBretonM02
;Keyword = Uvi_Wig_Distr_KYWD|EncForsworn04BossMelee1HBretonM02
;Spell = No Spell for Hairstyle|EncForsworn04BossMelee1HBretonM02</v>
      </c>
    </row>
    <row r="2693" ht="12.75" customHeight="1">
      <c r="A2693" s="15" t="s">
        <v>7758</v>
      </c>
      <c r="B2693" s="5" t="s">
        <v>7759</v>
      </c>
      <c r="D2693" s="5" t="s">
        <v>16</v>
      </c>
      <c r="E2693" s="5" t="s">
        <v>233</v>
      </c>
      <c r="F2693" s="5" t="s">
        <v>1622</v>
      </c>
      <c r="G2693" s="14" t="str">
        <f t="array" ref="G2693">IF(B2693="", "",
  LET(_xlpm.spell, IFERROR(IF(F2693="", "", INDEX(_xlws.FILTER(Hairstyles!$F:$F, ISNUMBER(SEARCH(F2693, Hairstyles!$B:$B))), 1)), "No Spell for Hairstyle"),
  _xlpm.vanillaPrefix, IF(LEFT(_xlpm.spell, 7)="Uvi_Wig", "", ";"),
  ";" &amp; IF(C2693="", B2693, C2693) &amp; IF(M2693="", "", " ("&amp;M2693&amp;")") &amp; CHAR(10) &amp;
  _xlpm.vanillaPrefix &amp; "Keyword = Uvi_Wig_Distr_KYWD|" &amp; B2693 &amp; CHAR(10) &amp;
  _xlpm.vanillaPrefix &amp; "Spell = " &amp; _xlpm.spell &amp; "|" &amp; B2693
  )
)</f>
        <v>;EncForsworn04BossMelee1HBretonM03
;Keyword = Uvi_Wig_Distr_KYWD|EncForsworn04BossMelee1HBretonM03
;Spell = No Spell for Hairstyle|EncForsworn04BossMelee1HBretonM03</v>
      </c>
    </row>
    <row r="2694" ht="12.75" customHeight="1">
      <c r="A2694" s="15" t="s">
        <v>7760</v>
      </c>
      <c r="B2694" s="5" t="s">
        <v>7761</v>
      </c>
      <c r="D2694" s="5" t="s">
        <v>16</v>
      </c>
      <c r="E2694" s="5" t="s">
        <v>41</v>
      </c>
      <c r="F2694" s="5" t="s">
        <v>1996</v>
      </c>
      <c r="G2694" s="14" t="str">
        <f t="array" ref="G2694">IF(B2694="", "",
  LET(_xlpm.spell, IFERROR(IF(F2694="", "", INDEX(_xlws.FILTER(Hairstyles!$F:$F, ISNUMBER(SEARCH(F2694, Hairstyles!$B:$B))), 1)), "No Spell for Hairstyle"),
  _xlpm.vanillaPrefix, IF(LEFT(_xlpm.spell, 7)="Uvi_Wig", "", ";"),
  ";" &amp; IF(C2694="", B2694, C2694) &amp; IF(M2694="", "", " ("&amp;M2694&amp;")") &amp; CHAR(10) &amp;
  _xlpm.vanillaPrefix &amp; "Keyword = Uvi_Wig_Distr_KYWD|" &amp; B2694 &amp; CHAR(10) &amp;
  _xlpm.vanillaPrefix &amp; "Spell = " &amp; _xlpm.spell &amp; "|" &amp; B2694
  )
)</f>
        <v>;EncForsworn04MagicBretonF01
;Keyword = Uvi_Wig_Distr_KYWD|EncForsworn04MagicBretonF01
;Spell = No Spell for Hairstyle|EncForsworn04MagicBretonF01</v>
      </c>
    </row>
    <row r="2695" ht="12.75" customHeight="1">
      <c r="A2695" s="15" t="s">
        <v>7762</v>
      </c>
      <c r="B2695" s="5" t="s">
        <v>7763</v>
      </c>
      <c r="D2695" s="5" t="s">
        <v>16</v>
      </c>
      <c r="E2695" s="5" t="s">
        <v>41</v>
      </c>
      <c r="F2695" s="5" t="s">
        <v>371</v>
      </c>
      <c r="G2695" s="14" t="str">
        <f t="array" ref="G2695">IF(B2695="", "",
  LET(_xlpm.spell, IFERROR(IF(F2695="", "", INDEX(_xlws.FILTER(Hairstyles!$F:$F, ISNUMBER(SEARCH(F2695, Hairstyles!$B:$B))), 1)), "No Spell for Hairstyle"),
  _xlpm.vanillaPrefix, IF(LEFT(_xlpm.spell, 7)="Uvi_Wig", "", ";"),
  ";" &amp; IF(C2695="", B2695, C2695) &amp; IF(M2695="", "", " ("&amp;M2695&amp;")") &amp; CHAR(10) &amp;
  _xlpm.vanillaPrefix &amp; "Keyword = Uvi_Wig_Distr_KYWD|" &amp; B2695 &amp; CHAR(10) &amp;
  _xlpm.vanillaPrefix &amp; "Spell = " &amp; _xlpm.spell &amp; "|" &amp; B2695
  )
)</f>
        <v>;EncForsworn04MagicBretonF02
;Keyword = Uvi_Wig_Distr_KYWD|EncForsworn04MagicBretonF02
;Spell = No Spell for Hairstyle|EncForsworn04MagicBretonF02</v>
      </c>
    </row>
    <row r="2696" ht="12.75" customHeight="1">
      <c r="A2696" s="15" t="s">
        <v>7764</v>
      </c>
      <c r="B2696" s="5" t="s">
        <v>7765</v>
      </c>
      <c r="D2696" s="5" t="s">
        <v>16</v>
      </c>
      <c r="E2696" s="5" t="s">
        <v>41</v>
      </c>
      <c r="F2696" s="5" t="s">
        <v>862</v>
      </c>
      <c r="G2696" s="14" t="str">
        <f t="array" ref="G2696">IF(B2696="", "",
  LET(_xlpm.spell, IFERROR(IF(F2696="", "", INDEX(_xlws.FILTER(Hairstyles!$F:$F, ISNUMBER(SEARCH(F2696, Hairstyles!$B:$B))), 1)), "No Spell for Hairstyle"),
  _xlpm.vanillaPrefix, IF(LEFT(_xlpm.spell, 7)="Uvi_Wig", "", ";"),
  ";" &amp; IF(C2696="", B2696, C2696) &amp; IF(M2696="", "", " ("&amp;M2696&amp;")") &amp; CHAR(10) &amp;
  _xlpm.vanillaPrefix &amp; "Keyword = Uvi_Wig_Distr_KYWD|" &amp; B2696 &amp; CHAR(10) &amp;
  _xlpm.vanillaPrefix &amp; "Spell = " &amp; _xlpm.spell &amp; "|" &amp; B2696
  )
)</f>
        <v>;EncForsworn04MagicBretonF03
;Keyword = Uvi_Wig_Distr_KYWD|EncForsworn04MagicBretonF03
;Spell = No Spell for Hairstyle|EncForsworn04MagicBretonF03</v>
      </c>
    </row>
    <row r="2697" ht="12.75" customHeight="1">
      <c r="A2697" s="5" t="s">
        <v>7766</v>
      </c>
      <c r="B2697" s="5" t="s">
        <v>7767</v>
      </c>
      <c r="D2697" s="5" t="s">
        <v>16</v>
      </c>
      <c r="E2697" s="5" t="s">
        <v>233</v>
      </c>
      <c r="F2697" s="5" t="s">
        <v>19</v>
      </c>
      <c r="G2697" s="14" t="str">
        <f t="array" ref="G2697">IF(B2697="", "",
  LET(_xlpm.spell, IFERROR(IF(F2697="", "", INDEX(_xlws.FILTER(Hairstyles!$F:$F, ISNUMBER(SEARCH(F2697, Hairstyles!$B:$B))), 1)), "No Spell for Hairstyle"),
  _xlpm.vanillaPrefix, IF(LEFT(_xlpm.spell, 7)="Uvi_Wig", "", ";"),
  ";" &amp; IF(C2697="", B2697, C2697) &amp; IF(M2697="", "", " ("&amp;M2697&amp;")") &amp; CHAR(10) &amp;
  _xlpm.vanillaPrefix &amp; "Keyword = Uvi_Wig_Distr_KYWD|" &amp; B2697 &amp; CHAR(10) &amp;
  _xlpm.vanillaPrefix &amp; "Spell = " &amp; _xlpm.spell &amp; "|" &amp; B2697
  )
)</f>
        <v>;EncForsworn04Melee1HBretonBerserk
;Keyword = Uvi_Wig_Distr_KYWD|EncForsworn04Melee1HBretonBerserk
;Spell = No Spell for Hairstyle|EncForsworn04Melee1HBretonBerserk</v>
      </c>
    </row>
    <row r="2698" ht="12.75" customHeight="1">
      <c r="A2698" s="5" t="s">
        <v>7768</v>
      </c>
      <c r="B2698" s="5" t="s">
        <v>7769</v>
      </c>
      <c r="D2698" s="5" t="s">
        <v>16</v>
      </c>
      <c r="E2698" s="5" t="s">
        <v>41</v>
      </c>
      <c r="F2698" s="5" t="s">
        <v>42</v>
      </c>
      <c r="G2698" s="14" t="str">
        <f t="array" ref="G2698">IF(B2698="", "",
  LET(_xlpm.spell, IFERROR(IF(F2698="", "", INDEX(_xlws.FILTER(Hairstyles!$F:$F, ISNUMBER(SEARCH(F2698, Hairstyles!$B:$B))), 1)), "No Spell for Hairstyle"),
  _xlpm.vanillaPrefix, IF(LEFT(_xlpm.spell, 7)="Uvi_Wig", "", ";"),
  ";" &amp; IF(C2698="", B2698, C2698) &amp; IF(M2698="", "", " ("&amp;M2698&amp;")") &amp; CHAR(10) &amp;
  _xlpm.vanillaPrefix &amp; "Keyword = Uvi_Wig_Distr_KYWD|" &amp; B2698 &amp; CHAR(10) &amp;
  _xlpm.vanillaPrefix &amp; "Spell = " &amp; _xlpm.spell &amp; "|" &amp; B2698
  )
)</f>
        <v>;EncForsworn04Melee1HBretonF01
;Keyword = Uvi_Wig_Distr_KYWD|EncForsworn04Melee1HBretonF01
;Spell = No Spell for Hairstyle|EncForsworn04Melee1HBretonF01</v>
      </c>
    </row>
    <row r="2699" ht="12.75" customHeight="1">
      <c r="A2699" s="5" t="s">
        <v>7770</v>
      </c>
      <c r="B2699" s="5" t="s">
        <v>7771</v>
      </c>
      <c r="D2699" s="5" t="s">
        <v>16</v>
      </c>
      <c r="E2699" s="5" t="s">
        <v>41</v>
      </c>
      <c r="F2699" s="5" t="s">
        <v>22</v>
      </c>
      <c r="G2699" s="14" t="str">
        <f t="array" ref="G2699">IF(B2699="", "",
  LET(_xlpm.spell, IFERROR(IF(F2699="", "", INDEX(_xlws.FILTER(Hairstyles!$F:$F, ISNUMBER(SEARCH(F2699, Hairstyles!$B:$B))), 1)), "No Spell for Hairstyle"),
  _xlpm.vanillaPrefix, IF(LEFT(_xlpm.spell, 7)="Uvi_Wig", "", ";"),
  ";" &amp; IF(C2699="", B2699, C2699) &amp; IF(M2699="", "", " ("&amp;M2699&amp;")") &amp; CHAR(10) &amp;
  _xlpm.vanillaPrefix &amp; "Keyword = Uvi_Wig_Distr_KYWD|" &amp; B2699 &amp; CHAR(10) &amp;
  _xlpm.vanillaPrefix &amp; "Spell = " &amp; _xlpm.spell &amp; "|" &amp; B2699
  )
)</f>
        <v>;EncForsworn04Melee1HBretonF02
;Keyword = Uvi_Wig_Distr_KYWD|EncForsworn04Melee1HBretonF02
;Spell = No Spell for Hairstyle|EncForsworn04Melee1HBretonF02</v>
      </c>
    </row>
    <row r="2700" ht="12.75" customHeight="1">
      <c r="A2700" s="5" t="s">
        <v>7772</v>
      </c>
      <c r="B2700" s="5" t="s">
        <v>7773</v>
      </c>
      <c r="D2700" s="5" t="s">
        <v>16</v>
      </c>
      <c r="E2700" s="5" t="s">
        <v>41</v>
      </c>
      <c r="F2700" s="5" t="s">
        <v>44</v>
      </c>
      <c r="G2700" s="14" t="str">
        <f t="array" ref="G2700">IF(B2700="", "",
  LET(_xlpm.spell, IFERROR(IF(F2700="", "", INDEX(_xlws.FILTER(Hairstyles!$F:$F, ISNUMBER(SEARCH(F2700, Hairstyles!$B:$B))), 1)), "No Spell for Hairstyle"),
  _xlpm.vanillaPrefix, IF(LEFT(_xlpm.spell, 7)="Uvi_Wig", "", ";"),
  ";" &amp; IF(C2700="", B2700, C2700) &amp; IF(M2700="", "", " ("&amp;M2700&amp;")") &amp; CHAR(10) &amp;
  _xlpm.vanillaPrefix &amp; "Keyword = Uvi_Wig_Distr_KYWD|" &amp; B2700 &amp; CHAR(10) &amp;
  _xlpm.vanillaPrefix &amp; "Spell = " &amp; _xlpm.spell &amp; "|" &amp; B2700
  )
)</f>
        <v>;EncForsworn04Melee1HBretonF03
;Keyword = Uvi_Wig_Distr_KYWD|EncForsworn04Melee1HBretonF03
;Spell = No Spell for Hairstyle|EncForsworn04Melee1HBretonF03</v>
      </c>
    </row>
    <row r="2701" ht="12.75" customHeight="1">
      <c r="A2701" s="5" t="s">
        <v>7774</v>
      </c>
      <c r="B2701" s="5" t="s">
        <v>7775</v>
      </c>
      <c r="D2701" s="5" t="s">
        <v>16</v>
      </c>
      <c r="E2701" s="5" t="s">
        <v>233</v>
      </c>
      <c r="F2701" s="5" t="s">
        <v>1622</v>
      </c>
      <c r="G2701" s="14" t="str">
        <f t="array" ref="G2701">IF(B2701="", "",
  LET(_xlpm.spell, IFERROR(IF(F2701="", "", INDEX(_xlws.FILTER(Hairstyles!$F:$F, ISNUMBER(SEARCH(F2701, Hairstyles!$B:$B))), 1)), "No Spell for Hairstyle"),
  _xlpm.vanillaPrefix, IF(LEFT(_xlpm.spell, 7)="Uvi_Wig", "", ";"),
  ";" &amp; IF(C2701="", B2701, C2701) &amp; IF(M2701="", "", " ("&amp;M2701&amp;")") &amp; CHAR(10) &amp;
  _xlpm.vanillaPrefix &amp; "Keyword = Uvi_Wig_Distr_KYWD|" &amp; B2701 &amp; CHAR(10) &amp;
  _xlpm.vanillaPrefix &amp; "Spell = " &amp; _xlpm.spell &amp; "|" &amp; B2701
  )
)</f>
        <v>;EncForsworn04Melee1HBretonM01
;Keyword = Uvi_Wig_Distr_KYWD|EncForsworn04Melee1HBretonM01
;Spell = No Spell for Hairstyle|EncForsworn04Melee1HBretonM01</v>
      </c>
    </row>
    <row r="2702" ht="12.75" customHeight="1">
      <c r="A2702" s="5" t="s">
        <v>7776</v>
      </c>
      <c r="B2702" s="5" t="s">
        <v>7777</v>
      </c>
      <c r="D2702" s="5" t="s">
        <v>16</v>
      </c>
      <c r="E2702" s="5" t="s">
        <v>233</v>
      </c>
      <c r="F2702" s="5" t="s">
        <v>475</v>
      </c>
      <c r="G2702" s="14" t="str">
        <f t="array" ref="G2702">IF(B2702="", "",
  LET(_xlpm.spell, IFERROR(IF(F2702="", "", INDEX(_xlws.FILTER(Hairstyles!$F:$F, ISNUMBER(SEARCH(F2702, Hairstyles!$B:$B))), 1)), "No Spell for Hairstyle"),
  _xlpm.vanillaPrefix, IF(LEFT(_xlpm.spell, 7)="Uvi_Wig", "", ";"),
  ";" &amp; IF(C2702="", B2702, C2702) &amp; IF(M2702="", "", " ("&amp;M2702&amp;")") &amp; CHAR(10) &amp;
  _xlpm.vanillaPrefix &amp; "Keyword = Uvi_Wig_Distr_KYWD|" &amp; B2702 &amp; CHAR(10) &amp;
  _xlpm.vanillaPrefix &amp; "Spell = " &amp; _xlpm.spell &amp; "|" &amp; B2702
  )
)</f>
        <v>;EncForsworn04Melee1HBretonM02
;Keyword = Uvi_Wig_Distr_KYWD|EncForsworn04Melee1HBretonM02
;Spell = No Spell for Hairstyle|EncForsworn04Melee1HBretonM02</v>
      </c>
    </row>
    <row r="2703" ht="12.75" customHeight="1">
      <c r="A2703" s="5" t="s">
        <v>7778</v>
      </c>
      <c r="B2703" s="5" t="s">
        <v>7779</v>
      </c>
      <c r="D2703" s="5" t="s">
        <v>16</v>
      </c>
      <c r="E2703" s="5" t="s">
        <v>233</v>
      </c>
      <c r="F2703" s="5" t="s">
        <v>1894</v>
      </c>
      <c r="G2703" s="14" t="str">
        <f t="array" ref="G2703">IF(B2703="", "",
  LET(_xlpm.spell, IFERROR(IF(F2703="", "", INDEX(_xlws.FILTER(Hairstyles!$F:$F, ISNUMBER(SEARCH(F2703, Hairstyles!$B:$B))), 1)), "No Spell for Hairstyle"),
  _xlpm.vanillaPrefix, IF(LEFT(_xlpm.spell, 7)="Uvi_Wig", "", ";"),
  ";" &amp; IF(C2703="", B2703, C2703) &amp; IF(M2703="", "", " ("&amp;M2703&amp;")") &amp; CHAR(10) &amp;
  _xlpm.vanillaPrefix &amp; "Keyword = Uvi_Wig_Distr_KYWD|" &amp; B2703 &amp; CHAR(10) &amp;
  _xlpm.vanillaPrefix &amp; "Spell = " &amp; _xlpm.spell &amp; "|" &amp; B2703
  )
)</f>
        <v>;EncForsworn04Melee1HBretonM03
;Keyword = Uvi_Wig_Distr_KYWD|EncForsworn04Melee1HBretonM03
;Spell = No Spell for Hairstyle|EncForsworn04Melee1HBretonM03</v>
      </c>
    </row>
    <row r="2704" ht="12.75" customHeight="1">
      <c r="A2704" s="5" t="s">
        <v>7780</v>
      </c>
      <c r="B2704" s="5" t="s">
        <v>7781</v>
      </c>
      <c r="D2704" s="5" t="s">
        <v>16</v>
      </c>
      <c r="E2704" s="5" t="s">
        <v>233</v>
      </c>
      <c r="F2704" s="5" t="s">
        <v>234</v>
      </c>
      <c r="G2704" s="14" t="str">
        <f t="array" ref="G2704">IF(B2704="", "",
  LET(_xlpm.spell, IFERROR(IF(F2704="", "", INDEX(_xlws.FILTER(Hairstyles!$F:$F, ISNUMBER(SEARCH(F2704, Hairstyles!$B:$B))), 1)), "No Spell for Hairstyle"),
  _xlpm.vanillaPrefix, IF(LEFT(_xlpm.spell, 7)="Uvi_Wig", "", ";"),
  ";" &amp; IF(C2704="", B2704, C2704) &amp; IF(M2704="", "", " ("&amp;M2704&amp;")") &amp; CHAR(10) &amp;
  _xlpm.vanillaPrefix &amp; "Keyword = Uvi_Wig_Distr_KYWD|" &amp; B2704 &amp; CHAR(10) &amp;
  _xlpm.vanillaPrefix &amp; "Spell = " &amp; _xlpm.spell &amp; "|" &amp; B2704
  )
)</f>
        <v>;EncForsworn04Melee1HBretonM04
;Keyword = Uvi_Wig_Distr_KYWD|EncForsworn04Melee1HBretonM04
;Spell = No Spell for Hairstyle|EncForsworn04Melee1HBretonM04</v>
      </c>
    </row>
    <row r="2705" ht="12.75" customHeight="1">
      <c r="A2705" s="15" t="s">
        <v>7782</v>
      </c>
      <c r="B2705" s="5" t="s">
        <v>7783</v>
      </c>
      <c r="D2705" s="5" t="s">
        <v>16</v>
      </c>
      <c r="E2705" s="5" t="s">
        <v>41</v>
      </c>
      <c r="F2705" s="5" t="s">
        <v>905</v>
      </c>
      <c r="G2705" s="14" t="str">
        <f t="array" ref="G2705">IF(B2705="", "",
  LET(_xlpm.spell, IFERROR(IF(F2705="", "", INDEX(_xlws.FILTER(Hairstyles!$F:$F, ISNUMBER(SEARCH(F2705, Hairstyles!$B:$B))), 1)), "No Spell for Hairstyle"),
  _xlpm.vanillaPrefix, IF(LEFT(_xlpm.spell, 7)="Uvi_Wig", "", ";"),
  ";" &amp; IF(C2705="", B2705, C2705) &amp; IF(M2705="", "", " ("&amp;M2705&amp;")") &amp; CHAR(10) &amp;
  _xlpm.vanillaPrefix &amp; "Keyword = Uvi_Wig_Distr_KYWD|" &amp; B2705 &amp; CHAR(10) &amp;
  _xlpm.vanillaPrefix &amp; "Spell = " &amp; _xlpm.spell &amp; "|" &amp; B2705
  )
)</f>
        <v>;EncForsworn04MissileBretonF01
;Keyword = Uvi_Wig_Distr_KYWD|EncForsworn04MissileBretonF01
;Spell = No Spell for Hairstyle|EncForsworn04MissileBretonF01</v>
      </c>
    </row>
    <row r="2706" ht="12.75" customHeight="1">
      <c r="A2706" s="15" t="s">
        <v>7784</v>
      </c>
      <c r="B2706" s="5" t="s">
        <v>7785</v>
      </c>
      <c r="D2706" s="5" t="s">
        <v>16</v>
      </c>
      <c r="E2706" s="5" t="s">
        <v>41</v>
      </c>
      <c r="F2706" s="5" t="s">
        <v>42</v>
      </c>
      <c r="G2706" s="14" t="str">
        <f t="array" ref="G2706">IF(B2706="", "",
  LET(_xlpm.spell, IFERROR(IF(F2706="", "", INDEX(_xlws.FILTER(Hairstyles!$F:$F, ISNUMBER(SEARCH(F2706, Hairstyles!$B:$B))), 1)), "No Spell for Hairstyle"),
  _xlpm.vanillaPrefix, IF(LEFT(_xlpm.spell, 7)="Uvi_Wig", "", ";"),
  ";" &amp; IF(C2706="", B2706, C2706) &amp; IF(M2706="", "", " ("&amp;M2706&amp;")") &amp; CHAR(10) &amp;
  _xlpm.vanillaPrefix &amp; "Keyword = Uvi_Wig_Distr_KYWD|" &amp; B2706 &amp; CHAR(10) &amp;
  _xlpm.vanillaPrefix &amp; "Spell = " &amp; _xlpm.spell &amp; "|" &amp; B2706
  )
)</f>
        <v>;EncForsworn04MissileBretonF02
;Keyword = Uvi_Wig_Distr_KYWD|EncForsworn04MissileBretonF02
;Spell = No Spell for Hairstyle|EncForsworn04MissileBretonF02</v>
      </c>
    </row>
    <row r="2707" ht="12.75" customHeight="1">
      <c r="A2707" s="15" t="s">
        <v>7786</v>
      </c>
      <c r="B2707" s="5" t="s">
        <v>7787</v>
      </c>
      <c r="D2707" s="5" t="s">
        <v>16</v>
      </c>
      <c r="E2707" s="5" t="s">
        <v>41</v>
      </c>
      <c r="F2707" s="5" t="s">
        <v>4628</v>
      </c>
      <c r="G2707" s="14" t="str">
        <f t="array" ref="G2707">IF(B2707="", "",
  LET(_xlpm.spell, IFERROR(IF(F2707="", "", INDEX(_xlws.FILTER(Hairstyles!$F:$F, ISNUMBER(SEARCH(F2707, Hairstyles!$B:$B))), 1)), "No Spell for Hairstyle"),
  _xlpm.vanillaPrefix, IF(LEFT(_xlpm.spell, 7)="Uvi_Wig", "", ";"),
  ";" &amp; IF(C2707="", B2707, C2707) &amp; IF(M2707="", "", " ("&amp;M2707&amp;")") &amp; CHAR(10) &amp;
  _xlpm.vanillaPrefix &amp; "Keyword = Uvi_Wig_Distr_KYWD|" &amp; B2707 &amp; CHAR(10) &amp;
  _xlpm.vanillaPrefix &amp; "Spell = " &amp; _xlpm.spell &amp; "|" &amp; B2707
  )
)</f>
        <v>;EncForsworn04MissileBretonF03
;Keyword = Uvi_Wig_Distr_KYWD|EncForsworn04MissileBretonF03
;Spell = No Spell for Hairstyle|EncForsworn04MissileBretonF03</v>
      </c>
    </row>
    <row r="2708" ht="12.75" customHeight="1">
      <c r="A2708" s="15" t="s">
        <v>7788</v>
      </c>
      <c r="B2708" s="5" t="s">
        <v>7789</v>
      </c>
      <c r="D2708" s="5" t="s">
        <v>16</v>
      </c>
      <c r="E2708" s="5" t="s">
        <v>233</v>
      </c>
      <c r="F2708" s="5" t="s">
        <v>2030</v>
      </c>
      <c r="G2708" s="14" t="str">
        <f t="array" ref="G2708">IF(B2708="", "",
  LET(_xlpm.spell, IFERROR(IF(F2708="", "", INDEX(_xlws.FILTER(Hairstyles!$F:$F, ISNUMBER(SEARCH(F2708, Hairstyles!$B:$B))), 1)), "No Spell for Hairstyle"),
  _xlpm.vanillaPrefix, IF(LEFT(_xlpm.spell, 7)="Uvi_Wig", "", ";"),
  ";" &amp; IF(C2708="", B2708, C2708) &amp; IF(M2708="", "", " ("&amp;M2708&amp;")") &amp; CHAR(10) &amp;
  _xlpm.vanillaPrefix &amp; "Keyword = Uvi_Wig_Distr_KYWD|" &amp; B2708 &amp; CHAR(10) &amp;
  _xlpm.vanillaPrefix &amp; "Spell = " &amp; _xlpm.spell &amp; "|" &amp; B2708
  )
)</f>
        <v>;EncForsworn04MissileBretonM01
;Keyword = Uvi_Wig_Distr_KYWD|EncForsworn04MissileBretonM01
;Spell = No Spell for Hairstyle|EncForsworn04MissileBretonM01</v>
      </c>
    </row>
    <row r="2709" ht="12.75" customHeight="1">
      <c r="A2709" s="15" t="s">
        <v>7790</v>
      </c>
      <c r="B2709" s="5" t="s">
        <v>7791</v>
      </c>
      <c r="D2709" s="5" t="s">
        <v>16</v>
      </c>
      <c r="E2709" s="5" t="s">
        <v>233</v>
      </c>
      <c r="F2709" s="5" t="s">
        <v>1709</v>
      </c>
      <c r="G2709" s="14" t="str">
        <f t="array" ref="G2709">IF(B2709="", "",
  LET(_xlpm.spell, IFERROR(IF(F2709="", "", INDEX(_xlws.FILTER(Hairstyles!$F:$F, ISNUMBER(SEARCH(F2709, Hairstyles!$B:$B))), 1)), "No Spell for Hairstyle"),
  _xlpm.vanillaPrefix, IF(LEFT(_xlpm.spell, 7)="Uvi_Wig", "", ";"),
  ";" &amp; IF(C2709="", B2709, C2709) &amp; IF(M2709="", "", " ("&amp;M2709&amp;")") &amp; CHAR(10) &amp;
  _xlpm.vanillaPrefix &amp; "Keyword = Uvi_Wig_Distr_KYWD|" &amp; B2709 &amp; CHAR(10) &amp;
  _xlpm.vanillaPrefix &amp; "Spell = " &amp; _xlpm.spell &amp; "|" &amp; B2709
  )
)</f>
        <v>;EncForsworn04MissileBretonM02
;Keyword = Uvi_Wig_Distr_KYWD|EncForsworn04MissileBretonM02
;Spell = No Spell for Hairstyle|EncForsworn04MissileBretonM02</v>
      </c>
    </row>
    <row r="2710" ht="12.75" customHeight="1">
      <c r="A2710" s="15" t="s">
        <v>7792</v>
      </c>
      <c r="B2710" s="5" t="s">
        <v>7793</v>
      </c>
      <c r="D2710" s="5" t="s">
        <v>16</v>
      </c>
      <c r="E2710" s="5" t="s">
        <v>233</v>
      </c>
      <c r="F2710" s="5" t="s">
        <v>19</v>
      </c>
      <c r="G2710" s="14" t="str">
        <f t="array" ref="G2710">IF(B2710="", "",
  LET(_xlpm.spell, IFERROR(IF(F2710="", "", INDEX(_xlws.FILTER(Hairstyles!$F:$F, ISNUMBER(SEARCH(F2710, Hairstyles!$B:$B))), 1)), "No Spell for Hairstyle"),
  _xlpm.vanillaPrefix, IF(LEFT(_xlpm.spell, 7)="Uvi_Wig", "", ";"),
  ";" &amp; IF(C2710="", B2710, C2710) &amp; IF(M2710="", "", " ("&amp;M2710&amp;")") &amp; CHAR(10) &amp;
  _xlpm.vanillaPrefix &amp; "Keyword = Uvi_Wig_Distr_KYWD|" &amp; B2710 &amp; CHAR(10) &amp;
  _xlpm.vanillaPrefix &amp; "Spell = " &amp; _xlpm.spell &amp; "|" &amp; B2710
  )
)</f>
        <v>;EncForsworn04MissileBretonM03
;Keyword = Uvi_Wig_Distr_KYWD|EncForsworn04MissileBretonM03
;Spell = No Spell for Hairstyle|EncForsworn04MissileBretonM03</v>
      </c>
    </row>
    <row r="2711" ht="12.75" customHeight="1">
      <c r="A2711" s="5" t="s">
        <v>7794</v>
      </c>
      <c r="B2711" s="5" t="s">
        <v>7795</v>
      </c>
      <c r="D2711" s="5" t="s">
        <v>16</v>
      </c>
      <c r="E2711" s="5" t="s">
        <v>233</v>
      </c>
      <c r="F2711" s="5" t="s">
        <v>346</v>
      </c>
      <c r="G2711" s="14" t="str">
        <f t="array" ref="G2711">IF(B2711="", "",
  LET(_xlpm.spell, IFERROR(IF(F2711="", "", INDEX(_xlws.FILTER(Hairstyles!$F:$F, ISNUMBER(SEARCH(F2711, Hairstyles!$B:$B))), 1)), "No Spell for Hairstyle"),
  _xlpm.vanillaPrefix, IF(LEFT(_xlpm.spell, 7)="Uvi_Wig", "", ";"),
  ";" &amp; IF(C2711="", B2711, C2711) &amp; IF(M2711="", "", " ("&amp;M2711&amp;")") &amp; CHAR(10) &amp;
  _xlpm.vanillaPrefix &amp; "Keyword = Uvi_Wig_Distr_KYWD|" &amp; B2711 &amp; CHAR(10) &amp;
  _xlpm.vanillaPrefix &amp; "Spell = " &amp; _xlpm.spell &amp; "|" &amp; B2711
  )
)</f>
        <v>;EncForsworn04MissileBretonM04
;Keyword = Uvi_Wig_Distr_KYWD|EncForsworn04MissileBretonM04
;Spell = No Spell for Hairstyle|EncForsworn04MissileBretonM04</v>
      </c>
    </row>
    <row r="2712" ht="12.75" customHeight="1">
      <c r="A2712" s="15" t="s">
        <v>7796</v>
      </c>
      <c r="B2712" s="5" t="s">
        <v>7797</v>
      </c>
      <c r="D2712" s="5" t="s">
        <v>16</v>
      </c>
      <c r="E2712" s="5" t="s">
        <v>233</v>
      </c>
      <c r="F2712" s="5" t="s">
        <v>1622</v>
      </c>
      <c r="G2712" s="14" t="str">
        <f t="array" ref="G2712">IF(B2712="", "",
  LET(_xlpm.spell, IFERROR(IF(F2712="", "", INDEX(_xlws.FILTER(Hairstyles!$F:$F, ISNUMBER(SEARCH(F2712, Hairstyles!$B:$B))), 1)), "No Spell for Hairstyle"),
  _xlpm.vanillaPrefix, IF(LEFT(_xlpm.spell, 7)="Uvi_Wig", "", ";"),
  ";" &amp; IF(C2712="", B2712, C2712) &amp; IF(M2712="", "", " ("&amp;M2712&amp;")") &amp; CHAR(10) &amp;
  _xlpm.vanillaPrefix &amp; "Keyword = Uvi_Wig_Distr_KYWD|" &amp; B2712 &amp; CHAR(10) &amp;
  _xlpm.vanillaPrefix &amp; "Spell = " &amp; _xlpm.spell &amp; "|" &amp; B2712
  )
)</f>
        <v>;EncForsworn05BossMagicBretonM01
;Keyword = Uvi_Wig_Distr_KYWD|EncForsworn05BossMagicBretonM01
;Spell = No Spell for Hairstyle|EncForsworn05BossMagicBretonM01</v>
      </c>
    </row>
    <row r="2713" ht="12.75" customHeight="1">
      <c r="A2713" s="15" t="s">
        <v>7798</v>
      </c>
      <c r="B2713" s="5" t="s">
        <v>7799</v>
      </c>
      <c r="D2713" s="5" t="s">
        <v>16</v>
      </c>
      <c r="E2713" s="5" t="s">
        <v>233</v>
      </c>
      <c r="F2713" s="5" t="s">
        <v>1622</v>
      </c>
      <c r="G2713" s="14" t="str">
        <f t="array" ref="G2713">IF(B2713="", "",
  LET(_xlpm.spell, IFERROR(IF(F2713="", "", INDEX(_xlws.FILTER(Hairstyles!$F:$F, ISNUMBER(SEARCH(F2713, Hairstyles!$B:$B))), 1)), "No Spell for Hairstyle"),
  _xlpm.vanillaPrefix, IF(LEFT(_xlpm.spell, 7)="Uvi_Wig", "", ";"),
  ";" &amp; IF(C2713="", B2713, C2713) &amp; IF(M2713="", "", " ("&amp;M2713&amp;")") &amp; CHAR(10) &amp;
  _xlpm.vanillaPrefix &amp; "Keyword = Uvi_Wig_Distr_KYWD|" &amp; B2713 &amp; CHAR(10) &amp;
  _xlpm.vanillaPrefix &amp; "Spell = " &amp; _xlpm.spell &amp; "|" &amp; B2713
  )
)</f>
        <v>;EncForsworn05BossMagicBretonM02
;Keyword = Uvi_Wig_Distr_KYWD|EncForsworn05BossMagicBretonM02
;Spell = No Spell for Hairstyle|EncForsworn05BossMagicBretonM02</v>
      </c>
    </row>
    <row r="2714" ht="12.75" customHeight="1">
      <c r="A2714" s="15" t="s">
        <v>7800</v>
      </c>
      <c r="B2714" s="5" t="s">
        <v>7801</v>
      </c>
      <c r="D2714" s="5" t="s">
        <v>16</v>
      </c>
      <c r="E2714" s="5" t="s">
        <v>233</v>
      </c>
      <c r="F2714" s="5" t="s">
        <v>234</v>
      </c>
      <c r="G2714" s="14" t="str">
        <f t="array" ref="G2714">IF(B2714="", "",
  LET(_xlpm.spell, IFERROR(IF(F2714="", "", INDEX(_xlws.FILTER(Hairstyles!$F:$F, ISNUMBER(SEARCH(F2714, Hairstyles!$B:$B))), 1)), "No Spell for Hairstyle"),
  _xlpm.vanillaPrefix, IF(LEFT(_xlpm.spell, 7)="Uvi_Wig", "", ";"),
  ";" &amp; IF(C2714="", B2714, C2714) &amp; IF(M2714="", "", " ("&amp;M2714&amp;")") &amp; CHAR(10) &amp;
  _xlpm.vanillaPrefix &amp; "Keyword = Uvi_Wig_Distr_KYWD|" &amp; B2714 &amp; CHAR(10) &amp;
  _xlpm.vanillaPrefix &amp; "Spell = " &amp; _xlpm.spell &amp; "|" &amp; B2714
  )
)</f>
        <v>;EncForsworn05BossMelee1HBretonM01
;Keyword = Uvi_Wig_Distr_KYWD|EncForsworn05BossMelee1HBretonM01
;Spell = No Spell for Hairstyle|EncForsworn05BossMelee1HBretonM01</v>
      </c>
    </row>
    <row r="2715" ht="12.75" customHeight="1">
      <c r="A2715" s="5" t="s">
        <v>7802</v>
      </c>
      <c r="B2715" s="5" t="s">
        <v>7803</v>
      </c>
      <c r="D2715" s="5" t="s">
        <v>16</v>
      </c>
      <c r="E2715" s="5" t="s">
        <v>233</v>
      </c>
      <c r="F2715" s="5" t="s">
        <v>40</v>
      </c>
      <c r="G2715" s="14" t="str">
        <f t="array" ref="G2715">IF(B2715="", "",
  LET(_xlpm.spell, IFERROR(IF(F2715="", "", INDEX(_xlws.FILTER(Hairstyles!$F:$F, ISNUMBER(SEARCH(F2715, Hairstyles!$B:$B))), 1)), "No Spell for Hairstyle"),
  _xlpm.vanillaPrefix, IF(LEFT(_xlpm.spell, 7)="Uvi_Wig", "", ";"),
  ";" &amp; IF(C2715="", B2715, C2715) &amp; IF(M2715="", "", " ("&amp;M2715&amp;")") &amp; CHAR(10) &amp;
  _xlpm.vanillaPrefix &amp; "Keyword = Uvi_Wig_Distr_KYWD|" &amp; B2715 &amp; CHAR(10) &amp;
  _xlpm.vanillaPrefix &amp; "Spell = " &amp; _xlpm.spell &amp; "|" &amp; B2715
  )
)</f>
        <v>;EncForsworn05BossMelee1HBretonM02
;Keyword = Uvi_Wig_Distr_KYWD|EncForsworn05BossMelee1HBretonM02
;Spell = No Spell for Hairstyle|EncForsworn05BossMelee1HBretonM02</v>
      </c>
    </row>
    <row r="2716" ht="12.75" customHeight="1">
      <c r="A2716" s="5" t="s">
        <v>7804</v>
      </c>
      <c r="B2716" s="5" t="s">
        <v>7805</v>
      </c>
      <c r="D2716" s="5" t="s">
        <v>16</v>
      </c>
      <c r="E2716" s="5" t="s">
        <v>233</v>
      </c>
      <c r="F2716" s="5" t="s">
        <v>1622</v>
      </c>
      <c r="G2716" s="14" t="str">
        <f t="array" ref="G2716">IF(B2716="", "",
  LET(_xlpm.spell, IFERROR(IF(F2716="", "", INDEX(_xlws.FILTER(Hairstyles!$F:$F, ISNUMBER(SEARCH(F2716, Hairstyles!$B:$B))), 1)), "No Spell for Hairstyle"),
  _xlpm.vanillaPrefix, IF(LEFT(_xlpm.spell, 7)="Uvi_Wig", "", ";"),
  ";" &amp; IF(C2716="", B2716, C2716) &amp; IF(M2716="", "", " ("&amp;M2716&amp;")") &amp; CHAR(10) &amp;
  _xlpm.vanillaPrefix &amp; "Keyword = Uvi_Wig_Distr_KYWD|" &amp; B2716 &amp; CHAR(10) &amp;
  _xlpm.vanillaPrefix &amp; "Spell = " &amp; _xlpm.spell &amp; "|" &amp; B2716
  )
)</f>
        <v>;EncForsworn05BossMelee1HBretonM03
;Keyword = Uvi_Wig_Distr_KYWD|EncForsworn05BossMelee1HBretonM03
;Spell = No Spell for Hairstyle|EncForsworn05BossMelee1HBretonM03</v>
      </c>
    </row>
    <row r="2717" ht="12.75" customHeight="1">
      <c r="A2717" s="15" t="s">
        <v>7806</v>
      </c>
      <c r="B2717" s="5" t="s">
        <v>7807</v>
      </c>
      <c r="D2717" s="5" t="s">
        <v>16</v>
      </c>
      <c r="E2717" s="5" t="s">
        <v>41</v>
      </c>
      <c r="F2717" s="5" t="s">
        <v>371</v>
      </c>
      <c r="G2717" s="14" t="str">
        <f t="array" ref="G2717">IF(B2717="", "",
  LET(_xlpm.spell, IFERROR(IF(F2717="", "", INDEX(_xlws.FILTER(Hairstyles!$F:$F, ISNUMBER(SEARCH(F2717, Hairstyles!$B:$B))), 1)), "No Spell for Hairstyle"),
  _xlpm.vanillaPrefix, IF(LEFT(_xlpm.spell, 7)="Uvi_Wig", "", ";"),
  ";" &amp; IF(C2717="", B2717, C2717) &amp; IF(M2717="", "", " ("&amp;M2717&amp;")") &amp; CHAR(10) &amp;
  _xlpm.vanillaPrefix &amp; "Keyword = Uvi_Wig_Distr_KYWD|" &amp; B2717 &amp; CHAR(10) &amp;
  _xlpm.vanillaPrefix &amp; "Spell = " &amp; _xlpm.spell &amp; "|" &amp; B2717
  )
)</f>
        <v>;EncForsworn05MagicBretonF01
;Keyword = Uvi_Wig_Distr_KYWD|EncForsworn05MagicBretonF01
;Spell = No Spell for Hairstyle|EncForsworn05MagicBretonF01</v>
      </c>
    </row>
    <row r="2718" ht="12.75" customHeight="1">
      <c r="A2718" s="5" t="s">
        <v>7808</v>
      </c>
      <c r="B2718" s="5" t="s">
        <v>7809</v>
      </c>
      <c r="D2718" s="5" t="s">
        <v>16</v>
      </c>
      <c r="E2718" s="5" t="s">
        <v>41</v>
      </c>
      <c r="F2718" s="5" t="s">
        <v>862</v>
      </c>
      <c r="G2718" s="14" t="str">
        <f t="array" ref="G2718">IF(B2718="", "",
  LET(_xlpm.spell, IFERROR(IF(F2718="", "", INDEX(_xlws.FILTER(Hairstyles!$F:$F, ISNUMBER(SEARCH(F2718, Hairstyles!$B:$B))), 1)), "No Spell for Hairstyle"),
  _xlpm.vanillaPrefix, IF(LEFT(_xlpm.spell, 7)="Uvi_Wig", "", ";"),
  ";" &amp; IF(C2718="", B2718, C2718) &amp; IF(M2718="", "", " ("&amp;M2718&amp;")") &amp; CHAR(10) &amp;
  _xlpm.vanillaPrefix &amp; "Keyword = Uvi_Wig_Distr_KYWD|" &amp; B2718 &amp; CHAR(10) &amp;
  _xlpm.vanillaPrefix &amp; "Spell = " &amp; _xlpm.spell &amp; "|" &amp; B2718
  )
)</f>
        <v>;EncForsworn05MagicBretonF02
;Keyword = Uvi_Wig_Distr_KYWD|EncForsworn05MagicBretonF02
;Spell = No Spell for Hairstyle|EncForsworn05MagicBretonF02</v>
      </c>
    </row>
    <row r="2719" ht="12.75" customHeight="1">
      <c r="A2719" s="5" t="s">
        <v>7810</v>
      </c>
      <c r="B2719" s="5" t="s">
        <v>7811</v>
      </c>
      <c r="D2719" s="5" t="s">
        <v>16</v>
      </c>
      <c r="E2719" s="5" t="s">
        <v>41</v>
      </c>
      <c r="F2719" s="5" t="s">
        <v>905</v>
      </c>
      <c r="G2719" s="14" t="str">
        <f t="array" ref="G2719">IF(B2719="", "",
  LET(_xlpm.spell, IFERROR(IF(F2719="", "", INDEX(_xlws.FILTER(Hairstyles!$F:$F, ISNUMBER(SEARCH(F2719, Hairstyles!$B:$B))), 1)), "No Spell for Hairstyle"),
  _xlpm.vanillaPrefix, IF(LEFT(_xlpm.spell, 7)="Uvi_Wig", "", ";"),
  ";" &amp; IF(C2719="", B2719, C2719) &amp; IF(M2719="", "", " ("&amp;M2719&amp;")") &amp; CHAR(10) &amp;
  _xlpm.vanillaPrefix &amp; "Keyword = Uvi_Wig_Distr_KYWD|" &amp; B2719 &amp; CHAR(10) &amp;
  _xlpm.vanillaPrefix &amp; "Spell = " &amp; _xlpm.spell &amp; "|" &amp; B2719
  )
)</f>
        <v>;EncForsworn05MagicBretonF03
;Keyword = Uvi_Wig_Distr_KYWD|EncForsworn05MagicBretonF03
;Spell = No Spell for Hairstyle|EncForsworn05MagicBretonF03</v>
      </c>
    </row>
    <row r="2720" ht="12.75" customHeight="1">
      <c r="A2720" s="5" t="s">
        <v>7812</v>
      </c>
      <c r="B2720" s="5" t="s">
        <v>7813</v>
      </c>
      <c r="D2720" s="5" t="s">
        <v>16</v>
      </c>
      <c r="E2720" s="5" t="s">
        <v>233</v>
      </c>
      <c r="F2720" s="5" t="s">
        <v>19</v>
      </c>
      <c r="G2720" s="14" t="str">
        <f t="array" ref="G2720">IF(B2720="", "",
  LET(_xlpm.spell, IFERROR(IF(F2720="", "", INDEX(_xlws.FILTER(Hairstyles!$F:$F, ISNUMBER(SEARCH(F2720, Hairstyles!$B:$B))), 1)), "No Spell for Hairstyle"),
  _xlpm.vanillaPrefix, IF(LEFT(_xlpm.spell, 7)="Uvi_Wig", "", ";"),
  ";" &amp; IF(C2720="", B2720, C2720) &amp; IF(M2720="", "", " ("&amp;M2720&amp;")") &amp; CHAR(10) &amp;
  _xlpm.vanillaPrefix &amp; "Keyword = Uvi_Wig_Distr_KYWD|" &amp; B2720 &amp; CHAR(10) &amp;
  _xlpm.vanillaPrefix &amp; "Spell = " &amp; _xlpm.spell &amp; "|" &amp; B2720
  )
)</f>
        <v>;EncForsworn05Melee1HBretonBerserk
;Keyword = Uvi_Wig_Distr_KYWD|EncForsworn05Melee1HBretonBerserk
;Spell = No Spell for Hairstyle|EncForsworn05Melee1HBretonBerserk</v>
      </c>
    </row>
    <row r="2721" ht="12.75" customHeight="1">
      <c r="A2721" s="5" t="s">
        <v>7814</v>
      </c>
      <c r="B2721" s="5" t="s">
        <v>7815</v>
      </c>
      <c r="D2721" s="5" t="s">
        <v>16</v>
      </c>
      <c r="E2721" s="5" t="s">
        <v>41</v>
      </c>
      <c r="F2721" s="5" t="s">
        <v>4628</v>
      </c>
      <c r="G2721" s="14" t="str">
        <f t="array" ref="G2721">IF(B2721="", "",
  LET(_xlpm.spell, IFERROR(IF(F2721="", "", INDEX(_xlws.FILTER(Hairstyles!$F:$F, ISNUMBER(SEARCH(F2721, Hairstyles!$B:$B))), 1)), "No Spell for Hairstyle"),
  _xlpm.vanillaPrefix, IF(LEFT(_xlpm.spell, 7)="Uvi_Wig", "", ";"),
  ";" &amp; IF(C2721="", B2721, C2721) &amp; IF(M2721="", "", " ("&amp;M2721&amp;")") &amp; CHAR(10) &amp;
  _xlpm.vanillaPrefix &amp; "Keyword = Uvi_Wig_Distr_KYWD|" &amp; B2721 &amp; CHAR(10) &amp;
  _xlpm.vanillaPrefix &amp; "Spell = " &amp; _xlpm.spell &amp; "|" &amp; B2721
  )
)</f>
        <v>;EncForsworn05Melee1HBretonF01
;Keyword = Uvi_Wig_Distr_KYWD|EncForsworn05Melee1HBretonF01
;Spell = No Spell for Hairstyle|EncForsworn05Melee1HBretonF01</v>
      </c>
    </row>
    <row r="2722" ht="12.75" customHeight="1">
      <c r="A2722" s="5" t="s">
        <v>7816</v>
      </c>
      <c r="B2722" s="5" t="s">
        <v>7817</v>
      </c>
      <c r="D2722" s="5" t="s">
        <v>16</v>
      </c>
      <c r="E2722" s="5" t="s">
        <v>41</v>
      </c>
      <c r="F2722" s="5" t="s">
        <v>1759</v>
      </c>
      <c r="G2722" s="14" t="str">
        <f t="array" ref="G2722">IF(B2722="", "",
  LET(_xlpm.spell, IFERROR(IF(F2722="", "", INDEX(_xlws.FILTER(Hairstyles!$F:$F, ISNUMBER(SEARCH(F2722, Hairstyles!$B:$B))), 1)), "No Spell for Hairstyle"),
  _xlpm.vanillaPrefix, IF(LEFT(_xlpm.spell, 7)="Uvi_Wig", "", ";"),
  ";" &amp; IF(C2722="", B2722, C2722) &amp; IF(M2722="", "", " ("&amp;M2722&amp;")") &amp; CHAR(10) &amp;
  _xlpm.vanillaPrefix &amp; "Keyword = Uvi_Wig_Distr_KYWD|" &amp; B2722 &amp; CHAR(10) &amp;
  _xlpm.vanillaPrefix &amp; "Spell = " &amp; _xlpm.spell &amp; "|" &amp; B2722
  )
)</f>
        <v>;EncForsworn05Melee1HBretonF02
;Keyword = Uvi_Wig_Distr_KYWD|EncForsworn05Melee1HBretonF02
;Spell = No Spell for Hairstyle|EncForsworn05Melee1HBretonF02</v>
      </c>
    </row>
    <row r="2723" ht="12.75" customHeight="1">
      <c r="A2723" s="5" t="s">
        <v>7818</v>
      </c>
      <c r="B2723" s="5" t="s">
        <v>7819</v>
      </c>
      <c r="D2723" s="5" t="s">
        <v>16</v>
      </c>
      <c r="E2723" s="5" t="s">
        <v>41</v>
      </c>
      <c r="F2723" s="5" t="s">
        <v>5982</v>
      </c>
      <c r="G2723" s="14" t="str">
        <f t="array" ref="G2723">IF(B2723="", "",
  LET(_xlpm.spell, IFERROR(IF(F2723="", "", INDEX(_xlws.FILTER(Hairstyles!$F:$F, ISNUMBER(SEARCH(F2723, Hairstyles!$B:$B))), 1)), "No Spell for Hairstyle"),
  _xlpm.vanillaPrefix, IF(LEFT(_xlpm.spell, 7)="Uvi_Wig", "", ";"),
  ";" &amp; IF(C2723="", B2723, C2723) &amp; IF(M2723="", "", " ("&amp;M2723&amp;")") &amp; CHAR(10) &amp;
  _xlpm.vanillaPrefix &amp; "Keyword = Uvi_Wig_Distr_KYWD|" &amp; B2723 &amp; CHAR(10) &amp;
  _xlpm.vanillaPrefix &amp; "Spell = " &amp; _xlpm.spell &amp; "|" &amp; B2723
  )
)</f>
        <v>;EncForsworn05Melee1HBretonF03
;Keyword = Uvi_Wig_Distr_KYWD|EncForsworn05Melee1HBretonF03
;Spell = No Spell for Hairstyle|EncForsworn05Melee1HBretonF03</v>
      </c>
    </row>
    <row r="2724" ht="12.75" customHeight="1">
      <c r="A2724" s="5" t="s">
        <v>7820</v>
      </c>
      <c r="B2724" s="5" t="s">
        <v>7821</v>
      </c>
      <c r="D2724" s="5" t="s">
        <v>16</v>
      </c>
      <c r="E2724" s="5" t="s">
        <v>233</v>
      </c>
      <c r="F2724" s="5" t="s">
        <v>84</v>
      </c>
      <c r="G2724" s="14" t="str">
        <f t="array" ref="G2724">IF(B2724="", "",
  LET(_xlpm.spell, IFERROR(IF(F2724="", "", INDEX(_xlws.FILTER(Hairstyles!$F:$F, ISNUMBER(SEARCH(F2724, Hairstyles!$B:$B))), 1)), "No Spell for Hairstyle"),
  _xlpm.vanillaPrefix, IF(LEFT(_xlpm.spell, 7)="Uvi_Wig", "", ";"),
  ";" &amp; IF(C2724="", B2724, C2724) &amp; IF(M2724="", "", " ("&amp;M2724&amp;")") &amp; CHAR(10) &amp;
  _xlpm.vanillaPrefix &amp; "Keyword = Uvi_Wig_Distr_KYWD|" &amp; B2724 &amp; CHAR(10) &amp;
  _xlpm.vanillaPrefix &amp; "Spell = " &amp; _xlpm.spell &amp; "|" &amp; B2724
  )
)</f>
        <v>;EncForsworn05Melee1HBretonM01
;Keyword = Uvi_Wig_Distr_KYWD|EncForsworn05Melee1HBretonM01
;Spell = No Spell for Hairstyle|EncForsworn05Melee1HBretonM01</v>
      </c>
    </row>
    <row r="2725" ht="12.75" customHeight="1">
      <c r="A2725" s="15" t="s">
        <v>7822</v>
      </c>
      <c r="B2725" s="5" t="s">
        <v>7823</v>
      </c>
      <c r="D2725" s="5" t="s">
        <v>16</v>
      </c>
      <c r="E2725" s="5" t="s">
        <v>233</v>
      </c>
      <c r="F2725" s="5" t="s">
        <v>990</v>
      </c>
      <c r="G2725" s="14" t="str">
        <f t="array" ref="G2725">IF(B2725="", "",
  LET(_xlpm.spell, IFERROR(IF(F2725="", "", INDEX(_xlws.FILTER(Hairstyles!$F:$F, ISNUMBER(SEARCH(F2725, Hairstyles!$B:$B))), 1)), "No Spell for Hairstyle"),
  _xlpm.vanillaPrefix, IF(LEFT(_xlpm.spell, 7)="Uvi_Wig", "", ";"),
  ";" &amp; IF(C2725="", B2725, C2725) &amp; IF(M2725="", "", " ("&amp;M2725&amp;")") &amp; CHAR(10) &amp;
  _xlpm.vanillaPrefix &amp; "Keyword = Uvi_Wig_Distr_KYWD|" &amp; B2725 &amp; CHAR(10) &amp;
  _xlpm.vanillaPrefix &amp; "Spell = " &amp; _xlpm.spell &amp; "|" &amp; B2725
  )
)</f>
        <v>;EncForsworn05Melee1HBretonM02
;Keyword = Uvi_Wig_Distr_KYWD|EncForsworn05Melee1HBretonM02
;Spell = No Spell for Hairstyle|EncForsworn05Melee1HBretonM02</v>
      </c>
    </row>
    <row r="2726" ht="12.75" customHeight="1">
      <c r="A2726" s="15" t="s">
        <v>7824</v>
      </c>
      <c r="B2726" s="5" t="s">
        <v>7825</v>
      </c>
      <c r="D2726" s="5" t="s">
        <v>16</v>
      </c>
      <c r="E2726" s="5" t="s">
        <v>233</v>
      </c>
      <c r="F2726" s="5" t="s">
        <v>424</v>
      </c>
      <c r="G2726" s="14" t="str">
        <f t="array" ref="G2726">IF(B2726="", "",
  LET(_xlpm.spell, IFERROR(IF(F2726="", "", INDEX(_xlws.FILTER(Hairstyles!$F:$F, ISNUMBER(SEARCH(F2726, Hairstyles!$B:$B))), 1)), "No Spell for Hairstyle"),
  _xlpm.vanillaPrefix, IF(LEFT(_xlpm.spell, 7)="Uvi_Wig", "", ";"),
  ";" &amp; IF(C2726="", B2726, C2726) &amp; IF(M2726="", "", " ("&amp;M2726&amp;")") &amp; CHAR(10) &amp;
  _xlpm.vanillaPrefix &amp; "Keyword = Uvi_Wig_Distr_KYWD|" &amp; B2726 &amp; CHAR(10) &amp;
  _xlpm.vanillaPrefix &amp; "Spell = " &amp; _xlpm.spell &amp; "|" &amp; B2726
  )
)</f>
        <v>;EncForsworn05Melee1HBretonM03
;Keyword = Uvi_Wig_Distr_KYWD|EncForsworn05Melee1HBretonM03
;Spell = No Spell for Hairstyle|EncForsworn05Melee1HBretonM03</v>
      </c>
    </row>
    <row r="2727" ht="12.75" customHeight="1">
      <c r="A2727" s="5" t="s">
        <v>7826</v>
      </c>
      <c r="B2727" s="5" t="s">
        <v>7827</v>
      </c>
      <c r="D2727" s="5" t="s">
        <v>16</v>
      </c>
      <c r="E2727" s="5" t="s">
        <v>233</v>
      </c>
      <c r="F2727" s="5" t="s">
        <v>695</v>
      </c>
      <c r="G2727" s="14" t="str">
        <f t="array" ref="G2727">IF(B2727="", "",
  LET(_xlpm.spell, IFERROR(IF(F2727="", "", INDEX(_xlws.FILTER(Hairstyles!$F:$F, ISNUMBER(SEARCH(F2727, Hairstyles!$B:$B))), 1)), "No Spell for Hairstyle"),
  _xlpm.vanillaPrefix, IF(LEFT(_xlpm.spell, 7)="Uvi_Wig", "", ";"),
  ";" &amp; IF(C2727="", B2727, C2727) &amp; IF(M2727="", "", " ("&amp;M2727&amp;")") &amp; CHAR(10) &amp;
  _xlpm.vanillaPrefix &amp; "Keyword = Uvi_Wig_Distr_KYWD|" &amp; B2727 &amp; CHAR(10) &amp;
  _xlpm.vanillaPrefix &amp; "Spell = " &amp; _xlpm.spell &amp; "|" &amp; B2727
  )
)</f>
        <v>;EncForsworn05Melee1HBretonM04
;Keyword = Uvi_Wig_Distr_KYWD|EncForsworn05Melee1HBretonM04
;Spell = No Spell for Hairstyle|EncForsworn05Melee1HBretonM04</v>
      </c>
    </row>
    <row r="2728" ht="12.75" customHeight="1">
      <c r="A2728" s="15" t="s">
        <v>7828</v>
      </c>
      <c r="B2728" s="5" t="s">
        <v>7829</v>
      </c>
      <c r="D2728" s="5" t="s">
        <v>16</v>
      </c>
      <c r="E2728" s="5" t="s">
        <v>41</v>
      </c>
      <c r="F2728" s="5" t="s">
        <v>1041</v>
      </c>
      <c r="G2728" s="14" t="str">
        <f t="array" ref="G2728">IF(B2728="", "",
  LET(_xlpm.spell, IFERROR(IF(F2728="", "", INDEX(_xlws.FILTER(Hairstyles!$F:$F, ISNUMBER(SEARCH(F2728, Hairstyles!$B:$B))), 1)), "No Spell for Hairstyle"),
  _xlpm.vanillaPrefix, IF(LEFT(_xlpm.spell, 7)="Uvi_Wig", "", ";"),
  ";" &amp; IF(C2728="", B2728, C2728) &amp; IF(M2728="", "", " ("&amp;M2728&amp;")") &amp; CHAR(10) &amp;
  _xlpm.vanillaPrefix &amp; "Keyword = Uvi_Wig_Distr_KYWD|" &amp; B2728 &amp; CHAR(10) &amp;
  _xlpm.vanillaPrefix &amp; "Spell = " &amp; _xlpm.spell &amp; "|" &amp; B2728
  )
)</f>
        <v>;EncForsworn05MissileBretonF01
;Keyword = Uvi_Wig_Distr_KYWD|EncForsworn05MissileBretonF01
;Spell = No Spell for Hairstyle|EncForsworn05MissileBretonF01</v>
      </c>
    </row>
    <row r="2729" ht="12.75" customHeight="1">
      <c r="A2729" s="15" t="s">
        <v>7830</v>
      </c>
      <c r="B2729" s="5" t="s">
        <v>7831</v>
      </c>
      <c r="D2729" s="5" t="s">
        <v>16</v>
      </c>
      <c r="E2729" s="5" t="s">
        <v>41</v>
      </c>
      <c r="F2729" s="5" t="s">
        <v>1596</v>
      </c>
      <c r="G2729" s="14" t="str">
        <f t="array" ref="G2729">IF(B2729="", "",
  LET(_xlpm.spell, IFERROR(IF(F2729="", "", INDEX(_xlws.FILTER(Hairstyles!$F:$F, ISNUMBER(SEARCH(F2729, Hairstyles!$B:$B))), 1)), "No Spell for Hairstyle"),
  _xlpm.vanillaPrefix, IF(LEFT(_xlpm.spell, 7)="Uvi_Wig", "", ";"),
  ";" &amp; IF(C2729="", B2729, C2729) &amp; IF(M2729="", "", " ("&amp;M2729&amp;")") &amp; CHAR(10) &amp;
  _xlpm.vanillaPrefix &amp; "Keyword = Uvi_Wig_Distr_KYWD|" &amp; B2729 &amp; CHAR(10) &amp;
  _xlpm.vanillaPrefix &amp; "Spell = " &amp; _xlpm.spell &amp; "|" &amp; B2729
  )
)</f>
        <v>;EncForsworn05MissileBretonF02
;Keyword = Uvi_Wig_Distr_KYWD|EncForsworn05MissileBretonF02
;Spell = No Spell for Hairstyle|EncForsworn05MissileBretonF02</v>
      </c>
    </row>
    <row r="2730" ht="12.75" customHeight="1">
      <c r="A2730" s="15" t="s">
        <v>7832</v>
      </c>
      <c r="B2730" s="5" t="s">
        <v>7833</v>
      </c>
      <c r="D2730" s="5" t="s">
        <v>16</v>
      </c>
      <c r="E2730" s="5" t="s">
        <v>41</v>
      </c>
      <c r="F2730" s="5" t="s">
        <v>1759</v>
      </c>
      <c r="G2730" s="14" t="str">
        <f t="array" ref="G2730">IF(B2730="", "",
  LET(_xlpm.spell, IFERROR(IF(F2730="", "", INDEX(_xlws.FILTER(Hairstyles!$F:$F, ISNUMBER(SEARCH(F2730, Hairstyles!$B:$B))), 1)), "No Spell for Hairstyle"),
  _xlpm.vanillaPrefix, IF(LEFT(_xlpm.spell, 7)="Uvi_Wig", "", ";"),
  ";" &amp; IF(C2730="", B2730, C2730) &amp; IF(M2730="", "", " ("&amp;M2730&amp;")") &amp; CHAR(10) &amp;
  _xlpm.vanillaPrefix &amp; "Keyword = Uvi_Wig_Distr_KYWD|" &amp; B2730 &amp; CHAR(10) &amp;
  _xlpm.vanillaPrefix &amp; "Spell = " &amp; _xlpm.spell &amp; "|" &amp; B2730
  )
)</f>
        <v>;EncForsworn05MissileBretonF03
;Keyword = Uvi_Wig_Distr_KYWD|EncForsworn05MissileBretonF03
;Spell = No Spell for Hairstyle|EncForsworn05MissileBretonF03</v>
      </c>
    </row>
    <row r="2731" ht="12.75" customHeight="1">
      <c r="A2731" s="15" t="s">
        <v>7834</v>
      </c>
      <c r="B2731" s="5" t="s">
        <v>7835</v>
      </c>
      <c r="D2731" s="5" t="s">
        <v>16</v>
      </c>
      <c r="E2731" s="5" t="s">
        <v>233</v>
      </c>
      <c r="F2731" s="5" t="s">
        <v>1088</v>
      </c>
      <c r="G2731" s="14" t="str">
        <f t="array" ref="G2731">IF(B2731="", "",
  LET(_xlpm.spell, IFERROR(IF(F2731="", "", INDEX(_xlws.FILTER(Hairstyles!$F:$F, ISNUMBER(SEARCH(F2731, Hairstyles!$B:$B))), 1)), "No Spell for Hairstyle"),
  _xlpm.vanillaPrefix, IF(LEFT(_xlpm.spell, 7)="Uvi_Wig", "", ";"),
  ";" &amp; IF(C2731="", B2731, C2731) &amp; IF(M2731="", "", " ("&amp;M2731&amp;")") &amp; CHAR(10) &amp;
  _xlpm.vanillaPrefix &amp; "Keyword = Uvi_Wig_Distr_KYWD|" &amp; B2731 &amp; CHAR(10) &amp;
  _xlpm.vanillaPrefix &amp; "Spell = " &amp; _xlpm.spell &amp; "|" &amp; B2731
  )
)</f>
        <v>;EncForsworn05MissileBretonM01
;Keyword = Uvi_Wig_Distr_KYWD|EncForsworn05MissileBretonM01
;Spell = No Spell for Hairstyle|EncForsworn05MissileBretonM01</v>
      </c>
    </row>
    <row r="2732" ht="12.75" customHeight="1">
      <c r="A2732" s="15" t="s">
        <v>7836</v>
      </c>
      <c r="B2732" s="5" t="s">
        <v>7837</v>
      </c>
      <c r="D2732" s="5" t="s">
        <v>16</v>
      </c>
      <c r="E2732" s="5" t="s">
        <v>233</v>
      </c>
      <c r="F2732" s="5" t="s">
        <v>1566</v>
      </c>
      <c r="G2732" s="14" t="str">
        <f t="array" ref="G2732">IF(B2732="", "",
  LET(_xlpm.spell, IFERROR(IF(F2732="", "", INDEX(_xlws.FILTER(Hairstyles!$F:$F, ISNUMBER(SEARCH(F2732, Hairstyles!$B:$B))), 1)), "No Spell for Hairstyle"),
  _xlpm.vanillaPrefix, IF(LEFT(_xlpm.spell, 7)="Uvi_Wig", "", ";"),
  ";" &amp; IF(C2732="", B2732, C2732) &amp; IF(M2732="", "", " ("&amp;M2732&amp;")") &amp; CHAR(10) &amp;
  _xlpm.vanillaPrefix &amp; "Keyword = Uvi_Wig_Distr_KYWD|" &amp; B2732 &amp; CHAR(10) &amp;
  _xlpm.vanillaPrefix &amp; "Spell = " &amp; _xlpm.spell &amp; "|" &amp; B2732
  )
)</f>
        <v>;EncForsworn05MissileBretonM02
;Keyword = Uvi_Wig_Distr_KYWD|EncForsworn05MissileBretonM02
;Spell = No Spell for Hairstyle|EncForsworn05MissileBretonM02</v>
      </c>
    </row>
    <row r="2733" ht="12.75" customHeight="1">
      <c r="A2733" s="15" t="s">
        <v>7838</v>
      </c>
      <c r="B2733" s="5" t="s">
        <v>7839</v>
      </c>
      <c r="D2733" s="5" t="s">
        <v>16</v>
      </c>
      <c r="E2733" s="5" t="s">
        <v>233</v>
      </c>
      <c r="F2733" s="5" t="s">
        <v>40</v>
      </c>
      <c r="G2733" s="14" t="str">
        <f t="array" ref="G2733">IF(B2733="", "",
  LET(_xlpm.spell, IFERROR(IF(F2733="", "", INDEX(_xlws.FILTER(Hairstyles!$F:$F, ISNUMBER(SEARCH(F2733, Hairstyles!$B:$B))), 1)), "No Spell for Hairstyle"),
  _xlpm.vanillaPrefix, IF(LEFT(_xlpm.spell, 7)="Uvi_Wig", "", ";"),
  ";" &amp; IF(C2733="", B2733, C2733) &amp; IF(M2733="", "", " ("&amp;M2733&amp;")") &amp; CHAR(10) &amp;
  _xlpm.vanillaPrefix &amp; "Keyword = Uvi_Wig_Distr_KYWD|" &amp; B2733 &amp; CHAR(10) &amp;
  _xlpm.vanillaPrefix &amp; "Spell = " &amp; _xlpm.spell &amp; "|" &amp; B2733
  )
)</f>
        <v>;EncForsworn05MissileBretonM03
;Keyword = Uvi_Wig_Distr_KYWD|EncForsworn05MissileBretonM03
;Spell = No Spell for Hairstyle|EncForsworn05MissileBretonM03</v>
      </c>
    </row>
    <row r="2734" ht="12.75" customHeight="1">
      <c r="A2734" s="5" t="s">
        <v>7840</v>
      </c>
      <c r="B2734" s="5" t="s">
        <v>7841</v>
      </c>
      <c r="D2734" s="5" t="s">
        <v>16</v>
      </c>
      <c r="E2734" s="5" t="s">
        <v>233</v>
      </c>
      <c r="F2734" s="5" t="s">
        <v>475</v>
      </c>
      <c r="G2734" s="14" t="str">
        <f t="array" ref="G2734">IF(B2734="", "",
  LET(_xlpm.spell, IFERROR(IF(F2734="", "", INDEX(_xlws.FILTER(Hairstyles!$F:$F, ISNUMBER(SEARCH(F2734, Hairstyles!$B:$B))), 1)), "No Spell for Hairstyle"),
  _xlpm.vanillaPrefix, IF(LEFT(_xlpm.spell, 7)="Uvi_Wig", "", ";"),
  ";" &amp; IF(C2734="", B2734, C2734) &amp; IF(M2734="", "", " ("&amp;M2734&amp;")") &amp; CHAR(10) &amp;
  _xlpm.vanillaPrefix &amp; "Keyword = Uvi_Wig_Distr_KYWD|" &amp; B2734 &amp; CHAR(10) &amp;
  _xlpm.vanillaPrefix &amp; "Spell = " &amp; _xlpm.spell &amp; "|" &amp; B2734
  )
)</f>
        <v>;EncForsworn05MissileBretonM04
;Keyword = Uvi_Wig_Distr_KYWD|EncForsworn05MissileBretonM04
;Spell = No Spell for Hairstyle|EncForsworn05MissileBretonM04</v>
      </c>
    </row>
    <row r="2735" ht="12.75" customHeight="1">
      <c r="A2735" s="5" t="s">
        <v>7842</v>
      </c>
      <c r="B2735" s="5" t="s">
        <v>7843</v>
      </c>
      <c r="D2735" s="5" t="s">
        <v>16</v>
      </c>
      <c r="E2735" s="5" t="s">
        <v>233</v>
      </c>
      <c r="F2735" s="5" t="s">
        <v>218</v>
      </c>
      <c r="G2735" s="14" t="str">
        <f t="array" ref="G2735">IF(B2735="", "",
  LET(_xlpm.spell, IFERROR(IF(F2735="", "", INDEX(_xlws.FILTER(Hairstyles!$F:$F, ISNUMBER(SEARCH(F2735, Hairstyles!$B:$B))), 1)), "No Spell for Hairstyle"),
  _xlpm.vanillaPrefix, IF(LEFT(_xlpm.spell, 7)="Uvi_Wig", "", ";"),
  ";" &amp; IF(C2735="", B2735, C2735) &amp; IF(M2735="", "", " ("&amp;M2735&amp;")") &amp; CHAR(10) &amp;
  _xlpm.vanillaPrefix &amp; "Keyword = Uvi_Wig_Distr_KYWD|" &amp; B2735 &amp; CHAR(10) &amp;
  _xlpm.vanillaPrefix &amp; "Spell = " &amp; _xlpm.spell &amp; "|" &amp; B2735
  )
)</f>
        <v>;EncForsworn06BossMagicBretonM01
;Keyword = Uvi_Wig_Distr_KYWD|EncForsworn06BossMagicBretonM01
;Spell = No Spell for Hairstyle|EncForsworn06BossMagicBretonM01</v>
      </c>
    </row>
    <row r="2736" ht="12.75" customHeight="1">
      <c r="A2736" s="5" t="s">
        <v>7844</v>
      </c>
      <c r="B2736" s="5" t="s">
        <v>7845</v>
      </c>
      <c r="D2736" s="5" t="s">
        <v>16</v>
      </c>
      <c r="E2736" s="5" t="s">
        <v>233</v>
      </c>
      <c r="F2736" s="5" t="s">
        <v>1906</v>
      </c>
      <c r="G2736" s="14" t="str">
        <f t="array" ref="G2736">IF(B2736="", "",
  LET(_xlpm.spell, IFERROR(IF(F2736="", "", INDEX(_xlws.FILTER(Hairstyles!$F:$F, ISNUMBER(SEARCH(F2736, Hairstyles!$B:$B))), 1)), "No Spell for Hairstyle"),
  _xlpm.vanillaPrefix, IF(LEFT(_xlpm.spell, 7)="Uvi_Wig", "", ";"),
  ";" &amp; IF(C2736="", B2736, C2736) &amp; IF(M2736="", "", " ("&amp;M2736&amp;")") &amp; CHAR(10) &amp;
  _xlpm.vanillaPrefix &amp; "Keyword = Uvi_Wig_Distr_KYWD|" &amp; B2736 &amp; CHAR(10) &amp;
  _xlpm.vanillaPrefix &amp; "Spell = " &amp; _xlpm.spell &amp; "|" &amp; B2736
  )
)</f>
        <v>;EncForsworn06BossMagicBretonM02
;Keyword = Uvi_Wig_Distr_KYWD|EncForsworn06BossMagicBretonM02
;Spell = No Spell for Hairstyle|EncForsworn06BossMagicBretonM02</v>
      </c>
    </row>
    <row r="2737" ht="12.75" customHeight="1">
      <c r="A2737" s="5" t="s">
        <v>7846</v>
      </c>
      <c r="B2737" s="5" t="s">
        <v>7847</v>
      </c>
      <c r="D2737" s="5" t="s">
        <v>16</v>
      </c>
      <c r="E2737" s="5" t="s">
        <v>233</v>
      </c>
      <c r="F2737" s="5" t="s">
        <v>218</v>
      </c>
      <c r="G2737" s="14" t="str">
        <f t="array" ref="G2737">IF(B2737="", "",
  LET(_xlpm.spell, IFERROR(IF(F2737="", "", INDEX(_xlws.FILTER(Hairstyles!$F:$F, ISNUMBER(SEARCH(F2737, Hairstyles!$B:$B))), 1)), "No Spell for Hairstyle"),
  _xlpm.vanillaPrefix, IF(LEFT(_xlpm.spell, 7)="Uvi_Wig", "", ";"),
  ";" &amp; IF(C2737="", B2737, C2737) &amp; IF(M2737="", "", " ("&amp;M2737&amp;")") &amp; CHAR(10) &amp;
  _xlpm.vanillaPrefix &amp; "Keyword = Uvi_Wig_Distr_KYWD|" &amp; B2737 &amp; CHAR(10) &amp;
  _xlpm.vanillaPrefix &amp; "Spell = " &amp; _xlpm.spell &amp; "|" &amp; B2737
  )
)</f>
        <v>;EncForsworn06BossMagicBretonM03
;Keyword = Uvi_Wig_Distr_KYWD|EncForsworn06BossMagicBretonM03
;Spell = No Spell for Hairstyle|EncForsworn06BossMagicBretonM03</v>
      </c>
    </row>
    <row r="2738" ht="12.75" customHeight="1">
      <c r="A2738" s="5" t="s">
        <v>7848</v>
      </c>
      <c r="B2738" s="5" t="s">
        <v>7849</v>
      </c>
      <c r="D2738" s="5" t="s">
        <v>16</v>
      </c>
      <c r="E2738" s="5" t="s">
        <v>233</v>
      </c>
      <c r="F2738" s="5" t="s">
        <v>1622</v>
      </c>
      <c r="G2738" s="14" t="str">
        <f t="array" ref="G2738">IF(B2738="", "",
  LET(_xlpm.spell, IFERROR(IF(F2738="", "", INDEX(_xlws.FILTER(Hairstyles!$F:$F, ISNUMBER(SEARCH(F2738, Hairstyles!$B:$B))), 1)), "No Spell for Hairstyle"),
  _xlpm.vanillaPrefix, IF(LEFT(_xlpm.spell, 7)="Uvi_Wig", "", ";"),
  ";" &amp; IF(C2738="", B2738, C2738) &amp; IF(M2738="", "", " ("&amp;M2738&amp;")") &amp; CHAR(10) &amp;
  _xlpm.vanillaPrefix &amp; "Keyword = Uvi_Wig_Distr_KYWD|" &amp; B2738 &amp; CHAR(10) &amp;
  _xlpm.vanillaPrefix &amp; "Spell = " &amp; _xlpm.spell &amp; "|" &amp; B2738
  )
)</f>
        <v>;EncForsworn06BossMelee1HBretonM01
;Keyword = Uvi_Wig_Distr_KYWD|EncForsworn06BossMelee1HBretonM01
;Spell = No Spell for Hairstyle|EncForsworn06BossMelee1HBretonM01</v>
      </c>
    </row>
    <row r="2739" ht="12.75" customHeight="1">
      <c r="A2739" s="5" t="s">
        <v>7850</v>
      </c>
      <c r="B2739" s="5" t="s">
        <v>7851</v>
      </c>
      <c r="D2739" s="5" t="s">
        <v>16</v>
      </c>
      <c r="E2739" s="5" t="s">
        <v>233</v>
      </c>
      <c r="F2739" s="5" t="s">
        <v>1622</v>
      </c>
      <c r="G2739" s="14" t="str">
        <f t="array" ref="G2739">IF(B2739="", "",
  LET(_xlpm.spell, IFERROR(IF(F2739="", "", INDEX(_xlws.FILTER(Hairstyles!$F:$F, ISNUMBER(SEARCH(F2739, Hairstyles!$B:$B))), 1)), "No Spell for Hairstyle"),
  _xlpm.vanillaPrefix, IF(LEFT(_xlpm.spell, 7)="Uvi_Wig", "", ";"),
  ";" &amp; IF(C2739="", B2739, C2739) &amp; IF(M2739="", "", " ("&amp;M2739&amp;")") &amp; CHAR(10) &amp;
  _xlpm.vanillaPrefix &amp; "Keyword = Uvi_Wig_Distr_KYWD|" &amp; B2739 &amp; CHAR(10) &amp;
  _xlpm.vanillaPrefix &amp; "Spell = " &amp; _xlpm.spell &amp; "|" &amp; B2739
  )
)</f>
        <v>;EncForsworn06BossMelee1HBretonM02
;Keyword = Uvi_Wig_Distr_KYWD|EncForsworn06BossMelee1HBretonM02
;Spell = No Spell for Hairstyle|EncForsworn06BossMelee1HBretonM02</v>
      </c>
    </row>
    <row r="2740" ht="12.75" customHeight="1">
      <c r="A2740" s="5" t="s">
        <v>7852</v>
      </c>
      <c r="B2740" s="5" t="s">
        <v>7853</v>
      </c>
      <c r="D2740" s="5" t="s">
        <v>16</v>
      </c>
      <c r="E2740" s="5" t="s">
        <v>233</v>
      </c>
      <c r="F2740" s="5" t="s">
        <v>1553</v>
      </c>
      <c r="G2740" s="14" t="str">
        <f t="array" ref="G2740">IF(B2740="", "",
  LET(_xlpm.spell, IFERROR(IF(F2740="", "", INDEX(_xlws.FILTER(Hairstyles!$F:$F, ISNUMBER(SEARCH(F2740, Hairstyles!$B:$B))), 1)), "No Spell for Hairstyle"),
  _xlpm.vanillaPrefix, IF(LEFT(_xlpm.spell, 7)="Uvi_Wig", "", ";"),
  ";" &amp; IF(C2740="", B2740, C2740) &amp; IF(M2740="", "", " ("&amp;M2740&amp;")") &amp; CHAR(10) &amp;
  _xlpm.vanillaPrefix &amp; "Keyword = Uvi_Wig_Distr_KYWD|" &amp; B2740 &amp; CHAR(10) &amp;
  _xlpm.vanillaPrefix &amp; "Spell = " &amp; _xlpm.spell &amp; "|" &amp; B2740
  )
)</f>
        <v>;EncForsworn06BossMelee1HBretonM03
;Keyword = Uvi_Wig_Distr_KYWD|EncForsworn06BossMelee1HBretonM03
;Spell = No Spell for Hairstyle|EncForsworn06BossMelee1HBretonM03</v>
      </c>
    </row>
    <row r="2741" ht="12.75" customHeight="1">
      <c r="A2741" s="5" t="s">
        <v>7854</v>
      </c>
      <c r="B2741" s="5" t="s">
        <v>7855</v>
      </c>
      <c r="D2741" s="5" t="s">
        <v>16</v>
      </c>
      <c r="E2741" s="5" t="s">
        <v>41</v>
      </c>
      <c r="F2741" s="5" t="s">
        <v>22</v>
      </c>
      <c r="G2741" s="14" t="str">
        <f t="array" ref="G2741">IF(B2741="", "",
  LET(_xlpm.spell, IFERROR(IF(F2741="", "", INDEX(_xlws.FILTER(Hairstyles!$F:$F, ISNUMBER(SEARCH(F2741, Hairstyles!$B:$B))), 1)), "No Spell for Hairstyle"),
  _xlpm.vanillaPrefix, IF(LEFT(_xlpm.spell, 7)="Uvi_Wig", "", ";"),
  ";" &amp; IF(C2741="", B2741, C2741) &amp; IF(M2741="", "", " ("&amp;M2741&amp;")") &amp; CHAR(10) &amp;
  _xlpm.vanillaPrefix &amp; "Keyword = Uvi_Wig_Distr_KYWD|" &amp; B2741 &amp; CHAR(10) &amp;
  _xlpm.vanillaPrefix &amp; "Spell = " &amp; _xlpm.spell &amp; "|" &amp; B2741
  )
)</f>
        <v>;EncForsworn06MagicBretonF01
;Keyword = Uvi_Wig_Distr_KYWD|EncForsworn06MagicBretonF01
;Spell = No Spell for Hairstyle|EncForsworn06MagicBretonF01</v>
      </c>
    </row>
    <row r="2742" ht="12.75" customHeight="1">
      <c r="A2742" s="5" t="s">
        <v>7856</v>
      </c>
      <c r="B2742" s="5" t="s">
        <v>7857</v>
      </c>
      <c r="D2742" s="5" t="s">
        <v>16</v>
      </c>
      <c r="E2742" s="5" t="s">
        <v>41</v>
      </c>
      <c r="F2742" s="5" t="s">
        <v>22</v>
      </c>
      <c r="G2742" s="14" t="str">
        <f t="array" ref="G2742">IF(B2742="", "",
  LET(_xlpm.spell, IFERROR(IF(F2742="", "", INDEX(_xlws.FILTER(Hairstyles!$F:$F, ISNUMBER(SEARCH(F2742, Hairstyles!$B:$B))), 1)), "No Spell for Hairstyle"),
  _xlpm.vanillaPrefix, IF(LEFT(_xlpm.spell, 7)="Uvi_Wig", "", ";"),
  ";" &amp; IF(C2742="", B2742, C2742) &amp; IF(M2742="", "", " ("&amp;M2742&amp;")") &amp; CHAR(10) &amp;
  _xlpm.vanillaPrefix &amp; "Keyword = Uvi_Wig_Distr_KYWD|" &amp; B2742 &amp; CHAR(10) &amp;
  _xlpm.vanillaPrefix &amp; "Spell = " &amp; _xlpm.spell &amp; "|" &amp; B2742
  )
)</f>
        <v>;EncForsworn06MagicBretonF02
;Keyword = Uvi_Wig_Distr_KYWD|EncForsworn06MagicBretonF02
;Spell = No Spell for Hairstyle|EncForsworn06MagicBretonF02</v>
      </c>
    </row>
    <row r="2743" ht="12.75" customHeight="1">
      <c r="A2743" s="5" t="s">
        <v>7858</v>
      </c>
      <c r="B2743" s="5" t="s">
        <v>7859</v>
      </c>
      <c r="D2743" s="5" t="s">
        <v>16</v>
      </c>
      <c r="E2743" s="5" t="s">
        <v>41</v>
      </c>
      <c r="F2743" s="5" t="s">
        <v>22</v>
      </c>
      <c r="G2743" s="14" t="str">
        <f t="array" ref="G2743">IF(B2743="", "",
  LET(_xlpm.spell, IFERROR(IF(F2743="", "", INDEX(_xlws.FILTER(Hairstyles!$F:$F, ISNUMBER(SEARCH(F2743, Hairstyles!$B:$B))), 1)), "No Spell for Hairstyle"),
  _xlpm.vanillaPrefix, IF(LEFT(_xlpm.spell, 7)="Uvi_Wig", "", ";"),
  ";" &amp; IF(C2743="", B2743, C2743) &amp; IF(M2743="", "", " ("&amp;M2743&amp;")") &amp; CHAR(10) &amp;
  _xlpm.vanillaPrefix &amp; "Keyword = Uvi_Wig_Distr_KYWD|" &amp; B2743 &amp; CHAR(10) &amp;
  _xlpm.vanillaPrefix &amp; "Spell = " &amp; _xlpm.spell &amp; "|" &amp; B2743
  )
)</f>
        <v>;EncForsworn06MagicBretonF03
;Keyword = Uvi_Wig_Distr_KYWD|EncForsworn06MagicBretonF03
;Spell = No Spell for Hairstyle|EncForsworn06MagicBretonF03</v>
      </c>
    </row>
    <row r="2744" ht="12.75" customHeight="1">
      <c r="A2744" s="5" t="s">
        <v>7860</v>
      </c>
      <c r="B2744" s="5" t="s">
        <v>7861</v>
      </c>
      <c r="D2744" s="5" t="s">
        <v>16</v>
      </c>
      <c r="E2744" s="5" t="s">
        <v>233</v>
      </c>
      <c r="F2744" s="5" t="s">
        <v>19</v>
      </c>
      <c r="G2744" s="14" t="str">
        <f t="array" ref="G2744">IF(B2744="", "",
  LET(_xlpm.spell, IFERROR(IF(F2744="", "", INDEX(_xlws.FILTER(Hairstyles!$F:$F, ISNUMBER(SEARCH(F2744, Hairstyles!$B:$B))), 1)), "No Spell for Hairstyle"),
  _xlpm.vanillaPrefix, IF(LEFT(_xlpm.spell, 7)="Uvi_Wig", "", ";"),
  ";" &amp; IF(C2744="", B2744, C2744) &amp; IF(M2744="", "", " ("&amp;M2744&amp;")") &amp; CHAR(10) &amp;
  _xlpm.vanillaPrefix &amp; "Keyword = Uvi_Wig_Distr_KYWD|" &amp; B2744 &amp; CHAR(10) &amp;
  _xlpm.vanillaPrefix &amp; "Spell = " &amp; _xlpm.spell &amp; "|" &amp; B2744
  )
)</f>
        <v>;EncForsworn06Melee1HBretonBerserk
;Keyword = Uvi_Wig_Distr_KYWD|EncForsworn06Melee1HBretonBerserk
;Spell = No Spell for Hairstyle|EncForsworn06Melee1HBretonBerserk</v>
      </c>
    </row>
    <row r="2745" ht="12.75" customHeight="1">
      <c r="A2745" s="5" t="s">
        <v>7862</v>
      </c>
      <c r="B2745" s="5" t="s">
        <v>7863</v>
      </c>
      <c r="D2745" s="5" t="s">
        <v>16</v>
      </c>
      <c r="E2745" s="5" t="s">
        <v>41</v>
      </c>
      <c r="F2745" s="5" t="s">
        <v>905</v>
      </c>
      <c r="G2745" s="14" t="str">
        <f t="array" ref="G2745">IF(B2745="", "",
  LET(_xlpm.spell, IFERROR(IF(F2745="", "", INDEX(_xlws.FILTER(Hairstyles!$F:$F, ISNUMBER(SEARCH(F2745, Hairstyles!$B:$B))), 1)), "No Spell for Hairstyle"),
  _xlpm.vanillaPrefix, IF(LEFT(_xlpm.spell, 7)="Uvi_Wig", "", ";"),
  ";" &amp; IF(C2745="", B2745, C2745) &amp; IF(M2745="", "", " ("&amp;M2745&amp;")") &amp; CHAR(10) &amp;
  _xlpm.vanillaPrefix &amp; "Keyword = Uvi_Wig_Distr_KYWD|" &amp; B2745 &amp; CHAR(10) &amp;
  _xlpm.vanillaPrefix &amp; "Spell = " &amp; _xlpm.spell &amp; "|" &amp; B2745
  )
)</f>
        <v>;EncForsworn06Melee1HBretonF01
;Keyword = Uvi_Wig_Distr_KYWD|EncForsworn06Melee1HBretonF01
;Spell = No Spell for Hairstyle|EncForsworn06Melee1HBretonF01</v>
      </c>
    </row>
    <row r="2746" ht="12.75" customHeight="1">
      <c r="A2746" s="5" t="s">
        <v>7864</v>
      </c>
      <c r="B2746" s="5" t="s">
        <v>7865</v>
      </c>
      <c r="D2746" s="5" t="s">
        <v>16</v>
      </c>
      <c r="E2746" s="5" t="s">
        <v>41</v>
      </c>
      <c r="F2746" s="5" t="s">
        <v>1759</v>
      </c>
      <c r="G2746" s="14" t="str">
        <f t="array" ref="G2746">IF(B2746="", "",
  LET(_xlpm.spell, IFERROR(IF(F2746="", "", INDEX(_xlws.FILTER(Hairstyles!$F:$F, ISNUMBER(SEARCH(F2746, Hairstyles!$B:$B))), 1)), "No Spell for Hairstyle"),
  _xlpm.vanillaPrefix, IF(LEFT(_xlpm.spell, 7)="Uvi_Wig", "", ";"),
  ";" &amp; IF(C2746="", B2746, C2746) &amp; IF(M2746="", "", " ("&amp;M2746&amp;")") &amp; CHAR(10) &amp;
  _xlpm.vanillaPrefix &amp; "Keyword = Uvi_Wig_Distr_KYWD|" &amp; B2746 &amp; CHAR(10) &amp;
  _xlpm.vanillaPrefix &amp; "Spell = " &amp; _xlpm.spell &amp; "|" &amp; B2746
  )
)</f>
        <v>;EncForsworn06Melee1HBretonF02
;Keyword = Uvi_Wig_Distr_KYWD|EncForsworn06Melee1HBretonF02
;Spell = No Spell for Hairstyle|EncForsworn06Melee1HBretonF02</v>
      </c>
    </row>
    <row r="2747" ht="12.75" customHeight="1">
      <c r="A2747" s="5" t="s">
        <v>7866</v>
      </c>
      <c r="B2747" s="5" t="s">
        <v>7867</v>
      </c>
      <c r="D2747" s="5" t="s">
        <v>16</v>
      </c>
      <c r="E2747" s="5" t="s">
        <v>41</v>
      </c>
      <c r="F2747" s="5" t="s">
        <v>1041</v>
      </c>
      <c r="G2747" s="14" t="str">
        <f t="array" ref="G2747">IF(B2747="", "",
  LET(_xlpm.spell, IFERROR(IF(F2747="", "", INDEX(_xlws.FILTER(Hairstyles!$F:$F, ISNUMBER(SEARCH(F2747, Hairstyles!$B:$B))), 1)), "No Spell for Hairstyle"),
  _xlpm.vanillaPrefix, IF(LEFT(_xlpm.spell, 7)="Uvi_Wig", "", ";"),
  ";" &amp; IF(C2747="", B2747, C2747) &amp; IF(M2747="", "", " ("&amp;M2747&amp;")") &amp; CHAR(10) &amp;
  _xlpm.vanillaPrefix &amp; "Keyword = Uvi_Wig_Distr_KYWD|" &amp; B2747 &amp; CHAR(10) &amp;
  _xlpm.vanillaPrefix &amp; "Spell = " &amp; _xlpm.spell &amp; "|" &amp; B2747
  )
)</f>
        <v>;EncForsworn06Melee1HBretonF03
;Keyword = Uvi_Wig_Distr_KYWD|EncForsworn06Melee1HBretonF03
;Spell = No Spell for Hairstyle|EncForsworn06Melee1HBretonF03</v>
      </c>
    </row>
    <row r="2748" ht="12.75" customHeight="1">
      <c r="A2748" s="5" t="s">
        <v>7868</v>
      </c>
      <c r="B2748" s="5" t="s">
        <v>7869</v>
      </c>
      <c r="D2748" s="5" t="s">
        <v>16</v>
      </c>
      <c r="E2748" s="5" t="s">
        <v>233</v>
      </c>
      <c r="F2748" s="5" t="s">
        <v>521</v>
      </c>
      <c r="G2748" s="14" t="str">
        <f t="array" ref="G2748">IF(B2748="", "",
  LET(_xlpm.spell, IFERROR(IF(F2748="", "", INDEX(_xlws.FILTER(Hairstyles!$F:$F, ISNUMBER(SEARCH(F2748, Hairstyles!$B:$B))), 1)), "No Spell for Hairstyle"),
  _xlpm.vanillaPrefix, IF(LEFT(_xlpm.spell, 7)="Uvi_Wig", "", ";"),
  ";" &amp; IF(C2748="", B2748, C2748) &amp; IF(M2748="", "", " ("&amp;M2748&amp;")") &amp; CHAR(10) &amp;
  _xlpm.vanillaPrefix &amp; "Keyword = Uvi_Wig_Distr_KYWD|" &amp; B2748 &amp; CHAR(10) &amp;
  _xlpm.vanillaPrefix &amp; "Spell = " &amp; _xlpm.spell &amp; "|" &amp; B2748
  )
)</f>
        <v>;EncForsworn06Melee1HBretonM01
;Keyword = Uvi_Wig_Distr_KYWD|EncForsworn06Melee1HBretonM01
;Spell = No Spell for Hairstyle|EncForsworn06Melee1HBretonM01</v>
      </c>
    </row>
    <row r="2749" ht="12.75" customHeight="1">
      <c r="A2749" s="5" t="s">
        <v>7870</v>
      </c>
      <c r="B2749" s="5" t="s">
        <v>7871</v>
      </c>
      <c r="D2749" s="5" t="s">
        <v>16</v>
      </c>
      <c r="E2749" s="5" t="s">
        <v>233</v>
      </c>
      <c r="F2749" s="5" t="s">
        <v>424</v>
      </c>
      <c r="G2749" s="14" t="str">
        <f t="array" ref="G2749">IF(B2749="", "",
  LET(_xlpm.spell, IFERROR(IF(F2749="", "", INDEX(_xlws.FILTER(Hairstyles!$F:$F, ISNUMBER(SEARCH(F2749, Hairstyles!$B:$B))), 1)), "No Spell for Hairstyle"),
  _xlpm.vanillaPrefix, IF(LEFT(_xlpm.spell, 7)="Uvi_Wig", "", ";"),
  ";" &amp; IF(C2749="", B2749, C2749) &amp; IF(M2749="", "", " ("&amp;M2749&amp;")") &amp; CHAR(10) &amp;
  _xlpm.vanillaPrefix &amp; "Keyword = Uvi_Wig_Distr_KYWD|" &amp; B2749 &amp; CHAR(10) &amp;
  _xlpm.vanillaPrefix &amp; "Spell = " &amp; _xlpm.spell &amp; "|" &amp; B2749
  )
)</f>
        <v>;EncForsworn06Melee1HBretonM02
;Keyword = Uvi_Wig_Distr_KYWD|EncForsworn06Melee1HBretonM02
;Spell = No Spell for Hairstyle|EncForsworn06Melee1HBretonM02</v>
      </c>
    </row>
    <row r="2750" ht="12.75" customHeight="1">
      <c r="A2750" s="5" t="s">
        <v>7872</v>
      </c>
      <c r="B2750" s="5" t="s">
        <v>7873</v>
      </c>
      <c r="D2750" s="5" t="s">
        <v>16</v>
      </c>
      <c r="E2750" s="5" t="s">
        <v>233</v>
      </c>
      <c r="F2750" s="5" t="s">
        <v>209</v>
      </c>
      <c r="G2750" s="14" t="str">
        <f t="array" ref="G2750">IF(B2750="", "",
  LET(_xlpm.spell, IFERROR(IF(F2750="", "", INDEX(_xlws.FILTER(Hairstyles!$F:$F, ISNUMBER(SEARCH(F2750, Hairstyles!$B:$B))), 1)), "No Spell for Hairstyle"),
  _xlpm.vanillaPrefix, IF(LEFT(_xlpm.spell, 7)="Uvi_Wig", "", ";"),
  ";" &amp; IF(C2750="", B2750, C2750) &amp; IF(M2750="", "", " ("&amp;M2750&amp;")") &amp; CHAR(10) &amp;
  _xlpm.vanillaPrefix &amp; "Keyword = Uvi_Wig_Distr_KYWD|" &amp; B2750 &amp; CHAR(10) &amp;
  _xlpm.vanillaPrefix &amp; "Spell = " &amp; _xlpm.spell &amp; "|" &amp; B2750
  )
)</f>
        <v>;EncForsworn06Melee1HBretonM03
;Keyword = Uvi_Wig_Distr_KYWD|EncForsworn06Melee1HBretonM03
;Spell = No Spell for Hairstyle|EncForsworn06Melee1HBretonM03</v>
      </c>
    </row>
    <row r="2751" ht="12.75" customHeight="1">
      <c r="A2751" s="5" t="s">
        <v>7874</v>
      </c>
      <c r="B2751" s="5" t="s">
        <v>7875</v>
      </c>
      <c r="D2751" s="5" t="s">
        <v>16</v>
      </c>
      <c r="E2751" s="5" t="s">
        <v>233</v>
      </c>
      <c r="F2751" s="5" t="s">
        <v>346</v>
      </c>
      <c r="G2751" s="14" t="str">
        <f t="array" ref="G2751">IF(B2751="", "",
  LET(_xlpm.spell, IFERROR(IF(F2751="", "", INDEX(_xlws.FILTER(Hairstyles!$F:$F, ISNUMBER(SEARCH(F2751, Hairstyles!$B:$B))), 1)), "No Spell for Hairstyle"),
  _xlpm.vanillaPrefix, IF(LEFT(_xlpm.spell, 7)="Uvi_Wig", "", ";"),
  ";" &amp; IF(C2751="", B2751, C2751) &amp; IF(M2751="", "", " ("&amp;M2751&amp;")") &amp; CHAR(10) &amp;
  _xlpm.vanillaPrefix &amp; "Keyword = Uvi_Wig_Distr_KYWD|" &amp; B2751 &amp; CHAR(10) &amp;
  _xlpm.vanillaPrefix &amp; "Spell = " &amp; _xlpm.spell &amp; "|" &amp; B2751
  )
)</f>
        <v>;EncForsworn06Melee1HBretonM04
;Keyword = Uvi_Wig_Distr_KYWD|EncForsworn06Melee1HBretonM04
;Spell = No Spell for Hairstyle|EncForsworn06Melee1HBretonM04</v>
      </c>
    </row>
    <row r="2752" ht="12.75" customHeight="1">
      <c r="A2752" s="5" t="s">
        <v>7876</v>
      </c>
      <c r="B2752" s="5" t="s">
        <v>7877</v>
      </c>
      <c r="D2752" s="5" t="s">
        <v>16</v>
      </c>
      <c r="E2752" s="5" t="s">
        <v>41</v>
      </c>
      <c r="F2752" s="5" t="s">
        <v>1041</v>
      </c>
      <c r="G2752" s="14" t="str">
        <f t="array" ref="G2752">IF(B2752="", "",
  LET(_xlpm.spell, IFERROR(IF(F2752="", "", INDEX(_xlws.FILTER(Hairstyles!$F:$F, ISNUMBER(SEARCH(F2752, Hairstyles!$B:$B))), 1)), "No Spell for Hairstyle"),
  _xlpm.vanillaPrefix, IF(LEFT(_xlpm.spell, 7)="Uvi_Wig", "", ";"),
  ";" &amp; IF(C2752="", B2752, C2752) &amp; IF(M2752="", "", " ("&amp;M2752&amp;")") &amp; CHAR(10) &amp;
  _xlpm.vanillaPrefix &amp; "Keyword = Uvi_Wig_Distr_KYWD|" &amp; B2752 &amp; CHAR(10) &amp;
  _xlpm.vanillaPrefix &amp; "Spell = " &amp; _xlpm.spell &amp; "|" &amp; B2752
  )
)</f>
        <v>;EncForsworn06MissileBretonF01
;Keyword = Uvi_Wig_Distr_KYWD|EncForsworn06MissileBretonF01
;Spell = No Spell for Hairstyle|EncForsworn06MissileBretonF01</v>
      </c>
    </row>
    <row r="2753" ht="12.75" customHeight="1">
      <c r="A2753" s="5" t="s">
        <v>7878</v>
      </c>
      <c r="B2753" s="5" t="s">
        <v>7879</v>
      </c>
      <c r="D2753" s="5" t="s">
        <v>16</v>
      </c>
      <c r="E2753" s="5" t="s">
        <v>41</v>
      </c>
      <c r="F2753" s="5" t="s">
        <v>270</v>
      </c>
      <c r="G2753" s="14" t="str">
        <f t="array" ref="G2753">IF(B2753="", "",
  LET(_xlpm.spell, IFERROR(IF(F2753="", "", INDEX(_xlws.FILTER(Hairstyles!$F:$F, ISNUMBER(SEARCH(F2753, Hairstyles!$B:$B))), 1)), "No Spell for Hairstyle"),
  _xlpm.vanillaPrefix, IF(LEFT(_xlpm.spell, 7)="Uvi_Wig", "", ";"),
  ";" &amp; IF(C2753="", B2753, C2753) &amp; IF(M2753="", "", " ("&amp;M2753&amp;")") &amp; CHAR(10) &amp;
  _xlpm.vanillaPrefix &amp; "Keyword = Uvi_Wig_Distr_KYWD|" &amp; B2753 &amp; CHAR(10) &amp;
  _xlpm.vanillaPrefix &amp; "Spell = " &amp; _xlpm.spell &amp; "|" &amp; B2753
  )
)</f>
        <v>;EncForsworn06MissileBretonF02
;Keyword = Uvi_Wig_Distr_KYWD|EncForsworn06MissileBretonF02
;Spell = No Spell for Hairstyle|EncForsworn06MissileBretonF02</v>
      </c>
    </row>
    <row r="2754" ht="12.75" customHeight="1">
      <c r="A2754" s="5" t="s">
        <v>7880</v>
      </c>
      <c r="B2754" s="5" t="s">
        <v>7881</v>
      </c>
      <c r="D2754" s="5" t="s">
        <v>16</v>
      </c>
      <c r="E2754" s="5" t="s">
        <v>41</v>
      </c>
      <c r="F2754" s="5" t="s">
        <v>42</v>
      </c>
      <c r="G2754" s="14" t="str">
        <f t="array" ref="G2754">IF(B2754="", "",
  LET(_xlpm.spell, IFERROR(IF(F2754="", "", INDEX(_xlws.FILTER(Hairstyles!$F:$F, ISNUMBER(SEARCH(F2754, Hairstyles!$B:$B))), 1)), "No Spell for Hairstyle"),
  _xlpm.vanillaPrefix, IF(LEFT(_xlpm.spell, 7)="Uvi_Wig", "", ";"),
  ";" &amp; IF(C2754="", B2754, C2754) &amp; IF(M2754="", "", " ("&amp;M2754&amp;")") &amp; CHAR(10) &amp;
  _xlpm.vanillaPrefix &amp; "Keyword = Uvi_Wig_Distr_KYWD|" &amp; B2754 &amp; CHAR(10) &amp;
  _xlpm.vanillaPrefix &amp; "Spell = " &amp; _xlpm.spell &amp; "|" &amp; B2754
  )
)</f>
        <v>;EncForsworn06MissileBretonF03
;Keyword = Uvi_Wig_Distr_KYWD|EncForsworn06MissileBretonF03
;Spell = No Spell for Hairstyle|EncForsworn06MissileBretonF03</v>
      </c>
    </row>
    <row r="2755" ht="12.75" customHeight="1">
      <c r="A2755" s="5" t="s">
        <v>7882</v>
      </c>
      <c r="B2755" s="5" t="s">
        <v>7883</v>
      </c>
      <c r="D2755" s="5" t="s">
        <v>16</v>
      </c>
      <c r="E2755" s="5" t="s">
        <v>233</v>
      </c>
      <c r="F2755" s="5" t="s">
        <v>424</v>
      </c>
      <c r="G2755" s="14" t="str">
        <f t="array" ref="G2755">IF(B2755="", "",
  LET(_xlpm.spell, IFERROR(IF(F2755="", "", INDEX(_xlws.FILTER(Hairstyles!$F:$F, ISNUMBER(SEARCH(F2755, Hairstyles!$B:$B))), 1)), "No Spell for Hairstyle"),
  _xlpm.vanillaPrefix, IF(LEFT(_xlpm.spell, 7)="Uvi_Wig", "", ";"),
  ";" &amp; IF(C2755="", B2755, C2755) &amp; IF(M2755="", "", " ("&amp;M2755&amp;")") &amp; CHAR(10) &amp;
  _xlpm.vanillaPrefix &amp; "Keyword = Uvi_Wig_Distr_KYWD|" &amp; B2755 &amp; CHAR(10) &amp;
  _xlpm.vanillaPrefix &amp; "Spell = " &amp; _xlpm.spell &amp; "|" &amp; B2755
  )
)</f>
        <v>;EncForsworn06MissileBretonM01
;Keyword = Uvi_Wig_Distr_KYWD|EncForsworn06MissileBretonM01
;Spell = No Spell for Hairstyle|EncForsworn06MissileBretonM01</v>
      </c>
    </row>
    <row r="2756" ht="12.75" customHeight="1">
      <c r="A2756" s="5" t="s">
        <v>7884</v>
      </c>
      <c r="B2756" s="5" t="s">
        <v>7885</v>
      </c>
      <c r="D2756" s="5" t="s">
        <v>16</v>
      </c>
      <c r="E2756" s="5" t="s">
        <v>233</v>
      </c>
      <c r="F2756" s="5" t="s">
        <v>68</v>
      </c>
      <c r="G2756" s="14" t="str">
        <f t="array" ref="G2756">IF(B2756="", "",
  LET(_xlpm.spell, IFERROR(IF(F2756="", "", INDEX(_xlws.FILTER(Hairstyles!$F:$F, ISNUMBER(SEARCH(F2756, Hairstyles!$B:$B))), 1)), "No Spell for Hairstyle"),
  _xlpm.vanillaPrefix, IF(LEFT(_xlpm.spell, 7)="Uvi_Wig", "", ";"),
  ";" &amp; IF(C2756="", B2756, C2756) &amp; IF(M2756="", "", " ("&amp;M2756&amp;")") &amp; CHAR(10) &amp;
  _xlpm.vanillaPrefix &amp; "Keyword = Uvi_Wig_Distr_KYWD|" &amp; B2756 &amp; CHAR(10) &amp;
  _xlpm.vanillaPrefix &amp; "Spell = " &amp; _xlpm.spell &amp; "|" &amp; B2756
  )
)</f>
        <v>;EncForsworn06MissileBretonM02
;Keyword = Uvi_Wig_Distr_KYWD|EncForsworn06MissileBretonM02
;Spell = No Spell for Hairstyle|EncForsworn06MissileBretonM02</v>
      </c>
    </row>
    <row r="2757" ht="12.75" customHeight="1">
      <c r="A2757" s="5" t="s">
        <v>7886</v>
      </c>
      <c r="B2757" s="5" t="s">
        <v>7887</v>
      </c>
      <c r="D2757" s="5" t="s">
        <v>16</v>
      </c>
      <c r="E2757" s="5" t="s">
        <v>233</v>
      </c>
      <c r="F2757" s="5" t="s">
        <v>1622</v>
      </c>
      <c r="G2757" s="14" t="str">
        <f t="array" ref="G2757">IF(B2757="", "",
  LET(_xlpm.spell, IFERROR(IF(F2757="", "", INDEX(_xlws.FILTER(Hairstyles!$F:$F, ISNUMBER(SEARCH(F2757, Hairstyles!$B:$B))), 1)), "No Spell for Hairstyle"),
  _xlpm.vanillaPrefix, IF(LEFT(_xlpm.spell, 7)="Uvi_Wig", "", ";"),
  ";" &amp; IF(C2757="", B2757, C2757) &amp; IF(M2757="", "", " ("&amp;M2757&amp;")") &amp; CHAR(10) &amp;
  _xlpm.vanillaPrefix &amp; "Keyword = Uvi_Wig_Distr_KYWD|" &amp; B2757 &amp; CHAR(10) &amp;
  _xlpm.vanillaPrefix &amp; "Spell = " &amp; _xlpm.spell &amp; "|" &amp; B2757
  )
)</f>
        <v>;EncForsworn06MissileBretonM03
;Keyword = Uvi_Wig_Distr_KYWD|EncForsworn06MissileBretonM03
;Spell = No Spell for Hairstyle|EncForsworn06MissileBretonM03</v>
      </c>
    </row>
    <row r="2758" ht="12.75" customHeight="1">
      <c r="A2758" s="5" t="s">
        <v>7888</v>
      </c>
      <c r="B2758" s="5" t="s">
        <v>7889</v>
      </c>
      <c r="D2758" s="5" t="s">
        <v>16</v>
      </c>
      <c r="E2758" s="5" t="s">
        <v>233</v>
      </c>
      <c r="F2758" s="5" t="s">
        <v>1622</v>
      </c>
      <c r="G2758" s="14" t="str">
        <f t="array" ref="G2758">IF(B2758="", "",
  LET(_xlpm.spell, IFERROR(IF(F2758="", "", INDEX(_xlws.FILTER(Hairstyles!$F:$F, ISNUMBER(SEARCH(F2758, Hairstyles!$B:$B))), 1)), "No Spell for Hairstyle"),
  _xlpm.vanillaPrefix, IF(LEFT(_xlpm.spell, 7)="Uvi_Wig", "", ";"),
  ";" &amp; IF(C2758="", B2758, C2758) &amp; IF(M2758="", "", " ("&amp;M2758&amp;")") &amp; CHAR(10) &amp;
  _xlpm.vanillaPrefix &amp; "Keyword = Uvi_Wig_Distr_KYWD|" &amp; B2758 &amp; CHAR(10) &amp;
  _xlpm.vanillaPrefix &amp; "Spell = " &amp; _xlpm.spell &amp; "|" &amp; B2758
  )
)</f>
        <v>;EncForsworn06MissileBretonM04
;Keyword = Uvi_Wig_Distr_KYWD|EncForsworn06MissileBretonM04
;Spell = No Spell for Hairstyle|EncForsworn06MissileBretonM04</v>
      </c>
    </row>
    <row r="2759" ht="12.75" customHeight="1">
      <c r="A2759" s="5" t="s">
        <v>7890</v>
      </c>
      <c r="B2759" s="5" t="s">
        <v>7891</v>
      </c>
      <c r="D2759" s="5" t="s">
        <v>59</v>
      </c>
      <c r="E2759" s="5" t="s">
        <v>41</v>
      </c>
      <c r="F2759" s="5" t="s">
        <v>69</v>
      </c>
      <c r="G2759" s="14" t="str">
        <f t="array" ref="G2759">IF(B2759="", "",
  LET(_xlpm.spell, IFERROR(IF(F2759="", "", INDEX(_xlws.FILTER(Hairstyles!$F:$F, ISNUMBER(SEARCH(F2759, Hairstyles!$B:$B))), 1)), "No Spell for Hairstyle"),
  _xlpm.vanillaPrefix, IF(LEFT(_xlpm.spell, 7)="Uvi_Wig", "", ";"),
  ";" &amp; IF(C2759="", B2759, C2759) &amp; IF(M2759="", "", " ("&amp;M2759&amp;")") &amp; CHAR(10) &amp;
  _xlpm.vanillaPrefix &amp; "Keyword = Uvi_Wig_Distr_KYWD|" &amp; B2759 &amp; CHAR(10) &amp;
  _xlpm.vanillaPrefix &amp; "Spell = " &amp; _xlpm.spell &amp; "|" &amp; B2759
  )
)</f>
        <v>;EncHunterImperialF
;Keyword = Uvi_Wig_Distr_KYWD|EncHunterImperialF
;Spell = No Spell for Hairstyle|EncHunterImperialF</v>
      </c>
    </row>
    <row r="2760" ht="12.75" customHeight="1">
      <c r="A2760" s="5" t="s">
        <v>7892</v>
      </c>
      <c r="B2760" s="5" t="s">
        <v>7893</v>
      </c>
      <c r="D2760" s="5" t="s">
        <v>59</v>
      </c>
      <c r="E2760" s="5" t="s">
        <v>233</v>
      </c>
      <c r="F2760" s="5" t="s">
        <v>19</v>
      </c>
      <c r="G2760" s="14" t="str">
        <f t="array" ref="G2760">IF(B2760="", "",
  LET(_xlpm.spell, IFERROR(IF(F2760="", "", INDEX(_xlws.FILTER(Hairstyles!$F:$F, ISNUMBER(SEARCH(F2760, Hairstyles!$B:$B))), 1)), "No Spell for Hairstyle"),
  _xlpm.vanillaPrefix, IF(LEFT(_xlpm.spell, 7)="Uvi_Wig", "", ";"),
  ";" &amp; IF(C2760="", B2760, C2760) &amp; IF(M2760="", "", " ("&amp;M2760&amp;")") &amp; CHAR(10) &amp;
  _xlpm.vanillaPrefix &amp; "Keyword = Uvi_Wig_Distr_KYWD|" &amp; B2760 &amp; CHAR(10) &amp;
  _xlpm.vanillaPrefix &amp; "Spell = " &amp; _xlpm.spell &amp; "|" &amp; B2760
  )
)</f>
        <v>;EncHunterImperialM
;Keyword = Uvi_Wig_Distr_KYWD|EncHunterImperialM
;Spell = No Spell for Hairstyle|EncHunterImperialM</v>
      </c>
    </row>
    <row r="2761" ht="12.75" customHeight="1">
      <c r="A2761" s="5" t="s">
        <v>7894</v>
      </c>
      <c r="B2761" s="5" t="s">
        <v>7895</v>
      </c>
      <c r="D2761" s="5" t="s">
        <v>38</v>
      </c>
      <c r="E2761" s="5" t="s">
        <v>41</v>
      </c>
      <c r="F2761" s="5" t="s">
        <v>343</v>
      </c>
      <c r="G2761" s="14" t="str">
        <f t="array" ref="G2761">IF(B2761="", "",
  LET(_xlpm.spell, IFERROR(IF(F2761="", "", INDEX(_xlws.FILTER(Hairstyles!$F:$F, ISNUMBER(SEARCH(F2761, Hairstyles!$B:$B))), 1)), "No Spell for Hairstyle"),
  _xlpm.vanillaPrefix, IF(LEFT(_xlpm.spell, 7)="Uvi_Wig", "", ";"),
  ";" &amp; IF(C2761="", B2761, C2761) &amp; IF(M2761="", "", " ("&amp;M2761&amp;")") &amp; CHAR(10) &amp;
  _xlpm.vanillaPrefix &amp; "Keyword = Uvi_Wig_Distr_KYWD|" &amp; B2761 &amp; CHAR(10) &amp;
  _xlpm.vanillaPrefix &amp; "Spell = " &amp; _xlpm.spell &amp; "|" &amp; B2761
  )
)</f>
        <v>;EncHunterNordF
;Keyword = Uvi_Wig_Distr_KYWD|EncHunterNordF
;Spell = No Spell for Hairstyle|EncHunterNordF</v>
      </c>
    </row>
    <row r="2762" ht="12.75" customHeight="1">
      <c r="A2762" s="5" t="s">
        <v>7896</v>
      </c>
      <c r="B2762" s="5" t="s">
        <v>7897</v>
      </c>
      <c r="D2762" s="5" t="s">
        <v>38</v>
      </c>
      <c r="E2762" s="5" t="s">
        <v>233</v>
      </c>
      <c r="F2762" s="5" t="s">
        <v>1906</v>
      </c>
      <c r="G2762" s="14" t="str">
        <f t="array" ref="G2762">IF(B2762="", "",
  LET(_xlpm.spell, IFERROR(IF(F2762="", "", INDEX(_xlws.FILTER(Hairstyles!$F:$F, ISNUMBER(SEARCH(F2762, Hairstyles!$B:$B))), 1)), "No Spell for Hairstyle"),
  _xlpm.vanillaPrefix, IF(LEFT(_xlpm.spell, 7)="Uvi_Wig", "", ";"),
  ";" &amp; IF(C2762="", B2762, C2762) &amp; IF(M2762="", "", " ("&amp;M2762&amp;")") &amp; CHAR(10) &amp;
  _xlpm.vanillaPrefix &amp; "Keyword = Uvi_Wig_Distr_KYWD|" &amp; B2762 &amp; CHAR(10) &amp;
  _xlpm.vanillaPrefix &amp; "Spell = " &amp; _xlpm.spell &amp; "|" &amp; B2762
  )
)</f>
        <v>;EncHunterNordM
;Keyword = Uvi_Wig_Distr_KYWD|EncHunterNordM
;Spell = No Spell for Hairstyle|EncHunterNordM</v>
      </c>
    </row>
    <row r="2763" ht="12.75" customHeight="1">
      <c r="A2763" s="5" t="s">
        <v>7898</v>
      </c>
      <c r="B2763" s="5" t="s">
        <v>7899</v>
      </c>
      <c r="D2763" s="5" t="s">
        <v>83</v>
      </c>
      <c r="E2763" s="5" t="s">
        <v>41</v>
      </c>
      <c r="F2763" s="5" t="s">
        <v>281</v>
      </c>
      <c r="G2763" s="14" t="str">
        <f t="array" ref="G2763">IF(B2763="", "",
  LET(_xlpm.spell, IFERROR(IF(F2763="", "", INDEX(_xlws.FILTER(Hairstyles!$F:$F, ISNUMBER(SEARCH(F2763, Hairstyles!$B:$B))), 1)), "No Spell for Hairstyle"),
  _xlpm.vanillaPrefix, IF(LEFT(_xlpm.spell, 7)="Uvi_Wig", "", ";"),
  ";" &amp; IF(C2763="", B2763, C2763) &amp; IF(M2763="", "", " ("&amp;M2763&amp;")") &amp; CHAR(10) &amp;
  _xlpm.vanillaPrefix &amp; "Keyword = Uvi_Wig_Distr_KYWD|" &amp; B2763 &amp; CHAR(10) &amp;
  _xlpm.vanillaPrefix &amp; "Spell = " &amp; _xlpm.spell &amp; "|" &amp; B2763
  )
)</f>
        <v>;EncHunterRedguardF
;Keyword = Uvi_Wig_Distr_KYWD|EncHunterRedguardF
;Spell = No Spell for Hairstyle|EncHunterRedguardF</v>
      </c>
    </row>
    <row r="2764" ht="12.75" customHeight="1">
      <c r="A2764" s="5" t="s">
        <v>7900</v>
      </c>
      <c r="B2764" s="5" t="s">
        <v>7901</v>
      </c>
      <c r="D2764" s="5" t="s">
        <v>83</v>
      </c>
      <c r="E2764" s="5" t="s">
        <v>233</v>
      </c>
      <c r="F2764" s="5" t="s">
        <v>84</v>
      </c>
      <c r="G2764" s="14" t="str">
        <f t="array" ref="G2764">IF(B2764="", "",
  LET(_xlpm.spell, IFERROR(IF(F2764="", "", INDEX(_xlws.FILTER(Hairstyles!$F:$F, ISNUMBER(SEARCH(F2764, Hairstyles!$B:$B))), 1)), "No Spell for Hairstyle"),
  _xlpm.vanillaPrefix, IF(LEFT(_xlpm.spell, 7)="Uvi_Wig", "", ";"),
  ";" &amp; IF(C2764="", B2764, C2764) &amp; IF(M2764="", "", " ("&amp;M2764&amp;")") &amp; CHAR(10) &amp;
  _xlpm.vanillaPrefix &amp; "Keyword = Uvi_Wig_Distr_KYWD|" &amp; B2764 &amp; CHAR(10) &amp;
  _xlpm.vanillaPrefix &amp; "Spell = " &amp; _xlpm.spell &amp; "|" &amp; B2764
  )
)</f>
        <v>;EncHunterRedguardM
;Keyword = Uvi_Wig_Distr_KYWD|EncHunterRedguardM
;Spell = No Spell for Hairstyle|EncHunterRedguardM</v>
      </c>
    </row>
    <row r="2765" ht="12.75" customHeight="1">
      <c r="A2765" s="5" t="s">
        <v>7902</v>
      </c>
      <c r="B2765" s="5" t="s">
        <v>7903</v>
      </c>
      <c r="D2765" s="5" t="s">
        <v>90</v>
      </c>
      <c r="E2765" s="5" t="s">
        <v>41</v>
      </c>
      <c r="F2765" s="5" t="s">
        <v>2380</v>
      </c>
      <c r="G2765" s="14" t="str">
        <f t="array" ref="G2765">IF(B2765="", "",
  LET(_xlpm.spell, IFERROR(IF(F2765="", "", INDEX(_xlws.FILTER(Hairstyles!$F:$F, ISNUMBER(SEARCH(F2765, Hairstyles!$B:$B))), 1)), "No Spell for Hairstyle"),
  _xlpm.vanillaPrefix, IF(LEFT(_xlpm.spell, 7)="Uvi_Wig", "", ";"),
  ";" &amp; IF(C2765="", B2765, C2765) &amp; IF(M2765="", "", " ("&amp;M2765&amp;")") &amp; CHAR(10) &amp;
  _xlpm.vanillaPrefix &amp; "Keyword = Uvi_Wig_Distr_KYWD|" &amp; B2765 &amp; CHAR(10) &amp;
  _xlpm.vanillaPrefix &amp; "Spell = " &amp; _xlpm.spell &amp; "|" &amp; B2765
  )
)</f>
        <v>;EncHunterWoodElfF
;Keyword = Uvi_Wig_Distr_KYWD|EncHunterWoodElfF
;Spell = No Spell for Hairstyle|EncHunterWoodElfF</v>
      </c>
    </row>
    <row r="2766" ht="12.75" customHeight="1">
      <c r="A2766" s="5" t="s">
        <v>7904</v>
      </c>
      <c r="B2766" s="5" t="s">
        <v>7905</v>
      </c>
      <c r="D2766" s="5" t="s">
        <v>90</v>
      </c>
      <c r="E2766" s="5" t="s">
        <v>233</v>
      </c>
      <c r="F2766" s="5" t="s">
        <v>2583</v>
      </c>
      <c r="G2766" s="14" t="str">
        <f t="array" ref="G2766">IF(B2766="", "",
  LET(_xlpm.spell, IFERROR(IF(F2766="", "", INDEX(_xlws.FILTER(Hairstyles!$F:$F, ISNUMBER(SEARCH(F2766, Hairstyles!$B:$B))), 1)), "No Spell for Hairstyle"),
  _xlpm.vanillaPrefix, IF(LEFT(_xlpm.spell, 7)="Uvi_Wig", "", ";"),
  ";" &amp; IF(C2766="", B2766, C2766) &amp; IF(M2766="", "", " ("&amp;M2766&amp;")") &amp; CHAR(10) &amp;
  _xlpm.vanillaPrefix &amp; "Keyword = Uvi_Wig_Distr_KYWD|" &amp; B2766 &amp; CHAR(10) &amp;
  _xlpm.vanillaPrefix &amp; "Spell = " &amp; _xlpm.spell &amp; "|" &amp; B2766
  )
)</f>
        <v>;EncHunterWoodElfM
;Keyword = Uvi_Wig_Distr_KYWD|EncHunterWoodElfM
;Spell = No Spell for Hairstyle|EncHunterWoodElfM</v>
      </c>
    </row>
    <row r="2767" ht="12.75" customHeight="1">
      <c r="A2767" s="5" t="s">
        <v>7906</v>
      </c>
      <c r="B2767" s="5" t="s">
        <v>7907</v>
      </c>
      <c r="D2767" s="5" t="s">
        <v>59</v>
      </c>
      <c r="E2767" s="5" t="s">
        <v>41</v>
      </c>
      <c r="F2767" s="5" t="s">
        <v>1996</v>
      </c>
      <c r="G2767" s="14" t="str">
        <f t="array" ref="G2767">IF(B2767="", "",
  LET(_xlpm.spell, IFERROR(IF(F2767="", "", INDEX(_xlws.FILTER(Hairstyles!$F:$F, ISNUMBER(SEARCH(F2767, Hairstyles!$B:$B))), 1)), "No Spell for Hairstyle"),
  _xlpm.vanillaPrefix, IF(LEFT(_xlpm.spell, 7)="Uvi_Wig", "", ";"),
  ";" &amp; IF(C2767="", B2767, C2767) &amp; IF(M2767="", "", " ("&amp;M2767&amp;")") &amp; CHAR(10) &amp;
  _xlpm.vanillaPrefix &amp; "Keyword = Uvi_Wig_Distr_KYWD|" &amp; B2767 &amp; CHAR(10) &amp;
  _xlpm.vanillaPrefix &amp; "Spell = " &amp; _xlpm.spell &amp; "|" &amp; B2767
  )
)</f>
        <v>;EncNightingaleMeleeFemale01
;Keyword = Uvi_Wig_Distr_KYWD|EncNightingaleMeleeFemale01
;Spell = No Spell for Hairstyle|EncNightingaleMeleeFemale01</v>
      </c>
    </row>
    <row r="2768" ht="12.75" customHeight="1">
      <c r="A2768" s="5" t="s">
        <v>7908</v>
      </c>
      <c r="B2768" s="5" t="s">
        <v>7909</v>
      </c>
      <c r="D2768" s="5" t="s">
        <v>59</v>
      </c>
      <c r="E2768" s="5" t="s">
        <v>233</v>
      </c>
      <c r="F2768" s="5" t="s">
        <v>234</v>
      </c>
      <c r="G2768" s="14" t="str">
        <f t="array" ref="G2768">IF(B2768="", "",
  LET(_xlpm.spell, IFERROR(IF(F2768="", "", INDEX(_xlws.FILTER(Hairstyles!$F:$F, ISNUMBER(SEARCH(F2768, Hairstyles!$B:$B))), 1)), "No Spell for Hairstyle"),
  _xlpm.vanillaPrefix, IF(LEFT(_xlpm.spell, 7)="Uvi_Wig", "", ";"),
  ";" &amp; IF(C2768="", B2768, C2768) &amp; IF(M2768="", "", " ("&amp;M2768&amp;")") &amp; CHAR(10) &amp;
  _xlpm.vanillaPrefix &amp; "Keyword = Uvi_Wig_Distr_KYWD|" &amp; B2768 &amp; CHAR(10) &amp;
  _xlpm.vanillaPrefix &amp; "Spell = " &amp; _xlpm.spell &amp; "|" &amp; B2768
  )
)</f>
        <v>;EncNightingaleMeleeMale01
;Keyword = Uvi_Wig_Distr_KYWD|EncNightingaleMeleeMale01
;Spell = No Spell for Hairstyle|EncNightingaleMeleeMale01</v>
      </c>
    </row>
    <row r="2769" ht="12.75" customHeight="1">
      <c r="A2769" s="5" t="s">
        <v>7910</v>
      </c>
      <c r="B2769" s="5" t="s">
        <v>7911</v>
      </c>
      <c r="D2769" s="5" t="s">
        <v>59</v>
      </c>
      <c r="E2769" s="5" t="s">
        <v>41</v>
      </c>
      <c r="F2769" s="5" t="s">
        <v>1996</v>
      </c>
      <c r="G2769" s="14" t="str">
        <f t="array" ref="G2769">IF(B2769="", "",
  LET(_xlpm.spell, IFERROR(IF(F2769="", "", INDEX(_xlws.FILTER(Hairstyles!$F:$F, ISNUMBER(SEARCH(F2769, Hairstyles!$B:$B))), 1)), "No Spell for Hairstyle"),
  _xlpm.vanillaPrefix, IF(LEFT(_xlpm.spell, 7)="Uvi_Wig", "", ";"),
  ";" &amp; IF(C2769="", B2769, C2769) &amp; IF(M2769="", "", " ("&amp;M2769&amp;")") &amp; CHAR(10) &amp;
  _xlpm.vanillaPrefix &amp; "Keyword = Uvi_Wig_Distr_KYWD|" &amp; B2769 &amp; CHAR(10) &amp;
  _xlpm.vanillaPrefix &amp; "Spell = " &amp; _xlpm.spell &amp; "|" &amp; B2769
  )
)</f>
        <v>;EncNightingaleMissileFemale01
;Keyword = Uvi_Wig_Distr_KYWD|EncNightingaleMissileFemale01
;Spell = No Spell for Hairstyle|EncNightingaleMissileFemale01</v>
      </c>
    </row>
    <row r="2770" ht="12.75" customHeight="1">
      <c r="A2770" s="5" t="s">
        <v>7912</v>
      </c>
      <c r="B2770" s="5" t="s">
        <v>7913</v>
      </c>
      <c r="D2770" s="5" t="s">
        <v>59</v>
      </c>
      <c r="E2770" s="5" t="s">
        <v>233</v>
      </c>
      <c r="F2770" s="5" t="s">
        <v>234</v>
      </c>
      <c r="G2770" s="14" t="str">
        <f t="array" ref="G2770">IF(B2770="", "",
  LET(_xlpm.spell, IFERROR(IF(F2770="", "", INDEX(_xlws.FILTER(Hairstyles!$F:$F, ISNUMBER(SEARCH(F2770, Hairstyles!$B:$B))), 1)), "No Spell for Hairstyle"),
  _xlpm.vanillaPrefix, IF(LEFT(_xlpm.spell, 7)="Uvi_Wig", "", ";"),
  ";" &amp; IF(C2770="", B2770, C2770) &amp; IF(M2770="", "", " ("&amp;M2770&amp;")") &amp; CHAR(10) &amp;
  _xlpm.vanillaPrefix &amp; "Keyword = Uvi_Wig_Distr_KYWD|" &amp; B2770 &amp; CHAR(10) &amp;
  _xlpm.vanillaPrefix &amp; "Spell = " &amp; _xlpm.spell &amp; "|" &amp; B2770
  )
)</f>
        <v>;EncNightingaleMissileMale01
;Keyword = Uvi_Wig_Distr_KYWD|EncNightingaleMissileMale01
;Spell = No Spell for Hairstyle|EncNightingaleMissileMale01</v>
      </c>
    </row>
    <row r="2771" ht="12.75" customHeight="1">
      <c r="A2771" s="5" t="s">
        <v>7914</v>
      </c>
      <c r="B2771" s="5" t="s">
        <v>7915</v>
      </c>
      <c r="D2771" s="5" t="s">
        <v>80</v>
      </c>
      <c r="E2771" s="5" t="s">
        <v>233</v>
      </c>
      <c r="F2771" s="5" t="s">
        <v>434</v>
      </c>
      <c r="G2771" s="14" t="str">
        <f t="array" ref="G2771">IF(B2771="", "",
  LET(_xlpm.spell, IFERROR(IF(F2771="", "", INDEX(_xlws.FILTER(Hairstyles!$F:$F, ISNUMBER(SEARCH(F2771, Hairstyles!$B:$B))), 1)), "No Spell for Hairstyle"),
  _xlpm.vanillaPrefix, IF(LEFT(_xlpm.spell, 7)="Uvi_Wig", "", ";"),
  ";" &amp; IF(C2771="", B2771, C2771) &amp; IF(M2771="", "", " ("&amp;M2771&amp;")") &amp; CHAR(10) &amp;
  _xlpm.vanillaPrefix &amp; "Keyword = Uvi_Wig_Distr_KYWD|" &amp; B2771 &amp; CHAR(10) &amp;
  _xlpm.vanillaPrefix &amp; "Spell = " &amp; _xlpm.spell &amp; "|" &amp; B2771
  )
)</f>
        <v>;EncOrcHunter01M
;Keyword = Uvi_Wig_Distr_KYWD|EncOrcHunter01M
;Spell = No Spell for Hairstyle|EncOrcHunter01M</v>
      </c>
    </row>
    <row r="2772" ht="12.75" customHeight="1">
      <c r="A2772" s="5" t="s">
        <v>7916</v>
      </c>
      <c r="B2772" s="5" t="s">
        <v>7917</v>
      </c>
      <c r="D2772" s="5" t="s">
        <v>80</v>
      </c>
      <c r="E2772" s="5" t="s">
        <v>233</v>
      </c>
      <c r="F2772" s="5" t="s">
        <v>537</v>
      </c>
      <c r="G2772" s="14" t="str">
        <f t="array" ref="G2772">IF(B2772="", "",
  LET(_xlpm.spell, IFERROR(IF(F2772="", "", INDEX(_xlws.FILTER(Hairstyles!$F:$F, ISNUMBER(SEARCH(F2772, Hairstyles!$B:$B))), 1)), "No Spell for Hairstyle"),
  _xlpm.vanillaPrefix, IF(LEFT(_xlpm.spell, 7)="Uvi_Wig", "", ";"),
  ";" &amp; IF(C2772="", B2772, C2772) &amp; IF(M2772="", "", " ("&amp;M2772&amp;")") &amp; CHAR(10) &amp;
  _xlpm.vanillaPrefix &amp; "Keyword = Uvi_Wig_Distr_KYWD|" &amp; B2772 &amp; CHAR(10) &amp;
  _xlpm.vanillaPrefix &amp; "Spell = " &amp; _xlpm.spell &amp; "|" &amp; B2772
  )
)</f>
        <v>;EncOrcHunter02M
;Keyword = Uvi_Wig_Distr_KYWD|EncOrcHunter02M
;Spell = No Spell for Hairstyle|EncOrcHunter02M</v>
      </c>
    </row>
    <row r="2773" ht="12.75" customHeight="1">
      <c r="A2773" s="5" t="s">
        <v>7918</v>
      </c>
      <c r="B2773" s="5" t="s">
        <v>7919</v>
      </c>
      <c r="D2773" s="5" t="s">
        <v>80</v>
      </c>
      <c r="E2773" s="5" t="s">
        <v>233</v>
      </c>
      <c r="F2773" s="5" t="s">
        <v>206</v>
      </c>
      <c r="G2773" s="14" t="str">
        <f t="array" ref="G2773">IF(B2773="", "",
  LET(_xlpm.spell, IFERROR(IF(F2773="", "", INDEX(_xlws.FILTER(Hairstyles!$F:$F, ISNUMBER(SEARCH(F2773, Hairstyles!$B:$B))), 1)), "No Spell for Hairstyle"),
  _xlpm.vanillaPrefix, IF(LEFT(_xlpm.spell, 7)="Uvi_Wig", "", ";"),
  ";" &amp; IF(C2773="", B2773, C2773) &amp; IF(M2773="", "", " ("&amp;M2773&amp;")") &amp; CHAR(10) &amp;
  _xlpm.vanillaPrefix &amp; "Keyword = Uvi_Wig_Distr_KYWD|" &amp; B2773 &amp; CHAR(10) &amp;
  _xlpm.vanillaPrefix &amp; "Spell = " &amp; _xlpm.spell &amp; "|" &amp; B2773
  )
)</f>
        <v>;EncOrcHunter03M
;Keyword = Uvi_Wig_Distr_KYWD|EncOrcHunter03M
;Spell = No Spell for Hairstyle|EncOrcHunter03M</v>
      </c>
    </row>
    <row r="2774" ht="12.75" customHeight="1">
      <c r="A2774" s="5" t="s">
        <v>7920</v>
      </c>
      <c r="B2774" s="5" t="s">
        <v>7921</v>
      </c>
      <c r="D2774" s="5" t="s">
        <v>80</v>
      </c>
      <c r="E2774" s="5" t="s">
        <v>233</v>
      </c>
      <c r="F2774" s="5" t="s">
        <v>391</v>
      </c>
      <c r="G2774" s="14" t="str">
        <f t="array" ref="G2774">IF(B2774="", "",
  LET(_xlpm.spell, IFERROR(IF(F2774="", "", INDEX(_xlws.FILTER(Hairstyles!$F:$F, ISNUMBER(SEARCH(F2774, Hairstyles!$B:$B))), 1)), "No Spell for Hairstyle"),
  _xlpm.vanillaPrefix, IF(LEFT(_xlpm.spell, 7)="Uvi_Wig", "", ";"),
  ";" &amp; IF(C2774="", B2774, C2774) &amp; IF(M2774="", "", " ("&amp;M2774&amp;")") &amp; CHAR(10) &amp;
  _xlpm.vanillaPrefix &amp; "Keyword = Uvi_Wig_Distr_KYWD|" &amp; B2774 &amp; CHAR(10) &amp;
  _xlpm.vanillaPrefix &amp; "Spell = " &amp; _xlpm.spell &amp; "|" &amp; B2774
  )
)</f>
        <v>;EncOrcHunter04M
;Keyword = Uvi_Wig_Distr_KYWD|EncOrcHunter04M
;Spell = No Spell for Hairstyle|EncOrcHunter04M</v>
      </c>
    </row>
    <row r="2775" ht="12.75" customHeight="1">
      <c r="A2775" s="5" t="s">
        <v>7922</v>
      </c>
      <c r="B2775" s="5" t="s">
        <v>7923</v>
      </c>
      <c r="D2775" s="5" t="s">
        <v>80</v>
      </c>
      <c r="E2775" s="5" t="s">
        <v>233</v>
      </c>
      <c r="F2775" s="5" t="s">
        <v>2067</v>
      </c>
      <c r="G2775" s="14" t="str">
        <f t="array" ref="G2775">IF(B2775="", "",
  LET(_xlpm.spell, IFERROR(IF(F2775="", "", INDEX(_xlws.FILTER(Hairstyles!$F:$F, ISNUMBER(SEARCH(F2775, Hairstyles!$B:$B))), 1)), "No Spell for Hairstyle"),
  _xlpm.vanillaPrefix, IF(LEFT(_xlpm.spell, 7)="Uvi_Wig", "", ";"),
  ";" &amp; IF(C2775="", B2775, C2775) &amp; IF(M2775="", "", " ("&amp;M2775&amp;")") &amp; CHAR(10) &amp;
  _xlpm.vanillaPrefix &amp; "Keyword = Uvi_Wig_Distr_KYWD|" &amp; B2775 &amp; CHAR(10) &amp;
  _xlpm.vanillaPrefix &amp; "Spell = " &amp; _xlpm.spell &amp; "|" &amp; B2775
  )
)</f>
        <v>;EncOrcHunter06M
;Keyword = Uvi_Wig_Distr_KYWD|EncOrcHunter06M
;Spell = No Spell for Hairstyle|EncOrcHunter06M</v>
      </c>
    </row>
    <row r="2776" ht="12.75" customHeight="1">
      <c r="A2776" s="5" t="s">
        <v>7924</v>
      </c>
      <c r="B2776" s="5" t="s">
        <v>7925</v>
      </c>
      <c r="D2776" s="5" t="s">
        <v>59</v>
      </c>
      <c r="E2776" s="5" t="s">
        <v>233</v>
      </c>
      <c r="F2776" s="5" t="s">
        <v>1622</v>
      </c>
      <c r="G2776" s="14" t="str">
        <f t="array" ref="G2776">IF(B2776="", "",
  LET(_xlpm.spell, IFERROR(IF(F2776="", "", INDEX(_xlws.FILTER(Hairstyles!$F:$F, ISNUMBER(SEARCH(F2776, Hairstyles!$B:$B))), 1)), "No Spell for Hairstyle"),
  _xlpm.vanillaPrefix, IF(LEFT(_xlpm.spell, 7)="Uvi_Wig", "", ";"),
  ";" &amp; IF(C2776="", B2776, C2776) &amp; IF(M2776="", "", " ("&amp;M2776&amp;")") &amp; CHAR(10) &amp;
  _xlpm.vanillaPrefix &amp; "Keyword = Uvi_Wig_Distr_KYWD|" &amp; B2776 &amp; CHAR(10) &amp;
  _xlpm.vanillaPrefix &amp; "Spell = " &amp; _xlpm.spell &amp; "|" &amp; B2776
  )
)</f>
        <v>;EncPenitus01Fire
;Keyword = Uvi_Wig_Distr_KYWD|EncPenitus01Fire
;Spell = No Spell for Hairstyle|EncPenitus01Fire</v>
      </c>
    </row>
    <row r="2777" ht="12.75" customHeight="1">
      <c r="A2777" s="5" t="s">
        <v>7926</v>
      </c>
      <c r="B2777" s="5" t="s">
        <v>7927</v>
      </c>
      <c r="D2777" s="5" t="s">
        <v>59</v>
      </c>
      <c r="E2777" s="5" t="s">
        <v>233</v>
      </c>
      <c r="F2777" s="5" t="s">
        <v>1622</v>
      </c>
      <c r="G2777" s="14" t="str">
        <f t="array" ref="G2777">IF(B2777="", "",
  LET(_xlpm.spell, IFERROR(IF(F2777="", "", INDEX(_xlws.FILTER(Hairstyles!$F:$F, ISNUMBER(SEARCH(F2777, Hairstyles!$B:$B))), 1)), "No Spell for Hairstyle"),
  _xlpm.vanillaPrefix, IF(LEFT(_xlpm.spell, 7)="Uvi_Wig", "", ";"),
  ";" &amp; IF(C2777="", B2777, C2777) &amp; IF(M2777="", "", " ("&amp;M2777&amp;")") &amp; CHAR(10) &amp;
  _xlpm.vanillaPrefix &amp; "Keyword = Uvi_Wig_Distr_KYWD|" &amp; B2777 &amp; CHAR(10) &amp;
  _xlpm.vanillaPrefix &amp; "Spell = " &amp; _xlpm.spell &amp; "|" &amp; B2777
  )
)</f>
        <v>;EncPenitus01Shock
;Keyword = Uvi_Wig_Distr_KYWD|EncPenitus01Shock
;Spell = No Spell for Hairstyle|EncPenitus01Shock</v>
      </c>
    </row>
    <row r="2778" ht="12.75" customHeight="1">
      <c r="A2778" s="5" t="s">
        <v>7928</v>
      </c>
      <c r="B2778" s="5" t="s">
        <v>7929</v>
      </c>
      <c r="D2778" s="5" t="s">
        <v>59</v>
      </c>
      <c r="E2778" s="5" t="s">
        <v>233</v>
      </c>
      <c r="F2778" s="5" t="s">
        <v>1622</v>
      </c>
      <c r="G2778" s="14" t="str">
        <f t="array" ref="G2778">IF(B2778="", "",
  LET(_xlpm.spell, IFERROR(IF(F2778="", "", INDEX(_xlws.FILTER(Hairstyles!$F:$F, ISNUMBER(SEARCH(F2778, Hairstyles!$B:$B))), 1)), "No Spell for Hairstyle"),
  _xlpm.vanillaPrefix, IF(LEFT(_xlpm.spell, 7)="Uvi_Wig", "", ";"),
  ";" &amp; IF(C2778="", B2778, C2778) &amp; IF(M2778="", "", " ("&amp;M2778&amp;")") &amp; CHAR(10) &amp;
  _xlpm.vanillaPrefix &amp; "Keyword = Uvi_Wig_Distr_KYWD|" &amp; B2778 &amp; CHAR(10) &amp;
  _xlpm.vanillaPrefix &amp; "Spell = " &amp; _xlpm.spell &amp; "|" &amp; B2778
  )
)</f>
        <v>;EncPenitus02Fire
;Keyword = Uvi_Wig_Distr_KYWD|EncPenitus02Fire
;Spell = No Spell for Hairstyle|EncPenitus02Fire</v>
      </c>
    </row>
    <row r="2779" ht="12.75" customHeight="1">
      <c r="A2779" s="5" t="s">
        <v>7930</v>
      </c>
      <c r="B2779" s="5" t="s">
        <v>7931</v>
      </c>
      <c r="D2779" s="5" t="s">
        <v>59</v>
      </c>
      <c r="E2779" s="5" t="s">
        <v>233</v>
      </c>
      <c r="F2779" s="5" t="s">
        <v>1622</v>
      </c>
      <c r="G2779" s="14" t="str">
        <f t="array" ref="G2779">IF(B2779="", "",
  LET(_xlpm.spell, IFERROR(IF(F2779="", "", INDEX(_xlws.FILTER(Hairstyles!$F:$F, ISNUMBER(SEARCH(F2779, Hairstyles!$B:$B))), 1)), "No Spell for Hairstyle"),
  _xlpm.vanillaPrefix, IF(LEFT(_xlpm.spell, 7)="Uvi_Wig", "", ";"),
  ";" &amp; IF(C2779="", B2779, C2779) &amp; IF(M2779="", "", " ("&amp;M2779&amp;")") &amp; CHAR(10) &amp;
  _xlpm.vanillaPrefix &amp; "Keyword = Uvi_Wig_Distr_KYWD|" &amp; B2779 &amp; CHAR(10) &amp;
  _xlpm.vanillaPrefix &amp; "Spell = " &amp; _xlpm.spell &amp; "|" &amp; B2779
  )
)</f>
        <v>;EncPenitus02Shock
;Keyword = Uvi_Wig_Distr_KYWD|EncPenitus02Shock
;Spell = No Spell for Hairstyle|EncPenitus02Shock</v>
      </c>
    </row>
    <row r="2780" ht="12.75" customHeight="1">
      <c r="A2780" s="5" t="s">
        <v>7932</v>
      </c>
      <c r="B2780" s="5" t="s">
        <v>7933</v>
      </c>
      <c r="D2780" s="5" t="s">
        <v>59</v>
      </c>
      <c r="E2780" s="5" t="s">
        <v>233</v>
      </c>
      <c r="F2780" s="5" t="s">
        <v>1622</v>
      </c>
      <c r="G2780" s="14" t="str">
        <f t="array" ref="G2780">IF(B2780="", "",
  LET(_xlpm.spell, IFERROR(IF(F2780="", "", INDEX(_xlws.FILTER(Hairstyles!$F:$F, ISNUMBER(SEARCH(F2780, Hairstyles!$B:$B))), 1)), "No Spell for Hairstyle"),
  _xlpm.vanillaPrefix, IF(LEFT(_xlpm.spell, 7)="Uvi_Wig", "", ";"),
  ";" &amp; IF(C2780="", B2780, C2780) &amp; IF(M2780="", "", " ("&amp;M2780&amp;")") &amp; CHAR(10) &amp;
  _xlpm.vanillaPrefix &amp; "Keyword = Uvi_Wig_Distr_KYWD|" &amp; B2780 &amp; CHAR(10) &amp;
  _xlpm.vanillaPrefix &amp; "Spell = " &amp; _xlpm.spell &amp; "|" &amp; B2780
  )
)</f>
        <v>;EncPenitus03Fire
;Keyword = Uvi_Wig_Distr_KYWD|EncPenitus03Fire
;Spell = No Spell for Hairstyle|EncPenitus03Fire</v>
      </c>
    </row>
    <row r="2781" ht="12.75" customHeight="1">
      <c r="A2781" s="5" t="s">
        <v>7934</v>
      </c>
      <c r="B2781" s="5" t="s">
        <v>7935</v>
      </c>
      <c r="D2781" s="5" t="s">
        <v>59</v>
      </c>
      <c r="E2781" s="5" t="s">
        <v>233</v>
      </c>
      <c r="F2781" s="5" t="s">
        <v>1622</v>
      </c>
      <c r="G2781" s="14" t="str">
        <f t="array" ref="G2781">IF(B2781="", "",
  LET(_xlpm.spell, IFERROR(IF(F2781="", "", INDEX(_xlws.FILTER(Hairstyles!$F:$F, ISNUMBER(SEARCH(F2781, Hairstyles!$B:$B))), 1)), "No Spell for Hairstyle"),
  _xlpm.vanillaPrefix, IF(LEFT(_xlpm.spell, 7)="Uvi_Wig", "", ";"),
  ";" &amp; IF(C2781="", B2781, C2781) &amp; IF(M2781="", "", " ("&amp;M2781&amp;")") &amp; CHAR(10) &amp;
  _xlpm.vanillaPrefix &amp; "Keyword = Uvi_Wig_Distr_KYWD|" &amp; B2781 &amp; CHAR(10) &amp;
  _xlpm.vanillaPrefix &amp; "Spell = " &amp; _xlpm.spell &amp; "|" &amp; B2781
  )
)</f>
        <v>;EncPenitus03Shock
;Keyword = Uvi_Wig_Distr_KYWD|EncPenitus03Shock
;Spell = No Spell for Hairstyle|EncPenitus03Shock</v>
      </c>
    </row>
    <row r="2782" ht="12.75" customHeight="1">
      <c r="A2782" s="5" t="s">
        <v>7936</v>
      </c>
      <c r="B2782" s="5" t="s">
        <v>7937</v>
      </c>
      <c r="D2782" s="5" t="s">
        <v>59</v>
      </c>
      <c r="E2782" s="5" t="s">
        <v>233</v>
      </c>
      <c r="F2782" s="5" t="s">
        <v>1622</v>
      </c>
      <c r="G2782" s="14" t="str">
        <f t="array" ref="G2782">IF(B2782="", "",
  LET(_xlpm.spell, IFERROR(IF(F2782="", "", INDEX(_xlws.FILTER(Hairstyles!$F:$F, ISNUMBER(SEARCH(F2782, Hairstyles!$B:$B))), 1)), "No Spell for Hairstyle"),
  _xlpm.vanillaPrefix, IF(LEFT(_xlpm.spell, 7)="Uvi_Wig", "", ";"),
  ";" &amp; IF(C2782="", B2782, C2782) &amp; IF(M2782="", "", " ("&amp;M2782&amp;")") &amp; CHAR(10) &amp;
  _xlpm.vanillaPrefix &amp; "Keyword = Uvi_Wig_Distr_KYWD|" &amp; B2782 &amp; CHAR(10) &amp;
  _xlpm.vanillaPrefix &amp; "Spell = " &amp; _xlpm.spell &amp; "|" &amp; B2782
  )
)</f>
        <v>;EncPenitus04Fire
;Keyword = Uvi_Wig_Distr_KYWD|EncPenitus04Fire
;Spell = No Spell for Hairstyle|EncPenitus04Fire</v>
      </c>
    </row>
    <row r="2783" ht="12.75" customHeight="1">
      <c r="A2783" s="5" t="s">
        <v>7938</v>
      </c>
      <c r="B2783" s="5" t="s">
        <v>7939</v>
      </c>
      <c r="D2783" s="5" t="s">
        <v>59</v>
      </c>
      <c r="E2783" s="5" t="s">
        <v>233</v>
      </c>
      <c r="F2783" s="5" t="s">
        <v>1622</v>
      </c>
      <c r="G2783" s="14" t="str">
        <f t="array" ref="G2783">IF(B2783="", "",
  LET(_xlpm.spell, IFERROR(IF(F2783="", "", INDEX(_xlws.FILTER(Hairstyles!$F:$F, ISNUMBER(SEARCH(F2783, Hairstyles!$B:$B))), 1)), "No Spell for Hairstyle"),
  _xlpm.vanillaPrefix, IF(LEFT(_xlpm.spell, 7)="Uvi_Wig", "", ";"),
  ";" &amp; IF(C2783="", B2783, C2783) &amp; IF(M2783="", "", " ("&amp;M2783&amp;")") &amp; CHAR(10) &amp;
  _xlpm.vanillaPrefix &amp; "Keyword = Uvi_Wig_Distr_KYWD|" &amp; B2783 &amp; CHAR(10) &amp;
  _xlpm.vanillaPrefix &amp; "Spell = " &amp; _xlpm.spell &amp; "|" &amp; B2783
  )
)</f>
        <v>;EncPenitus04Shock
;Keyword = Uvi_Wig_Distr_KYWD|EncPenitus04Shock
;Spell = No Spell for Hairstyle|EncPenitus04Shock</v>
      </c>
    </row>
    <row r="2784" ht="12.75" customHeight="1">
      <c r="A2784" s="5" t="s">
        <v>7940</v>
      </c>
      <c r="B2784" s="5" t="s">
        <v>7941</v>
      </c>
      <c r="D2784" s="5" t="s">
        <v>59</v>
      </c>
      <c r="E2784" s="5" t="s">
        <v>233</v>
      </c>
      <c r="F2784" s="5" t="s">
        <v>1622</v>
      </c>
      <c r="G2784" s="14" t="str">
        <f t="array" ref="G2784">IF(B2784="", "",
  LET(_xlpm.spell, IFERROR(IF(F2784="", "", INDEX(_xlws.FILTER(Hairstyles!$F:$F, ISNUMBER(SEARCH(F2784, Hairstyles!$B:$B))), 1)), "No Spell for Hairstyle"),
  _xlpm.vanillaPrefix, IF(LEFT(_xlpm.spell, 7)="Uvi_Wig", "", ";"),
  ";" &amp; IF(C2784="", B2784, C2784) &amp; IF(M2784="", "", " ("&amp;M2784&amp;")") &amp; CHAR(10) &amp;
  _xlpm.vanillaPrefix &amp; "Keyword = Uvi_Wig_Distr_KYWD|" &amp; B2784 &amp; CHAR(10) &amp;
  _xlpm.vanillaPrefix &amp; "Spell = " &amp; _xlpm.spell &amp; "|" &amp; B2784
  )
)</f>
        <v>;EncPenitus05Fire
;Keyword = Uvi_Wig_Distr_KYWD|EncPenitus05Fire
;Spell = No Spell for Hairstyle|EncPenitus05Fire</v>
      </c>
    </row>
    <row r="2785" ht="12.75" customHeight="1">
      <c r="A2785" s="5" t="s">
        <v>7942</v>
      </c>
      <c r="B2785" s="5" t="s">
        <v>7943</v>
      </c>
      <c r="D2785" s="5" t="s">
        <v>59</v>
      </c>
      <c r="E2785" s="5" t="s">
        <v>233</v>
      </c>
      <c r="F2785" s="5" t="s">
        <v>1622</v>
      </c>
      <c r="G2785" s="14" t="str">
        <f t="array" ref="G2785">IF(B2785="", "",
  LET(_xlpm.spell, IFERROR(IF(F2785="", "", INDEX(_xlws.FILTER(Hairstyles!$F:$F, ISNUMBER(SEARCH(F2785, Hairstyles!$B:$B))), 1)), "No Spell for Hairstyle"),
  _xlpm.vanillaPrefix, IF(LEFT(_xlpm.spell, 7)="Uvi_Wig", "", ";"),
  ";" &amp; IF(C2785="", B2785, C2785) &amp; IF(M2785="", "", " ("&amp;M2785&amp;")") &amp; CHAR(10) &amp;
  _xlpm.vanillaPrefix &amp; "Keyword = Uvi_Wig_Distr_KYWD|" &amp; B2785 &amp; CHAR(10) &amp;
  _xlpm.vanillaPrefix &amp; "Spell = " &amp; _xlpm.spell &amp; "|" &amp; B2785
  )
)</f>
        <v>;EncPenitus05Shock
;Keyword = Uvi_Wig_Distr_KYWD|EncPenitus05Shock
;Spell = No Spell for Hairstyle|EncPenitus05Shock</v>
      </c>
    </row>
    <row r="2786" ht="12.75" customHeight="1">
      <c r="A2786" s="5" t="s">
        <v>7944</v>
      </c>
      <c r="B2786" s="5" t="s">
        <v>7945</v>
      </c>
      <c r="D2786" s="5" t="s">
        <v>59</v>
      </c>
      <c r="E2786" s="5" t="s">
        <v>233</v>
      </c>
      <c r="F2786" s="5" t="s">
        <v>1622</v>
      </c>
      <c r="G2786" s="14" t="str">
        <f t="array" ref="G2786">IF(B2786="", "",
  LET(_xlpm.spell, IFERROR(IF(F2786="", "", INDEX(_xlws.FILTER(Hairstyles!$F:$F, ISNUMBER(SEARCH(F2786, Hairstyles!$B:$B))), 1)), "No Spell for Hairstyle"),
  _xlpm.vanillaPrefix, IF(LEFT(_xlpm.spell, 7)="Uvi_Wig", "", ";"),
  ";" &amp; IF(C2786="", B2786, C2786) &amp; IF(M2786="", "", " ("&amp;M2786&amp;")") &amp; CHAR(10) &amp;
  _xlpm.vanillaPrefix &amp; "Keyword = Uvi_Wig_Distr_KYWD|" &amp; B2786 &amp; CHAR(10) &amp;
  _xlpm.vanillaPrefix &amp; "Spell = " &amp; _xlpm.spell &amp; "|" &amp; B2786
  )
)</f>
        <v>;EncPenitus06Fire
;Keyword = Uvi_Wig_Distr_KYWD|EncPenitus06Fire
;Spell = No Spell for Hairstyle|EncPenitus06Fire</v>
      </c>
    </row>
    <row r="2787" ht="12.75" customHeight="1">
      <c r="A2787" s="5" t="s">
        <v>7946</v>
      </c>
      <c r="B2787" s="5" t="s">
        <v>7947</v>
      </c>
      <c r="D2787" s="5" t="s">
        <v>59</v>
      </c>
      <c r="E2787" s="5" t="s">
        <v>233</v>
      </c>
      <c r="F2787" s="5" t="s">
        <v>1622</v>
      </c>
      <c r="G2787" s="14" t="str">
        <f t="array" ref="G2787">IF(B2787="", "",
  LET(_xlpm.spell, IFERROR(IF(F2787="", "", INDEX(_xlws.FILTER(Hairstyles!$F:$F, ISNUMBER(SEARCH(F2787, Hairstyles!$B:$B))), 1)), "No Spell for Hairstyle"),
  _xlpm.vanillaPrefix, IF(LEFT(_xlpm.spell, 7)="Uvi_Wig", "", ";"),
  ";" &amp; IF(C2787="", B2787, C2787) &amp; IF(M2787="", "", " ("&amp;M2787&amp;")") &amp; CHAR(10) &amp;
  _xlpm.vanillaPrefix &amp; "Keyword = Uvi_Wig_Distr_KYWD|" &amp; B2787 &amp; CHAR(10) &amp;
  _xlpm.vanillaPrefix &amp; "Spell = " &amp; _xlpm.spell &amp; "|" &amp; B2787
  )
)</f>
        <v>;EncPenitus06Shock
;Keyword = Uvi_Wig_Distr_KYWD|EncPenitus06Shock
;Spell = No Spell for Hairstyle|EncPenitus06Shock</v>
      </c>
    </row>
    <row r="2788" ht="12.75" customHeight="1">
      <c r="A2788" s="5" t="s">
        <v>7948</v>
      </c>
      <c r="B2788" s="5" t="s">
        <v>7949</v>
      </c>
      <c r="D2788" s="5" t="s">
        <v>59</v>
      </c>
      <c r="E2788" s="5" t="s">
        <v>233</v>
      </c>
      <c r="F2788" s="5" t="s">
        <v>475</v>
      </c>
      <c r="G2788" s="14" t="str">
        <f t="array" ref="G2788">IF(B2788="", "",
  LET(_xlpm.spell, IFERROR(IF(F2788="", "", INDEX(_xlws.FILTER(Hairstyles!$F:$F, ISNUMBER(SEARCH(F2788, Hairstyles!$B:$B))), 1)), "No Spell for Hairstyle"),
  _xlpm.vanillaPrefix, IF(LEFT(_xlpm.spell, 7)="Uvi_Wig", "", ";"),
  ";" &amp; IF(C2788="", B2788, C2788) &amp; IF(M2788="", "", " ("&amp;M2788&amp;")") &amp; CHAR(10) &amp;
  _xlpm.vanillaPrefix &amp; "Keyword = Uvi_Wig_Distr_KYWD|" &amp; B2788 &amp; CHAR(10) &amp;
  _xlpm.vanillaPrefix &amp; "Spell = " &amp; _xlpm.spell &amp; "|" &amp; B2788
  )
)</f>
        <v>;EncSailorImperialM
;Keyword = Uvi_Wig_Distr_KYWD|EncSailorImperialM
;Spell = No Spell for Hairstyle|EncSailorImperialM</v>
      </c>
    </row>
    <row r="2789" ht="12.75" customHeight="1">
      <c r="A2789" s="5" t="s">
        <v>7950</v>
      </c>
      <c r="B2789" s="5" t="s">
        <v>7951</v>
      </c>
      <c r="D2789" s="5" t="s">
        <v>38</v>
      </c>
      <c r="E2789" s="5" t="s">
        <v>233</v>
      </c>
      <c r="F2789" s="5" t="s">
        <v>218</v>
      </c>
      <c r="G2789" s="14" t="str">
        <f t="array" ref="G2789">IF(B2789="", "",
  LET(_xlpm.spell, IFERROR(IF(F2789="", "", INDEX(_xlws.FILTER(Hairstyles!$F:$F, ISNUMBER(SEARCH(F2789, Hairstyles!$B:$B))), 1)), "No Spell for Hairstyle"),
  _xlpm.vanillaPrefix, IF(LEFT(_xlpm.spell, 7)="Uvi_Wig", "", ";"),
  ";" &amp; IF(C2789="", B2789, C2789) &amp; IF(M2789="", "", " ("&amp;M2789&amp;")") &amp; CHAR(10) &amp;
  _xlpm.vanillaPrefix &amp; "Keyword = Uvi_Wig_Distr_KYWD|" &amp; B2789 &amp; CHAR(10) &amp;
  _xlpm.vanillaPrefix &amp; "Spell = " &amp; _xlpm.spell &amp; "|" &amp; B2789
  )
)</f>
        <v>;EncSailorNordM
;Keyword = Uvi_Wig_Distr_KYWD|EncSailorNordM
;Spell = No Spell for Hairstyle|EncSailorNordM</v>
      </c>
    </row>
    <row r="2790" ht="12.75" customHeight="1">
      <c r="A2790" s="5" t="s">
        <v>7952</v>
      </c>
      <c r="B2790" s="5" t="s">
        <v>7953</v>
      </c>
      <c r="D2790" s="5" t="s">
        <v>83</v>
      </c>
      <c r="E2790" s="5" t="s">
        <v>233</v>
      </c>
      <c r="F2790" s="5" t="s">
        <v>84</v>
      </c>
      <c r="G2790" s="14" t="str">
        <f t="array" ref="G2790">IF(B2790="", "",
  LET(_xlpm.spell, IFERROR(IF(F2790="", "", INDEX(_xlws.FILTER(Hairstyles!$F:$F, ISNUMBER(SEARCH(F2790, Hairstyles!$B:$B))), 1)), "No Spell for Hairstyle"),
  _xlpm.vanillaPrefix, IF(LEFT(_xlpm.spell, 7)="Uvi_Wig", "", ";"),
  ";" &amp; IF(C2790="", B2790, C2790) &amp; IF(M2790="", "", " ("&amp;M2790&amp;")") &amp; CHAR(10) &amp;
  _xlpm.vanillaPrefix &amp; "Keyword = Uvi_Wig_Distr_KYWD|" &amp; B2790 &amp; CHAR(10) &amp;
  _xlpm.vanillaPrefix &amp; "Spell = " &amp; _xlpm.spell &amp; "|" &amp; B2790
  )
)</f>
        <v>;EncSailorRedguardM
;Keyword = Uvi_Wig_Distr_KYWD|EncSailorRedguardM
;Spell = No Spell for Hairstyle|EncSailorRedguardM</v>
      </c>
    </row>
    <row r="2791" ht="12.75" customHeight="1">
      <c r="A2791" s="15" t="s">
        <v>7954</v>
      </c>
      <c r="B2791" s="5" t="s">
        <v>7955</v>
      </c>
      <c r="D2791" s="5" t="s">
        <v>16</v>
      </c>
      <c r="E2791" s="5" t="s">
        <v>233</v>
      </c>
      <c r="F2791" s="5" t="s">
        <v>19</v>
      </c>
      <c r="G2791" s="14" t="str">
        <f t="array" ref="G2791">IF(B2791="", "",
  LET(_xlpm.spell, IFERROR(IF(F2791="", "", INDEX(_xlws.FILTER(Hairstyles!$F:$F, ISNUMBER(SEARCH(F2791, Hairstyles!$B:$B))), 1)), "No Spell for Hairstyle"),
  _xlpm.vanillaPrefix, IF(LEFT(_xlpm.spell, 7)="Uvi_Wig", "", ";"),
  ";" &amp; IF(C2791="", B2791, C2791) &amp; IF(M2791="", "", " ("&amp;M2791&amp;")") &amp; CHAR(10) &amp;
  _xlpm.vanillaPrefix &amp; "Keyword = Uvi_Wig_Distr_KYWD|" &amp; B2791 &amp; CHAR(10) &amp;
  _xlpm.vanillaPrefix &amp; "Spell = " &amp; _xlpm.spell &amp; "|" &amp; B2791
  )
)</f>
        <v>;EncSoldierImperialBretonM01MaleSoldier
;Keyword = Uvi_Wig_Distr_KYWD|EncSoldierImperialBretonM01MaleSoldier
;Spell = No Spell for Hairstyle|EncSoldierImperialBretonM01MaleSoldier</v>
      </c>
    </row>
    <row r="2792" ht="12.75" customHeight="1">
      <c r="A2792" s="15" t="s">
        <v>7956</v>
      </c>
      <c r="B2792" s="5" t="s">
        <v>7957</v>
      </c>
      <c r="D2792" s="5" t="s">
        <v>16</v>
      </c>
      <c r="E2792" s="5" t="s">
        <v>233</v>
      </c>
      <c r="F2792" s="5" t="s">
        <v>19</v>
      </c>
      <c r="G2792" s="14" t="str">
        <f t="array" ref="G2792">IF(B2792="", "",
  LET(_xlpm.spell, IFERROR(IF(F2792="", "", INDEX(_xlws.FILTER(Hairstyles!$F:$F, ISNUMBER(SEARCH(F2792, Hairstyles!$B:$B))), 1)), "No Spell for Hairstyle"),
  _xlpm.vanillaPrefix, IF(LEFT(_xlpm.spell, 7)="Uvi_Wig", "", ";"),
  ";" &amp; IF(C2792="", B2792, C2792) &amp; IF(M2792="", "", " ("&amp;M2792&amp;")") &amp; CHAR(10) &amp;
  _xlpm.vanillaPrefix &amp; "Keyword = Uvi_Wig_Distr_KYWD|" &amp; B2792 &amp; CHAR(10) &amp;
  _xlpm.vanillaPrefix &amp; "Spell = " &amp; _xlpm.spell &amp; "|" &amp; B2792
  )
)</f>
        <v>;EncSoldierImperialBretonM02MaleYoungEager
;Keyword = Uvi_Wig_Distr_KYWD|EncSoldierImperialBretonM02MaleYoungEager
;Spell = No Spell for Hairstyle|EncSoldierImperialBretonM02MaleYoungEager</v>
      </c>
    </row>
    <row r="2793" ht="12.75" customHeight="1">
      <c r="A2793" s="15" t="s">
        <v>7958</v>
      </c>
      <c r="B2793" s="5" t="s">
        <v>7959</v>
      </c>
      <c r="D2793" s="5" t="s">
        <v>59</v>
      </c>
      <c r="E2793" s="5" t="s">
        <v>233</v>
      </c>
      <c r="F2793" s="5" t="s">
        <v>19</v>
      </c>
      <c r="G2793" s="14" t="str">
        <f t="array" ref="G2793">IF(B2793="", "",
  LET(_xlpm.spell, IFERROR(IF(F2793="", "", INDEX(_xlws.FILTER(Hairstyles!$F:$F, ISNUMBER(SEARCH(F2793, Hairstyles!$B:$B))), 1)), "No Spell for Hairstyle"),
  _xlpm.vanillaPrefix, IF(LEFT(_xlpm.spell, 7)="Uvi_Wig", "", ";"),
  ";" &amp; IF(C2793="", B2793, C2793) &amp; IF(M2793="", "", " ("&amp;M2793&amp;")") &amp; CHAR(10) &amp;
  _xlpm.vanillaPrefix &amp; "Keyword = Uvi_Wig_Distr_KYWD|" &amp; B2793 &amp; CHAR(10) &amp;
  _xlpm.vanillaPrefix &amp; "Spell = " &amp; _xlpm.spell &amp; "|" &amp; B2793
  )
)</f>
        <v>;EncSoldierImperialImperialM01MaleSoldier
;Keyword = Uvi_Wig_Distr_KYWD|EncSoldierImperialImperialM01MaleSoldier
;Spell = No Spell for Hairstyle|EncSoldierImperialImperialM01MaleSoldier</v>
      </c>
    </row>
    <row r="2794" ht="12.75" customHeight="1">
      <c r="A2794" s="15" t="s">
        <v>7960</v>
      </c>
      <c r="B2794" s="5" t="s">
        <v>7961</v>
      </c>
      <c r="D2794" s="5" t="s">
        <v>59</v>
      </c>
      <c r="E2794" s="5" t="s">
        <v>233</v>
      </c>
      <c r="F2794" s="5" t="s">
        <v>19</v>
      </c>
      <c r="G2794" s="14" t="str">
        <f t="array" ref="G2794">IF(B2794="", "",
  LET(_xlpm.spell, IFERROR(IF(F2794="", "", INDEX(_xlws.FILTER(Hairstyles!$F:$F, ISNUMBER(SEARCH(F2794, Hairstyles!$B:$B))), 1)), "No Spell for Hairstyle"),
  _xlpm.vanillaPrefix, IF(LEFT(_xlpm.spell, 7)="Uvi_Wig", "", ";"),
  ";" &amp; IF(C2794="", B2794, C2794) &amp; IF(M2794="", "", " ("&amp;M2794&amp;")") &amp; CHAR(10) &amp;
  _xlpm.vanillaPrefix &amp; "Keyword = Uvi_Wig_Distr_KYWD|" &amp; B2794 &amp; CHAR(10) &amp;
  _xlpm.vanillaPrefix &amp; "Spell = " &amp; _xlpm.spell &amp; "|" &amp; B2794
  )
)</f>
        <v>;EncSoldierImperialImperialM02MaleYoungEager
;Keyword = Uvi_Wig_Distr_KYWD|EncSoldierImperialImperialM02MaleYoungEager
;Spell = No Spell for Hairstyle|EncSoldierImperialImperialM02MaleYoungEager</v>
      </c>
    </row>
    <row r="2795" ht="12.75" customHeight="1">
      <c r="A2795" s="5" t="s">
        <v>7962</v>
      </c>
      <c r="B2795" s="5" t="s">
        <v>7963</v>
      </c>
      <c r="D2795" s="5" t="s">
        <v>38</v>
      </c>
      <c r="E2795" s="5" t="s">
        <v>233</v>
      </c>
      <c r="F2795" s="5" t="s">
        <v>209</v>
      </c>
      <c r="G2795" s="14" t="str">
        <f t="array" ref="G2795">IF(B2795="", "",
  LET(_xlpm.spell, IFERROR(IF(F2795="", "", INDEX(_xlws.FILTER(Hairstyles!$F:$F, ISNUMBER(SEARCH(F2795, Hairstyles!$B:$B))), 1)), "No Spell for Hairstyle"),
  _xlpm.vanillaPrefix, IF(LEFT(_xlpm.spell, 7)="Uvi_Wig", "", ";"),
  ";" &amp; IF(C2795="", B2795, C2795) &amp; IF(M2795="", "", " ("&amp;M2795&amp;")") &amp; CHAR(10) &amp;
  _xlpm.vanillaPrefix &amp; "Keyword = Uvi_Wig_Distr_KYWD|" &amp; B2795 &amp; CHAR(10) &amp;
  _xlpm.vanillaPrefix &amp; "Spell = " &amp; _xlpm.spell &amp; "|" &amp; B2795
  )
)</f>
        <v>;EncSoldierImperialNordM01MaleSoldier
;Keyword = Uvi_Wig_Distr_KYWD|EncSoldierImperialNordM01MaleSoldier
;Spell = No Spell for Hairstyle|EncSoldierImperialNordM01MaleSoldier</v>
      </c>
    </row>
    <row r="2796" ht="12.75" customHeight="1">
      <c r="A2796" s="5" t="s">
        <v>7964</v>
      </c>
      <c r="B2796" s="5" t="s">
        <v>7965</v>
      </c>
      <c r="D2796" s="5" t="s">
        <v>38</v>
      </c>
      <c r="E2796" s="5" t="s">
        <v>233</v>
      </c>
      <c r="F2796" s="5" t="s">
        <v>84</v>
      </c>
      <c r="G2796" s="14" t="str">
        <f t="array" ref="G2796">IF(B2796="", "",
  LET(_xlpm.spell, IFERROR(IF(F2796="", "", INDEX(_xlws.FILTER(Hairstyles!$F:$F, ISNUMBER(SEARCH(F2796, Hairstyles!$B:$B))), 1)), "No Spell for Hairstyle"),
  _xlpm.vanillaPrefix, IF(LEFT(_xlpm.spell, 7)="Uvi_Wig", "", ";"),
  ";" &amp; IF(C2796="", B2796, C2796) &amp; IF(M2796="", "", " ("&amp;M2796&amp;")") &amp; CHAR(10) &amp;
  _xlpm.vanillaPrefix &amp; "Keyword = Uvi_Wig_Distr_KYWD|" &amp; B2796 &amp; CHAR(10) &amp;
  _xlpm.vanillaPrefix &amp; "Spell = " &amp; _xlpm.spell &amp; "|" &amp; B2796
  )
)</f>
        <v>;EncSoldierImperialNordM02MaleSoldier
;Keyword = Uvi_Wig_Distr_KYWD|EncSoldierImperialNordM02MaleSoldier
;Spell = No Spell for Hairstyle|EncSoldierImperialNordM02MaleSoldier</v>
      </c>
    </row>
    <row r="2797" ht="12.75" customHeight="1">
      <c r="A2797" s="15" t="s">
        <v>7966</v>
      </c>
      <c r="B2797" s="5" t="s">
        <v>7967</v>
      </c>
      <c r="D2797" s="5" t="s">
        <v>38</v>
      </c>
      <c r="E2797" s="5" t="s">
        <v>233</v>
      </c>
      <c r="F2797" s="5" t="s">
        <v>19</v>
      </c>
      <c r="G2797" s="14" t="str">
        <f t="array" ref="G2797">IF(B2797="", "",
  LET(_xlpm.spell, IFERROR(IF(F2797="", "", INDEX(_xlws.FILTER(Hairstyles!$F:$F, ISNUMBER(SEARCH(F2797, Hairstyles!$B:$B))), 1)), "No Spell for Hairstyle"),
  _xlpm.vanillaPrefix, IF(LEFT(_xlpm.spell, 7)="Uvi_Wig", "", ";"),
  ";" &amp; IF(C2797="", B2797, C2797) &amp; IF(M2797="", "", " ("&amp;M2797&amp;")") &amp; CHAR(10) &amp;
  _xlpm.vanillaPrefix &amp; "Keyword = Uvi_Wig_Distr_KYWD|" &amp; B2797 &amp; CHAR(10) &amp;
  _xlpm.vanillaPrefix &amp; "Spell = " &amp; _xlpm.spell &amp; "|" &amp; B2797
  )
)</f>
        <v>;EncSoldierImperialNordM03MaleYoungEager
;Keyword = Uvi_Wig_Distr_KYWD|EncSoldierImperialNordM03MaleYoungEager
;Spell = No Spell for Hairstyle|EncSoldierImperialNordM03MaleYoungEager</v>
      </c>
    </row>
    <row r="2798" ht="12.75" customHeight="1">
      <c r="A2798" s="15" t="s">
        <v>7968</v>
      </c>
      <c r="B2798" s="5" t="s">
        <v>7969</v>
      </c>
      <c r="D2798" s="5" t="s">
        <v>83</v>
      </c>
      <c r="E2798" s="5" t="s">
        <v>233</v>
      </c>
      <c r="F2798" s="5" t="s">
        <v>167</v>
      </c>
      <c r="G2798" s="14" t="str">
        <f t="array" ref="G2798">IF(B2798="", "",
  LET(_xlpm.spell, IFERROR(IF(F2798="", "", INDEX(_xlws.FILTER(Hairstyles!$F:$F, ISNUMBER(SEARCH(F2798, Hairstyles!$B:$B))), 1)), "No Spell for Hairstyle"),
  _xlpm.vanillaPrefix, IF(LEFT(_xlpm.spell, 7)="Uvi_Wig", "", ";"),
  ";" &amp; IF(C2798="", B2798, C2798) &amp; IF(M2798="", "", " ("&amp;M2798&amp;")") &amp; CHAR(10) &amp;
  _xlpm.vanillaPrefix &amp; "Keyword = Uvi_Wig_Distr_KYWD|" &amp; B2798 &amp; CHAR(10) &amp;
  _xlpm.vanillaPrefix &amp; "Spell = " &amp; _xlpm.spell &amp; "|" &amp; B2798
  )
)</f>
        <v>;EncSoldierImperialRedguardM01MaleSoldier
;Keyword = Uvi_Wig_Distr_KYWD|EncSoldierImperialRedguardM01MaleSoldier
;Spell = No Spell for Hairstyle|EncSoldierImperialRedguardM01MaleSoldier</v>
      </c>
    </row>
    <row r="2799" ht="12.75" customHeight="1">
      <c r="A2799" s="15" t="s">
        <v>7970</v>
      </c>
      <c r="B2799" s="5" t="s">
        <v>7971</v>
      </c>
      <c r="D2799" s="5" t="s">
        <v>83</v>
      </c>
      <c r="E2799" s="5" t="s">
        <v>233</v>
      </c>
      <c r="F2799" s="5" t="s">
        <v>1622</v>
      </c>
      <c r="G2799" s="14" t="str">
        <f t="array" ref="G2799">IF(B2799="", "",
  LET(_xlpm.spell, IFERROR(IF(F2799="", "", INDEX(_xlws.FILTER(Hairstyles!$F:$F, ISNUMBER(SEARCH(F2799, Hairstyles!$B:$B))), 1)), "No Spell for Hairstyle"),
  _xlpm.vanillaPrefix, IF(LEFT(_xlpm.spell, 7)="Uvi_Wig", "", ";"),
  ";" &amp; IF(C2799="", B2799, C2799) &amp; IF(M2799="", "", " ("&amp;M2799&amp;")") &amp; CHAR(10) &amp;
  _xlpm.vanillaPrefix &amp; "Keyword = Uvi_Wig_Distr_KYWD|" &amp; B2799 &amp; CHAR(10) &amp;
  _xlpm.vanillaPrefix &amp; "Spell = " &amp; _xlpm.spell &amp; "|" &amp; B2799
  )
)</f>
        <v>;EncSoldierImperialRedguardM02MaleYoungEager
;Keyword = Uvi_Wig_Distr_KYWD|EncSoldierImperialRedguardM02MaleYoungEager
;Spell = No Spell for Hairstyle|EncSoldierImperialRedguardM02MaleYoungEager</v>
      </c>
    </row>
    <row r="2800" ht="12.75" customHeight="1">
      <c r="A2800" s="15" t="s">
        <v>7972</v>
      </c>
      <c r="B2800" s="5" t="s">
        <v>7973</v>
      </c>
      <c r="D2800" s="5" t="s">
        <v>38</v>
      </c>
      <c r="E2800" s="5" t="s">
        <v>41</v>
      </c>
      <c r="F2800" s="5" t="s">
        <v>1596</v>
      </c>
      <c r="G2800" s="14" t="str">
        <f t="array" ref="G2800">IF(B2800="", "",
  LET(_xlpm.spell, IFERROR(IF(F2800="", "", INDEX(_xlws.FILTER(Hairstyles!$F:$F, ISNUMBER(SEARCH(F2800, Hairstyles!$B:$B))), 1)), "No Spell for Hairstyle"),
  _xlpm.vanillaPrefix, IF(LEFT(_xlpm.spell, 7)="Uvi_Wig", "", ";"),
  ";" &amp; IF(C2800="", B2800, C2800) &amp; IF(M2800="", "", " ("&amp;M2800&amp;")") &amp; CHAR(10) &amp;
  _xlpm.vanillaPrefix &amp; "Keyword = Uvi_Wig_Distr_KYWD|" &amp; B2800 &amp; CHAR(10) &amp;
  _xlpm.vanillaPrefix &amp; "Spell = " &amp; _xlpm.spell &amp; "|" &amp; B2800
  )
)</f>
        <v>;EncSoldierSonsNordF01FemaleNord
;Keyword = Uvi_Wig_Distr_KYWD|EncSoldierSonsNordF01FemaleNord
;Spell = No Spell for Hairstyle|EncSoldierSonsNordF01FemaleNord</v>
      </c>
    </row>
    <row r="2801" ht="12.75" customHeight="1">
      <c r="A2801" s="15" t="s">
        <v>7974</v>
      </c>
      <c r="B2801" s="5" t="s">
        <v>7975</v>
      </c>
      <c r="D2801" s="5" t="s">
        <v>38</v>
      </c>
      <c r="E2801" s="5" t="s">
        <v>41</v>
      </c>
      <c r="F2801" s="5" t="s">
        <v>69</v>
      </c>
      <c r="G2801" s="14" t="str">
        <f t="array" ref="G2801">IF(B2801="", "",
  LET(_xlpm.spell, IFERROR(IF(F2801="", "", INDEX(_xlws.FILTER(Hairstyles!$F:$F, ISNUMBER(SEARCH(F2801, Hairstyles!$B:$B))), 1)), "No Spell for Hairstyle"),
  _xlpm.vanillaPrefix, IF(LEFT(_xlpm.spell, 7)="Uvi_Wig", "", ";"),
  ";" &amp; IF(C2801="", B2801, C2801) &amp; IF(M2801="", "", " ("&amp;M2801&amp;")") &amp; CHAR(10) &amp;
  _xlpm.vanillaPrefix &amp; "Keyword = Uvi_Wig_Distr_KYWD|" &amp; B2801 &amp; CHAR(10) &amp;
  _xlpm.vanillaPrefix &amp; "Spell = " &amp; _xlpm.spell &amp; "|" &amp; B2801
  )
)</f>
        <v>;EncSoldierSonsNordF02FemaleNord
;Keyword = Uvi_Wig_Distr_KYWD|EncSoldierSonsNordF02FemaleNord
;Spell = No Spell for Hairstyle|EncSoldierSonsNordF02FemaleNord</v>
      </c>
    </row>
    <row r="2802" ht="12.75" customHeight="1">
      <c r="A2802" s="15" t="s">
        <v>7976</v>
      </c>
      <c r="B2802" s="5" t="s">
        <v>7977</v>
      </c>
      <c r="D2802" s="5" t="s">
        <v>38</v>
      </c>
      <c r="E2802" s="5" t="s">
        <v>41</v>
      </c>
      <c r="F2802" s="5" t="s">
        <v>1694</v>
      </c>
      <c r="G2802" s="14" t="str">
        <f t="array" ref="G2802">IF(B2802="", "",
  LET(_xlpm.spell, IFERROR(IF(F2802="", "", INDEX(_xlws.FILTER(Hairstyles!$F:$F, ISNUMBER(SEARCH(F2802, Hairstyles!$B:$B))), 1)), "No Spell for Hairstyle"),
  _xlpm.vanillaPrefix, IF(LEFT(_xlpm.spell, 7)="Uvi_Wig", "", ";"),
  ";" &amp; IF(C2802="", B2802, C2802) &amp; IF(M2802="", "", " ("&amp;M2802&amp;")") &amp; CHAR(10) &amp;
  _xlpm.vanillaPrefix &amp; "Keyword = Uvi_Wig_Distr_KYWD|" &amp; B2802 &amp; CHAR(10) &amp;
  _xlpm.vanillaPrefix &amp; "Spell = " &amp; _xlpm.spell &amp; "|" &amp; B2802
  )
)</f>
        <v>;EncSoldierSonsNordF03FemaleNord
;Keyword = Uvi_Wig_Distr_KYWD|EncSoldierSonsNordF03FemaleNord
;Spell = No Spell for Hairstyle|EncSoldierSonsNordF03FemaleNord</v>
      </c>
    </row>
    <row r="2803" ht="12.75" customHeight="1">
      <c r="A2803" s="5" t="s">
        <v>7978</v>
      </c>
      <c r="B2803" s="5" t="s">
        <v>7979</v>
      </c>
      <c r="D2803" s="5" t="s">
        <v>38</v>
      </c>
      <c r="E2803" s="5" t="s">
        <v>233</v>
      </c>
      <c r="F2803" s="5" t="s">
        <v>695</v>
      </c>
      <c r="G2803" s="14" t="str">
        <f t="array" ref="G2803">IF(B2803="", "",
  LET(_xlpm.spell, IFERROR(IF(F2803="", "", INDEX(_xlws.FILTER(Hairstyles!$F:$F, ISNUMBER(SEARCH(F2803, Hairstyles!$B:$B))), 1)), "No Spell for Hairstyle"),
  _xlpm.vanillaPrefix, IF(LEFT(_xlpm.spell, 7)="Uvi_Wig", "", ";"),
  ";" &amp; IF(C2803="", B2803, C2803) &amp; IF(M2803="", "", " ("&amp;M2803&amp;")") &amp; CHAR(10) &amp;
  _xlpm.vanillaPrefix &amp; "Keyword = Uvi_Wig_Distr_KYWD|" &amp; B2803 &amp; CHAR(10) &amp;
  _xlpm.vanillaPrefix &amp; "Spell = " &amp; _xlpm.spell &amp; "|" &amp; B2803
  )
)</f>
        <v>;EncSoldierSonsNordM01MaleNord
;Keyword = Uvi_Wig_Distr_KYWD|EncSoldierSonsNordM01MaleNord
;Spell = No Spell for Hairstyle|EncSoldierSonsNordM01MaleNord</v>
      </c>
    </row>
    <row r="2804" ht="12.75" customHeight="1">
      <c r="A2804" s="5" t="s">
        <v>7980</v>
      </c>
      <c r="B2804" s="5" t="s">
        <v>7981</v>
      </c>
      <c r="D2804" s="5" t="s">
        <v>38</v>
      </c>
      <c r="E2804" s="5" t="s">
        <v>233</v>
      </c>
      <c r="F2804" s="5" t="s">
        <v>762</v>
      </c>
      <c r="G2804" s="14" t="str">
        <f t="array" ref="G2804">IF(B2804="", "",
  LET(_xlpm.spell, IFERROR(IF(F2804="", "", INDEX(_xlws.FILTER(Hairstyles!$F:$F, ISNUMBER(SEARCH(F2804, Hairstyles!$B:$B))), 1)), "No Spell for Hairstyle"),
  _xlpm.vanillaPrefix, IF(LEFT(_xlpm.spell, 7)="Uvi_Wig", "", ";"),
  ";" &amp; IF(C2804="", B2804, C2804) &amp; IF(M2804="", "", " ("&amp;M2804&amp;")") &amp; CHAR(10) &amp;
  _xlpm.vanillaPrefix &amp; "Keyword = Uvi_Wig_Distr_KYWD|" &amp; B2804 &amp; CHAR(10) &amp;
  _xlpm.vanillaPrefix &amp; "Spell = " &amp; _xlpm.spell &amp; "|" &amp; B2804
  )
)</f>
        <v>;EncSoldierSonsNordM02MaleNord
;Keyword = Uvi_Wig_Distr_KYWD|EncSoldierSonsNordM02MaleNord
;Spell = No Spell for Hairstyle|EncSoldierSonsNordM02MaleNord</v>
      </c>
    </row>
    <row r="2805" ht="12.75" customHeight="1">
      <c r="A2805" s="5" t="s">
        <v>7982</v>
      </c>
      <c r="B2805" s="5" t="s">
        <v>7983</v>
      </c>
      <c r="D2805" s="5" t="s">
        <v>38</v>
      </c>
      <c r="E2805" s="5" t="s">
        <v>233</v>
      </c>
      <c r="F2805" s="5" t="s">
        <v>475</v>
      </c>
      <c r="G2805" s="14" t="str">
        <f t="array" ref="G2805">IF(B2805="", "",
  LET(_xlpm.spell, IFERROR(IF(F2805="", "", INDEX(_xlws.FILTER(Hairstyles!$F:$F, ISNUMBER(SEARCH(F2805, Hairstyles!$B:$B))), 1)), "No Spell for Hairstyle"),
  _xlpm.vanillaPrefix, IF(LEFT(_xlpm.spell, 7)="Uvi_Wig", "", ";"),
  ";" &amp; IF(C2805="", B2805, C2805) &amp; IF(M2805="", "", " ("&amp;M2805&amp;")") &amp; CHAR(10) &amp;
  _xlpm.vanillaPrefix &amp; "Keyword = Uvi_Wig_Distr_KYWD|" &amp; B2805 &amp; CHAR(10) &amp;
  _xlpm.vanillaPrefix &amp; "Spell = " &amp; _xlpm.spell &amp; "|" &amp; B2805
  )
)</f>
        <v>;EncSoldierSonsNordM03MaleNord
;Keyword = Uvi_Wig_Distr_KYWD|EncSoldierSonsNordM03MaleNord
;Spell = No Spell for Hairstyle|EncSoldierSonsNordM03MaleNord</v>
      </c>
    </row>
    <row r="2806" ht="12.75" customHeight="1">
      <c r="A2806" s="5" t="s">
        <v>7984</v>
      </c>
      <c r="B2806" s="5" t="s">
        <v>7985</v>
      </c>
      <c r="D2806" s="5" t="s">
        <v>38</v>
      </c>
      <c r="E2806" s="5" t="s">
        <v>233</v>
      </c>
      <c r="F2806" s="5" t="s">
        <v>84</v>
      </c>
      <c r="G2806" s="14" t="str">
        <f t="array" ref="G2806">IF(B2806="", "",
  LET(_xlpm.spell, IFERROR(IF(F2806="", "", INDEX(_xlws.FILTER(Hairstyles!$F:$F, ISNUMBER(SEARCH(F2806, Hairstyles!$B:$B))), 1)), "No Spell for Hairstyle"),
  _xlpm.vanillaPrefix, IF(LEFT(_xlpm.spell, 7)="Uvi_Wig", "", ";"),
  ";" &amp; IF(C2806="", B2806, C2806) &amp; IF(M2806="", "", " ("&amp;M2806&amp;")") &amp; CHAR(10) &amp;
  _xlpm.vanillaPrefix &amp; "Keyword = Uvi_Wig_Distr_KYWD|" &amp; B2806 &amp; CHAR(10) &amp;
  _xlpm.vanillaPrefix &amp; "Spell = " &amp; _xlpm.spell &amp; "|" &amp; B2806
  )
)</f>
        <v>;EncSoldierSonsNordM04MaleNord
;Keyword = Uvi_Wig_Distr_KYWD|EncSoldierSonsNordM04MaleNord
;Spell = No Spell for Hairstyle|EncSoldierSonsNordM04MaleNord</v>
      </c>
    </row>
    <row r="2807" ht="12.75" customHeight="1">
      <c r="A2807" s="5" t="s">
        <v>7986</v>
      </c>
      <c r="B2807" s="5" t="s">
        <v>7987</v>
      </c>
      <c r="D2807" s="5" t="s">
        <v>38</v>
      </c>
      <c r="E2807" s="5" t="s">
        <v>233</v>
      </c>
      <c r="F2807" s="5" t="s">
        <v>40</v>
      </c>
      <c r="G2807" s="14" t="str">
        <f t="array" ref="G2807">IF(B2807="", "",
  LET(_xlpm.spell, IFERROR(IF(F2807="", "", INDEX(_xlws.FILTER(Hairstyles!$F:$F, ISNUMBER(SEARCH(F2807, Hairstyles!$B:$B))), 1)), "No Spell for Hairstyle"),
  _xlpm.vanillaPrefix, IF(LEFT(_xlpm.spell, 7)="Uvi_Wig", "", ";"),
  ";" &amp; IF(C2807="", B2807, C2807) &amp; IF(M2807="", "", " ("&amp;M2807&amp;")") &amp; CHAR(10) &amp;
  _xlpm.vanillaPrefix &amp; "Keyword = Uvi_Wig_Distr_KYWD|" &amp; B2807 &amp; CHAR(10) &amp;
  _xlpm.vanillaPrefix &amp; "Spell = " &amp; _xlpm.spell &amp; "|" &amp; B2807
  )
)</f>
        <v>;EncSoldierSonsNordM05MaleNord
;Keyword = Uvi_Wig_Distr_KYWD|EncSoldierSonsNordM05MaleNord
;Spell = No Spell for Hairstyle|EncSoldierSonsNordM05MaleNord</v>
      </c>
    </row>
    <row r="2808" ht="12.75" customHeight="1">
      <c r="A2808" s="5" t="s">
        <v>7988</v>
      </c>
      <c r="B2808" s="5" t="s">
        <v>7989</v>
      </c>
      <c r="D2808" s="5" t="s">
        <v>38</v>
      </c>
      <c r="E2808" s="5" t="s">
        <v>233</v>
      </c>
      <c r="F2808" s="5" t="s">
        <v>19</v>
      </c>
      <c r="G2808" s="14" t="str">
        <f t="array" ref="G2808">IF(B2808="", "",
  LET(_xlpm.spell, IFERROR(IF(F2808="", "", INDEX(_xlws.FILTER(Hairstyles!$F:$F, ISNUMBER(SEARCH(F2808, Hairstyles!$B:$B))), 1)), "No Spell for Hairstyle"),
  _xlpm.vanillaPrefix, IF(LEFT(_xlpm.spell, 7)="Uvi_Wig", "", ";"),
  ";" &amp; IF(C2808="", B2808, C2808) &amp; IF(M2808="", "", " ("&amp;M2808&amp;")") &amp; CHAR(10) &amp;
  _xlpm.vanillaPrefix &amp; "Keyword = Uvi_Wig_Distr_KYWD|" &amp; B2808 &amp; CHAR(10) &amp;
  _xlpm.vanillaPrefix &amp; "Spell = " &amp; _xlpm.spell &amp; "|" &amp; B2808
  )
)</f>
        <v>;EncSoldierSonsNordM06MaleNord
;Keyword = Uvi_Wig_Distr_KYWD|EncSoldierSonsNordM06MaleNord
;Spell = No Spell for Hairstyle|EncSoldierSonsNordM06MaleNord</v>
      </c>
    </row>
    <row r="2809" ht="12.75" customHeight="1">
      <c r="A2809" s="5" t="s">
        <v>7990</v>
      </c>
      <c r="B2809" s="5" t="s">
        <v>7991</v>
      </c>
      <c r="D2809" s="5" t="s">
        <v>57</v>
      </c>
      <c r="E2809" s="5" t="s">
        <v>233</v>
      </c>
      <c r="F2809" s="5" t="s">
        <v>2559</v>
      </c>
      <c r="G2809" s="14" t="str">
        <f t="array" ref="G2809">IF(B2809="", "",
  LET(_xlpm.spell, IFERROR(IF(F2809="", "", INDEX(_xlws.FILTER(Hairstyles!$F:$F, ISNUMBER(SEARCH(F2809, Hairstyles!$B:$B))), 1)), "No Spell for Hairstyle"),
  _xlpm.vanillaPrefix, IF(LEFT(_xlpm.spell, 7)="Uvi_Wig", "", ";"),
  ";" &amp; IF(C2809="", B2809, C2809) &amp; IF(M2809="", "", " ("&amp;M2809&amp;")") &amp; CHAR(10) &amp;
  _xlpm.vanillaPrefix &amp; "Keyword = Uvi_Wig_Distr_KYWD|" &amp; B2809 &amp; CHAR(10) &amp;
  _xlpm.vanillaPrefix &amp; "Spell = " &amp; _xlpm.spell &amp; "|" &amp; B2809
  )
)</f>
        <v>;EncTGSummerset01Melee1HHighElfM
;Keyword = Uvi_Wig_Distr_KYWD|EncTGSummerset01Melee1HHighElfM
;Spell = No Spell for Hairstyle|EncTGSummerset01Melee1HHighElfM</v>
      </c>
    </row>
    <row r="2810" ht="12.75" customHeight="1">
      <c r="A2810" s="15" t="s">
        <v>7992</v>
      </c>
      <c r="B2810" s="5" t="s">
        <v>7993</v>
      </c>
      <c r="D2810" s="5" t="s">
        <v>57</v>
      </c>
      <c r="E2810" s="5" t="s">
        <v>41</v>
      </c>
      <c r="F2810" s="5" t="s">
        <v>491</v>
      </c>
      <c r="G2810" s="14" t="str">
        <f t="array" ref="G2810">IF(B2810="", "",
  LET(_xlpm.spell, IFERROR(IF(F2810="", "", INDEX(_xlws.FILTER(Hairstyles!$F:$F, ISNUMBER(SEARCH(F2810, Hairstyles!$B:$B))), 1)), "No Spell for Hairstyle"),
  _xlpm.vanillaPrefix, IF(LEFT(_xlpm.spell, 7)="Uvi_Wig", "", ";"),
  ";" &amp; IF(C2810="", B2810, C2810) &amp; IF(M2810="", "", " ("&amp;M2810&amp;")") &amp; CHAR(10) &amp;
  _xlpm.vanillaPrefix &amp; "Keyword = Uvi_Wig_Distr_KYWD|" &amp; B2810 &amp; CHAR(10) &amp;
  _xlpm.vanillaPrefix &amp; "Spell = " &amp; _xlpm.spell &amp; "|" &amp; B2810
  )
)</f>
        <v>;EncThalmor01MagicF
;Keyword = Uvi_Wig_Distr_KYWD|EncThalmor01MagicF
;Spell = No Spell for Hairstyle|EncThalmor01MagicF</v>
      </c>
    </row>
    <row r="2811" ht="12.75" customHeight="1">
      <c r="A2811" s="5" t="s">
        <v>7994</v>
      </c>
      <c r="B2811" s="5" t="s">
        <v>7995</v>
      </c>
      <c r="D2811" s="5" t="s">
        <v>57</v>
      </c>
      <c r="E2811" s="5" t="s">
        <v>233</v>
      </c>
      <c r="F2811" s="5" t="s">
        <v>91</v>
      </c>
      <c r="G2811" s="14" t="str">
        <f t="array" ref="G2811">IF(B2811="", "",
  LET(_xlpm.spell, IFERROR(IF(F2811="", "", INDEX(_xlws.FILTER(Hairstyles!$F:$F, ISNUMBER(SEARCH(F2811, Hairstyles!$B:$B))), 1)), "No Spell for Hairstyle"),
  _xlpm.vanillaPrefix, IF(LEFT(_xlpm.spell, 7)="Uvi_Wig", "", ";"),
  ";" &amp; IF(C2811="", B2811, C2811) &amp; IF(M2811="", "", " ("&amp;M2811&amp;")") &amp; CHAR(10) &amp;
  _xlpm.vanillaPrefix &amp; "Keyword = Uvi_Wig_Distr_KYWD|" &amp; B2811 &amp; CHAR(10) &amp;
  _xlpm.vanillaPrefix &amp; "Spell = " &amp; _xlpm.spell &amp; "|" &amp; B2811
  )
)</f>
        <v>;EncThalmor01MagicM
;Keyword = Uvi_Wig_Distr_KYWD|EncThalmor01MagicM
;Spell = No Spell for Hairstyle|EncThalmor01MagicM</v>
      </c>
    </row>
    <row r="2812" ht="12.75" customHeight="1">
      <c r="A2812" s="15" t="s">
        <v>7996</v>
      </c>
      <c r="B2812" s="5" t="s">
        <v>7997</v>
      </c>
      <c r="D2812" s="5" t="s">
        <v>57</v>
      </c>
      <c r="E2812" s="5" t="s">
        <v>41</v>
      </c>
      <c r="F2812" s="5" t="s">
        <v>1854</v>
      </c>
      <c r="G2812" s="14" t="str">
        <f t="array" ref="G2812">IF(B2812="", "",
  LET(_xlpm.spell, IFERROR(IF(F2812="", "", INDEX(_xlws.FILTER(Hairstyles!$F:$F, ISNUMBER(SEARCH(F2812, Hairstyles!$B:$B))), 1)), "No Spell for Hairstyle"),
  _xlpm.vanillaPrefix, IF(LEFT(_xlpm.spell, 7)="Uvi_Wig", "", ";"),
  ";" &amp; IF(C2812="", B2812, C2812) &amp; IF(M2812="", "", " ("&amp;M2812&amp;")") &amp; CHAR(10) &amp;
  _xlpm.vanillaPrefix &amp; "Keyword = Uvi_Wig_Distr_KYWD|" &amp; B2812 &amp; CHAR(10) &amp;
  _xlpm.vanillaPrefix &amp; "Spell = " &amp; _xlpm.spell &amp; "|" &amp; B2812
  )
)</f>
        <v>;EncThalmor01Melee1HF
;Keyword = Uvi_Wig_Distr_KYWD|EncThalmor01Melee1HF
;Spell = No Spell for Hairstyle|EncThalmor01Melee1HF</v>
      </c>
    </row>
    <row r="2813" ht="12.75" customHeight="1">
      <c r="A2813" s="5" t="s">
        <v>7998</v>
      </c>
      <c r="B2813" s="5" t="s">
        <v>7999</v>
      </c>
      <c r="D2813" s="5" t="s">
        <v>57</v>
      </c>
      <c r="E2813" s="5" t="s">
        <v>41</v>
      </c>
      <c r="F2813" s="5" t="s">
        <v>48</v>
      </c>
      <c r="G2813" s="14" t="str">
        <f t="array" ref="G2813">IF(B2813="", "",
  LET(_xlpm.spell, IFERROR(IF(F2813="", "", INDEX(_xlws.FILTER(Hairstyles!$F:$F, ISNUMBER(SEARCH(F2813, Hairstyles!$B:$B))), 1)), "No Spell for Hairstyle"),
  _xlpm.vanillaPrefix, IF(LEFT(_xlpm.spell, 7)="Uvi_Wig", "", ";"),
  ";" &amp; IF(C2813="", B2813, C2813) &amp; IF(M2813="", "", " ("&amp;M2813&amp;")") &amp; CHAR(10) &amp;
  _xlpm.vanillaPrefix &amp; "Keyword = Uvi_Wig_Distr_KYWD|" &amp; B2813 &amp; CHAR(10) &amp;
  _xlpm.vanillaPrefix &amp; "Spell = " &amp; _xlpm.spell &amp; "|" &amp; B2813
  )
)</f>
        <v>;EncThalmor01Melee1HFDual
;Keyword = Uvi_Wig_Distr_KYWD|EncThalmor01Melee1HFDual
;Spell = No Spell for Hairstyle|EncThalmor01Melee1HFDual</v>
      </c>
    </row>
    <row r="2814" ht="12.75" customHeight="1">
      <c r="A2814" s="5" t="s">
        <v>8000</v>
      </c>
      <c r="B2814" s="5" t="s">
        <v>8001</v>
      </c>
      <c r="D2814" s="5" t="s">
        <v>57</v>
      </c>
      <c r="E2814" s="5" t="s">
        <v>233</v>
      </c>
      <c r="F2814" s="5" t="s">
        <v>47</v>
      </c>
      <c r="G2814" s="14" t="str">
        <f t="array" ref="G2814">IF(B2814="", "",
  LET(_xlpm.spell, IFERROR(IF(F2814="", "", INDEX(_xlws.FILTER(Hairstyles!$F:$F, ISNUMBER(SEARCH(F2814, Hairstyles!$B:$B))), 1)), "No Spell for Hairstyle"),
  _xlpm.vanillaPrefix, IF(LEFT(_xlpm.spell, 7)="Uvi_Wig", "", ";"),
  ";" &amp; IF(C2814="", B2814, C2814) &amp; IF(M2814="", "", " ("&amp;M2814&amp;")") &amp; CHAR(10) &amp;
  _xlpm.vanillaPrefix &amp; "Keyword = Uvi_Wig_Distr_KYWD|" &amp; B2814 &amp; CHAR(10) &amp;
  _xlpm.vanillaPrefix &amp; "Spell = " &amp; _xlpm.spell &amp; "|" &amp; B2814
  )
)</f>
        <v>;EncThalmor01Melee1HM
;Keyword = Uvi_Wig_Distr_KYWD|EncThalmor01Melee1HM
;Spell = No Spell for Hairstyle|EncThalmor01Melee1HM</v>
      </c>
    </row>
    <row r="2815" ht="12.75" customHeight="1">
      <c r="A2815" s="5" t="s">
        <v>8002</v>
      </c>
      <c r="B2815" s="5" t="s">
        <v>8003</v>
      </c>
      <c r="D2815" s="5" t="s">
        <v>57</v>
      </c>
      <c r="E2815" s="5" t="s">
        <v>233</v>
      </c>
      <c r="F2815" s="5" t="s">
        <v>47</v>
      </c>
      <c r="G2815" s="14" t="str">
        <f t="array" ref="G2815">IF(B2815="", "",
  LET(_xlpm.spell, IFERROR(IF(F2815="", "", INDEX(_xlws.FILTER(Hairstyles!$F:$F, ISNUMBER(SEARCH(F2815, Hairstyles!$B:$B))), 1)), "No Spell for Hairstyle"),
  _xlpm.vanillaPrefix, IF(LEFT(_xlpm.spell, 7)="Uvi_Wig", "", ";"),
  ";" &amp; IF(C2815="", B2815, C2815) &amp; IF(M2815="", "", " ("&amp;M2815&amp;")") &amp; CHAR(10) &amp;
  _xlpm.vanillaPrefix &amp; "Keyword = Uvi_Wig_Distr_KYWD|" &amp; B2815 &amp; CHAR(10) &amp;
  _xlpm.vanillaPrefix &amp; "Spell = " &amp; _xlpm.spell &amp; "|" &amp; B2815
  )
)</f>
        <v>;EncThalmor01Melee1HMDual
;Keyword = Uvi_Wig_Distr_KYWD|EncThalmor01Melee1HMDual
;Spell = No Spell for Hairstyle|EncThalmor01Melee1HMDual</v>
      </c>
    </row>
    <row r="2816" ht="12.75" customHeight="1">
      <c r="A2816" s="15" t="s">
        <v>8004</v>
      </c>
      <c r="B2816" s="5" t="s">
        <v>8005</v>
      </c>
      <c r="D2816" s="5" t="s">
        <v>57</v>
      </c>
      <c r="E2816" s="5" t="s">
        <v>41</v>
      </c>
      <c r="F2816" s="5" t="s">
        <v>512</v>
      </c>
      <c r="G2816" s="14" t="str">
        <f t="array" ref="G2816">IF(B2816="", "",
  LET(_xlpm.spell, IFERROR(IF(F2816="", "", INDEX(_xlws.FILTER(Hairstyles!$F:$F, ISNUMBER(SEARCH(F2816, Hairstyles!$B:$B))), 1)), "No Spell for Hairstyle"),
  _xlpm.vanillaPrefix, IF(LEFT(_xlpm.spell, 7)="Uvi_Wig", "", ";"),
  ";" &amp; IF(C2816="", B2816, C2816) &amp; IF(M2816="", "", " ("&amp;M2816&amp;")") &amp; CHAR(10) &amp;
  _xlpm.vanillaPrefix &amp; "Keyword = Uvi_Wig_Distr_KYWD|" &amp; B2816 &amp; CHAR(10) &amp;
  _xlpm.vanillaPrefix &amp; "Spell = " &amp; _xlpm.spell &amp; "|" &amp; B2816
  )
)</f>
        <v>;EncThalmor01MissileF
;Keyword = Uvi_Wig_Distr_KYWD|EncThalmor01MissileF
;Spell = No Spell for Hairstyle|EncThalmor01MissileF</v>
      </c>
    </row>
    <row r="2817" ht="12.75" customHeight="1">
      <c r="A2817" s="5" t="s">
        <v>8006</v>
      </c>
      <c r="B2817" s="5" t="s">
        <v>8007</v>
      </c>
      <c r="D2817" s="5" t="s">
        <v>57</v>
      </c>
      <c r="E2817" s="5" t="s">
        <v>233</v>
      </c>
      <c r="F2817" s="5" t="s">
        <v>1787</v>
      </c>
      <c r="G2817" s="14" t="str">
        <f t="array" ref="G2817">IF(B2817="", "",
  LET(_xlpm.spell, IFERROR(IF(F2817="", "", INDEX(_xlws.FILTER(Hairstyles!$F:$F, ISNUMBER(SEARCH(F2817, Hairstyles!$B:$B))), 1)), "No Spell for Hairstyle"),
  _xlpm.vanillaPrefix, IF(LEFT(_xlpm.spell, 7)="Uvi_Wig", "", ";"),
  ";" &amp; IF(C2817="", B2817, C2817) &amp; IF(M2817="", "", " ("&amp;M2817&amp;")") &amp; CHAR(10) &amp;
  _xlpm.vanillaPrefix &amp; "Keyword = Uvi_Wig_Distr_KYWD|" &amp; B2817 &amp; CHAR(10) &amp;
  _xlpm.vanillaPrefix &amp; "Spell = " &amp; _xlpm.spell &amp; "|" &amp; B2817
  )
)</f>
        <v>;EncThalmor01MissileM
;Keyword = Uvi_Wig_Distr_KYWD|EncThalmor01MissileM
;Spell = No Spell for Hairstyle|EncThalmor01MissileM</v>
      </c>
    </row>
    <row r="2818" ht="12.75" customHeight="1">
      <c r="A2818" s="5" t="s">
        <v>8008</v>
      </c>
      <c r="B2818" s="5" t="s">
        <v>8009</v>
      </c>
      <c r="D2818" s="5" t="s">
        <v>57</v>
      </c>
      <c r="E2818" s="5" t="s">
        <v>233</v>
      </c>
      <c r="F2818" s="5" t="s">
        <v>91</v>
      </c>
      <c r="G2818" s="14" t="str">
        <f t="array" ref="G2818">IF(B2818="", "",
  LET(_xlpm.spell, IFERROR(IF(F2818="", "", INDEX(_xlws.FILTER(Hairstyles!$F:$F, ISNUMBER(SEARCH(F2818, Hairstyles!$B:$B))), 1)), "No Spell for Hairstyle"),
  _xlpm.vanillaPrefix, IF(LEFT(_xlpm.spell, 7)="Uvi_Wig", "", ";"),
  ";" &amp; IF(C2818="", B2818, C2818) &amp; IF(M2818="", "", " ("&amp;M2818&amp;")") &amp; CHAR(10) &amp;
  _xlpm.vanillaPrefix &amp; "Keyword = Uvi_Wig_Distr_KYWD|" &amp; B2818 &amp; CHAR(10) &amp;
  _xlpm.vanillaPrefix &amp; "Spell = " &amp; _xlpm.spell &amp; "|" &amp; B2818
  )
)</f>
        <v>;EncThalmor02MagicBossM
;Keyword = Uvi_Wig_Distr_KYWD|EncThalmor02MagicBossM
;Spell = No Spell for Hairstyle|EncThalmor02MagicBossM</v>
      </c>
    </row>
    <row r="2819" ht="12.75" customHeight="1">
      <c r="A2819" s="15" t="s">
        <v>8010</v>
      </c>
      <c r="B2819" s="5" t="s">
        <v>8011</v>
      </c>
      <c r="D2819" s="5" t="s">
        <v>57</v>
      </c>
      <c r="E2819" s="5" t="s">
        <v>41</v>
      </c>
      <c r="F2819" s="5" t="s">
        <v>48</v>
      </c>
      <c r="G2819" s="14" t="str">
        <f t="array" ref="G2819">IF(B2819="", "",
  LET(_xlpm.spell, IFERROR(IF(F2819="", "", INDEX(_xlws.FILTER(Hairstyles!$F:$F, ISNUMBER(SEARCH(F2819, Hairstyles!$B:$B))), 1)), "No Spell for Hairstyle"),
  _xlpm.vanillaPrefix, IF(LEFT(_xlpm.spell, 7)="Uvi_Wig", "", ";"),
  ";" &amp; IF(C2819="", B2819, C2819) &amp; IF(M2819="", "", " ("&amp;M2819&amp;")") &amp; CHAR(10) &amp;
  _xlpm.vanillaPrefix &amp; "Keyword = Uvi_Wig_Distr_KYWD|" &amp; B2819 &amp; CHAR(10) &amp;
  _xlpm.vanillaPrefix &amp; "Spell = " &amp; _xlpm.spell &amp; "|" &amp; B2819
  )
)</f>
        <v>;EncThalmor02MagicF
;Keyword = Uvi_Wig_Distr_KYWD|EncThalmor02MagicF
;Spell = No Spell for Hairstyle|EncThalmor02MagicF</v>
      </c>
    </row>
    <row r="2820" ht="12.75" customHeight="1">
      <c r="A2820" s="5" t="s">
        <v>8012</v>
      </c>
      <c r="B2820" s="5" t="s">
        <v>8013</v>
      </c>
      <c r="D2820" s="5" t="s">
        <v>57</v>
      </c>
      <c r="E2820" s="5" t="s">
        <v>233</v>
      </c>
      <c r="F2820" s="5" t="s">
        <v>91</v>
      </c>
      <c r="G2820" s="14" t="str">
        <f t="array" ref="G2820">IF(B2820="", "",
  LET(_xlpm.spell, IFERROR(IF(F2820="", "", INDEX(_xlws.FILTER(Hairstyles!$F:$F, ISNUMBER(SEARCH(F2820, Hairstyles!$B:$B))), 1)), "No Spell for Hairstyle"),
  _xlpm.vanillaPrefix, IF(LEFT(_xlpm.spell, 7)="Uvi_Wig", "", ";"),
  ";" &amp; IF(C2820="", B2820, C2820) &amp; IF(M2820="", "", " ("&amp;M2820&amp;")") &amp; CHAR(10) &amp;
  _xlpm.vanillaPrefix &amp; "Keyword = Uvi_Wig_Distr_KYWD|" &amp; B2820 &amp; CHAR(10) &amp;
  _xlpm.vanillaPrefix &amp; "Spell = " &amp; _xlpm.spell &amp; "|" &amp; B2820
  )
)</f>
        <v>;EncThalmor02MagicM
;Keyword = Uvi_Wig_Distr_KYWD|EncThalmor02MagicM
;Spell = No Spell for Hairstyle|EncThalmor02MagicM</v>
      </c>
    </row>
    <row r="2821" ht="12.75" customHeight="1">
      <c r="A2821" s="5" t="s">
        <v>8014</v>
      </c>
      <c r="B2821" s="5" t="s">
        <v>8015</v>
      </c>
      <c r="D2821" s="5" t="s">
        <v>57</v>
      </c>
      <c r="E2821" s="5" t="s">
        <v>41</v>
      </c>
      <c r="F2821" s="5" t="s">
        <v>2380</v>
      </c>
      <c r="G2821" s="14" t="str">
        <f t="array" ref="G2821">IF(B2821="", "",
  LET(_xlpm.spell, IFERROR(IF(F2821="", "", INDEX(_xlws.FILTER(Hairstyles!$F:$F, ISNUMBER(SEARCH(F2821, Hairstyles!$B:$B))), 1)), "No Spell for Hairstyle"),
  _xlpm.vanillaPrefix, IF(LEFT(_xlpm.spell, 7)="Uvi_Wig", "", ";"),
  ";" &amp; IF(C2821="", B2821, C2821) &amp; IF(M2821="", "", " ("&amp;M2821&amp;")") &amp; CHAR(10) &amp;
  _xlpm.vanillaPrefix &amp; "Keyword = Uvi_Wig_Distr_KYWD|" &amp; B2821 &amp; CHAR(10) &amp;
  _xlpm.vanillaPrefix &amp; "Spell = " &amp; _xlpm.spell &amp; "|" &amp; B2821
  )
)</f>
        <v>;EncThalmor02Melee1HF
;Keyword = Uvi_Wig_Distr_KYWD|EncThalmor02Melee1HF
;Spell = No Spell for Hairstyle|EncThalmor02Melee1HF</v>
      </c>
    </row>
    <row r="2822" ht="12.75" customHeight="1">
      <c r="A2822" s="5" t="s">
        <v>8016</v>
      </c>
      <c r="B2822" s="5" t="s">
        <v>8017</v>
      </c>
      <c r="D2822" s="5" t="s">
        <v>57</v>
      </c>
      <c r="E2822" s="5" t="s">
        <v>41</v>
      </c>
      <c r="F2822" s="5" t="s">
        <v>48</v>
      </c>
      <c r="G2822" s="14" t="str">
        <f t="array" ref="G2822">IF(B2822="", "",
  LET(_xlpm.spell, IFERROR(IF(F2822="", "", INDEX(_xlws.FILTER(Hairstyles!$F:$F, ISNUMBER(SEARCH(F2822, Hairstyles!$B:$B))), 1)), "No Spell for Hairstyle"),
  _xlpm.vanillaPrefix, IF(LEFT(_xlpm.spell, 7)="Uvi_Wig", "", ";"),
  ";" &amp; IF(C2822="", B2822, C2822) &amp; IF(M2822="", "", " ("&amp;M2822&amp;")") &amp; CHAR(10) &amp;
  _xlpm.vanillaPrefix &amp; "Keyword = Uvi_Wig_Distr_KYWD|" &amp; B2822 &amp; CHAR(10) &amp;
  _xlpm.vanillaPrefix &amp; "Spell = " &amp; _xlpm.spell &amp; "|" &amp; B2822
  )
)</f>
        <v>;EncThalmor02Melee1HFDual
;Keyword = Uvi_Wig_Distr_KYWD|EncThalmor02Melee1HFDual
;Spell = No Spell for Hairstyle|EncThalmor02Melee1HFDual</v>
      </c>
    </row>
    <row r="2823" ht="12.75" customHeight="1">
      <c r="A2823" s="5" t="s">
        <v>8018</v>
      </c>
      <c r="B2823" s="5" t="s">
        <v>8019</v>
      </c>
      <c r="D2823" s="5" t="s">
        <v>57</v>
      </c>
      <c r="E2823" s="5" t="s">
        <v>41</v>
      </c>
      <c r="F2823" s="5" t="s">
        <v>48</v>
      </c>
      <c r="G2823" s="14" t="str">
        <f t="array" ref="G2823">IF(B2823="", "",
  LET(_xlpm.spell, IFERROR(IF(F2823="", "", INDEX(_xlws.FILTER(Hairstyles!$F:$F, ISNUMBER(SEARCH(F2823, Hairstyles!$B:$B))), 1)), "No Spell for Hairstyle"),
  _xlpm.vanillaPrefix, IF(LEFT(_xlpm.spell, 7)="Uvi_Wig", "", ";"),
  ";" &amp; IF(C2823="", B2823, C2823) &amp; IF(M2823="", "", " ("&amp;M2823&amp;")") &amp; CHAR(10) &amp;
  _xlpm.vanillaPrefix &amp; "Keyword = Uvi_Wig_Distr_KYWD|" &amp; B2823 &amp; CHAR(10) &amp;
  _xlpm.vanillaPrefix &amp; "Spell = " &amp; _xlpm.spell &amp; "|" &amp; B2823
  )
)</f>
        <v>;EncThalmor02Melee1HFShield
;Keyword = Uvi_Wig_Distr_KYWD|EncThalmor02Melee1HFShield
;Spell = No Spell for Hairstyle|EncThalmor02Melee1HFShield</v>
      </c>
    </row>
    <row r="2824" ht="12.75" customHeight="1">
      <c r="A2824" s="5" t="s">
        <v>8020</v>
      </c>
      <c r="B2824" s="5" t="s">
        <v>8021</v>
      </c>
      <c r="D2824" s="5" t="s">
        <v>57</v>
      </c>
      <c r="E2824" s="5" t="s">
        <v>233</v>
      </c>
      <c r="F2824" s="5" t="s">
        <v>47</v>
      </c>
      <c r="G2824" s="14" t="str">
        <f t="array" ref="G2824">IF(B2824="", "",
  LET(_xlpm.spell, IFERROR(IF(F2824="", "", INDEX(_xlws.FILTER(Hairstyles!$F:$F, ISNUMBER(SEARCH(F2824, Hairstyles!$B:$B))), 1)), "No Spell for Hairstyle"),
  _xlpm.vanillaPrefix, IF(LEFT(_xlpm.spell, 7)="Uvi_Wig", "", ";"),
  ";" &amp; IF(C2824="", B2824, C2824) &amp; IF(M2824="", "", " ("&amp;M2824&amp;")") &amp; CHAR(10) &amp;
  _xlpm.vanillaPrefix &amp; "Keyword = Uvi_Wig_Distr_KYWD|" &amp; B2824 &amp; CHAR(10) &amp;
  _xlpm.vanillaPrefix &amp; "Spell = " &amp; _xlpm.spell &amp; "|" &amp; B2824
  )
)</f>
        <v>;EncThalmor02Melee1HM
;Keyword = Uvi_Wig_Distr_KYWD|EncThalmor02Melee1HM
;Spell = No Spell for Hairstyle|EncThalmor02Melee1HM</v>
      </c>
    </row>
    <row r="2825" ht="12.75" customHeight="1">
      <c r="A2825" s="5" t="s">
        <v>8022</v>
      </c>
      <c r="B2825" s="5" t="s">
        <v>8023</v>
      </c>
      <c r="D2825" s="5" t="s">
        <v>57</v>
      </c>
      <c r="E2825" s="5" t="s">
        <v>233</v>
      </c>
      <c r="F2825" s="5" t="s">
        <v>47</v>
      </c>
      <c r="G2825" s="14" t="str">
        <f t="array" ref="G2825">IF(B2825="", "",
  LET(_xlpm.spell, IFERROR(IF(F2825="", "", INDEX(_xlws.FILTER(Hairstyles!$F:$F, ISNUMBER(SEARCH(F2825, Hairstyles!$B:$B))), 1)), "No Spell for Hairstyle"),
  _xlpm.vanillaPrefix, IF(LEFT(_xlpm.spell, 7)="Uvi_Wig", "", ";"),
  ";" &amp; IF(C2825="", B2825, C2825) &amp; IF(M2825="", "", " ("&amp;M2825&amp;")") &amp; CHAR(10) &amp;
  _xlpm.vanillaPrefix &amp; "Keyword = Uvi_Wig_Distr_KYWD|" &amp; B2825 &amp; CHAR(10) &amp;
  _xlpm.vanillaPrefix &amp; "Spell = " &amp; _xlpm.spell &amp; "|" &amp; B2825
  )
)</f>
        <v>;EncThalmor02Melee1HMDual
;Keyword = Uvi_Wig_Distr_KYWD|EncThalmor02Melee1HMDual
;Spell = No Spell for Hairstyle|EncThalmor02Melee1HMDual</v>
      </c>
    </row>
    <row r="2826" ht="12.75" customHeight="1">
      <c r="A2826" s="5" t="s">
        <v>8024</v>
      </c>
      <c r="B2826" s="5" t="s">
        <v>8025</v>
      </c>
      <c r="D2826" s="5" t="s">
        <v>57</v>
      </c>
      <c r="E2826" s="5" t="s">
        <v>233</v>
      </c>
      <c r="F2826" s="5" t="s">
        <v>47</v>
      </c>
      <c r="G2826" s="14" t="str">
        <f t="array" ref="G2826">IF(B2826="", "",
  LET(_xlpm.spell, IFERROR(IF(F2826="", "", INDEX(_xlws.FILTER(Hairstyles!$F:$F, ISNUMBER(SEARCH(F2826, Hairstyles!$B:$B))), 1)), "No Spell for Hairstyle"),
  _xlpm.vanillaPrefix, IF(LEFT(_xlpm.spell, 7)="Uvi_Wig", "", ";"),
  ";" &amp; IF(C2826="", B2826, C2826) &amp; IF(M2826="", "", " ("&amp;M2826&amp;")") &amp; CHAR(10) &amp;
  _xlpm.vanillaPrefix &amp; "Keyword = Uvi_Wig_Distr_KYWD|" &amp; B2826 &amp; CHAR(10) &amp;
  _xlpm.vanillaPrefix &amp; "Spell = " &amp; _xlpm.spell &amp; "|" &amp; B2826
  )
)</f>
        <v>;EncThalmor02Melee1HMShield
;Keyword = Uvi_Wig_Distr_KYWD|EncThalmor02Melee1HMShield
;Spell = No Spell for Hairstyle|EncThalmor02Melee1HMShield</v>
      </c>
    </row>
    <row r="2827" ht="12.75" customHeight="1">
      <c r="A2827" s="5" t="s">
        <v>8026</v>
      </c>
      <c r="B2827" s="5" t="s">
        <v>8027</v>
      </c>
      <c r="D2827" s="5" t="s">
        <v>57</v>
      </c>
      <c r="E2827" s="5" t="s">
        <v>41</v>
      </c>
      <c r="F2827" s="5" t="s">
        <v>4279</v>
      </c>
      <c r="G2827" s="14" t="str">
        <f t="array" ref="G2827">IF(B2827="", "",
  LET(_xlpm.spell, IFERROR(IF(F2827="", "", INDEX(_xlws.FILTER(Hairstyles!$F:$F, ISNUMBER(SEARCH(F2827, Hairstyles!$B:$B))), 1)), "No Spell for Hairstyle"),
  _xlpm.vanillaPrefix, IF(LEFT(_xlpm.spell, 7)="Uvi_Wig", "", ";"),
  ";" &amp; IF(C2827="", B2827, C2827) &amp; IF(M2827="", "", " ("&amp;M2827&amp;")") &amp; CHAR(10) &amp;
  _xlpm.vanillaPrefix &amp; "Keyword = Uvi_Wig_Distr_KYWD|" &amp; B2827 &amp; CHAR(10) &amp;
  _xlpm.vanillaPrefix &amp; "Spell = " &amp; _xlpm.spell &amp; "|" &amp; B2827
  )
)</f>
        <v>;EncThalmor02MissileF
;Keyword = Uvi_Wig_Distr_KYWD|EncThalmor02MissileF
;Spell = No Spell for Hairstyle|EncThalmor02MissileF</v>
      </c>
    </row>
    <row r="2828" ht="12.75" customHeight="1">
      <c r="A2828" s="5" t="s">
        <v>8028</v>
      </c>
      <c r="B2828" s="5" t="s">
        <v>8029</v>
      </c>
      <c r="D2828" s="5" t="s">
        <v>57</v>
      </c>
      <c r="E2828" s="5" t="s">
        <v>233</v>
      </c>
      <c r="F2828" s="5" t="s">
        <v>1787</v>
      </c>
      <c r="G2828" s="14" t="str">
        <f t="array" ref="G2828">IF(B2828="", "",
  LET(_xlpm.spell, IFERROR(IF(F2828="", "", INDEX(_xlws.FILTER(Hairstyles!$F:$F, ISNUMBER(SEARCH(F2828, Hairstyles!$B:$B))), 1)), "No Spell for Hairstyle"),
  _xlpm.vanillaPrefix, IF(LEFT(_xlpm.spell, 7)="Uvi_Wig", "", ";"),
  ";" &amp; IF(C2828="", B2828, C2828) &amp; IF(M2828="", "", " ("&amp;M2828&amp;")") &amp; CHAR(10) &amp;
  _xlpm.vanillaPrefix &amp; "Keyword = Uvi_Wig_Distr_KYWD|" &amp; B2828 &amp; CHAR(10) &amp;
  _xlpm.vanillaPrefix &amp; "Spell = " &amp; _xlpm.spell &amp; "|" &amp; B2828
  )
)</f>
        <v>;EncThalmor02MissileM
;Keyword = Uvi_Wig_Distr_KYWD|EncThalmor02MissileM
;Spell = No Spell for Hairstyle|EncThalmor02MissileM</v>
      </c>
    </row>
    <row r="2829" ht="12.75" customHeight="1">
      <c r="A2829" s="5" t="s">
        <v>8030</v>
      </c>
      <c r="B2829" s="5" t="s">
        <v>8031</v>
      </c>
      <c r="D2829" s="5" t="s">
        <v>57</v>
      </c>
      <c r="E2829" s="5" t="s">
        <v>233</v>
      </c>
      <c r="F2829" s="5" t="s">
        <v>91</v>
      </c>
      <c r="G2829" s="14" t="str">
        <f t="array" ref="G2829">IF(B2829="", "",
  LET(_xlpm.spell, IFERROR(IF(F2829="", "", INDEX(_xlws.FILTER(Hairstyles!$F:$F, ISNUMBER(SEARCH(F2829, Hairstyles!$B:$B))), 1)), "No Spell for Hairstyle"),
  _xlpm.vanillaPrefix, IF(LEFT(_xlpm.spell, 7)="Uvi_Wig", "", ";"),
  ";" &amp; IF(C2829="", B2829, C2829) &amp; IF(M2829="", "", " ("&amp;M2829&amp;")") &amp; CHAR(10) &amp;
  _xlpm.vanillaPrefix &amp; "Keyword = Uvi_Wig_Distr_KYWD|" &amp; B2829 &amp; CHAR(10) &amp;
  _xlpm.vanillaPrefix &amp; "Spell = " &amp; _xlpm.spell &amp; "|" &amp; B2829
  )
)</f>
        <v>;EncThalmor03MagicBossM
;Keyword = Uvi_Wig_Distr_KYWD|EncThalmor03MagicBossM
;Spell = No Spell for Hairstyle|EncThalmor03MagicBossM</v>
      </c>
    </row>
    <row r="2830" ht="12.75" customHeight="1">
      <c r="A2830" s="5" t="s">
        <v>8032</v>
      </c>
      <c r="B2830" s="5" t="s">
        <v>8033</v>
      </c>
      <c r="D2830" s="5" t="s">
        <v>57</v>
      </c>
      <c r="E2830" s="5" t="s">
        <v>41</v>
      </c>
      <c r="F2830" s="5" t="s">
        <v>48</v>
      </c>
      <c r="G2830" s="14" t="str">
        <f t="array" ref="G2830">IF(B2830="", "",
  LET(_xlpm.spell, IFERROR(IF(F2830="", "", INDEX(_xlws.FILTER(Hairstyles!$F:$F, ISNUMBER(SEARCH(F2830, Hairstyles!$B:$B))), 1)), "No Spell for Hairstyle"),
  _xlpm.vanillaPrefix, IF(LEFT(_xlpm.spell, 7)="Uvi_Wig", "", ";"),
  ";" &amp; IF(C2830="", B2830, C2830) &amp; IF(M2830="", "", " ("&amp;M2830&amp;")") &amp; CHAR(10) &amp;
  _xlpm.vanillaPrefix &amp; "Keyword = Uvi_Wig_Distr_KYWD|" &amp; B2830 &amp; CHAR(10) &amp;
  _xlpm.vanillaPrefix &amp; "Spell = " &amp; _xlpm.spell &amp; "|" &amp; B2830
  )
)</f>
        <v>;EncThalmor03MagicF
;Keyword = Uvi_Wig_Distr_KYWD|EncThalmor03MagicF
;Spell = No Spell for Hairstyle|EncThalmor03MagicF</v>
      </c>
    </row>
    <row r="2831" ht="12.75" customHeight="1">
      <c r="A2831" s="5" t="s">
        <v>8034</v>
      </c>
      <c r="B2831" s="5" t="s">
        <v>8035</v>
      </c>
      <c r="D2831" s="5" t="s">
        <v>57</v>
      </c>
      <c r="E2831" s="5" t="s">
        <v>233</v>
      </c>
      <c r="F2831" s="5" t="s">
        <v>91</v>
      </c>
      <c r="G2831" s="14" t="str">
        <f t="array" ref="G2831">IF(B2831="", "",
  LET(_xlpm.spell, IFERROR(IF(F2831="", "", INDEX(_xlws.FILTER(Hairstyles!$F:$F, ISNUMBER(SEARCH(F2831, Hairstyles!$B:$B))), 1)), "No Spell for Hairstyle"),
  _xlpm.vanillaPrefix, IF(LEFT(_xlpm.spell, 7)="Uvi_Wig", "", ";"),
  ";" &amp; IF(C2831="", B2831, C2831) &amp; IF(M2831="", "", " ("&amp;M2831&amp;")") &amp; CHAR(10) &amp;
  _xlpm.vanillaPrefix &amp; "Keyword = Uvi_Wig_Distr_KYWD|" &amp; B2831 &amp; CHAR(10) &amp;
  _xlpm.vanillaPrefix &amp; "Spell = " &amp; _xlpm.spell &amp; "|" &amp; B2831
  )
)</f>
        <v>;EncThalmor03MagicM
;Keyword = Uvi_Wig_Distr_KYWD|EncThalmor03MagicM
;Spell = No Spell for Hairstyle|EncThalmor03MagicM</v>
      </c>
    </row>
    <row r="2832" ht="12.75" customHeight="1">
      <c r="A2832" s="5" t="s">
        <v>8036</v>
      </c>
      <c r="B2832" s="5" t="s">
        <v>8037</v>
      </c>
      <c r="D2832" s="5" t="s">
        <v>57</v>
      </c>
      <c r="E2832" s="5" t="s">
        <v>41</v>
      </c>
      <c r="F2832" s="5" t="s">
        <v>1967</v>
      </c>
      <c r="G2832" s="14" t="str">
        <f t="array" ref="G2832">IF(B2832="", "",
  LET(_xlpm.spell, IFERROR(IF(F2832="", "", INDEX(_xlws.FILTER(Hairstyles!$F:$F, ISNUMBER(SEARCH(F2832, Hairstyles!$B:$B))), 1)), "No Spell for Hairstyle"),
  _xlpm.vanillaPrefix, IF(LEFT(_xlpm.spell, 7)="Uvi_Wig", "", ";"),
  ";" &amp; IF(C2832="", B2832, C2832) &amp; IF(M2832="", "", " ("&amp;M2832&amp;")") &amp; CHAR(10) &amp;
  _xlpm.vanillaPrefix &amp; "Keyword = Uvi_Wig_Distr_KYWD|" &amp; B2832 &amp; CHAR(10) &amp;
  _xlpm.vanillaPrefix &amp; "Spell = " &amp; _xlpm.spell &amp; "|" &amp; B2832
  )
)</f>
        <v>;EncThalmor03Melee1HF
;Keyword = Uvi_Wig_Distr_KYWD|EncThalmor03Melee1HF
;Spell = No Spell for Hairstyle|EncThalmor03Melee1HF</v>
      </c>
    </row>
    <row r="2833" ht="12.75" customHeight="1">
      <c r="A2833" s="5" t="s">
        <v>8038</v>
      </c>
      <c r="B2833" s="5" t="s">
        <v>8039</v>
      </c>
      <c r="D2833" s="5" t="s">
        <v>57</v>
      </c>
      <c r="E2833" s="5" t="s">
        <v>41</v>
      </c>
      <c r="F2833" s="5" t="s">
        <v>48</v>
      </c>
      <c r="G2833" s="14" t="str">
        <f t="array" ref="G2833">IF(B2833="", "",
  LET(_xlpm.spell, IFERROR(IF(F2833="", "", INDEX(_xlws.FILTER(Hairstyles!$F:$F, ISNUMBER(SEARCH(F2833, Hairstyles!$B:$B))), 1)), "No Spell for Hairstyle"),
  _xlpm.vanillaPrefix, IF(LEFT(_xlpm.spell, 7)="Uvi_Wig", "", ";"),
  ";" &amp; IF(C2833="", B2833, C2833) &amp; IF(M2833="", "", " ("&amp;M2833&amp;")") &amp; CHAR(10) &amp;
  _xlpm.vanillaPrefix &amp; "Keyword = Uvi_Wig_Distr_KYWD|" &amp; B2833 &amp; CHAR(10) &amp;
  _xlpm.vanillaPrefix &amp; "Spell = " &amp; _xlpm.spell &amp; "|" &amp; B2833
  )
)</f>
        <v>;EncThalmor03Melee1HFDual
;Keyword = Uvi_Wig_Distr_KYWD|EncThalmor03Melee1HFDual
;Spell = No Spell for Hairstyle|EncThalmor03Melee1HFDual</v>
      </c>
    </row>
    <row r="2834" ht="12.75" customHeight="1">
      <c r="A2834" s="5" t="s">
        <v>8040</v>
      </c>
      <c r="B2834" s="5" t="s">
        <v>8041</v>
      </c>
      <c r="D2834" s="5" t="s">
        <v>57</v>
      </c>
      <c r="E2834" s="5" t="s">
        <v>41</v>
      </c>
      <c r="F2834" s="5" t="s">
        <v>48</v>
      </c>
      <c r="G2834" s="14" t="str">
        <f t="array" ref="G2834">IF(B2834="", "",
  LET(_xlpm.spell, IFERROR(IF(F2834="", "", INDEX(_xlws.FILTER(Hairstyles!$F:$F, ISNUMBER(SEARCH(F2834, Hairstyles!$B:$B))), 1)), "No Spell for Hairstyle"),
  _xlpm.vanillaPrefix, IF(LEFT(_xlpm.spell, 7)="Uvi_Wig", "", ";"),
  ";" &amp; IF(C2834="", B2834, C2834) &amp; IF(M2834="", "", " ("&amp;M2834&amp;")") &amp; CHAR(10) &amp;
  _xlpm.vanillaPrefix &amp; "Keyword = Uvi_Wig_Distr_KYWD|" &amp; B2834 &amp; CHAR(10) &amp;
  _xlpm.vanillaPrefix &amp; "Spell = " &amp; _xlpm.spell &amp; "|" &amp; B2834
  )
)</f>
        <v>;EncThalmor03Melee1HFShield
;Keyword = Uvi_Wig_Distr_KYWD|EncThalmor03Melee1HFShield
;Spell = No Spell for Hairstyle|EncThalmor03Melee1HFShield</v>
      </c>
    </row>
    <row r="2835" ht="12.75" customHeight="1">
      <c r="A2835" s="5" t="s">
        <v>8042</v>
      </c>
      <c r="B2835" s="5" t="s">
        <v>8043</v>
      </c>
      <c r="D2835" s="5" t="s">
        <v>57</v>
      </c>
      <c r="E2835" s="5" t="s">
        <v>233</v>
      </c>
      <c r="F2835" s="5" t="s">
        <v>47</v>
      </c>
      <c r="G2835" s="14" t="str">
        <f t="array" ref="G2835">IF(B2835="", "",
  LET(_xlpm.spell, IFERROR(IF(F2835="", "", INDEX(_xlws.FILTER(Hairstyles!$F:$F, ISNUMBER(SEARCH(F2835, Hairstyles!$B:$B))), 1)), "No Spell for Hairstyle"),
  _xlpm.vanillaPrefix, IF(LEFT(_xlpm.spell, 7)="Uvi_Wig", "", ";"),
  ";" &amp; IF(C2835="", B2835, C2835) &amp; IF(M2835="", "", " ("&amp;M2835&amp;")") &amp; CHAR(10) &amp;
  _xlpm.vanillaPrefix &amp; "Keyword = Uvi_Wig_Distr_KYWD|" &amp; B2835 &amp; CHAR(10) &amp;
  _xlpm.vanillaPrefix &amp; "Spell = " &amp; _xlpm.spell &amp; "|" &amp; B2835
  )
)</f>
        <v>;EncThalmor03Melee1HM
;Keyword = Uvi_Wig_Distr_KYWD|EncThalmor03Melee1HM
;Spell = No Spell for Hairstyle|EncThalmor03Melee1HM</v>
      </c>
    </row>
    <row r="2836" ht="12.75" customHeight="1">
      <c r="A2836" s="5" t="s">
        <v>8044</v>
      </c>
      <c r="B2836" s="5" t="s">
        <v>8045</v>
      </c>
      <c r="D2836" s="5" t="s">
        <v>57</v>
      </c>
      <c r="E2836" s="5" t="s">
        <v>233</v>
      </c>
      <c r="F2836" s="5" t="s">
        <v>47</v>
      </c>
      <c r="G2836" s="14" t="str">
        <f t="array" ref="G2836">IF(B2836="", "",
  LET(_xlpm.spell, IFERROR(IF(F2836="", "", INDEX(_xlws.FILTER(Hairstyles!$F:$F, ISNUMBER(SEARCH(F2836, Hairstyles!$B:$B))), 1)), "No Spell for Hairstyle"),
  _xlpm.vanillaPrefix, IF(LEFT(_xlpm.spell, 7)="Uvi_Wig", "", ";"),
  ";" &amp; IF(C2836="", B2836, C2836) &amp; IF(M2836="", "", " ("&amp;M2836&amp;")") &amp; CHAR(10) &amp;
  _xlpm.vanillaPrefix &amp; "Keyword = Uvi_Wig_Distr_KYWD|" &amp; B2836 &amp; CHAR(10) &amp;
  _xlpm.vanillaPrefix &amp; "Spell = " &amp; _xlpm.spell &amp; "|" &amp; B2836
  )
)</f>
        <v>;EncThalmor03Melee1HMDual
;Keyword = Uvi_Wig_Distr_KYWD|EncThalmor03Melee1HMDual
;Spell = No Spell for Hairstyle|EncThalmor03Melee1HMDual</v>
      </c>
    </row>
    <row r="2837" ht="12.75" customHeight="1">
      <c r="A2837" s="5" t="s">
        <v>8046</v>
      </c>
      <c r="B2837" s="5" t="s">
        <v>8047</v>
      </c>
      <c r="D2837" s="5" t="s">
        <v>57</v>
      </c>
      <c r="E2837" s="5" t="s">
        <v>233</v>
      </c>
      <c r="F2837" s="5" t="s">
        <v>47</v>
      </c>
      <c r="G2837" s="14" t="str">
        <f t="array" ref="G2837">IF(B2837="", "",
  LET(_xlpm.spell, IFERROR(IF(F2837="", "", INDEX(_xlws.FILTER(Hairstyles!$F:$F, ISNUMBER(SEARCH(F2837, Hairstyles!$B:$B))), 1)), "No Spell for Hairstyle"),
  _xlpm.vanillaPrefix, IF(LEFT(_xlpm.spell, 7)="Uvi_Wig", "", ";"),
  ";" &amp; IF(C2837="", B2837, C2837) &amp; IF(M2837="", "", " ("&amp;M2837&amp;")") &amp; CHAR(10) &amp;
  _xlpm.vanillaPrefix &amp; "Keyword = Uvi_Wig_Distr_KYWD|" &amp; B2837 &amp; CHAR(10) &amp;
  _xlpm.vanillaPrefix &amp; "Spell = " &amp; _xlpm.spell &amp; "|" &amp; B2837
  )
)</f>
        <v>;EncThalmor03Melee1HMShield
;Keyword = Uvi_Wig_Distr_KYWD|EncThalmor03Melee1HMShield
;Spell = No Spell for Hairstyle|EncThalmor03Melee1HMShield</v>
      </c>
    </row>
    <row r="2838" ht="12.75" customHeight="1">
      <c r="A2838" s="5" t="s">
        <v>8048</v>
      </c>
      <c r="B2838" s="5" t="s">
        <v>8049</v>
      </c>
      <c r="D2838" s="5" t="s">
        <v>57</v>
      </c>
      <c r="E2838" s="5" t="s">
        <v>41</v>
      </c>
      <c r="F2838" s="5" t="s">
        <v>6747</v>
      </c>
      <c r="G2838" s="14" t="str">
        <f t="array" ref="G2838">IF(B2838="", "",
  LET(_xlpm.spell, IFERROR(IF(F2838="", "", INDEX(_xlws.FILTER(Hairstyles!$F:$F, ISNUMBER(SEARCH(F2838, Hairstyles!$B:$B))), 1)), "No Spell for Hairstyle"),
  _xlpm.vanillaPrefix, IF(LEFT(_xlpm.spell, 7)="Uvi_Wig", "", ";"),
  ";" &amp; IF(C2838="", B2838, C2838) &amp; IF(M2838="", "", " ("&amp;M2838&amp;")") &amp; CHAR(10) &amp;
  _xlpm.vanillaPrefix &amp; "Keyword = Uvi_Wig_Distr_KYWD|" &amp; B2838 &amp; CHAR(10) &amp;
  _xlpm.vanillaPrefix &amp; "Spell = " &amp; _xlpm.spell &amp; "|" &amp; B2838
  )
)</f>
        <v>;EncThalmor03MissileF
;Keyword = Uvi_Wig_Distr_KYWD|EncThalmor03MissileF
;Spell = No Spell for Hairstyle|EncThalmor03MissileF</v>
      </c>
    </row>
    <row r="2839" ht="12.75" customHeight="1">
      <c r="A2839" s="5" t="s">
        <v>8050</v>
      </c>
      <c r="B2839" s="5" t="s">
        <v>8051</v>
      </c>
      <c r="D2839" s="5" t="s">
        <v>57</v>
      </c>
      <c r="E2839" s="5" t="s">
        <v>233</v>
      </c>
      <c r="F2839" s="5" t="s">
        <v>1787</v>
      </c>
      <c r="G2839" s="14" t="str">
        <f t="array" ref="G2839">IF(B2839="", "",
  LET(_xlpm.spell, IFERROR(IF(F2839="", "", INDEX(_xlws.FILTER(Hairstyles!$F:$F, ISNUMBER(SEARCH(F2839, Hairstyles!$B:$B))), 1)), "No Spell for Hairstyle"),
  _xlpm.vanillaPrefix, IF(LEFT(_xlpm.spell, 7)="Uvi_Wig", "", ";"),
  ";" &amp; IF(C2839="", B2839, C2839) &amp; IF(M2839="", "", " ("&amp;M2839&amp;")") &amp; CHAR(10) &amp;
  _xlpm.vanillaPrefix &amp; "Keyword = Uvi_Wig_Distr_KYWD|" &amp; B2839 &amp; CHAR(10) &amp;
  _xlpm.vanillaPrefix &amp; "Spell = " &amp; _xlpm.spell &amp; "|" &amp; B2839
  )
)</f>
        <v>;EncThalmor03MissileM
;Keyword = Uvi_Wig_Distr_KYWD|EncThalmor03MissileM
;Spell = No Spell for Hairstyle|EncThalmor03MissileM</v>
      </c>
    </row>
    <row r="2840" ht="12.75" customHeight="1">
      <c r="A2840" s="5" t="s">
        <v>8052</v>
      </c>
      <c r="B2840" s="5" t="s">
        <v>8053</v>
      </c>
      <c r="D2840" s="5" t="s">
        <v>57</v>
      </c>
      <c r="E2840" s="5" t="s">
        <v>233</v>
      </c>
      <c r="F2840" s="5" t="s">
        <v>91</v>
      </c>
      <c r="G2840" s="14" t="str">
        <f t="array" ref="G2840">IF(B2840="", "",
  LET(_xlpm.spell, IFERROR(IF(F2840="", "", INDEX(_xlws.FILTER(Hairstyles!$F:$F, ISNUMBER(SEARCH(F2840, Hairstyles!$B:$B))), 1)), "No Spell for Hairstyle"),
  _xlpm.vanillaPrefix, IF(LEFT(_xlpm.spell, 7)="Uvi_Wig", "", ";"),
  ";" &amp; IF(C2840="", B2840, C2840) &amp; IF(M2840="", "", " ("&amp;M2840&amp;")") &amp; CHAR(10) &amp;
  _xlpm.vanillaPrefix &amp; "Keyword = Uvi_Wig_Distr_KYWD|" &amp; B2840 &amp; CHAR(10) &amp;
  _xlpm.vanillaPrefix &amp; "Spell = " &amp; _xlpm.spell &amp; "|" &amp; B2840
  )
)</f>
        <v>;EncThalmor04MagicBossM
;Keyword = Uvi_Wig_Distr_KYWD|EncThalmor04MagicBossM
;Spell = No Spell for Hairstyle|EncThalmor04MagicBossM</v>
      </c>
    </row>
    <row r="2841" ht="12.75" customHeight="1">
      <c r="A2841" s="5" t="s">
        <v>8054</v>
      </c>
      <c r="B2841" s="5" t="s">
        <v>8055</v>
      </c>
      <c r="D2841" s="5" t="s">
        <v>57</v>
      </c>
      <c r="E2841" s="5" t="s">
        <v>41</v>
      </c>
      <c r="F2841" s="5" t="s">
        <v>1656</v>
      </c>
      <c r="G2841" s="14" t="str">
        <f t="array" ref="G2841">IF(B2841="", "",
  LET(_xlpm.spell, IFERROR(IF(F2841="", "", INDEX(_xlws.FILTER(Hairstyles!$F:$F, ISNUMBER(SEARCH(F2841, Hairstyles!$B:$B))), 1)), "No Spell for Hairstyle"),
  _xlpm.vanillaPrefix, IF(LEFT(_xlpm.spell, 7)="Uvi_Wig", "", ";"),
  ";" &amp; IF(C2841="", B2841, C2841) &amp; IF(M2841="", "", " ("&amp;M2841&amp;")") &amp; CHAR(10) &amp;
  _xlpm.vanillaPrefix &amp; "Keyword = Uvi_Wig_Distr_KYWD|" &amp; B2841 &amp; CHAR(10) &amp;
  _xlpm.vanillaPrefix &amp; "Spell = " &amp; _xlpm.spell &amp; "|" &amp; B2841
  )
)</f>
        <v>;EncThalmor04MagicF
;Keyword = Uvi_Wig_Distr_KYWD|EncThalmor04MagicF
;Spell = No Spell for Hairstyle|EncThalmor04MagicF</v>
      </c>
    </row>
    <row r="2842" ht="12.75" customHeight="1">
      <c r="A2842" s="5" t="s">
        <v>8056</v>
      </c>
      <c r="B2842" s="5" t="s">
        <v>8057</v>
      </c>
      <c r="D2842" s="5" t="s">
        <v>57</v>
      </c>
      <c r="E2842" s="5" t="s">
        <v>233</v>
      </c>
      <c r="F2842" s="5" t="s">
        <v>91</v>
      </c>
      <c r="G2842" s="14" t="str">
        <f t="array" ref="G2842">IF(B2842="", "",
  LET(_xlpm.spell, IFERROR(IF(F2842="", "", INDEX(_xlws.FILTER(Hairstyles!$F:$F, ISNUMBER(SEARCH(F2842, Hairstyles!$B:$B))), 1)), "No Spell for Hairstyle"),
  _xlpm.vanillaPrefix, IF(LEFT(_xlpm.spell, 7)="Uvi_Wig", "", ";"),
  ";" &amp; IF(C2842="", B2842, C2842) &amp; IF(M2842="", "", " ("&amp;M2842&amp;")") &amp; CHAR(10) &amp;
  _xlpm.vanillaPrefix &amp; "Keyword = Uvi_Wig_Distr_KYWD|" &amp; B2842 &amp; CHAR(10) &amp;
  _xlpm.vanillaPrefix &amp; "Spell = " &amp; _xlpm.spell &amp; "|" &amp; B2842
  )
)</f>
        <v>;EncThalmor04MagicM
;Keyword = Uvi_Wig_Distr_KYWD|EncThalmor04MagicM
;Spell = No Spell for Hairstyle|EncThalmor04MagicM</v>
      </c>
    </row>
    <row r="2843" ht="12.75" customHeight="1">
      <c r="A2843" s="5" t="s">
        <v>8058</v>
      </c>
      <c r="B2843" s="5" t="s">
        <v>8059</v>
      </c>
      <c r="D2843" s="5" t="s">
        <v>57</v>
      </c>
      <c r="E2843" s="5" t="s">
        <v>41</v>
      </c>
      <c r="F2843" s="5" t="s">
        <v>2034</v>
      </c>
      <c r="G2843" s="14" t="str">
        <f t="array" ref="G2843">IF(B2843="", "",
  LET(_xlpm.spell, IFERROR(IF(F2843="", "", INDEX(_xlws.FILTER(Hairstyles!$F:$F, ISNUMBER(SEARCH(F2843, Hairstyles!$B:$B))), 1)), "No Spell for Hairstyle"),
  _xlpm.vanillaPrefix, IF(LEFT(_xlpm.spell, 7)="Uvi_Wig", "", ";"),
  ";" &amp; IF(C2843="", B2843, C2843) &amp; IF(M2843="", "", " ("&amp;M2843&amp;")") &amp; CHAR(10) &amp;
  _xlpm.vanillaPrefix &amp; "Keyword = Uvi_Wig_Distr_KYWD|" &amp; B2843 &amp; CHAR(10) &amp;
  _xlpm.vanillaPrefix &amp; "Spell = " &amp; _xlpm.spell &amp; "|" &amp; B2843
  )
)</f>
        <v>;EncThalmor04Melee1HF
;Keyword = Uvi_Wig_Distr_KYWD|EncThalmor04Melee1HF
;Spell = No Spell for Hairstyle|EncThalmor04Melee1HF</v>
      </c>
    </row>
    <row r="2844" ht="12.75" customHeight="1">
      <c r="A2844" s="5" t="s">
        <v>8060</v>
      </c>
      <c r="B2844" s="5" t="s">
        <v>8061</v>
      </c>
      <c r="D2844" s="5" t="s">
        <v>57</v>
      </c>
      <c r="E2844" s="5" t="s">
        <v>41</v>
      </c>
      <c r="F2844" s="5" t="s">
        <v>48</v>
      </c>
      <c r="G2844" s="14" t="str">
        <f t="array" ref="G2844">IF(B2844="", "",
  LET(_xlpm.spell, IFERROR(IF(F2844="", "", INDEX(_xlws.FILTER(Hairstyles!$F:$F, ISNUMBER(SEARCH(F2844, Hairstyles!$B:$B))), 1)), "No Spell for Hairstyle"),
  _xlpm.vanillaPrefix, IF(LEFT(_xlpm.spell, 7)="Uvi_Wig", "", ";"),
  ";" &amp; IF(C2844="", B2844, C2844) &amp; IF(M2844="", "", " ("&amp;M2844&amp;")") &amp; CHAR(10) &amp;
  _xlpm.vanillaPrefix &amp; "Keyword = Uvi_Wig_Distr_KYWD|" &amp; B2844 &amp; CHAR(10) &amp;
  _xlpm.vanillaPrefix &amp; "Spell = " &amp; _xlpm.spell &amp; "|" &amp; B2844
  )
)</f>
        <v>;EncThalmor04Melee1HFDual
;Keyword = Uvi_Wig_Distr_KYWD|EncThalmor04Melee1HFDual
;Spell = No Spell for Hairstyle|EncThalmor04Melee1HFDual</v>
      </c>
    </row>
    <row r="2845" ht="12.75" customHeight="1">
      <c r="A2845" s="5" t="s">
        <v>8062</v>
      </c>
      <c r="B2845" s="5" t="s">
        <v>8063</v>
      </c>
      <c r="D2845" s="5" t="s">
        <v>57</v>
      </c>
      <c r="E2845" s="5" t="s">
        <v>41</v>
      </c>
      <c r="F2845" s="5" t="s">
        <v>48</v>
      </c>
      <c r="G2845" s="14" t="str">
        <f t="array" ref="G2845">IF(B2845="", "",
  LET(_xlpm.spell, IFERROR(IF(F2845="", "", INDEX(_xlws.FILTER(Hairstyles!$F:$F, ISNUMBER(SEARCH(F2845, Hairstyles!$B:$B))), 1)), "No Spell for Hairstyle"),
  _xlpm.vanillaPrefix, IF(LEFT(_xlpm.spell, 7)="Uvi_Wig", "", ";"),
  ";" &amp; IF(C2845="", B2845, C2845) &amp; IF(M2845="", "", " ("&amp;M2845&amp;")") &amp; CHAR(10) &amp;
  _xlpm.vanillaPrefix &amp; "Keyword = Uvi_Wig_Distr_KYWD|" &amp; B2845 &amp; CHAR(10) &amp;
  _xlpm.vanillaPrefix &amp; "Spell = " &amp; _xlpm.spell &amp; "|" &amp; B2845
  )
)</f>
        <v>;EncThalmor04Melee1HFShield
;Keyword = Uvi_Wig_Distr_KYWD|EncThalmor04Melee1HFShield
;Spell = No Spell for Hairstyle|EncThalmor04Melee1HFShield</v>
      </c>
    </row>
    <row r="2846" ht="12.75" customHeight="1">
      <c r="A2846" s="5" t="s">
        <v>8064</v>
      </c>
      <c r="B2846" s="5" t="s">
        <v>8065</v>
      </c>
      <c r="D2846" s="5" t="s">
        <v>57</v>
      </c>
      <c r="E2846" s="5" t="s">
        <v>233</v>
      </c>
      <c r="F2846" s="5" t="s">
        <v>47</v>
      </c>
      <c r="G2846" s="14" t="str">
        <f t="array" ref="G2846">IF(B2846="", "",
  LET(_xlpm.spell, IFERROR(IF(F2846="", "", INDEX(_xlws.FILTER(Hairstyles!$F:$F, ISNUMBER(SEARCH(F2846, Hairstyles!$B:$B))), 1)), "No Spell for Hairstyle"),
  _xlpm.vanillaPrefix, IF(LEFT(_xlpm.spell, 7)="Uvi_Wig", "", ";"),
  ";" &amp; IF(C2846="", B2846, C2846) &amp; IF(M2846="", "", " ("&amp;M2846&amp;")") &amp; CHAR(10) &amp;
  _xlpm.vanillaPrefix &amp; "Keyword = Uvi_Wig_Distr_KYWD|" &amp; B2846 &amp; CHAR(10) &amp;
  _xlpm.vanillaPrefix &amp; "Spell = " &amp; _xlpm.spell &amp; "|" &amp; B2846
  )
)</f>
        <v>;EncThalmor04Melee1HM
;Keyword = Uvi_Wig_Distr_KYWD|EncThalmor04Melee1HM
;Spell = No Spell for Hairstyle|EncThalmor04Melee1HM</v>
      </c>
    </row>
    <row r="2847" ht="12.75" customHeight="1">
      <c r="A2847" s="5" t="s">
        <v>8066</v>
      </c>
      <c r="B2847" s="5" t="s">
        <v>8067</v>
      </c>
      <c r="D2847" s="5" t="s">
        <v>57</v>
      </c>
      <c r="E2847" s="5" t="s">
        <v>233</v>
      </c>
      <c r="F2847" s="5" t="s">
        <v>47</v>
      </c>
      <c r="G2847" s="14" t="str">
        <f t="array" ref="G2847">IF(B2847="", "",
  LET(_xlpm.spell, IFERROR(IF(F2847="", "", INDEX(_xlws.FILTER(Hairstyles!$F:$F, ISNUMBER(SEARCH(F2847, Hairstyles!$B:$B))), 1)), "No Spell for Hairstyle"),
  _xlpm.vanillaPrefix, IF(LEFT(_xlpm.spell, 7)="Uvi_Wig", "", ";"),
  ";" &amp; IF(C2847="", B2847, C2847) &amp; IF(M2847="", "", " ("&amp;M2847&amp;")") &amp; CHAR(10) &amp;
  _xlpm.vanillaPrefix &amp; "Keyword = Uvi_Wig_Distr_KYWD|" &amp; B2847 &amp; CHAR(10) &amp;
  _xlpm.vanillaPrefix &amp; "Spell = " &amp; _xlpm.spell &amp; "|" &amp; B2847
  )
)</f>
        <v>;EncThalmor04Melee1HMDual
;Keyword = Uvi_Wig_Distr_KYWD|EncThalmor04Melee1HMDual
;Spell = No Spell for Hairstyle|EncThalmor04Melee1HMDual</v>
      </c>
    </row>
    <row r="2848" ht="12.75" customHeight="1">
      <c r="A2848" s="5" t="s">
        <v>8068</v>
      </c>
      <c r="B2848" s="5" t="s">
        <v>8069</v>
      </c>
      <c r="D2848" s="5" t="s">
        <v>57</v>
      </c>
      <c r="E2848" s="5" t="s">
        <v>233</v>
      </c>
      <c r="F2848" s="5" t="s">
        <v>47</v>
      </c>
      <c r="G2848" s="14" t="str">
        <f t="array" ref="G2848">IF(B2848="", "",
  LET(_xlpm.spell, IFERROR(IF(F2848="", "", INDEX(_xlws.FILTER(Hairstyles!$F:$F, ISNUMBER(SEARCH(F2848, Hairstyles!$B:$B))), 1)), "No Spell for Hairstyle"),
  _xlpm.vanillaPrefix, IF(LEFT(_xlpm.spell, 7)="Uvi_Wig", "", ";"),
  ";" &amp; IF(C2848="", B2848, C2848) &amp; IF(M2848="", "", " ("&amp;M2848&amp;")") &amp; CHAR(10) &amp;
  _xlpm.vanillaPrefix &amp; "Keyword = Uvi_Wig_Distr_KYWD|" &amp; B2848 &amp; CHAR(10) &amp;
  _xlpm.vanillaPrefix &amp; "Spell = " &amp; _xlpm.spell &amp; "|" &amp; B2848
  )
)</f>
        <v>;EncThalmor04Melee1HMShield
;Keyword = Uvi_Wig_Distr_KYWD|EncThalmor04Melee1HMShield
;Spell = No Spell for Hairstyle|EncThalmor04Melee1HMShield</v>
      </c>
    </row>
    <row r="2849" ht="12.75" customHeight="1">
      <c r="A2849" s="5" t="s">
        <v>8070</v>
      </c>
      <c r="B2849" s="5" t="s">
        <v>8071</v>
      </c>
      <c r="D2849" s="5" t="s">
        <v>57</v>
      </c>
      <c r="E2849" s="5" t="s">
        <v>41</v>
      </c>
      <c r="F2849" s="5" t="s">
        <v>4274</v>
      </c>
      <c r="G2849" s="14" t="str">
        <f t="array" ref="G2849">IF(B2849="", "",
  LET(_xlpm.spell, IFERROR(IF(F2849="", "", INDEX(_xlws.FILTER(Hairstyles!$F:$F, ISNUMBER(SEARCH(F2849, Hairstyles!$B:$B))), 1)), "No Spell for Hairstyle"),
  _xlpm.vanillaPrefix, IF(LEFT(_xlpm.spell, 7)="Uvi_Wig", "", ";"),
  ";" &amp; IF(C2849="", B2849, C2849) &amp; IF(M2849="", "", " ("&amp;M2849&amp;")") &amp; CHAR(10) &amp;
  _xlpm.vanillaPrefix &amp; "Keyword = Uvi_Wig_Distr_KYWD|" &amp; B2849 &amp; CHAR(10) &amp;
  _xlpm.vanillaPrefix &amp; "Spell = " &amp; _xlpm.spell &amp; "|" &amp; B2849
  )
)</f>
        <v>;EncThalmor04MissileF
;Keyword = Uvi_Wig_Distr_KYWD|EncThalmor04MissileF
;Spell = No Spell for Hairstyle|EncThalmor04MissileF</v>
      </c>
    </row>
    <row r="2850" ht="12.75" customHeight="1">
      <c r="A2850" s="5" t="s">
        <v>8072</v>
      </c>
      <c r="B2850" s="5" t="s">
        <v>8073</v>
      </c>
      <c r="D2850" s="5" t="s">
        <v>57</v>
      </c>
      <c r="E2850" s="5" t="s">
        <v>233</v>
      </c>
      <c r="F2850" s="5" t="s">
        <v>1787</v>
      </c>
      <c r="G2850" s="14" t="str">
        <f t="array" ref="G2850">IF(B2850="", "",
  LET(_xlpm.spell, IFERROR(IF(F2850="", "", INDEX(_xlws.FILTER(Hairstyles!$F:$F, ISNUMBER(SEARCH(F2850, Hairstyles!$B:$B))), 1)), "No Spell for Hairstyle"),
  _xlpm.vanillaPrefix, IF(LEFT(_xlpm.spell, 7)="Uvi_Wig", "", ";"),
  ";" &amp; IF(C2850="", B2850, C2850) &amp; IF(M2850="", "", " ("&amp;M2850&amp;")") &amp; CHAR(10) &amp;
  _xlpm.vanillaPrefix &amp; "Keyword = Uvi_Wig_Distr_KYWD|" &amp; B2850 &amp; CHAR(10) &amp;
  _xlpm.vanillaPrefix &amp; "Spell = " &amp; _xlpm.spell &amp; "|" &amp; B2850
  )
)</f>
        <v>;EncThalmor04MissileM
;Keyword = Uvi_Wig_Distr_KYWD|EncThalmor04MissileM
;Spell = No Spell for Hairstyle|EncThalmor04MissileM</v>
      </c>
    </row>
    <row r="2851" ht="12.75" customHeight="1">
      <c r="A2851" s="5" t="s">
        <v>8074</v>
      </c>
      <c r="B2851" s="5" t="s">
        <v>8075</v>
      </c>
      <c r="D2851" s="5" t="s">
        <v>57</v>
      </c>
      <c r="E2851" s="5" t="s">
        <v>233</v>
      </c>
      <c r="F2851" s="5" t="s">
        <v>91</v>
      </c>
      <c r="G2851" s="14" t="str">
        <f t="array" ref="G2851">IF(B2851="", "",
  LET(_xlpm.spell, IFERROR(IF(F2851="", "", INDEX(_xlws.FILTER(Hairstyles!$F:$F, ISNUMBER(SEARCH(F2851, Hairstyles!$B:$B))), 1)), "No Spell for Hairstyle"),
  _xlpm.vanillaPrefix, IF(LEFT(_xlpm.spell, 7)="Uvi_Wig", "", ";"),
  ";" &amp; IF(C2851="", B2851, C2851) &amp; IF(M2851="", "", " ("&amp;M2851&amp;")") &amp; CHAR(10) &amp;
  _xlpm.vanillaPrefix &amp; "Keyword = Uvi_Wig_Distr_KYWD|" &amp; B2851 &amp; CHAR(10) &amp;
  _xlpm.vanillaPrefix &amp; "Spell = " &amp; _xlpm.spell &amp; "|" &amp; B2851
  )
)</f>
        <v>;EncThalmor05MagicBossM
;Keyword = Uvi_Wig_Distr_KYWD|EncThalmor05MagicBossM
;Spell = No Spell for Hairstyle|EncThalmor05MagicBossM</v>
      </c>
    </row>
    <row r="2852" ht="12.75" customHeight="1">
      <c r="A2852" s="5" t="s">
        <v>8076</v>
      </c>
      <c r="B2852" s="5" t="s">
        <v>8077</v>
      </c>
      <c r="D2852" s="5" t="s">
        <v>57</v>
      </c>
      <c r="E2852" s="5" t="s">
        <v>41</v>
      </c>
      <c r="F2852" s="5" t="s">
        <v>92</v>
      </c>
      <c r="G2852" s="14" t="str">
        <f t="array" ref="G2852">IF(B2852="", "",
  LET(_xlpm.spell, IFERROR(IF(F2852="", "", INDEX(_xlws.FILTER(Hairstyles!$F:$F, ISNUMBER(SEARCH(F2852, Hairstyles!$B:$B))), 1)), "No Spell for Hairstyle"),
  _xlpm.vanillaPrefix, IF(LEFT(_xlpm.spell, 7)="Uvi_Wig", "", ";"),
  ";" &amp; IF(C2852="", B2852, C2852) &amp; IF(M2852="", "", " ("&amp;M2852&amp;")") &amp; CHAR(10) &amp;
  _xlpm.vanillaPrefix &amp; "Keyword = Uvi_Wig_Distr_KYWD|" &amp; B2852 &amp; CHAR(10) &amp;
  _xlpm.vanillaPrefix &amp; "Spell = " &amp; _xlpm.spell &amp; "|" &amp; B2852
  )
)</f>
        <v>;EncThalmor05MagicF
;Keyword = Uvi_Wig_Distr_KYWD|EncThalmor05MagicF
;Spell = No Spell for Hairstyle|EncThalmor05MagicF</v>
      </c>
    </row>
    <row r="2853" ht="12.75" customHeight="1">
      <c r="A2853" s="5" t="s">
        <v>8078</v>
      </c>
      <c r="B2853" s="5" t="s">
        <v>8079</v>
      </c>
      <c r="D2853" s="5" t="s">
        <v>57</v>
      </c>
      <c r="E2853" s="5" t="s">
        <v>233</v>
      </c>
      <c r="F2853" s="5" t="s">
        <v>91</v>
      </c>
      <c r="G2853" s="14" t="str">
        <f t="array" ref="G2853">IF(B2853="", "",
  LET(_xlpm.spell, IFERROR(IF(F2853="", "", INDEX(_xlws.FILTER(Hairstyles!$F:$F, ISNUMBER(SEARCH(F2853, Hairstyles!$B:$B))), 1)), "No Spell for Hairstyle"),
  _xlpm.vanillaPrefix, IF(LEFT(_xlpm.spell, 7)="Uvi_Wig", "", ";"),
  ";" &amp; IF(C2853="", B2853, C2853) &amp; IF(M2853="", "", " ("&amp;M2853&amp;")") &amp; CHAR(10) &amp;
  _xlpm.vanillaPrefix &amp; "Keyword = Uvi_Wig_Distr_KYWD|" &amp; B2853 &amp; CHAR(10) &amp;
  _xlpm.vanillaPrefix &amp; "Spell = " &amp; _xlpm.spell &amp; "|" &amp; B2853
  )
)</f>
        <v>;EncThalmor05MagicM
;Keyword = Uvi_Wig_Distr_KYWD|EncThalmor05MagicM
;Spell = No Spell for Hairstyle|EncThalmor05MagicM</v>
      </c>
    </row>
    <row r="2854" ht="12.75" customHeight="1">
      <c r="A2854" s="5" t="s">
        <v>8080</v>
      </c>
      <c r="B2854" s="5" t="s">
        <v>8081</v>
      </c>
      <c r="D2854" s="5" t="s">
        <v>57</v>
      </c>
      <c r="E2854" s="5" t="s">
        <v>41</v>
      </c>
      <c r="F2854" s="5" t="s">
        <v>2373</v>
      </c>
      <c r="G2854" s="14" t="str">
        <f t="array" ref="G2854">IF(B2854="", "",
  LET(_xlpm.spell, IFERROR(IF(F2854="", "", INDEX(_xlws.FILTER(Hairstyles!$F:$F, ISNUMBER(SEARCH(F2854, Hairstyles!$B:$B))), 1)), "No Spell for Hairstyle"),
  _xlpm.vanillaPrefix, IF(LEFT(_xlpm.spell, 7)="Uvi_Wig", "", ";"),
  ";" &amp; IF(C2854="", B2854, C2854) &amp; IF(M2854="", "", " ("&amp;M2854&amp;")") &amp; CHAR(10) &amp;
  _xlpm.vanillaPrefix &amp; "Keyword = Uvi_Wig_Distr_KYWD|" &amp; B2854 &amp; CHAR(10) &amp;
  _xlpm.vanillaPrefix &amp; "Spell = " &amp; _xlpm.spell &amp; "|" &amp; B2854
  )
)</f>
        <v>;EncThalmor05Melee1HF
;Keyword = Uvi_Wig_Distr_KYWD|EncThalmor05Melee1HF
;Spell = No Spell for Hairstyle|EncThalmor05Melee1HF</v>
      </c>
    </row>
    <row r="2855" ht="12.75" customHeight="1">
      <c r="A2855" s="5" t="s">
        <v>8082</v>
      </c>
      <c r="B2855" s="5" t="s">
        <v>8083</v>
      </c>
      <c r="D2855" s="5" t="s">
        <v>57</v>
      </c>
      <c r="E2855" s="5" t="s">
        <v>41</v>
      </c>
      <c r="F2855" s="5" t="s">
        <v>48</v>
      </c>
      <c r="G2855" s="14" t="str">
        <f t="array" ref="G2855">IF(B2855="", "",
  LET(_xlpm.spell, IFERROR(IF(F2855="", "", INDEX(_xlws.FILTER(Hairstyles!$F:$F, ISNUMBER(SEARCH(F2855, Hairstyles!$B:$B))), 1)), "No Spell for Hairstyle"),
  _xlpm.vanillaPrefix, IF(LEFT(_xlpm.spell, 7)="Uvi_Wig", "", ";"),
  ";" &amp; IF(C2855="", B2855, C2855) &amp; IF(M2855="", "", " ("&amp;M2855&amp;")") &amp; CHAR(10) &amp;
  _xlpm.vanillaPrefix &amp; "Keyword = Uvi_Wig_Distr_KYWD|" &amp; B2855 &amp; CHAR(10) &amp;
  _xlpm.vanillaPrefix &amp; "Spell = " &amp; _xlpm.spell &amp; "|" &amp; B2855
  )
)</f>
        <v>;EncThalmor05Melee1HFDual
;Keyword = Uvi_Wig_Distr_KYWD|EncThalmor05Melee1HFDual
;Spell = No Spell for Hairstyle|EncThalmor05Melee1HFDual</v>
      </c>
    </row>
    <row r="2856" ht="12.75" customHeight="1">
      <c r="A2856" s="5" t="s">
        <v>8084</v>
      </c>
      <c r="B2856" s="5" t="s">
        <v>8085</v>
      </c>
      <c r="D2856" s="5" t="s">
        <v>57</v>
      </c>
      <c r="E2856" s="5" t="s">
        <v>41</v>
      </c>
      <c r="F2856" s="5" t="s">
        <v>48</v>
      </c>
      <c r="G2856" s="14" t="str">
        <f t="array" ref="G2856">IF(B2856="", "",
  LET(_xlpm.spell, IFERROR(IF(F2856="", "", INDEX(_xlws.FILTER(Hairstyles!$F:$F, ISNUMBER(SEARCH(F2856, Hairstyles!$B:$B))), 1)), "No Spell for Hairstyle"),
  _xlpm.vanillaPrefix, IF(LEFT(_xlpm.spell, 7)="Uvi_Wig", "", ";"),
  ";" &amp; IF(C2856="", B2856, C2856) &amp; IF(M2856="", "", " ("&amp;M2856&amp;")") &amp; CHAR(10) &amp;
  _xlpm.vanillaPrefix &amp; "Keyword = Uvi_Wig_Distr_KYWD|" &amp; B2856 &amp; CHAR(10) &amp;
  _xlpm.vanillaPrefix &amp; "Spell = " &amp; _xlpm.spell &amp; "|" &amp; B2856
  )
)</f>
        <v>;EncThalmor05Melee1HFShield
;Keyword = Uvi_Wig_Distr_KYWD|EncThalmor05Melee1HFShield
;Spell = No Spell for Hairstyle|EncThalmor05Melee1HFShield</v>
      </c>
    </row>
    <row r="2857" ht="12.75" customHeight="1">
      <c r="A2857" s="5" t="s">
        <v>8086</v>
      </c>
      <c r="B2857" s="5" t="s">
        <v>8087</v>
      </c>
      <c r="D2857" s="5" t="s">
        <v>57</v>
      </c>
      <c r="E2857" s="5" t="s">
        <v>233</v>
      </c>
      <c r="F2857" s="5" t="s">
        <v>47</v>
      </c>
      <c r="G2857" s="14" t="str">
        <f t="array" ref="G2857">IF(B2857="", "",
  LET(_xlpm.spell, IFERROR(IF(F2857="", "", INDEX(_xlws.FILTER(Hairstyles!$F:$F, ISNUMBER(SEARCH(F2857, Hairstyles!$B:$B))), 1)), "No Spell for Hairstyle"),
  _xlpm.vanillaPrefix, IF(LEFT(_xlpm.spell, 7)="Uvi_Wig", "", ";"),
  ";" &amp; IF(C2857="", B2857, C2857) &amp; IF(M2857="", "", " ("&amp;M2857&amp;")") &amp; CHAR(10) &amp;
  _xlpm.vanillaPrefix &amp; "Keyword = Uvi_Wig_Distr_KYWD|" &amp; B2857 &amp; CHAR(10) &amp;
  _xlpm.vanillaPrefix &amp; "Spell = " &amp; _xlpm.spell &amp; "|" &amp; B2857
  )
)</f>
        <v>;EncThalmor05Melee1HM
;Keyword = Uvi_Wig_Distr_KYWD|EncThalmor05Melee1HM
;Spell = No Spell for Hairstyle|EncThalmor05Melee1HM</v>
      </c>
    </row>
    <row r="2858" ht="12.75" customHeight="1">
      <c r="A2858" s="5" t="s">
        <v>8088</v>
      </c>
      <c r="B2858" s="5" t="s">
        <v>8089</v>
      </c>
      <c r="D2858" s="5" t="s">
        <v>57</v>
      </c>
      <c r="E2858" s="5" t="s">
        <v>233</v>
      </c>
      <c r="F2858" s="5" t="s">
        <v>47</v>
      </c>
      <c r="G2858" s="14" t="str">
        <f t="array" ref="G2858">IF(B2858="", "",
  LET(_xlpm.spell, IFERROR(IF(F2858="", "", INDEX(_xlws.FILTER(Hairstyles!$F:$F, ISNUMBER(SEARCH(F2858, Hairstyles!$B:$B))), 1)), "No Spell for Hairstyle"),
  _xlpm.vanillaPrefix, IF(LEFT(_xlpm.spell, 7)="Uvi_Wig", "", ";"),
  ";" &amp; IF(C2858="", B2858, C2858) &amp; IF(M2858="", "", " ("&amp;M2858&amp;")") &amp; CHAR(10) &amp;
  _xlpm.vanillaPrefix &amp; "Keyword = Uvi_Wig_Distr_KYWD|" &amp; B2858 &amp; CHAR(10) &amp;
  _xlpm.vanillaPrefix &amp; "Spell = " &amp; _xlpm.spell &amp; "|" &amp; B2858
  )
)</f>
        <v>;EncThalmor05Melee1HMDual
;Keyword = Uvi_Wig_Distr_KYWD|EncThalmor05Melee1HMDual
;Spell = No Spell for Hairstyle|EncThalmor05Melee1HMDual</v>
      </c>
    </row>
    <row r="2859" ht="12.75" customHeight="1">
      <c r="A2859" s="5" t="s">
        <v>8090</v>
      </c>
      <c r="B2859" s="5" t="s">
        <v>8091</v>
      </c>
      <c r="D2859" s="5" t="s">
        <v>57</v>
      </c>
      <c r="E2859" s="5" t="s">
        <v>233</v>
      </c>
      <c r="F2859" s="5" t="s">
        <v>47</v>
      </c>
      <c r="G2859" s="14" t="str">
        <f t="array" ref="G2859">IF(B2859="", "",
  LET(_xlpm.spell, IFERROR(IF(F2859="", "", INDEX(_xlws.FILTER(Hairstyles!$F:$F, ISNUMBER(SEARCH(F2859, Hairstyles!$B:$B))), 1)), "No Spell for Hairstyle"),
  _xlpm.vanillaPrefix, IF(LEFT(_xlpm.spell, 7)="Uvi_Wig", "", ";"),
  ";" &amp; IF(C2859="", B2859, C2859) &amp; IF(M2859="", "", " ("&amp;M2859&amp;")") &amp; CHAR(10) &amp;
  _xlpm.vanillaPrefix &amp; "Keyword = Uvi_Wig_Distr_KYWD|" &amp; B2859 &amp; CHAR(10) &amp;
  _xlpm.vanillaPrefix &amp; "Spell = " &amp; _xlpm.spell &amp; "|" &amp; B2859
  )
)</f>
        <v>;EncThalmor05Melee1HMShield
;Keyword = Uvi_Wig_Distr_KYWD|EncThalmor05Melee1HMShield
;Spell = No Spell for Hairstyle|EncThalmor05Melee1HMShield</v>
      </c>
    </row>
    <row r="2860" ht="12.75" customHeight="1">
      <c r="A2860" s="5" t="s">
        <v>8092</v>
      </c>
      <c r="B2860" s="5" t="s">
        <v>8093</v>
      </c>
      <c r="D2860" s="5" t="s">
        <v>57</v>
      </c>
      <c r="E2860" s="5" t="s">
        <v>41</v>
      </c>
      <c r="F2860" s="5" t="s">
        <v>2373</v>
      </c>
      <c r="G2860" s="14" t="str">
        <f t="array" ref="G2860">IF(B2860="", "",
  LET(_xlpm.spell, IFERROR(IF(F2860="", "", INDEX(_xlws.FILTER(Hairstyles!$F:$F, ISNUMBER(SEARCH(F2860, Hairstyles!$B:$B))), 1)), "No Spell for Hairstyle"),
  _xlpm.vanillaPrefix, IF(LEFT(_xlpm.spell, 7)="Uvi_Wig", "", ";"),
  ";" &amp; IF(C2860="", B2860, C2860) &amp; IF(M2860="", "", " ("&amp;M2860&amp;")") &amp; CHAR(10) &amp;
  _xlpm.vanillaPrefix &amp; "Keyword = Uvi_Wig_Distr_KYWD|" &amp; B2860 &amp; CHAR(10) &amp;
  _xlpm.vanillaPrefix &amp; "Spell = " &amp; _xlpm.spell &amp; "|" &amp; B2860
  )
)</f>
        <v>;EncThalmor05MissileF
;Keyword = Uvi_Wig_Distr_KYWD|EncThalmor05MissileF
;Spell = No Spell for Hairstyle|EncThalmor05MissileF</v>
      </c>
    </row>
    <row r="2861" ht="12.75" customHeight="1">
      <c r="A2861" s="5" t="s">
        <v>8094</v>
      </c>
      <c r="B2861" s="5" t="s">
        <v>8095</v>
      </c>
      <c r="D2861" s="5" t="s">
        <v>57</v>
      </c>
      <c r="E2861" s="5" t="s">
        <v>233</v>
      </c>
      <c r="F2861" s="5" t="s">
        <v>1787</v>
      </c>
      <c r="G2861" s="14" t="str">
        <f t="array" ref="G2861">IF(B2861="", "",
  LET(_xlpm.spell, IFERROR(IF(F2861="", "", INDEX(_xlws.FILTER(Hairstyles!$F:$F, ISNUMBER(SEARCH(F2861, Hairstyles!$B:$B))), 1)), "No Spell for Hairstyle"),
  _xlpm.vanillaPrefix, IF(LEFT(_xlpm.spell, 7)="Uvi_Wig", "", ";"),
  ";" &amp; IF(C2861="", B2861, C2861) &amp; IF(M2861="", "", " ("&amp;M2861&amp;")") &amp; CHAR(10) &amp;
  _xlpm.vanillaPrefix &amp; "Keyword = Uvi_Wig_Distr_KYWD|" &amp; B2861 &amp; CHAR(10) &amp;
  _xlpm.vanillaPrefix &amp; "Spell = " &amp; _xlpm.spell &amp; "|" &amp; B2861
  )
)</f>
        <v>;EncThalmor05MissileM
;Keyword = Uvi_Wig_Distr_KYWD|EncThalmor05MissileM
;Spell = No Spell for Hairstyle|EncThalmor05MissileM</v>
      </c>
    </row>
    <row r="2862" ht="12.75" customHeight="1">
      <c r="A2862" s="5" t="s">
        <v>8096</v>
      </c>
      <c r="B2862" s="5" t="s">
        <v>8097</v>
      </c>
      <c r="D2862" s="5" t="s">
        <v>57</v>
      </c>
      <c r="E2862" s="5" t="s">
        <v>233</v>
      </c>
      <c r="F2862" s="5" t="s">
        <v>91</v>
      </c>
      <c r="G2862" s="14" t="str">
        <f t="array" ref="G2862">IF(B2862="", "",
  LET(_xlpm.spell, IFERROR(IF(F2862="", "", INDEX(_xlws.FILTER(Hairstyles!$F:$F, ISNUMBER(SEARCH(F2862, Hairstyles!$B:$B))), 1)), "No Spell for Hairstyle"),
  _xlpm.vanillaPrefix, IF(LEFT(_xlpm.spell, 7)="Uvi_Wig", "", ";"),
  ";" &amp; IF(C2862="", B2862, C2862) &amp; IF(M2862="", "", " ("&amp;M2862&amp;")") &amp; CHAR(10) &amp;
  _xlpm.vanillaPrefix &amp; "Keyword = Uvi_Wig_Distr_KYWD|" &amp; B2862 &amp; CHAR(10) &amp;
  _xlpm.vanillaPrefix &amp; "Spell = " &amp; _xlpm.spell &amp; "|" &amp; B2862
  )
)</f>
        <v>;EncThalmor06MagicBossM
;Keyword = Uvi_Wig_Distr_KYWD|EncThalmor06MagicBossM
;Spell = No Spell for Hairstyle|EncThalmor06MagicBossM</v>
      </c>
    </row>
    <row r="2863" ht="12.75" customHeight="1">
      <c r="A2863" s="5" t="s">
        <v>8098</v>
      </c>
      <c r="B2863" s="5" t="s">
        <v>8099</v>
      </c>
      <c r="D2863" s="5" t="s">
        <v>57</v>
      </c>
      <c r="E2863" s="5" t="s">
        <v>41</v>
      </c>
      <c r="F2863" s="5" t="s">
        <v>2577</v>
      </c>
      <c r="G2863" s="14" t="str">
        <f t="array" ref="G2863">IF(B2863="", "",
  LET(_xlpm.spell, IFERROR(IF(F2863="", "", INDEX(_xlws.FILTER(Hairstyles!$F:$F, ISNUMBER(SEARCH(F2863, Hairstyles!$B:$B))), 1)), "No Spell for Hairstyle"),
  _xlpm.vanillaPrefix, IF(LEFT(_xlpm.spell, 7)="Uvi_Wig", "", ";"),
  ";" &amp; IF(C2863="", B2863, C2863) &amp; IF(M2863="", "", " ("&amp;M2863&amp;")") &amp; CHAR(10) &amp;
  _xlpm.vanillaPrefix &amp; "Keyword = Uvi_Wig_Distr_KYWD|" &amp; B2863 &amp; CHAR(10) &amp;
  _xlpm.vanillaPrefix &amp; "Spell = " &amp; _xlpm.spell &amp; "|" &amp; B2863
  )
)</f>
        <v>;EncThalmor06MagicF
;Keyword = Uvi_Wig_Distr_KYWD|EncThalmor06MagicF
;Spell = No Spell for Hairstyle|EncThalmor06MagicF</v>
      </c>
    </row>
    <row r="2864" ht="12.75" customHeight="1">
      <c r="A2864" s="5" t="s">
        <v>8100</v>
      </c>
      <c r="B2864" s="5" t="s">
        <v>8101</v>
      </c>
      <c r="D2864" s="5" t="s">
        <v>57</v>
      </c>
      <c r="E2864" s="5" t="s">
        <v>233</v>
      </c>
      <c r="F2864" s="5" t="s">
        <v>91</v>
      </c>
      <c r="G2864" s="14" t="str">
        <f t="array" ref="G2864">IF(B2864="", "",
  LET(_xlpm.spell, IFERROR(IF(F2864="", "", INDEX(_xlws.FILTER(Hairstyles!$F:$F, ISNUMBER(SEARCH(F2864, Hairstyles!$B:$B))), 1)), "No Spell for Hairstyle"),
  _xlpm.vanillaPrefix, IF(LEFT(_xlpm.spell, 7)="Uvi_Wig", "", ";"),
  ";" &amp; IF(C2864="", B2864, C2864) &amp; IF(M2864="", "", " ("&amp;M2864&amp;")") &amp; CHAR(10) &amp;
  _xlpm.vanillaPrefix &amp; "Keyword = Uvi_Wig_Distr_KYWD|" &amp; B2864 &amp; CHAR(10) &amp;
  _xlpm.vanillaPrefix &amp; "Spell = " &amp; _xlpm.spell &amp; "|" &amp; B2864
  )
)</f>
        <v>;EncThalmor06MagicM
;Keyword = Uvi_Wig_Distr_KYWD|EncThalmor06MagicM
;Spell = No Spell for Hairstyle|EncThalmor06MagicM</v>
      </c>
    </row>
    <row r="2865" ht="12.75" customHeight="1">
      <c r="A2865" s="5" t="s">
        <v>8102</v>
      </c>
      <c r="B2865" s="5" t="s">
        <v>8103</v>
      </c>
      <c r="D2865" s="5" t="s">
        <v>34</v>
      </c>
      <c r="E2865" s="5" t="s">
        <v>41</v>
      </c>
      <c r="F2865" s="5" t="s">
        <v>4628</v>
      </c>
      <c r="G2865" s="14" t="str">
        <f t="array" ref="G2865">IF(B2865="", "",
  LET(_xlpm.spell, IFERROR(IF(F2865="", "", INDEX(_xlws.FILTER(Hairstyles!$F:$F, ISNUMBER(SEARCH(F2865, Hairstyles!$B:$B))), 1)), "No Spell for Hairstyle"),
  _xlpm.vanillaPrefix, IF(LEFT(_xlpm.spell, 7)="Uvi_Wig", "", ";"),
  ";" &amp; IF(C2865="", B2865, C2865) &amp; IF(M2865="", "", " ("&amp;M2865&amp;")") &amp; CHAR(10) &amp;
  _xlpm.vanillaPrefix &amp; "Keyword = Uvi_Wig_Distr_KYWD|" &amp; B2865 &amp; CHAR(10) &amp;
  _xlpm.vanillaPrefix &amp; "Spell = " &amp; _xlpm.spell &amp; "|" &amp; B2865
  )
)</f>
        <v>;EncVampire00BretonF
;Keyword = Uvi_Wig_Distr_KYWD|EncVampire00BretonF
;Spell = No Spell for Hairstyle|EncVampire00BretonF</v>
      </c>
    </row>
    <row r="2866" ht="12.75" customHeight="1">
      <c r="A2866" s="5" t="s">
        <v>8104</v>
      </c>
      <c r="B2866" s="5" t="s">
        <v>8105</v>
      </c>
      <c r="D2866" s="5" t="s">
        <v>50</v>
      </c>
      <c r="E2866" s="5" t="s">
        <v>41</v>
      </c>
      <c r="F2866" s="5" t="s">
        <v>48</v>
      </c>
      <c r="G2866" s="14" t="str">
        <f t="array" ref="G2866">IF(B2866="", "",
  LET(_xlpm.spell, IFERROR(IF(F2866="", "", INDEX(_xlws.FILTER(Hairstyles!$F:$F, ISNUMBER(SEARCH(F2866, Hairstyles!$B:$B))), 1)), "No Spell for Hairstyle"),
  _xlpm.vanillaPrefix, IF(LEFT(_xlpm.spell, 7)="Uvi_Wig", "", ";"),
  ";" &amp; IF(C2866="", B2866, C2866) &amp; IF(M2866="", "", " ("&amp;M2866&amp;")") &amp; CHAR(10) &amp;
  _xlpm.vanillaPrefix &amp; "Keyword = Uvi_Wig_Distr_KYWD|" &amp; B2866 &amp; CHAR(10) &amp;
  _xlpm.vanillaPrefix &amp; "Spell = " &amp; _xlpm.spell &amp; "|" &amp; B2866
  )
)</f>
        <v>;EncVampire00DarkElfF
;Keyword = Uvi_Wig_Distr_KYWD|EncVampire00DarkElfF
;Spell = No Spell for Hairstyle|EncVampire00DarkElfF</v>
      </c>
    </row>
    <row r="2867" ht="12.75" customHeight="1">
      <c r="A2867" s="5" t="s">
        <v>8106</v>
      </c>
      <c r="B2867" s="5" t="s">
        <v>8107</v>
      </c>
      <c r="D2867" s="5" t="s">
        <v>58</v>
      </c>
      <c r="E2867" s="5" t="s">
        <v>41</v>
      </c>
      <c r="F2867" s="5" t="s">
        <v>92</v>
      </c>
      <c r="G2867" s="14" t="str">
        <f t="array" ref="G2867">IF(B2867="", "",
  LET(_xlpm.spell, IFERROR(IF(F2867="", "", INDEX(_xlws.FILTER(Hairstyles!$F:$F, ISNUMBER(SEARCH(F2867, Hairstyles!$B:$B))), 1)), "No Spell for Hairstyle"),
  _xlpm.vanillaPrefix, IF(LEFT(_xlpm.spell, 7)="Uvi_Wig", "", ";"),
  ";" &amp; IF(C2867="", B2867, C2867) &amp; IF(M2867="", "", " ("&amp;M2867&amp;")") &amp; CHAR(10) &amp;
  _xlpm.vanillaPrefix &amp; "Keyword = Uvi_Wig_Distr_KYWD|" &amp; B2867 &amp; CHAR(10) &amp;
  _xlpm.vanillaPrefix &amp; "Spell = " &amp; _xlpm.spell &amp; "|" &amp; B2867
  )
)</f>
        <v>;EncVampire00HighElfF
;Keyword = Uvi_Wig_Distr_KYWD|EncVampire00HighElfF
;Spell = No Spell for Hairstyle|EncVampire00HighElfF</v>
      </c>
    </row>
    <row r="2868" ht="12.75" customHeight="1">
      <c r="A2868" s="5" t="s">
        <v>8108</v>
      </c>
      <c r="B2868" s="5" t="s">
        <v>8109</v>
      </c>
      <c r="D2868" s="5" t="s">
        <v>63</v>
      </c>
      <c r="E2868" s="5" t="s">
        <v>41</v>
      </c>
      <c r="F2868" s="5" t="s">
        <v>1822</v>
      </c>
      <c r="G2868" s="14" t="str">
        <f t="array" ref="G2868">IF(B2868="", "",
  LET(_xlpm.spell, IFERROR(IF(F2868="", "", INDEX(_xlws.FILTER(Hairstyles!$F:$F, ISNUMBER(SEARCH(F2868, Hairstyles!$B:$B))), 1)), "No Spell for Hairstyle"),
  _xlpm.vanillaPrefix, IF(LEFT(_xlpm.spell, 7)="Uvi_Wig", "", ";"),
  ";" &amp; IF(C2868="", B2868, C2868) &amp; IF(M2868="", "", " ("&amp;M2868&amp;")") &amp; CHAR(10) &amp;
  _xlpm.vanillaPrefix &amp; "Keyword = Uvi_Wig_Distr_KYWD|" &amp; B2868 &amp; CHAR(10) &amp;
  _xlpm.vanillaPrefix &amp; "Spell = " &amp; _xlpm.spell &amp; "|" &amp; B2868
  )
)</f>
        <v>;EncVampire00ImperialF
;Keyword = Uvi_Wig_Distr_KYWD|EncVampire00ImperialF
;Spell = No Spell for Hairstyle|EncVampire00ImperialF</v>
      </c>
    </row>
    <row r="2869" ht="12.75" customHeight="1">
      <c r="A2869" s="5" t="s">
        <v>8110</v>
      </c>
      <c r="B2869" s="5" t="s">
        <v>8111</v>
      </c>
      <c r="D2869" s="5" t="s">
        <v>79</v>
      </c>
      <c r="E2869" s="5" t="s">
        <v>41</v>
      </c>
      <c r="F2869" s="5" t="s">
        <v>371</v>
      </c>
      <c r="G2869" s="14" t="str">
        <f t="array" ref="G2869">IF(B2869="", "",
  LET(_xlpm.spell, IFERROR(IF(F2869="", "", INDEX(_xlws.FILTER(Hairstyles!$F:$F, ISNUMBER(SEARCH(F2869, Hairstyles!$B:$B))), 1)), "No Spell for Hairstyle"),
  _xlpm.vanillaPrefix, IF(LEFT(_xlpm.spell, 7)="Uvi_Wig", "", ";"),
  ";" &amp; IF(C2869="", B2869, C2869) &amp; IF(M2869="", "", " ("&amp;M2869&amp;")") &amp; CHAR(10) &amp;
  _xlpm.vanillaPrefix &amp; "Keyword = Uvi_Wig_Distr_KYWD|" &amp; B2869 &amp; CHAR(10) &amp;
  _xlpm.vanillaPrefix &amp; "Spell = " &amp; _xlpm.spell &amp; "|" &amp; B2869
  )
)</f>
        <v>;EncVampire00NordF
;Keyword = Uvi_Wig_Distr_KYWD|EncVampire00NordF
;Spell = No Spell for Hairstyle|EncVampire00NordF</v>
      </c>
    </row>
    <row r="2870" ht="12.75" customHeight="1">
      <c r="A2870" s="5" t="s">
        <v>8112</v>
      </c>
      <c r="B2870" s="5" t="s">
        <v>8113</v>
      </c>
      <c r="D2870" s="5" t="s">
        <v>34</v>
      </c>
      <c r="E2870" s="5" t="s">
        <v>41</v>
      </c>
      <c r="F2870" s="5" t="s">
        <v>2118</v>
      </c>
      <c r="G2870" s="14" t="str">
        <f t="array" ref="G2870">IF(B2870="", "",
  LET(_xlpm.spell, IFERROR(IF(F2870="", "", INDEX(_xlws.FILTER(Hairstyles!$F:$F, ISNUMBER(SEARCH(F2870, Hairstyles!$B:$B))), 1)), "No Spell for Hairstyle"),
  _xlpm.vanillaPrefix, IF(LEFT(_xlpm.spell, 7)="Uvi_Wig", "", ";"),
  ";" &amp; IF(C2870="", B2870, C2870) &amp; IF(M2870="", "", " ("&amp;M2870&amp;")") &amp; CHAR(10) &amp;
  _xlpm.vanillaPrefix &amp; "Keyword = Uvi_Wig_Distr_KYWD|" &amp; B2870 &amp; CHAR(10) &amp;
  _xlpm.vanillaPrefix &amp; "Spell = " &amp; _xlpm.spell &amp; "|" &amp; B2870
  )
)</f>
        <v>;EncVampire01BretonF
;Keyword = Uvi_Wig_Distr_KYWD|EncVampire01BretonF
;Spell = No Spell for Hairstyle|EncVampire01BretonF</v>
      </c>
    </row>
    <row r="2871" ht="12.75" customHeight="1">
      <c r="A2871" s="5" t="s">
        <v>8114</v>
      </c>
      <c r="B2871" s="5" t="s">
        <v>8115</v>
      </c>
      <c r="D2871" s="5" t="s">
        <v>50</v>
      </c>
      <c r="E2871" s="5" t="s">
        <v>41</v>
      </c>
      <c r="F2871" s="5" t="s">
        <v>48</v>
      </c>
      <c r="G2871" s="14" t="str">
        <f t="array" ref="G2871">IF(B2871="", "",
  LET(_xlpm.spell, IFERROR(IF(F2871="", "", INDEX(_xlws.FILTER(Hairstyles!$F:$F, ISNUMBER(SEARCH(F2871, Hairstyles!$B:$B))), 1)), "No Spell for Hairstyle"),
  _xlpm.vanillaPrefix, IF(LEFT(_xlpm.spell, 7)="Uvi_Wig", "", ";"),
  ";" &amp; IF(C2871="", B2871, C2871) &amp; IF(M2871="", "", " ("&amp;M2871&amp;")") &amp; CHAR(10) &amp;
  _xlpm.vanillaPrefix &amp; "Keyword = Uvi_Wig_Distr_KYWD|" &amp; B2871 &amp; CHAR(10) &amp;
  _xlpm.vanillaPrefix &amp; "Spell = " &amp; _xlpm.spell &amp; "|" &amp; B2871
  )
)</f>
        <v>;EncVampire01DarkElfF
;Keyword = Uvi_Wig_Distr_KYWD|EncVampire01DarkElfF
;Spell = No Spell for Hairstyle|EncVampire01DarkElfF</v>
      </c>
    </row>
    <row r="2872" ht="12.75" customHeight="1">
      <c r="A2872" s="5" t="s">
        <v>8116</v>
      </c>
      <c r="B2872" s="5" t="s">
        <v>8117</v>
      </c>
      <c r="D2872" s="5" t="s">
        <v>58</v>
      </c>
      <c r="E2872" s="5" t="s">
        <v>41</v>
      </c>
      <c r="F2872" s="5" t="s">
        <v>6747</v>
      </c>
      <c r="G2872" s="14" t="str">
        <f t="array" ref="G2872">IF(B2872="", "",
  LET(_xlpm.spell, IFERROR(IF(F2872="", "", INDEX(_xlws.FILTER(Hairstyles!$F:$F, ISNUMBER(SEARCH(F2872, Hairstyles!$B:$B))), 1)), "No Spell for Hairstyle"),
  _xlpm.vanillaPrefix, IF(LEFT(_xlpm.spell, 7)="Uvi_Wig", "", ";"),
  ";" &amp; IF(C2872="", B2872, C2872) &amp; IF(M2872="", "", " ("&amp;M2872&amp;")") &amp; CHAR(10) &amp;
  _xlpm.vanillaPrefix &amp; "Keyword = Uvi_Wig_Distr_KYWD|" &amp; B2872 &amp; CHAR(10) &amp;
  _xlpm.vanillaPrefix &amp; "Spell = " &amp; _xlpm.spell &amp; "|" &amp; B2872
  )
)</f>
        <v>;EncVampire01HighElfF
;Keyword = Uvi_Wig_Distr_KYWD|EncVampire01HighElfF
;Spell = No Spell for Hairstyle|EncVampire01HighElfF</v>
      </c>
    </row>
    <row r="2873" ht="12.75" customHeight="1">
      <c r="A2873" s="5" t="s">
        <v>8118</v>
      </c>
      <c r="B2873" s="5" t="s">
        <v>8119</v>
      </c>
      <c r="D2873" s="5" t="s">
        <v>63</v>
      </c>
      <c r="E2873" s="5" t="s">
        <v>41</v>
      </c>
      <c r="F2873" s="5" t="s">
        <v>343</v>
      </c>
      <c r="G2873" s="14" t="str">
        <f t="array" ref="G2873">IF(B2873="", "",
  LET(_xlpm.spell, IFERROR(IF(F2873="", "", INDEX(_xlws.FILTER(Hairstyles!$F:$F, ISNUMBER(SEARCH(F2873, Hairstyles!$B:$B))), 1)), "No Spell for Hairstyle"),
  _xlpm.vanillaPrefix, IF(LEFT(_xlpm.spell, 7)="Uvi_Wig", "", ";"),
  ";" &amp; IF(C2873="", B2873, C2873) &amp; IF(M2873="", "", " ("&amp;M2873&amp;")") &amp; CHAR(10) &amp;
  _xlpm.vanillaPrefix &amp; "Keyword = Uvi_Wig_Distr_KYWD|" &amp; B2873 &amp; CHAR(10) &amp;
  _xlpm.vanillaPrefix &amp; "Spell = " &amp; _xlpm.spell &amp; "|" &amp; B2873
  )
)</f>
        <v>;EncVampire01ImperialF
;Keyword = Uvi_Wig_Distr_KYWD|EncVampire01ImperialF
;Spell = No Spell for Hairstyle|EncVampire01ImperialF</v>
      </c>
    </row>
    <row r="2874" ht="12.75" customHeight="1">
      <c r="A2874" s="15" t="s">
        <v>8120</v>
      </c>
      <c r="B2874" s="5" t="s">
        <v>8121</v>
      </c>
      <c r="D2874" s="5" t="s">
        <v>79</v>
      </c>
      <c r="E2874" s="5" t="s">
        <v>41</v>
      </c>
      <c r="F2874" s="5" t="s">
        <v>1596</v>
      </c>
      <c r="G2874" s="14" t="str">
        <f t="array" ref="G2874">IF(B2874="", "",
  LET(_xlpm.spell, IFERROR(IF(F2874="", "", INDEX(_xlws.FILTER(Hairstyles!$F:$F, ISNUMBER(SEARCH(F2874, Hairstyles!$B:$B))), 1)), "No Spell for Hairstyle"),
  _xlpm.vanillaPrefix, IF(LEFT(_xlpm.spell, 7)="Uvi_Wig", "", ";"),
  ";" &amp; IF(C2874="", B2874, C2874) &amp; IF(M2874="", "", " ("&amp;M2874&amp;")") &amp; CHAR(10) &amp;
  _xlpm.vanillaPrefix &amp; "Keyword = Uvi_Wig_Distr_KYWD|" &amp; B2874 &amp; CHAR(10) &amp;
  _xlpm.vanillaPrefix &amp; "Spell = " &amp; _xlpm.spell &amp; "|" &amp; B2874
  )
)</f>
        <v>;EncVampire01NordF
;Keyword = Uvi_Wig_Distr_KYWD|EncVampire01NordF
;Spell = No Spell for Hairstyle|EncVampire01NordF</v>
      </c>
    </row>
    <row r="2875" ht="12.75" customHeight="1">
      <c r="A2875" s="5" t="s">
        <v>8122</v>
      </c>
      <c r="B2875" s="5" t="s">
        <v>8123</v>
      </c>
      <c r="D2875" s="5" t="s">
        <v>34</v>
      </c>
      <c r="E2875" s="5" t="s">
        <v>233</v>
      </c>
      <c r="F2875" s="5" t="s">
        <v>40</v>
      </c>
      <c r="G2875" s="14" t="str">
        <f t="array" ref="G2875">IF(B2875="", "",
  LET(_xlpm.spell, IFERROR(IF(F2875="", "", INDEX(_xlws.FILTER(Hairstyles!$F:$F, ISNUMBER(SEARCH(F2875, Hairstyles!$B:$B))), 1)), "No Spell for Hairstyle"),
  _xlpm.vanillaPrefix, IF(LEFT(_xlpm.spell, 7)="Uvi_Wig", "", ";"),
  ";" &amp; IF(C2875="", B2875, C2875) &amp; IF(M2875="", "", " ("&amp;M2875&amp;")") &amp; CHAR(10) &amp;
  _xlpm.vanillaPrefix &amp; "Keyword = Uvi_Wig_Distr_KYWD|" &amp; B2875 &amp; CHAR(10) &amp;
  _xlpm.vanillaPrefix &amp; "Spell = " &amp; _xlpm.spell &amp; "|" &amp; B2875
  )
)</f>
        <v>;EncVampire02BossBretonM
;Keyword = Uvi_Wig_Distr_KYWD|EncVampire02BossBretonM
;Spell = No Spell for Hairstyle|EncVampire02BossBretonM</v>
      </c>
    </row>
    <row r="2876" ht="12.75" customHeight="1">
      <c r="A2876" s="5" t="s">
        <v>8124</v>
      </c>
      <c r="B2876" s="5" t="s">
        <v>8125</v>
      </c>
      <c r="D2876" s="5" t="s">
        <v>50</v>
      </c>
      <c r="E2876" s="5" t="s">
        <v>233</v>
      </c>
      <c r="F2876" s="5" t="s">
        <v>47</v>
      </c>
      <c r="G2876" s="14" t="str">
        <f t="array" ref="G2876">IF(B2876="", "",
  LET(_xlpm.spell, IFERROR(IF(F2876="", "", INDEX(_xlws.FILTER(Hairstyles!$F:$F, ISNUMBER(SEARCH(F2876, Hairstyles!$B:$B))), 1)), "No Spell for Hairstyle"),
  _xlpm.vanillaPrefix, IF(LEFT(_xlpm.spell, 7)="Uvi_Wig", "", ";"),
  ";" &amp; IF(C2876="", B2876, C2876) &amp; IF(M2876="", "", " ("&amp;M2876&amp;")") &amp; CHAR(10) &amp;
  _xlpm.vanillaPrefix &amp; "Keyword = Uvi_Wig_Distr_KYWD|" &amp; B2876 &amp; CHAR(10) &amp;
  _xlpm.vanillaPrefix &amp; "Spell = " &amp; _xlpm.spell &amp; "|" &amp; B2876
  )
)</f>
        <v>;EncVampire02BossDarkElfM
;Keyword = Uvi_Wig_Distr_KYWD|EncVampire02BossDarkElfM
;Spell = No Spell for Hairstyle|EncVampire02BossDarkElfM</v>
      </c>
    </row>
    <row r="2877" ht="12.75" customHeight="1">
      <c r="A2877" s="5" t="s">
        <v>8126</v>
      </c>
      <c r="B2877" s="5" t="s">
        <v>8127</v>
      </c>
      <c r="D2877" s="5" t="s">
        <v>58</v>
      </c>
      <c r="E2877" s="5" t="s">
        <v>233</v>
      </c>
      <c r="F2877" s="5" t="s">
        <v>47</v>
      </c>
      <c r="G2877" s="14" t="str">
        <f t="array" ref="G2877">IF(B2877="", "",
  LET(_xlpm.spell, IFERROR(IF(F2877="", "", INDEX(_xlws.FILTER(Hairstyles!$F:$F, ISNUMBER(SEARCH(F2877, Hairstyles!$B:$B))), 1)), "No Spell for Hairstyle"),
  _xlpm.vanillaPrefix, IF(LEFT(_xlpm.spell, 7)="Uvi_Wig", "", ";"),
  ";" &amp; IF(C2877="", B2877, C2877) &amp; IF(M2877="", "", " ("&amp;M2877&amp;")") &amp; CHAR(10) &amp;
  _xlpm.vanillaPrefix &amp; "Keyword = Uvi_Wig_Distr_KYWD|" &amp; B2877 &amp; CHAR(10) &amp;
  _xlpm.vanillaPrefix &amp; "Spell = " &amp; _xlpm.spell &amp; "|" &amp; B2877
  )
)</f>
        <v>;EncVampire02BossHighElfM
;Keyword = Uvi_Wig_Distr_KYWD|EncVampire02BossHighElfM
;Spell = No Spell for Hairstyle|EncVampire02BossHighElfM</v>
      </c>
    </row>
    <row r="2878" ht="12.75" customHeight="1">
      <c r="A2878" s="5" t="s">
        <v>8128</v>
      </c>
      <c r="B2878" s="5" t="s">
        <v>8129</v>
      </c>
      <c r="D2878" s="5" t="s">
        <v>63</v>
      </c>
      <c r="E2878" s="5" t="s">
        <v>233</v>
      </c>
      <c r="F2878" s="5" t="s">
        <v>1566</v>
      </c>
      <c r="G2878" s="14" t="str">
        <f t="array" ref="G2878">IF(B2878="", "",
  LET(_xlpm.spell, IFERROR(IF(F2878="", "", INDEX(_xlws.FILTER(Hairstyles!$F:$F, ISNUMBER(SEARCH(F2878, Hairstyles!$B:$B))), 1)), "No Spell for Hairstyle"),
  _xlpm.vanillaPrefix, IF(LEFT(_xlpm.spell, 7)="Uvi_Wig", "", ";"),
  ";" &amp; IF(C2878="", B2878, C2878) &amp; IF(M2878="", "", " ("&amp;M2878&amp;")") &amp; CHAR(10) &amp;
  _xlpm.vanillaPrefix &amp; "Keyword = Uvi_Wig_Distr_KYWD|" &amp; B2878 &amp; CHAR(10) &amp;
  _xlpm.vanillaPrefix &amp; "Spell = " &amp; _xlpm.spell &amp; "|" &amp; B2878
  )
)</f>
        <v>;EncVampire02BossImperialM
;Keyword = Uvi_Wig_Distr_KYWD|EncVampire02BossImperialM
;Spell = No Spell for Hairstyle|EncVampire02BossImperialM</v>
      </c>
    </row>
    <row r="2879" ht="12.75" customHeight="1">
      <c r="A2879" s="5" t="s">
        <v>8130</v>
      </c>
      <c r="B2879" s="5" t="s">
        <v>8131</v>
      </c>
      <c r="D2879" s="5" t="s">
        <v>79</v>
      </c>
      <c r="E2879" s="5" t="s">
        <v>233</v>
      </c>
      <c r="F2879" s="5" t="s">
        <v>1678</v>
      </c>
      <c r="G2879" s="14" t="str">
        <f t="array" ref="G2879">IF(B2879="", "",
  LET(_xlpm.spell, IFERROR(IF(F2879="", "", INDEX(_xlws.FILTER(Hairstyles!$F:$F, ISNUMBER(SEARCH(F2879, Hairstyles!$B:$B))), 1)), "No Spell for Hairstyle"),
  _xlpm.vanillaPrefix, IF(LEFT(_xlpm.spell, 7)="Uvi_Wig", "", ";"),
  ";" &amp; IF(C2879="", B2879, C2879) &amp; IF(M2879="", "", " ("&amp;M2879&amp;")") &amp; CHAR(10) &amp;
  _xlpm.vanillaPrefix &amp; "Keyword = Uvi_Wig_Distr_KYWD|" &amp; B2879 &amp; CHAR(10) &amp;
  _xlpm.vanillaPrefix &amp; "Spell = " &amp; _xlpm.spell &amp; "|" &amp; B2879
  )
)</f>
        <v>;EncVampire02BossNordM
;Keyword = Uvi_Wig_Distr_KYWD|EncVampire02BossNordM
;Spell = No Spell for Hairstyle|EncVampire02BossNordM</v>
      </c>
    </row>
    <row r="2880" ht="12.75" customHeight="1">
      <c r="A2880" s="15" t="s">
        <v>8132</v>
      </c>
      <c r="B2880" s="5" t="s">
        <v>8133</v>
      </c>
      <c r="D2880" s="5" t="s">
        <v>34</v>
      </c>
      <c r="E2880" s="5" t="s">
        <v>41</v>
      </c>
      <c r="F2880" s="5" t="s">
        <v>2118</v>
      </c>
      <c r="G2880" s="14" t="str">
        <f t="array" ref="G2880">IF(B2880="", "",
  LET(_xlpm.spell, IFERROR(IF(F2880="", "", INDEX(_xlws.FILTER(Hairstyles!$F:$F, ISNUMBER(SEARCH(F2880, Hairstyles!$B:$B))), 1)), "No Spell for Hairstyle"),
  _xlpm.vanillaPrefix, IF(LEFT(_xlpm.spell, 7)="Uvi_Wig", "", ";"),
  ";" &amp; IF(C2880="", B2880, C2880) &amp; IF(M2880="", "", " ("&amp;M2880&amp;")") &amp; CHAR(10) &amp;
  _xlpm.vanillaPrefix &amp; "Keyword = Uvi_Wig_Distr_KYWD|" &amp; B2880 &amp; CHAR(10) &amp;
  _xlpm.vanillaPrefix &amp; "Spell = " &amp; _xlpm.spell &amp; "|" &amp; B2880
  )
)</f>
        <v>;EncVampire02BretonF
;Keyword = Uvi_Wig_Distr_KYWD|EncVampire02BretonF
;Spell = No Spell for Hairstyle|EncVampire02BretonF</v>
      </c>
    </row>
    <row r="2881" ht="12.75" customHeight="1">
      <c r="A2881" s="15" t="s">
        <v>8134</v>
      </c>
      <c r="B2881" s="5" t="s">
        <v>8135</v>
      </c>
      <c r="D2881" s="5" t="s">
        <v>50</v>
      </c>
      <c r="E2881" s="5" t="s">
        <v>41</v>
      </c>
      <c r="F2881" s="5" t="s">
        <v>491</v>
      </c>
      <c r="G2881" s="14" t="str">
        <f t="array" ref="G2881">IF(B2881="", "",
  LET(_xlpm.spell, IFERROR(IF(F2881="", "", INDEX(_xlws.FILTER(Hairstyles!$F:$F, ISNUMBER(SEARCH(F2881, Hairstyles!$B:$B))), 1)), "No Spell for Hairstyle"),
  _xlpm.vanillaPrefix, IF(LEFT(_xlpm.spell, 7)="Uvi_Wig", "", ";"),
  ";" &amp; IF(C2881="", B2881, C2881) &amp; IF(M2881="", "", " ("&amp;M2881&amp;")") &amp; CHAR(10) &amp;
  _xlpm.vanillaPrefix &amp; "Keyword = Uvi_Wig_Distr_KYWD|" &amp; B2881 &amp; CHAR(10) &amp;
  _xlpm.vanillaPrefix &amp; "Spell = " &amp; _xlpm.spell &amp; "|" &amp; B2881
  )
)</f>
        <v>;EncVampire02DarkElfF
;Keyword = Uvi_Wig_Distr_KYWD|EncVampire02DarkElfF
;Spell = No Spell for Hairstyle|EncVampire02DarkElfF</v>
      </c>
    </row>
    <row r="2882" ht="12.75" customHeight="1">
      <c r="A2882" s="15" t="s">
        <v>8136</v>
      </c>
      <c r="B2882" s="5" t="s">
        <v>8137</v>
      </c>
      <c r="D2882" s="5" t="s">
        <v>58</v>
      </c>
      <c r="E2882" s="5" t="s">
        <v>41</v>
      </c>
      <c r="F2882" s="5" t="s">
        <v>48</v>
      </c>
      <c r="G2882" s="14" t="str">
        <f t="array" ref="G2882">IF(B2882="", "",
  LET(_xlpm.spell, IFERROR(IF(F2882="", "", INDEX(_xlws.FILTER(Hairstyles!$F:$F, ISNUMBER(SEARCH(F2882, Hairstyles!$B:$B))), 1)), "No Spell for Hairstyle"),
  _xlpm.vanillaPrefix, IF(LEFT(_xlpm.spell, 7)="Uvi_Wig", "", ";"),
  ";" &amp; IF(C2882="", B2882, C2882) &amp; IF(M2882="", "", " ("&amp;M2882&amp;")") &amp; CHAR(10) &amp;
  _xlpm.vanillaPrefix &amp; "Keyword = Uvi_Wig_Distr_KYWD|" &amp; B2882 &amp; CHAR(10) &amp;
  _xlpm.vanillaPrefix &amp; "Spell = " &amp; _xlpm.spell &amp; "|" &amp; B2882
  )
)</f>
        <v>;EncVampire02HighElfF
;Keyword = Uvi_Wig_Distr_KYWD|EncVampire02HighElfF
;Spell = No Spell for Hairstyle|EncVampire02HighElfF</v>
      </c>
    </row>
    <row r="2883" ht="12.75" customHeight="1">
      <c r="A2883" s="5" t="s">
        <v>8138</v>
      </c>
      <c r="B2883" s="5" t="s">
        <v>8139</v>
      </c>
      <c r="D2883" s="5" t="s">
        <v>63</v>
      </c>
      <c r="E2883" s="5" t="s">
        <v>41</v>
      </c>
      <c r="F2883" s="5" t="s">
        <v>371</v>
      </c>
      <c r="G2883" s="14" t="str">
        <f t="array" ref="G2883">IF(B2883="", "",
  LET(_xlpm.spell, IFERROR(IF(F2883="", "", INDEX(_xlws.FILTER(Hairstyles!$F:$F, ISNUMBER(SEARCH(F2883, Hairstyles!$B:$B))), 1)), "No Spell for Hairstyle"),
  _xlpm.vanillaPrefix, IF(LEFT(_xlpm.spell, 7)="Uvi_Wig", "", ";"),
  ";" &amp; IF(C2883="", B2883, C2883) &amp; IF(M2883="", "", " ("&amp;M2883&amp;")") &amp; CHAR(10) &amp;
  _xlpm.vanillaPrefix &amp; "Keyword = Uvi_Wig_Distr_KYWD|" &amp; B2883 &amp; CHAR(10) &amp;
  _xlpm.vanillaPrefix &amp; "Spell = " &amp; _xlpm.spell &amp; "|" &amp; B2883
  )
)</f>
        <v>;EncVampire02ImperialF
;Keyword = Uvi_Wig_Distr_KYWD|EncVampire02ImperialF
;Spell = No Spell for Hairstyle|EncVampire02ImperialF</v>
      </c>
    </row>
    <row r="2884" ht="12.75" customHeight="1">
      <c r="A2884" s="5" t="s">
        <v>8140</v>
      </c>
      <c r="B2884" s="5" t="s">
        <v>8141</v>
      </c>
      <c r="D2884" s="5" t="s">
        <v>79</v>
      </c>
      <c r="E2884" s="5" t="s">
        <v>41</v>
      </c>
      <c r="F2884" s="5" t="s">
        <v>1041</v>
      </c>
      <c r="G2884" s="14" t="str">
        <f t="array" ref="G2884">IF(B2884="", "",
  LET(_xlpm.spell, IFERROR(IF(F2884="", "", INDEX(_xlws.FILTER(Hairstyles!$F:$F, ISNUMBER(SEARCH(F2884, Hairstyles!$B:$B))), 1)), "No Spell for Hairstyle"),
  _xlpm.vanillaPrefix, IF(LEFT(_xlpm.spell, 7)="Uvi_Wig", "", ";"),
  ";" &amp; IF(C2884="", B2884, C2884) &amp; IF(M2884="", "", " ("&amp;M2884&amp;")") &amp; CHAR(10) &amp;
  _xlpm.vanillaPrefix &amp; "Keyword = Uvi_Wig_Distr_KYWD|" &amp; B2884 &amp; CHAR(10) &amp;
  _xlpm.vanillaPrefix &amp; "Spell = " &amp; _xlpm.spell &amp; "|" &amp; B2884
  )
)</f>
        <v>;EncVampire02NordF
;Keyword = Uvi_Wig_Distr_KYWD|EncVampire02NordF
;Spell = No Spell for Hairstyle|EncVampire02NordF</v>
      </c>
    </row>
    <row r="2885" ht="12.75" customHeight="1">
      <c r="A2885" s="5" t="s">
        <v>8142</v>
      </c>
      <c r="B2885" s="5" t="s">
        <v>8143</v>
      </c>
      <c r="D2885" s="5" t="s">
        <v>34</v>
      </c>
      <c r="E2885" s="5" t="s">
        <v>233</v>
      </c>
      <c r="F2885" s="5" t="s">
        <v>1678</v>
      </c>
      <c r="G2885" s="14" t="str">
        <f t="array" ref="G2885">IF(B2885="", "",
  LET(_xlpm.spell, IFERROR(IF(F2885="", "", INDEX(_xlws.FILTER(Hairstyles!$F:$F, ISNUMBER(SEARCH(F2885, Hairstyles!$B:$B))), 1)), "No Spell for Hairstyle"),
  _xlpm.vanillaPrefix, IF(LEFT(_xlpm.spell, 7)="Uvi_Wig", "", ";"),
  ";" &amp; IF(C2885="", B2885, C2885) &amp; IF(M2885="", "", " ("&amp;M2885&amp;")") &amp; CHAR(10) &amp;
  _xlpm.vanillaPrefix &amp; "Keyword = Uvi_Wig_Distr_KYWD|" &amp; B2885 &amp; CHAR(10) &amp;
  _xlpm.vanillaPrefix &amp; "Spell = " &amp; _xlpm.spell &amp; "|" &amp; B2885
  )
)</f>
        <v>;EncVampire03BossBretonM
;Keyword = Uvi_Wig_Distr_KYWD|EncVampire03BossBretonM
;Spell = No Spell for Hairstyle|EncVampire03BossBretonM</v>
      </c>
    </row>
    <row r="2886" ht="12.75" customHeight="1">
      <c r="A2886" s="5" t="s">
        <v>8144</v>
      </c>
      <c r="B2886" s="5" t="s">
        <v>8145</v>
      </c>
      <c r="D2886" s="5" t="s">
        <v>50</v>
      </c>
      <c r="E2886" s="5" t="s">
        <v>233</v>
      </c>
      <c r="F2886" s="5" t="s">
        <v>2469</v>
      </c>
      <c r="G2886" s="14" t="str">
        <f t="array" ref="G2886">IF(B2886="", "",
  LET(_xlpm.spell, IFERROR(IF(F2886="", "", INDEX(_xlws.FILTER(Hairstyles!$F:$F, ISNUMBER(SEARCH(F2886, Hairstyles!$B:$B))), 1)), "No Spell for Hairstyle"),
  _xlpm.vanillaPrefix, IF(LEFT(_xlpm.spell, 7)="Uvi_Wig", "", ";"),
  ";" &amp; IF(C2886="", B2886, C2886) &amp; IF(M2886="", "", " ("&amp;M2886&amp;")") &amp; CHAR(10) &amp;
  _xlpm.vanillaPrefix &amp; "Keyword = Uvi_Wig_Distr_KYWD|" &amp; B2886 &amp; CHAR(10) &amp;
  _xlpm.vanillaPrefix &amp; "Spell = " &amp; _xlpm.spell &amp; "|" &amp; B2886
  )
)</f>
        <v>;EncVampire03BossDarkElfM
;Keyword = Uvi_Wig_Distr_KYWD|EncVampire03BossDarkElfM
;Spell = No Spell for Hairstyle|EncVampire03BossDarkElfM</v>
      </c>
    </row>
    <row r="2887" ht="12.75" customHeight="1">
      <c r="A2887" s="5" t="s">
        <v>8146</v>
      </c>
      <c r="B2887" s="5" t="s">
        <v>8147</v>
      </c>
      <c r="D2887" s="5" t="s">
        <v>58</v>
      </c>
      <c r="E2887" s="5" t="s">
        <v>233</v>
      </c>
      <c r="F2887" s="5" t="s">
        <v>2612</v>
      </c>
      <c r="G2887" s="14" t="str">
        <f t="array" ref="G2887">IF(B2887="", "",
  LET(_xlpm.spell, IFERROR(IF(F2887="", "", INDEX(_xlws.FILTER(Hairstyles!$F:$F, ISNUMBER(SEARCH(F2887, Hairstyles!$B:$B))), 1)), "No Spell for Hairstyle"),
  _xlpm.vanillaPrefix, IF(LEFT(_xlpm.spell, 7)="Uvi_Wig", "", ";"),
  ";" &amp; IF(C2887="", B2887, C2887) &amp; IF(M2887="", "", " ("&amp;M2887&amp;")") &amp; CHAR(10) &amp;
  _xlpm.vanillaPrefix &amp; "Keyword = Uvi_Wig_Distr_KYWD|" &amp; B2887 &amp; CHAR(10) &amp;
  _xlpm.vanillaPrefix &amp; "Spell = " &amp; _xlpm.spell &amp; "|" &amp; B2887
  )
)</f>
        <v>;EncVampire03BossHighElfM
;Keyword = Uvi_Wig_Distr_KYWD|EncVampire03BossHighElfM
;Spell = No Spell for Hairstyle|EncVampire03BossHighElfM</v>
      </c>
    </row>
    <row r="2888" ht="12.75" customHeight="1">
      <c r="A2888" s="5" t="s">
        <v>8148</v>
      </c>
      <c r="B2888" s="5" t="s">
        <v>8149</v>
      </c>
      <c r="D2888" s="5" t="s">
        <v>63</v>
      </c>
      <c r="E2888" s="5" t="s">
        <v>233</v>
      </c>
      <c r="F2888" s="5" t="s">
        <v>1906</v>
      </c>
      <c r="G2888" s="14" t="str">
        <f t="array" ref="G2888">IF(B2888="", "",
  LET(_xlpm.spell, IFERROR(IF(F2888="", "", INDEX(_xlws.FILTER(Hairstyles!$F:$F, ISNUMBER(SEARCH(F2888, Hairstyles!$B:$B))), 1)), "No Spell for Hairstyle"),
  _xlpm.vanillaPrefix, IF(LEFT(_xlpm.spell, 7)="Uvi_Wig", "", ";"),
  ";" &amp; IF(C2888="", B2888, C2888) &amp; IF(M2888="", "", " ("&amp;M2888&amp;")") &amp; CHAR(10) &amp;
  _xlpm.vanillaPrefix &amp; "Keyword = Uvi_Wig_Distr_KYWD|" &amp; B2888 &amp; CHAR(10) &amp;
  _xlpm.vanillaPrefix &amp; "Spell = " &amp; _xlpm.spell &amp; "|" &amp; B2888
  )
)</f>
        <v>;EncVampire03BossImperialM
;Keyword = Uvi_Wig_Distr_KYWD|EncVampire03BossImperialM
;Spell = No Spell for Hairstyle|EncVampire03BossImperialM</v>
      </c>
    </row>
    <row r="2889" ht="12.75" customHeight="1">
      <c r="A2889" s="5" t="s">
        <v>8150</v>
      </c>
      <c r="B2889" s="5" t="s">
        <v>8151</v>
      </c>
      <c r="D2889" s="5" t="s">
        <v>79</v>
      </c>
      <c r="E2889" s="5" t="s">
        <v>233</v>
      </c>
      <c r="F2889" s="5" t="s">
        <v>346</v>
      </c>
      <c r="G2889" s="14" t="str">
        <f t="array" ref="G2889">IF(B2889="", "",
  LET(_xlpm.spell, IFERROR(IF(F2889="", "", INDEX(_xlws.FILTER(Hairstyles!$F:$F, ISNUMBER(SEARCH(F2889, Hairstyles!$B:$B))), 1)), "No Spell for Hairstyle"),
  _xlpm.vanillaPrefix, IF(LEFT(_xlpm.spell, 7)="Uvi_Wig", "", ";"),
  ";" &amp; IF(C2889="", B2889, C2889) &amp; IF(M2889="", "", " ("&amp;M2889&amp;")") &amp; CHAR(10) &amp;
  _xlpm.vanillaPrefix &amp; "Keyword = Uvi_Wig_Distr_KYWD|" &amp; B2889 &amp; CHAR(10) &amp;
  _xlpm.vanillaPrefix &amp; "Spell = " &amp; _xlpm.spell &amp; "|" &amp; B2889
  )
)</f>
        <v>;EncVampire03BossNordM
;Keyword = Uvi_Wig_Distr_KYWD|EncVampire03BossNordM
;Spell = No Spell for Hairstyle|EncVampire03BossNordM</v>
      </c>
    </row>
    <row r="2890" ht="12.75" customHeight="1">
      <c r="A2890" s="15" t="s">
        <v>8152</v>
      </c>
      <c r="B2890" s="5" t="s">
        <v>8153</v>
      </c>
      <c r="D2890" s="5" t="s">
        <v>34</v>
      </c>
      <c r="E2890" s="5" t="s">
        <v>41</v>
      </c>
      <c r="F2890" s="5" t="s">
        <v>1041</v>
      </c>
      <c r="G2890" s="14" t="str">
        <f t="array" ref="G2890">IF(B2890="", "",
  LET(_xlpm.spell, IFERROR(IF(F2890="", "", INDEX(_xlws.FILTER(Hairstyles!$F:$F, ISNUMBER(SEARCH(F2890, Hairstyles!$B:$B))), 1)), "No Spell for Hairstyle"),
  _xlpm.vanillaPrefix, IF(LEFT(_xlpm.spell, 7)="Uvi_Wig", "", ";"),
  ";" &amp; IF(C2890="", B2890, C2890) &amp; IF(M2890="", "", " ("&amp;M2890&amp;")") &amp; CHAR(10) &amp;
  _xlpm.vanillaPrefix &amp; "Keyword = Uvi_Wig_Distr_KYWD|" &amp; B2890 &amp; CHAR(10) &amp;
  _xlpm.vanillaPrefix &amp; "Spell = " &amp; _xlpm.spell &amp; "|" &amp; B2890
  )
)</f>
        <v>;EncVampire03BretonF
;Keyword = Uvi_Wig_Distr_KYWD|EncVampire03BretonF
;Spell = No Spell for Hairstyle|EncVampire03BretonF</v>
      </c>
    </row>
    <row r="2891" ht="12.75" customHeight="1">
      <c r="A2891" s="15" t="s">
        <v>8154</v>
      </c>
      <c r="B2891" s="5" t="s">
        <v>8155</v>
      </c>
      <c r="D2891" s="5" t="s">
        <v>50</v>
      </c>
      <c r="E2891" s="5" t="s">
        <v>41</v>
      </c>
      <c r="F2891" s="5" t="s">
        <v>4274</v>
      </c>
      <c r="G2891" s="14" t="str">
        <f t="array" ref="G2891">IF(B2891="", "",
  LET(_xlpm.spell, IFERROR(IF(F2891="", "", INDEX(_xlws.FILTER(Hairstyles!$F:$F, ISNUMBER(SEARCH(F2891, Hairstyles!$B:$B))), 1)), "No Spell for Hairstyle"),
  _xlpm.vanillaPrefix, IF(LEFT(_xlpm.spell, 7)="Uvi_Wig", "", ";"),
  ";" &amp; IF(C2891="", B2891, C2891) &amp; IF(M2891="", "", " ("&amp;M2891&amp;")") &amp; CHAR(10) &amp;
  _xlpm.vanillaPrefix &amp; "Keyword = Uvi_Wig_Distr_KYWD|" &amp; B2891 &amp; CHAR(10) &amp;
  _xlpm.vanillaPrefix &amp; "Spell = " &amp; _xlpm.spell &amp; "|" &amp; B2891
  )
)</f>
        <v>;EncVampire03DarkElfF
;Keyword = Uvi_Wig_Distr_KYWD|EncVampire03DarkElfF
;Spell = No Spell for Hairstyle|EncVampire03DarkElfF</v>
      </c>
    </row>
    <row r="2892" ht="12.75" customHeight="1">
      <c r="A2892" s="5" t="s">
        <v>8156</v>
      </c>
      <c r="B2892" s="5" t="s">
        <v>8157</v>
      </c>
      <c r="D2892" s="5" t="s">
        <v>58</v>
      </c>
      <c r="E2892" s="5" t="s">
        <v>41</v>
      </c>
      <c r="F2892" s="5" t="s">
        <v>1854</v>
      </c>
      <c r="G2892" s="14" t="str">
        <f t="array" ref="G2892">IF(B2892="", "",
  LET(_xlpm.spell, IFERROR(IF(F2892="", "", INDEX(_xlws.FILTER(Hairstyles!$F:$F, ISNUMBER(SEARCH(F2892, Hairstyles!$B:$B))), 1)), "No Spell for Hairstyle"),
  _xlpm.vanillaPrefix, IF(LEFT(_xlpm.spell, 7)="Uvi_Wig", "", ";"),
  ";" &amp; IF(C2892="", B2892, C2892) &amp; IF(M2892="", "", " ("&amp;M2892&amp;")") &amp; CHAR(10) &amp;
  _xlpm.vanillaPrefix &amp; "Keyword = Uvi_Wig_Distr_KYWD|" &amp; B2892 &amp; CHAR(10) &amp;
  _xlpm.vanillaPrefix &amp; "Spell = " &amp; _xlpm.spell &amp; "|" &amp; B2892
  )
)</f>
        <v>;EncVampire03HighElfF
;Keyword = Uvi_Wig_Distr_KYWD|EncVampire03HighElfF
;Spell = No Spell for Hairstyle|EncVampire03HighElfF</v>
      </c>
    </row>
    <row r="2893" ht="12.75" customHeight="1">
      <c r="A2893" s="5" t="s">
        <v>8158</v>
      </c>
      <c r="B2893" s="5" t="s">
        <v>8159</v>
      </c>
      <c r="D2893" s="5" t="s">
        <v>63</v>
      </c>
      <c r="E2893" s="5" t="s">
        <v>41</v>
      </c>
      <c r="F2893" s="5" t="s">
        <v>1041</v>
      </c>
      <c r="G2893" s="14" t="str">
        <f t="array" ref="G2893">IF(B2893="", "",
  LET(_xlpm.spell, IFERROR(IF(F2893="", "", INDEX(_xlws.FILTER(Hairstyles!$F:$F, ISNUMBER(SEARCH(F2893, Hairstyles!$B:$B))), 1)), "No Spell for Hairstyle"),
  _xlpm.vanillaPrefix, IF(LEFT(_xlpm.spell, 7)="Uvi_Wig", "", ";"),
  ";" &amp; IF(C2893="", B2893, C2893) &amp; IF(M2893="", "", " ("&amp;M2893&amp;")") &amp; CHAR(10) &amp;
  _xlpm.vanillaPrefix &amp; "Keyword = Uvi_Wig_Distr_KYWD|" &amp; B2893 &amp; CHAR(10) &amp;
  _xlpm.vanillaPrefix &amp; "Spell = " &amp; _xlpm.spell &amp; "|" &amp; B2893
  )
)</f>
        <v>;EncVampire03ImperialF
;Keyword = Uvi_Wig_Distr_KYWD|EncVampire03ImperialF
;Spell = No Spell for Hairstyle|EncVampire03ImperialF</v>
      </c>
    </row>
    <row r="2894" ht="12.75" customHeight="1">
      <c r="A2894" s="5" t="s">
        <v>8160</v>
      </c>
      <c r="B2894" s="5" t="s">
        <v>8161</v>
      </c>
      <c r="D2894" s="5" t="s">
        <v>79</v>
      </c>
      <c r="E2894" s="5" t="s">
        <v>41</v>
      </c>
      <c r="F2894" s="5" t="s">
        <v>2118</v>
      </c>
      <c r="G2894" s="14" t="str">
        <f t="array" ref="G2894">IF(B2894="", "",
  LET(_xlpm.spell, IFERROR(IF(F2894="", "", INDEX(_xlws.FILTER(Hairstyles!$F:$F, ISNUMBER(SEARCH(F2894, Hairstyles!$B:$B))), 1)), "No Spell for Hairstyle"),
  _xlpm.vanillaPrefix, IF(LEFT(_xlpm.spell, 7)="Uvi_Wig", "", ";"),
  ";" &amp; IF(C2894="", B2894, C2894) &amp; IF(M2894="", "", " ("&amp;M2894&amp;")") &amp; CHAR(10) &amp;
  _xlpm.vanillaPrefix &amp; "Keyword = Uvi_Wig_Distr_KYWD|" &amp; B2894 &amp; CHAR(10) &amp;
  _xlpm.vanillaPrefix &amp; "Spell = " &amp; _xlpm.spell &amp; "|" &amp; B2894
  )
)</f>
        <v>;EncVampire03NordF
;Keyword = Uvi_Wig_Distr_KYWD|EncVampire03NordF
;Spell = No Spell for Hairstyle|EncVampire03NordF</v>
      </c>
    </row>
    <row r="2895" ht="12.75" customHeight="1">
      <c r="A2895" s="5" t="s">
        <v>8162</v>
      </c>
      <c r="B2895" s="5" t="s">
        <v>8163</v>
      </c>
      <c r="D2895" s="5" t="s">
        <v>34</v>
      </c>
      <c r="E2895" s="5" t="s">
        <v>233</v>
      </c>
      <c r="F2895" s="5" t="s">
        <v>234</v>
      </c>
      <c r="G2895" s="14" t="str">
        <f t="array" ref="G2895">IF(B2895="", "",
  LET(_xlpm.spell, IFERROR(IF(F2895="", "", INDEX(_xlws.FILTER(Hairstyles!$F:$F, ISNUMBER(SEARCH(F2895, Hairstyles!$B:$B))), 1)), "No Spell for Hairstyle"),
  _xlpm.vanillaPrefix, IF(LEFT(_xlpm.spell, 7)="Uvi_Wig", "", ";"),
  ";" &amp; IF(C2895="", B2895, C2895) &amp; IF(M2895="", "", " ("&amp;M2895&amp;")") &amp; CHAR(10) &amp;
  _xlpm.vanillaPrefix &amp; "Keyword = Uvi_Wig_Distr_KYWD|" &amp; B2895 &amp; CHAR(10) &amp;
  _xlpm.vanillaPrefix &amp; "Spell = " &amp; _xlpm.spell &amp; "|" &amp; B2895
  )
)</f>
        <v>;EncVampire04BossBretonM
;Keyword = Uvi_Wig_Distr_KYWD|EncVampire04BossBretonM
;Spell = No Spell for Hairstyle|EncVampire04BossBretonM</v>
      </c>
    </row>
    <row r="2896" ht="12.75" customHeight="1">
      <c r="A2896" s="5" t="s">
        <v>8164</v>
      </c>
      <c r="B2896" s="5" t="s">
        <v>8165</v>
      </c>
      <c r="D2896" s="5" t="s">
        <v>50</v>
      </c>
      <c r="E2896" s="5" t="s">
        <v>233</v>
      </c>
      <c r="F2896" s="5" t="s">
        <v>91</v>
      </c>
      <c r="G2896" s="14" t="str">
        <f t="array" ref="G2896">IF(B2896="", "",
  LET(_xlpm.spell, IFERROR(IF(F2896="", "", INDEX(_xlws.FILTER(Hairstyles!$F:$F, ISNUMBER(SEARCH(F2896, Hairstyles!$B:$B))), 1)), "No Spell for Hairstyle"),
  _xlpm.vanillaPrefix, IF(LEFT(_xlpm.spell, 7)="Uvi_Wig", "", ";"),
  ";" &amp; IF(C2896="", B2896, C2896) &amp; IF(M2896="", "", " ("&amp;M2896&amp;")") &amp; CHAR(10) &amp;
  _xlpm.vanillaPrefix &amp; "Keyword = Uvi_Wig_Distr_KYWD|" &amp; B2896 &amp; CHAR(10) &amp;
  _xlpm.vanillaPrefix &amp; "Spell = " &amp; _xlpm.spell &amp; "|" &amp; B2896
  )
)</f>
        <v>;EncVampire04BossDarkElfM
;Keyword = Uvi_Wig_Distr_KYWD|EncVampire04BossDarkElfM
;Spell = No Spell for Hairstyle|EncVampire04BossDarkElfM</v>
      </c>
    </row>
    <row r="2897" ht="12.75" customHeight="1">
      <c r="A2897" s="5" t="s">
        <v>8166</v>
      </c>
      <c r="B2897" s="5" t="s">
        <v>8167</v>
      </c>
      <c r="D2897" s="5" t="s">
        <v>58</v>
      </c>
      <c r="E2897" s="5" t="s">
        <v>233</v>
      </c>
      <c r="F2897" s="5" t="s">
        <v>1684</v>
      </c>
      <c r="G2897" s="14" t="str">
        <f t="array" ref="G2897">IF(B2897="", "",
  LET(_xlpm.spell, IFERROR(IF(F2897="", "", INDEX(_xlws.FILTER(Hairstyles!$F:$F, ISNUMBER(SEARCH(F2897, Hairstyles!$B:$B))), 1)), "No Spell for Hairstyle"),
  _xlpm.vanillaPrefix, IF(LEFT(_xlpm.spell, 7)="Uvi_Wig", "", ";"),
  ";" &amp; IF(C2897="", B2897, C2897) &amp; IF(M2897="", "", " ("&amp;M2897&amp;")") &amp; CHAR(10) &amp;
  _xlpm.vanillaPrefix &amp; "Keyword = Uvi_Wig_Distr_KYWD|" &amp; B2897 &amp; CHAR(10) &amp;
  _xlpm.vanillaPrefix &amp; "Spell = " &amp; _xlpm.spell &amp; "|" &amp; B2897
  )
)</f>
        <v>;EncVampire04BossHighElfM
;Keyword = Uvi_Wig_Distr_KYWD|EncVampire04BossHighElfM
;Spell = No Spell for Hairstyle|EncVampire04BossHighElfM</v>
      </c>
    </row>
    <row r="2898" ht="12.75" customHeight="1">
      <c r="A2898" s="15" t="s">
        <v>8168</v>
      </c>
      <c r="B2898" s="5" t="s">
        <v>8169</v>
      </c>
      <c r="D2898" s="5" t="s">
        <v>63</v>
      </c>
      <c r="E2898" s="5" t="s">
        <v>233</v>
      </c>
      <c r="F2898" s="5" t="s">
        <v>1894</v>
      </c>
      <c r="G2898" s="14" t="str">
        <f t="array" ref="G2898">IF(B2898="", "",
  LET(_xlpm.spell, IFERROR(IF(F2898="", "", INDEX(_xlws.FILTER(Hairstyles!$F:$F, ISNUMBER(SEARCH(F2898, Hairstyles!$B:$B))), 1)), "No Spell for Hairstyle"),
  _xlpm.vanillaPrefix, IF(LEFT(_xlpm.spell, 7)="Uvi_Wig", "", ";"),
  ";" &amp; IF(C2898="", B2898, C2898) &amp; IF(M2898="", "", " ("&amp;M2898&amp;")") &amp; CHAR(10) &amp;
  _xlpm.vanillaPrefix &amp; "Keyword = Uvi_Wig_Distr_KYWD|" &amp; B2898 &amp; CHAR(10) &amp;
  _xlpm.vanillaPrefix &amp; "Spell = " &amp; _xlpm.spell &amp; "|" &amp; B2898
  )
)</f>
        <v>;EncVampire04BossImperialM
;Keyword = Uvi_Wig_Distr_KYWD|EncVampire04BossImperialM
;Spell = No Spell for Hairstyle|EncVampire04BossImperialM</v>
      </c>
    </row>
    <row r="2899" ht="12.75" customHeight="1">
      <c r="A2899" s="5" t="s">
        <v>8170</v>
      </c>
      <c r="B2899" s="5" t="s">
        <v>8171</v>
      </c>
      <c r="D2899" s="5" t="s">
        <v>79</v>
      </c>
      <c r="E2899" s="5" t="s">
        <v>233</v>
      </c>
      <c r="F2899" s="5" t="s">
        <v>475</v>
      </c>
      <c r="G2899" s="14" t="str">
        <f t="array" ref="G2899">IF(B2899="", "",
  LET(_xlpm.spell, IFERROR(IF(F2899="", "", INDEX(_xlws.FILTER(Hairstyles!$F:$F, ISNUMBER(SEARCH(F2899, Hairstyles!$B:$B))), 1)), "No Spell for Hairstyle"),
  _xlpm.vanillaPrefix, IF(LEFT(_xlpm.spell, 7)="Uvi_Wig", "", ";"),
  ";" &amp; IF(C2899="", B2899, C2899) &amp; IF(M2899="", "", " ("&amp;M2899&amp;")") &amp; CHAR(10) &amp;
  _xlpm.vanillaPrefix &amp; "Keyword = Uvi_Wig_Distr_KYWD|" &amp; B2899 &amp; CHAR(10) &amp;
  _xlpm.vanillaPrefix &amp; "Spell = " &amp; _xlpm.spell &amp; "|" &amp; B2899
  )
)</f>
        <v>;EncVampire04BossNordM
;Keyword = Uvi_Wig_Distr_KYWD|EncVampire04BossNordM
;Spell = No Spell for Hairstyle|EncVampire04BossNordM</v>
      </c>
    </row>
    <row r="2900" ht="12.75" customHeight="1">
      <c r="A2900" s="5" t="s">
        <v>8172</v>
      </c>
      <c r="B2900" s="5" t="s">
        <v>8173</v>
      </c>
      <c r="D2900" s="5" t="s">
        <v>34</v>
      </c>
      <c r="E2900" s="5" t="s">
        <v>41</v>
      </c>
      <c r="F2900" s="5" t="s">
        <v>1596</v>
      </c>
      <c r="G2900" s="14" t="str">
        <f t="array" ref="G2900">IF(B2900="", "",
  LET(_xlpm.spell, IFERROR(IF(F2900="", "", INDEX(_xlws.FILTER(Hairstyles!$F:$F, ISNUMBER(SEARCH(F2900, Hairstyles!$B:$B))), 1)), "No Spell for Hairstyle"),
  _xlpm.vanillaPrefix, IF(LEFT(_xlpm.spell, 7)="Uvi_Wig", "", ";"),
  ";" &amp; IF(C2900="", B2900, C2900) &amp; IF(M2900="", "", " ("&amp;M2900&amp;")") &amp; CHAR(10) &amp;
  _xlpm.vanillaPrefix &amp; "Keyword = Uvi_Wig_Distr_KYWD|" &amp; B2900 &amp; CHAR(10) &amp;
  _xlpm.vanillaPrefix &amp; "Spell = " &amp; _xlpm.spell &amp; "|" &amp; B2900
  )
)</f>
        <v>;EncVampire04BretonF
;Keyword = Uvi_Wig_Distr_KYWD|EncVampire04BretonF
;Spell = No Spell for Hairstyle|EncVampire04BretonF</v>
      </c>
    </row>
    <row r="2901" ht="12.75" customHeight="1">
      <c r="A2901" s="5" t="s">
        <v>8174</v>
      </c>
      <c r="B2901" s="5" t="s">
        <v>8175</v>
      </c>
      <c r="D2901" s="5" t="s">
        <v>50</v>
      </c>
      <c r="E2901" s="5" t="s">
        <v>41</v>
      </c>
      <c r="F2901" s="5" t="s">
        <v>1656</v>
      </c>
      <c r="G2901" s="14" t="str">
        <f t="array" ref="G2901">IF(B2901="", "",
  LET(_xlpm.spell, IFERROR(IF(F2901="", "", INDEX(_xlws.FILTER(Hairstyles!$F:$F, ISNUMBER(SEARCH(F2901, Hairstyles!$B:$B))), 1)), "No Spell for Hairstyle"),
  _xlpm.vanillaPrefix, IF(LEFT(_xlpm.spell, 7)="Uvi_Wig", "", ";"),
  ";" &amp; IF(C2901="", B2901, C2901) &amp; IF(M2901="", "", " ("&amp;M2901&amp;")") &amp; CHAR(10) &amp;
  _xlpm.vanillaPrefix &amp; "Keyword = Uvi_Wig_Distr_KYWD|" &amp; B2901 &amp; CHAR(10) &amp;
  _xlpm.vanillaPrefix &amp; "Spell = " &amp; _xlpm.spell &amp; "|" &amp; B2901
  )
)</f>
        <v>;EncVampire04DarkElfF
;Keyword = Uvi_Wig_Distr_KYWD|EncVampire04DarkElfF
;Spell = No Spell for Hairstyle|EncVampire04DarkElfF</v>
      </c>
    </row>
    <row r="2902" ht="12.75" customHeight="1">
      <c r="A2902" s="15" t="s">
        <v>8176</v>
      </c>
      <c r="B2902" s="5" t="s">
        <v>8177</v>
      </c>
      <c r="D2902" s="5" t="s">
        <v>58</v>
      </c>
      <c r="E2902" s="5" t="s">
        <v>41</v>
      </c>
      <c r="F2902" s="5" t="s">
        <v>512</v>
      </c>
      <c r="G2902" s="14" t="str">
        <f t="array" ref="G2902">IF(B2902="", "",
  LET(_xlpm.spell, IFERROR(IF(F2902="", "", INDEX(_xlws.FILTER(Hairstyles!$F:$F, ISNUMBER(SEARCH(F2902, Hairstyles!$B:$B))), 1)), "No Spell for Hairstyle"),
  _xlpm.vanillaPrefix, IF(LEFT(_xlpm.spell, 7)="Uvi_Wig", "", ";"),
  ";" &amp; IF(C2902="", B2902, C2902) &amp; IF(M2902="", "", " ("&amp;M2902&amp;")") &amp; CHAR(10) &amp;
  _xlpm.vanillaPrefix &amp; "Keyword = Uvi_Wig_Distr_KYWD|" &amp; B2902 &amp; CHAR(10) &amp;
  _xlpm.vanillaPrefix &amp; "Spell = " &amp; _xlpm.spell &amp; "|" &amp; B2902
  )
)</f>
        <v>;EncVampire04HighElfF
;Keyword = Uvi_Wig_Distr_KYWD|EncVampire04HighElfF
;Spell = No Spell for Hairstyle|EncVampire04HighElfF</v>
      </c>
    </row>
    <row r="2903" ht="12.75" customHeight="1">
      <c r="A2903" s="15" t="s">
        <v>8178</v>
      </c>
      <c r="B2903" s="5" t="s">
        <v>8179</v>
      </c>
      <c r="D2903" s="5" t="s">
        <v>63</v>
      </c>
      <c r="E2903" s="5" t="s">
        <v>41</v>
      </c>
      <c r="F2903" s="5" t="s">
        <v>1822</v>
      </c>
      <c r="G2903" s="14" t="str">
        <f t="array" ref="G2903">IF(B2903="", "",
  LET(_xlpm.spell, IFERROR(IF(F2903="", "", INDEX(_xlws.FILTER(Hairstyles!$F:$F, ISNUMBER(SEARCH(F2903, Hairstyles!$B:$B))), 1)), "No Spell for Hairstyle"),
  _xlpm.vanillaPrefix, IF(LEFT(_xlpm.spell, 7)="Uvi_Wig", "", ";"),
  ";" &amp; IF(C2903="", B2903, C2903) &amp; IF(M2903="", "", " ("&amp;M2903&amp;")") &amp; CHAR(10) &amp;
  _xlpm.vanillaPrefix &amp; "Keyword = Uvi_Wig_Distr_KYWD|" &amp; B2903 &amp; CHAR(10) &amp;
  _xlpm.vanillaPrefix &amp; "Spell = " &amp; _xlpm.spell &amp; "|" &amp; B2903
  )
)</f>
        <v>;EncVampire04ImperialF
;Keyword = Uvi_Wig_Distr_KYWD|EncVampire04ImperialF
;Spell = No Spell for Hairstyle|EncVampire04ImperialF</v>
      </c>
    </row>
    <row r="2904" ht="12.75" customHeight="1">
      <c r="A2904" s="15" t="s">
        <v>8180</v>
      </c>
      <c r="B2904" s="5" t="s">
        <v>8181</v>
      </c>
      <c r="D2904" s="5" t="s">
        <v>79</v>
      </c>
      <c r="E2904" s="5" t="s">
        <v>41</v>
      </c>
      <c r="F2904" s="5" t="s">
        <v>270</v>
      </c>
      <c r="G2904" s="14" t="str">
        <f t="array" ref="G2904">IF(B2904="", "",
  LET(_xlpm.spell, IFERROR(IF(F2904="", "", INDEX(_xlws.FILTER(Hairstyles!$F:$F, ISNUMBER(SEARCH(F2904, Hairstyles!$B:$B))), 1)), "No Spell for Hairstyle"),
  _xlpm.vanillaPrefix, IF(LEFT(_xlpm.spell, 7)="Uvi_Wig", "", ";"),
  ";" &amp; IF(C2904="", B2904, C2904) &amp; IF(M2904="", "", " ("&amp;M2904&amp;")") &amp; CHAR(10) &amp;
  _xlpm.vanillaPrefix &amp; "Keyword = Uvi_Wig_Distr_KYWD|" &amp; B2904 &amp; CHAR(10) &amp;
  _xlpm.vanillaPrefix &amp; "Spell = " &amp; _xlpm.spell &amp; "|" &amp; B2904
  )
)</f>
        <v>;EncVampire04NordF
;Keyword = Uvi_Wig_Distr_KYWD|EncVampire04NordF
;Spell = No Spell for Hairstyle|EncVampire04NordF</v>
      </c>
    </row>
    <row r="2905" ht="12.75" customHeight="1">
      <c r="A2905" s="5" t="s">
        <v>8182</v>
      </c>
      <c r="B2905" s="5" t="s">
        <v>8183</v>
      </c>
      <c r="D2905" s="5" t="s">
        <v>34</v>
      </c>
      <c r="E2905" s="5" t="s">
        <v>233</v>
      </c>
      <c r="F2905" s="5" t="s">
        <v>521</v>
      </c>
      <c r="G2905" s="14" t="str">
        <f t="array" ref="G2905">IF(B2905="", "",
  LET(_xlpm.spell, IFERROR(IF(F2905="", "", INDEX(_xlws.FILTER(Hairstyles!$F:$F, ISNUMBER(SEARCH(F2905, Hairstyles!$B:$B))), 1)), "No Spell for Hairstyle"),
  _xlpm.vanillaPrefix, IF(LEFT(_xlpm.spell, 7)="Uvi_Wig", "", ";"),
  ";" &amp; IF(C2905="", B2905, C2905) &amp; IF(M2905="", "", " ("&amp;M2905&amp;")") &amp; CHAR(10) &amp;
  _xlpm.vanillaPrefix &amp; "Keyword = Uvi_Wig_Distr_KYWD|" &amp; B2905 &amp; CHAR(10) &amp;
  _xlpm.vanillaPrefix &amp; "Spell = " &amp; _xlpm.spell &amp; "|" &amp; B2905
  )
)</f>
        <v>;EncVampire05BossBretonM
;Keyword = Uvi_Wig_Distr_KYWD|EncVampire05BossBretonM
;Spell = No Spell for Hairstyle|EncVampire05BossBretonM</v>
      </c>
    </row>
    <row r="2906" ht="12.75" customHeight="1">
      <c r="A2906" s="5" t="s">
        <v>8184</v>
      </c>
      <c r="B2906" s="5" t="s">
        <v>8185</v>
      </c>
      <c r="D2906" s="5" t="s">
        <v>50</v>
      </c>
      <c r="E2906" s="5" t="s">
        <v>233</v>
      </c>
      <c r="F2906" s="5" t="s">
        <v>1787</v>
      </c>
      <c r="G2906" s="14" t="str">
        <f t="array" ref="G2906">IF(B2906="", "",
  LET(_xlpm.spell, IFERROR(IF(F2906="", "", INDEX(_xlws.FILTER(Hairstyles!$F:$F, ISNUMBER(SEARCH(F2906, Hairstyles!$B:$B))), 1)), "No Spell for Hairstyle"),
  _xlpm.vanillaPrefix, IF(LEFT(_xlpm.spell, 7)="Uvi_Wig", "", ";"),
  ";" &amp; IF(C2906="", B2906, C2906) &amp; IF(M2906="", "", " ("&amp;M2906&amp;")") &amp; CHAR(10) &amp;
  _xlpm.vanillaPrefix &amp; "Keyword = Uvi_Wig_Distr_KYWD|" &amp; B2906 &amp; CHAR(10) &amp;
  _xlpm.vanillaPrefix &amp; "Spell = " &amp; _xlpm.spell &amp; "|" &amp; B2906
  )
)</f>
        <v>;EncVampire05BossDarkElfM
;Keyword = Uvi_Wig_Distr_KYWD|EncVampire05BossDarkElfM
;Spell = No Spell for Hairstyle|EncVampire05BossDarkElfM</v>
      </c>
    </row>
    <row r="2907" ht="12.75" customHeight="1">
      <c r="A2907" s="5" t="s">
        <v>8186</v>
      </c>
      <c r="B2907" s="5" t="s">
        <v>8187</v>
      </c>
      <c r="D2907" s="5" t="s">
        <v>58</v>
      </c>
      <c r="E2907" s="5" t="s">
        <v>233</v>
      </c>
      <c r="F2907" s="5" t="s">
        <v>2559</v>
      </c>
      <c r="G2907" s="14" t="str">
        <f t="array" ref="G2907">IF(B2907="", "",
  LET(_xlpm.spell, IFERROR(IF(F2907="", "", INDEX(_xlws.FILTER(Hairstyles!$F:$F, ISNUMBER(SEARCH(F2907, Hairstyles!$B:$B))), 1)), "No Spell for Hairstyle"),
  _xlpm.vanillaPrefix, IF(LEFT(_xlpm.spell, 7)="Uvi_Wig", "", ";"),
  ";" &amp; IF(C2907="", B2907, C2907) &amp; IF(M2907="", "", " ("&amp;M2907&amp;")") &amp; CHAR(10) &amp;
  _xlpm.vanillaPrefix &amp; "Keyword = Uvi_Wig_Distr_KYWD|" &amp; B2907 &amp; CHAR(10) &amp;
  _xlpm.vanillaPrefix &amp; "Spell = " &amp; _xlpm.spell &amp; "|" &amp; B2907
  )
)</f>
        <v>;EncVampire05BossHighElfM
;Keyword = Uvi_Wig_Distr_KYWD|EncVampire05BossHighElfM
;Spell = No Spell for Hairstyle|EncVampire05BossHighElfM</v>
      </c>
    </row>
    <row r="2908" ht="12.75" customHeight="1">
      <c r="A2908" s="5" t="s">
        <v>8188</v>
      </c>
      <c r="B2908" s="5" t="s">
        <v>8189</v>
      </c>
      <c r="D2908" s="5" t="s">
        <v>63</v>
      </c>
      <c r="E2908" s="5" t="s">
        <v>233</v>
      </c>
      <c r="F2908" s="5" t="s">
        <v>695</v>
      </c>
      <c r="G2908" s="14" t="str">
        <f t="array" ref="G2908">IF(B2908="", "",
  LET(_xlpm.spell, IFERROR(IF(F2908="", "", INDEX(_xlws.FILTER(Hairstyles!$F:$F, ISNUMBER(SEARCH(F2908, Hairstyles!$B:$B))), 1)), "No Spell for Hairstyle"),
  _xlpm.vanillaPrefix, IF(LEFT(_xlpm.spell, 7)="Uvi_Wig", "", ";"),
  ";" &amp; IF(C2908="", B2908, C2908) &amp; IF(M2908="", "", " ("&amp;M2908&amp;")") &amp; CHAR(10) &amp;
  _xlpm.vanillaPrefix &amp; "Keyword = Uvi_Wig_Distr_KYWD|" &amp; B2908 &amp; CHAR(10) &amp;
  _xlpm.vanillaPrefix &amp; "Spell = " &amp; _xlpm.spell &amp; "|" &amp; B2908
  )
)</f>
        <v>;EncVampire05BossImperialM
;Keyword = Uvi_Wig_Distr_KYWD|EncVampire05BossImperialM
;Spell = No Spell for Hairstyle|EncVampire05BossImperialM</v>
      </c>
    </row>
    <row r="2909" ht="12.75" customHeight="1">
      <c r="A2909" s="5" t="s">
        <v>8190</v>
      </c>
      <c r="B2909" s="5" t="s">
        <v>8191</v>
      </c>
      <c r="D2909" s="5" t="s">
        <v>79</v>
      </c>
      <c r="E2909" s="5" t="s">
        <v>233</v>
      </c>
      <c r="F2909" s="5" t="s">
        <v>1566</v>
      </c>
      <c r="G2909" s="14" t="str">
        <f t="array" ref="G2909">IF(B2909="", "",
  LET(_xlpm.spell, IFERROR(IF(F2909="", "", INDEX(_xlws.FILTER(Hairstyles!$F:$F, ISNUMBER(SEARCH(F2909, Hairstyles!$B:$B))), 1)), "No Spell for Hairstyle"),
  _xlpm.vanillaPrefix, IF(LEFT(_xlpm.spell, 7)="Uvi_Wig", "", ";"),
  ";" &amp; IF(C2909="", B2909, C2909) &amp; IF(M2909="", "", " ("&amp;M2909&amp;")") &amp; CHAR(10) &amp;
  _xlpm.vanillaPrefix &amp; "Keyword = Uvi_Wig_Distr_KYWD|" &amp; B2909 &amp; CHAR(10) &amp;
  _xlpm.vanillaPrefix &amp; "Spell = " &amp; _xlpm.spell &amp; "|" &amp; B2909
  )
)</f>
        <v>;EncVampire05BossNordM
;Keyword = Uvi_Wig_Distr_KYWD|EncVampire05BossNordM
;Spell = No Spell for Hairstyle|EncVampire05BossNordM</v>
      </c>
    </row>
    <row r="2910" ht="12.75" customHeight="1">
      <c r="A2910" s="15" t="s">
        <v>8192</v>
      </c>
      <c r="B2910" s="5" t="s">
        <v>8193</v>
      </c>
      <c r="D2910" s="5" t="s">
        <v>34</v>
      </c>
      <c r="E2910" s="5" t="s">
        <v>41</v>
      </c>
      <c r="F2910" s="5" t="s">
        <v>1996</v>
      </c>
      <c r="G2910" s="14" t="str">
        <f t="array" ref="G2910">IF(B2910="", "",
  LET(_xlpm.spell, IFERROR(IF(F2910="", "", INDEX(_xlws.FILTER(Hairstyles!$F:$F, ISNUMBER(SEARCH(F2910, Hairstyles!$B:$B))), 1)), "No Spell for Hairstyle"),
  _xlpm.vanillaPrefix, IF(LEFT(_xlpm.spell, 7)="Uvi_Wig", "", ";"),
  ";" &amp; IF(C2910="", B2910, C2910) &amp; IF(M2910="", "", " ("&amp;M2910&amp;")") &amp; CHAR(10) &amp;
  _xlpm.vanillaPrefix &amp; "Keyword = Uvi_Wig_Distr_KYWD|" &amp; B2910 &amp; CHAR(10) &amp;
  _xlpm.vanillaPrefix &amp; "Spell = " &amp; _xlpm.spell &amp; "|" &amp; B2910
  )
)</f>
        <v>;EncVampire05BretonF
;Keyword = Uvi_Wig_Distr_KYWD|EncVampire05BretonF
;Spell = No Spell for Hairstyle|EncVampire05BretonF</v>
      </c>
    </row>
    <row r="2911" ht="12.75" customHeight="1">
      <c r="A2911" s="15" t="s">
        <v>8194</v>
      </c>
      <c r="B2911" s="5" t="s">
        <v>8195</v>
      </c>
      <c r="D2911" s="5" t="s">
        <v>50</v>
      </c>
      <c r="E2911" s="5" t="s">
        <v>41</v>
      </c>
      <c r="F2911" s="5" t="s">
        <v>2096</v>
      </c>
      <c r="G2911" s="14" t="str">
        <f t="array" ref="G2911">IF(B2911="", "",
  LET(_xlpm.spell, IFERROR(IF(F2911="", "", INDEX(_xlws.FILTER(Hairstyles!$F:$F, ISNUMBER(SEARCH(F2911, Hairstyles!$B:$B))), 1)), "No Spell for Hairstyle"),
  _xlpm.vanillaPrefix, IF(LEFT(_xlpm.spell, 7)="Uvi_Wig", "", ";"),
  ";" &amp; IF(C2911="", B2911, C2911) &amp; IF(M2911="", "", " ("&amp;M2911&amp;")") &amp; CHAR(10) &amp;
  _xlpm.vanillaPrefix &amp; "Keyword = Uvi_Wig_Distr_KYWD|" &amp; B2911 &amp; CHAR(10) &amp;
  _xlpm.vanillaPrefix &amp; "Spell = " &amp; _xlpm.spell &amp; "|" &amp; B2911
  )
)</f>
        <v>;EncVampire05DarkElfF
;Keyword = Uvi_Wig_Distr_KYWD|EncVampire05DarkElfF
;Spell = No Spell for Hairstyle|EncVampire05DarkElfF</v>
      </c>
    </row>
    <row r="2912" ht="12.75" customHeight="1">
      <c r="A2912" s="15" t="s">
        <v>8196</v>
      </c>
      <c r="B2912" s="5" t="s">
        <v>8197</v>
      </c>
      <c r="D2912" s="5" t="s">
        <v>58</v>
      </c>
      <c r="E2912" s="5" t="s">
        <v>41</v>
      </c>
      <c r="F2912" s="5" t="s">
        <v>2034</v>
      </c>
      <c r="G2912" s="14" t="str">
        <f t="array" ref="G2912">IF(B2912="", "",
  LET(_xlpm.spell, IFERROR(IF(F2912="", "", INDEX(_xlws.FILTER(Hairstyles!$F:$F, ISNUMBER(SEARCH(F2912, Hairstyles!$B:$B))), 1)), "No Spell for Hairstyle"),
  _xlpm.vanillaPrefix, IF(LEFT(_xlpm.spell, 7)="Uvi_Wig", "", ";"),
  ";" &amp; IF(C2912="", B2912, C2912) &amp; IF(M2912="", "", " ("&amp;M2912&amp;")") &amp; CHAR(10) &amp;
  _xlpm.vanillaPrefix &amp; "Keyword = Uvi_Wig_Distr_KYWD|" &amp; B2912 &amp; CHAR(10) &amp;
  _xlpm.vanillaPrefix &amp; "Spell = " &amp; _xlpm.spell &amp; "|" &amp; B2912
  )
)</f>
        <v>;EncVampire05HighElfF
;Keyword = Uvi_Wig_Distr_KYWD|EncVampire05HighElfF
;Spell = No Spell for Hairstyle|EncVampire05HighElfF</v>
      </c>
    </row>
    <row r="2913" ht="12.75" customHeight="1">
      <c r="A2913" s="15" t="s">
        <v>8198</v>
      </c>
      <c r="B2913" s="5" t="s">
        <v>8199</v>
      </c>
      <c r="D2913" s="5" t="s">
        <v>63</v>
      </c>
      <c r="E2913" s="5" t="s">
        <v>41</v>
      </c>
      <c r="F2913" s="5" t="s">
        <v>1822</v>
      </c>
      <c r="G2913" s="14" t="str">
        <f t="array" ref="G2913">IF(B2913="", "",
  LET(_xlpm.spell, IFERROR(IF(F2913="", "", INDEX(_xlws.FILTER(Hairstyles!$F:$F, ISNUMBER(SEARCH(F2913, Hairstyles!$B:$B))), 1)), "No Spell for Hairstyle"),
  _xlpm.vanillaPrefix, IF(LEFT(_xlpm.spell, 7)="Uvi_Wig", "", ";"),
  ";" &amp; IF(C2913="", B2913, C2913) &amp; IF(M2913="", "", " ("&amp;M2913&amp;")") &amp; CHAR(10) &amp;
  _xlpm.vanillaPrefix &amp; "Keyword = Uvi_Wig_Distr_KYWD|" &amp; B2913 &amp; CHAR(10) &amp;
  _xlpm.vanillaPrefix &amp; "Spell = " &amp; _xlpm.spell &amp; "|" &amp; B2913
  )
)</f>
        <v>;EncVampire05ImperialF
;Keyword = Uvi_Wig_Distr_KYWD|EncVampire05ImperialF
;Spell = No Spell for Hairstyle|EncVampire05ImperialF</v>
      </c>
    </row>
    <row r="2914" ht="12.75" customHeight="1">
      <c r="A2914" s="15" t="s">
        <v>8200</v>
      </c>
      <c r="B2914" s="5" t="s">
        <v>8201</v>
      </c>
      <c r="D2914" s="5" t="s">
        <v>79</v>
      </c>
      <c r="E2914" s="5" t="s">
        <v>41</v>
      </c>
      <c r="F2914" s="5" t="s">
        <v>1996</v>
      </c>
      <c r="G2914" s="14" t="str">
        <f t="array" ref="G2914">IF(B2914="", "",
  LET(_xlpm.spell, IFERROR(IF(F2914="", "", INDEX(_xlws.FILTER(Hairstyles!$F:$F, ISNUMBER(SEARCH(F2914, Hairstyles!$B:$B))), 1)), "No Spell for Hairstyle"),
  _xlpm.vanillaPrefix, IF(LEFT(_xlpm.spell, 7)="Uvi_Wig", "", ";"),
  ";" &amp; IF(C2914="", B2914, C2914) &amp; IF(M2914="", "", " ("&amp;M2914&amp;")") &amp; CHAR(10) &amp;
  _xlpm.vanillaPrefix &amp; "Keyword = Uvi_Wig_Distr_KYWD|" &amp; B2914 &amp; CHAR(10) &amp;
  _xlpm.vanillaPrefix &amp; "Spell = " &amp; _xlpm.spell &amp; "|" &amp; B2914
  )
)</f>
        <v>;EncVampire05NordF
;Keyword = Uvi_Wig_Distr_KYWD|EncVampire05NordF
;Spell = No Spell for Hairstyle|EncVampire05NordF</v>
      </c>
    </row>
    <row r="2915" ht="12.75" customHeight="1">
      <c r="A2915" s="5" t="s">
        <v>8202</v>
      </c>
      <c r="B2915" s="5" t="s">
        <v>8203</v>
      </c>
      <c r="D2915" s="5" t="s">
        <v>34</v>
      </c>
      <c r="E2915" s="5" t="s">
        <v>233</v>
      </c>
      <c r="F2915" s="5" t="s">
        <v>990</v>
      </c>
      <c r="G2915" s="14" t="str">
        <f t="array" ref="G2915">IF(B2915="", "",
  LET(_xlpm.spell, IFERROR(IF(F2915="", "", INDEX(_xlws.FILTER(Hairstyles!$F:$F, ISNUMBER(SEARCH(F2915, Hairstyles!$B:$B))), 1)), "No Spell for Hairstyle"),
  _xlpm.vanillaPrefix, IF(LEFT(_xlpm.spell, 7)="Uvi_Wig", "", ";"),
  ";" &amp; IF(C2915="", B2915, C2915) &amp; IF(M2915="", "", " ("&amp;M2915&amp;")") &amp; CHAR(10) &amp;
  _xlpm.vanillaPrefix &amp; "Keyword = Uvi_Wig_Distr_KYWD|" &amp; B2915 &amp; CHAR(10) &amp;
  _xlpm.vanillaPrefix &amp; "Spell = " &amp; _xlpm.spell &amp; "|" &amp; B2915
  )
)</f>
        <v>;EncVampire06BossBretonM
;Keyword = Uvi_Wig_Distr_KYWD|EncVampire06BossBretonM
;Spell = No Spell for Hairstyle|EncVampire06BossBretonM</v>
      </c>
    </row>
    <row r="2916" ht="12.75" customHeight="1">
      <c r="A2916" s="5" t="s">
        <v>8204</v>
      </c>
      <c r="B2916" s="5" t="s">
        <v>8205</v>
      </c>
      <c r="D2916" s="5" t="s">
        <v>50</v>
      </c>
      <c r="E2916" s="5" t="s">
        <v>233</v>
      </c>
      <c r="F2916" s="5" t="s">
        <v>2583</v>
      </c>
      <c r="G2916" s="14" t="str">
        <f t="array" ref="G2916">IF(B2916="", "",
  LET(_xlpm.spell, IFERROR(IF(F2916="", "", INDEX(_xlws.FILTER(Hairstyles!$F:$F, ISNUMBER(SEARCH(F2916, Hairstyles!$B:$B))), 1)), "No Spell for Hairstyle"),
  _xlpm.vanillaPrefix, IF(LEFT(_xlpm.spell, 7)="Uvi_Wig", "", ";"),
  ";" &amp; IF(C2916="", B2916, C2916) &amp; IF(M2916="", "", " ("&amp;M2916&amp;")") &amp; CHAR(10) &amp;
  _xlpm.vanillaPrefix &amp; "Keyword = Uvi_Wig_Distr_KYWD|" &amp; B2916 &amp; CHAR(10) &amp;
  _xlpm.vanillaPrefix &amp; "Spell = " &amp; _xlpm.spell &amp; "|" &amp; B2916
  )
)</f>
        <v>;EncVampire06BossDarkElfM
;Keyword = Uvi_Wig_Distr_KYWD|EncVampire06BossDarkElfM
;Spell = No Spell for Hairstyle|EncVampire06BossDarkElfM</v>
      </c>
    </row>
    <row r="2917" ht="12.75" customHeight="1">
      <c r="A2917" s="5" t="s">
        <v>8206</v>
      </c>
      <c r="B2917" s="5" t="s">
        <v>8207</v>
      </c>
      <c r="D2917" s="5" t="s">
        <v>58</v>
      </c>
      <c r="E2917" s="5" t="s">
        <v>233</v>
      </c>
      <c r="F2917" s="5" t="s">
        <v>534</v>
      </c>
      <c r="G2917" s="14" t="str">
        <f t="array" ref="G2917">IF(B2917="", "",
  LET(_xlpm.spell, IFERROR(IF(F2917="", "", INDEX(_xlws.FILTER(Hairstyles!$F:$F, ISNUMBER(SEARCH(F2917, Hairstyles!$B:$B))), 1)), "No Spell for Hairstyle"),
  _xlpm.vanillaPrefix, IF(LEFT(_xlpm.spell, 7)="Uvi_Wig", "", ";"),
  ";" &amp; IF(C2917="", B2917, C2917) &amp; IF(M2917="", "", " ("&amp;M2917&amp;")") &amp; CHAR(10) &amp;
  _xlpm.vanillaPrefix &amp; "Keyword = Uvi_Wig_Distr_KYWD|" &amp; B2917 &amp; CHAR(10) &amp;
  _xlpm.vanillaPrefix &amp; "Spell = " &amp; _xlpm.spell &amp; "|" &amp; B2917
  )
)</f>
        <v>;EncVampire06BossHighElfM
;Keyword = Uvi_Wig_Distr_KYWD|EncVampire06BossHighElfM
;Spell = No Spell for Hairstyle|EncVampire06BossHighElfM</v>
      </c>
    </row>
    <row r="2918" ht="12.75" customHeight="1">
      <c r="A2918" s="5" t="s">
        <v>8208</v>
      </c>
      <c r="B2918" s="5" t="s">
        <v>8209</v>
      </c>
      <c r="D2918" s="5" t="s">
        <v>63</v>
      </c>
      <c r="E2918" s="5" t="s">
        <v>233</v>
      </c>
      <c r="F2918" s="5" t="s">
        <v>695</v>
      </c>
      <c r="G2918" s="14" t="str">
        <f t="array" ref="G2918">IF(B2918="", "",
  LET(_xlpm.spell, IFERROR(IF(F2918="", "", INDEX(_xlws.FILTER(Hairstyles!$F:$F, ISNUMBER(SEARCH(F2918, Hairstyles!$B:$B))), 1)), "No Spell for Hairstyle"),
  _xlpm.vanillaPrefix, IF(LEFT(_xlpm.spell, 7)="Uvi_Wig", "", ";"),
  ";" &amp; IF(C2918="", B2918, C2918) &amp; IF(M2918="", "", " ("&amp;M2918&amp;")") &amp; CHAR(10) &amp;
  _xlpm.vanillaPrefix &amp; "Keyword = Uvi_Wig_Distr_KYWD|" &amp; B2918 &amp; CHAR(10) &amp;
  _xlpm.vanillaPrefix &amp; "Spell = " &amp; _xlpm.spell &amp; "|" &amp; B2918
  )
)</f>
        <v>;EncVampire06BossImperialM
;Keyword = Uvi_Wig_Distr_KYWD|EncVampire06BossImperialM
;Spell = No Spell for Hairstyle|EncVampire06BossImperialM</v>
      </c>
    </row>
    <row r="2919" ht="12.75" customHeight="1">
      <c r="A2919" s="5" t="s">
        <v>8210</v>
      </c>
      <c r="B2919" s="5" t="s">
        <v>8211</v>
      </c>
      <c r="D2919" s="5" t="s">
        <v>79</v>
      </c>
      <c r="E2919" s="5" t="s">
        <v>233</v>
      </c>
      <c r="F2919" s="5" t="s">
        <v>990</v>
      </c>
      <c r="G2919" s="14" t="str">
        <f t="array" ref="G2919">IF(B2919="", "",
  LET(_xlpm.spell, IFERROR(IF(F2919="", "", INDEX(_xlws.FILTER(Hairstyles!$F:$F, ISNUMBER(SEARCH(F2919, Hairstyles!$B:$B))), 1)), "No Spell for Hairstyle"),
  _xlpm.vanillaPrefix, IF(LEFT(_xlpm.spell, 7)="Uvi_Wig", "", ";"),
  ";" &amp; IF(C2919="", B2919, C2919) &amp; IF(M2919="", "", " ("&amp;M2919&amp;")") &amp; CHAR(10) &amp;
  _xlpm.vanillaPrefix &amp; "Keyword = Uvi_Wig_Distr_KYWD|" &amp; B2919 &amp; CHAR(10) &amp;
  _xlpm.vanillaPrefix &amp; "Spell = " &amp; _xlpm.spell &amp; "|" &amp; B2919
  )
)</f>
        <v>;EncVampire06BossNordM
;Keyword = Uvi_Wig_Distr_KYWD|EncVampire06BossNordM
;Spell = No Spell for Hairstyle|EncVampire06BossNordM</v>
      </c>
    </row>
    <row r="2920" ht="12.75" customHeight="1">
      <c r="A2920" s="15" t="s">
        <v>8212</v>
      </c>
      <c r="B2920" s="5" t="s">
        <v>8213</v>
      </c>
      <c r="D2920" s="5" t="s">
        <v>34</v>
      </c>
      <c r="E2920" s="5" t="s">
        <v>41</v>
      </c>
      <c r="F2920" s="5" t="s">
        <v>1822</v>
      </c>
      <c r="G2920" s="14" t="str">
        <f t="array" ref="G2920">IF(B2920="", "",
  LET(_xlpm.spell, IFERROR(IF(F2920="", "", INDEX(_xlws.FILTER(Hairstyles!$F:$F, ISNUMBER(SEARCH(F2920, Hairstyles!$B:$B))), 1)), "No Spell for Hairstyle"),
  _xlpm.vanillaPrefix, IF(LEFT(_xlpm.spell, 7)="Uvi_Wig", "", ";"),
  ";" &amp; IF(C2920="", B2920, C2920) &amp; IF(M2920="", "", " ("&amp;M2920&amp;")") &amp; CHAR(10) &amp;
  _xlpm.vanillaPrefix &amp; "Keyword = Uvi_Wig_Distr_KYWD|" &amp; B2920 &amp; CHAR(10) &amp;
  _xlpm.vanillaPrefix &amp; "Spell = " &amp; _xlpm.spell &amp; "|" &amp; B2920
  )
)</f>
        <v>;EncVampire06BretonF
;Keyword = Uvi_Wig_Distr_KYWD|EncVampire06BretonF
;Spell = No Spell for Hairstyle|EncVampire06BretonF</v>
      </c>
    </row>
    <row r="2921" ht="12.75" customHeight="1">
      <c r="A2921" s="15" t="s">
        <v>8214</v>
      </c>
      <c r="B2921" s="5" t="s">
        <v>8215</v>
      </c>
      <c r="D2921" s="5" t="s">
        <v>50</v>
      </c>
      <c r="E2921" s="5" t="s">
        <v>41</v>
      </c>
      <c r="F2921" s="5" t="s">
        <v>2577</v>
      </c>
      <c r="G2921" s="14" t="str">
        <f t="array" ref="G2921">IF(B2921="", "",
  LET(_xlpm.spell, IFERROR(IF(F2921="", "", INDEX(_xlws.FILTER(Hairstyles!$F:$F, ISNUMBER(SEARCH(F2921, Hairstyles!$B:$B))), 1)), "No Spell for Hairstyle"),
  _xlpm.vanillaPrefix, IF(LEFT(_xlpm.spell, 7)="Uvi_Wig", "", ";"),
  ";" &amp; IF(C2921="", B2921, C2921) &amp; IF(M2921="", "", " ("&amp;M2921&amp;")") &amp; CHAR(10) &amp;
  _xlpm.vanillaPrefix &amp; "Keyword = Uvi_Wig_Distr_KYWD|" &amp; B2921 &amp; CHAR(10) &amp;
  _xlpm.vanillaPrefix &amp; "Spell = " &amp; _xlpm.spell &amp; "|" &amp; B2921
  )
)</f>
        <v>;EncVampire06DarkElfF
;Keyword = Uvi_Wig_Distr_KYWD|EncVampire06DarkElfF
;Spell = No Spell for Hairstyle|EncVampire06DarkElfF</v>
      </c>
    </row>
    <row r="2922" ht="12.75" customHeight="1">
      <c r="A2922" s="5" t="s">
        <v>8216</v>
      </c>
      <c r="B2922" s="5" t="s">
        <v>8217</v>
      </c>
      <c r="D2922" s="5" t="s">
        <v>58</v>
      </c>
      <c r="E2922" s="5" t="s">
        <v>41</v>
      </c>
      <c r="F2922" s="5" t="s">
        <v>4274</v>
      </c>
      <c r="G2922" s="14" t="str">
        <f t="array" ref="G2922">IF(B2922="", "",
  LET(_xlpm.spell, IFERROR(IF(F2922="", "", INDEX(_xlws.FILTER(Hairstyles!$F:$F, ISNUMBER(SEARCH(F2922, Hairstyles!$B:$B))), 1)), "No Spell for Hairstyle"),
  _xlpm.vanillaPrefix, IF(LEFT(_xlpm.spell, 7)="Uvi_Wig", "", ";"),
  ";" &amp; IF(C2922="", B2922, C2922) &amp; IF(M2922="", "", " ("&amp;M2922&amp;")") &amp; CHAR(10) &amp;
  _xlpm.vanillaPrefix &amp; "Keyword = Uvi_Wig_Distr_KYWD|" &amp; B2922 &amp; CHAR(10) &amp;
  _xlpm.vanillaPrefix &amp; "Spell = " &amp; _xlpm.spell &amp; "|" &amp; B2922
  )
)</f>
        <v>;EncVampire06HighElfF
;Keyword = Uvi_Wig_Distr_KYWD|EncVampire06HighElfF
;Spell = No Spell for Hairstyle|EncVampire06HighElfF</v>
      </c>
    </row>
    <row r="2923" ht="12.75" customHeight="1">
      <c r="A2923" s="5" t="s">
        <v>8218</v>
      </c>
      <c r="B2923" s="5" t="s">
        <v>8219</v>
      </c>
      <c r="D2923" s="5" t="s">
        <v>63</v>
      </c>
      <c r="E2923" s="5" t="s">
        <v>41</v>
      </c>
      <c r="F2923" s="5" t="s">
        <v>22</v>
      </c>
      <c r="G2923" s="14" t="str">
        <f t="array" ref="G2923">IF(B2923="", "",
  LET(_xlpm.spell, IFERROR(IF(F2923="", "", INDEX(_xlws.FILTER(Hairstyles!$F:$F, ISNUMBER(SEARCH(F2923, Hairstyles!$B:$B))), 1)), "No Spell for Hairstyle"),
  _xlpm.vanillaPrefix, IF(LEFT(_xlpm.spell, 7)="Uvi_Wig", "", ";"),
  ";" &amp; IF(C2923="", B2923, C2923) &amp; IF(M2923="", "", " ("&amp;M2923&amp;")") &amp; CHAR(10) &amp;
  _xlpm.vanillaPrefix &amp; "Keyword = Uvi_Wig_Distr_KYWD|" &amp; B2923 &amp; CHAR(10) &amp;
  _xlpm.vanillaPrefix &amp; "Spell = " &amp; _xlpm.spell &amp; "|" &amp; B2923
  )
)</f>
        <v>;EncVampire06ImperialF
;Keyword = Uvi_Wig_Distr_KYWD|EncVampire06ImperialF
;Spell = No Spell for Hairstyle|EncVampire06ImperialF</v>
      </c>
    </row>
    <row r="2924" ht="12.75" customHeight="1">
      <c r="A2924" s="5" t="s">
        <v>8220</v>
      </c>
      <c r="B2924" s="5" t="s">
        <v>8221</v>
      </c>
      <c r="D2924" s="5" t="s">
        <v>79</v>
      </c>
      <c r="E2924" s="5" t="s">
        <v>41</v>
      </c>
      <c r="F2924" s="5" t="s">
        <v>1694</v>
      </c>
      <c r="G2924" s="14" t="str">
        <f t="array" ref="G2924">IF(B2924="", "",
  LET(_xlpm.spell, IFERROR(IF(F2924="", "", INDEX(_xlws.FILTER(Hairstyles!$F:$F, ISNUMBER(SEARCH(F2924, Hairstyles!$B:$B))), 1)), "No Spell for Hairstyle"),
  _xlpm.vanillaPrefix, IF(LEFT(_xlpm.spell, 7)="Uvi_Wig", "", ";"),
  ";" &amp; IF(C2924="", B2924, C2924) &amp; IF(M2924="", "", " ("&amp;M2924&amp;")") &amp; CHAR(10) &amp;
  _xlpm.vanillaPrefix &amp; "Keyword = Uvi_Wig_Distr_KYWD|" &amp; B2924 &amp; CHAR(10) &amp;
  _xlpm.vanillaPrefix &amp; "Spell = " &amp; _xlpm.spell &amp; "|" &amp; B2924
  )
)</f>
        <v>;EncVampire06NordF
;Keyword = Uvi_Wig_Distr_KYWD|EncVampire06NordF
;Spell = No Spell for Hairstyle|EncVampire06NordF</v>
      </c>
    </row>
    <row r="2925" ht="12.75" customHeight="1">
      <c r="A2925" s="5" t="s">
        <v>8222</v>
      </c>
      <c r="B2925" s="5" t="s">
        <v>8223</v>
      </c>
      <c r="D2925" s="5" t="s">
        <v>45</v>
      </c>
      <c r="E2925" s="5" t="s">
        <v>41</v>
      </c>
      <c r="F2925" s="5" t="s">
        <v>1854</v>
      </c>
      <c r="G2925" s="14" t="str">
        <f t="array" ref="G2925">IF(B2925="", "",
  LET(_xlpm.spell, IFERROR(IF(F2925="", "", INDEX(_xlws.FILTER(Hairstyles!$F:$F, ISNUMBER(SEARCH(F2925, Hairstyles!$B:$B))), 1)), "No Spell for Hairstyle"),
  _xlpm.vanillaPrefix, IF(LEFT(_xlpm.spell, 7)="Uvi_Wig", "", ";"),
  ";" &amp; IF(C2925="", B2925, C2925) &amp; IF(M2925="", "", " ("&amp;M2925&amp;")") &amp; CHAR(10) &amp;
  _xlpm.vanillaPrefix &amp; "Keyword = Uvi_Wig_Distr_KYWD|" &amp; B2925 &amp; CHAR(10) &amp;
  _xlpm.vanillaPrefix &amp; "Spell = " &amp; _xlpm.spell &amp; "|" &amp; B2925
  )
)</f>
        <v>;EncVigilantOfStendarr01DarkElfF
;Keyword = Uvi_Wig_Distr_KYWD|EncVigilantOfStendarr01DarkElfF
;Spell = No Spell for Hairstyle|EncVigilantOfStendarr01DarkElfF</v>
      </c>
    </row>
    <row r="2926" ht="12.75" customHeight="1">
      <c r="A2926" s="5" t="s">
        <v>8224</v>
      </c>
      <c r="B2926" s="5" t="s">
        <v>8225</v>
      </c>
      <c r="D2926" s="5" t="s">
        <v>38</v>
      </c>
      <c r="E2926" s="5" t="s">
        <v>41</v>
      </c>
      <c r="F2926" s="5" t="s">
        <v>69</v>
      </c>
      <c r="G2926" s="14" t="str">
        <f t="array" ref="G2926">IF(B2926="", "",
  LET(_xlpm.spell, IFERROR(IF(F2926="", "", INDEX(_xlws.FILTER(Hairstyles!$F:$F, ISNUMBER(SEARCH(F2926, Hairstyles!$B:$B))), 1)), "No Spell for Hairstyle"),
  _xlpm.vanillaPrefix, IF(LEFT(_xlpm.spell, 7)="Uvi_Wig", "", ";"),
  ";" &amp; IF(C2926="", B2926, C2926) &amp; IF(M2926="", "", " ("&amp;M2926&amp;")") &amp; CHAR(10) &amp;
  _xlpm.vanillaPrefix &amp; "Keyword = Uvi_Wig_Distr_KYWD|" &amp; B2926 &amp; CHAR(10) &amp;
  _xlpm.vanillaPrefix &amp; "Spell = " &amp; _xlpm.spell &amp; "|" &amp; B2926
  )
)</f>
        <v>;EncVigilantOfStendarr01NordF
;Keyword = Uvi_Wig_Distr_KYWD|EncVigilantOfStendarr01NordF
;Spell = No Spell for Hairstyle|EncVigilantOfStendarr01NordF</v>
      </c>
    </row>
    <row r="2927" ht="12.75" customHeight="1">
      <c r="A2927" s="5" t="s">
        <v>8226</v>
      </c>
      <c r="B2927" s="5" t="s">
        <v>8227</v>
      </c>
      <c r="D2927" s="5" t="s">
        <v>38</v>
      </c>
      <c r="E2927" s="5" t="s">
        <v>233</v>
      </c>
      <c r="F2927" s="5" t="s">
        <v>40</v>
      </c>
      <c r="G2927" s="14" t="str">
        <f t="array" ref="G2927">IF(B2927="", "",
  LET(_xlpm.spell, IFERROR(IF(F2927="", "", INDEX(_xlws.FILTER(Hairstyles!$F:$F, ISNUMBER(SEARCH(F2927, Hairstyles!$B:$B))), 1)), "No Spell for Hairstyle"),
  _xlpm.vanillaPrefix, IF(LEFT(_xlpm.spell, 7)="Uvi_Wig", "", ";"),
  ";" &amp; IF(C2927="", B2927, C2927) &amp; IF(M2927="", "", " ("&amp;M2927&amp;")") &amp; CHAR(10) &amp;
  _xlpm.vanillaPrefix &amp; "Keyword = Uvi_Wig_Distr_KYWD|" &amp; B2927 &amp; CHAR(10) &amp;
  _xlpm.vanillaPrefix &amp; "Spell = " &amp; _xlpm.spell &amp; "|" &amp; B2927
  )
)</f>
        <v>;EncVigilantOfStendarr01NordM01
;Keyword = Uvi_Wig_Distr_KYWD|EncVigilantOfStendarr01NordM01
;Spell = No Spell for Hairstyle|EncVigilantOfStendarr01NordM01</v>
      </c>
    </row>
    <row r="2928" ht="12.75" customHeight="1">
      <c r="A2928" s="5" t="s">
        <v>8228</v>
      </c>
      <c r="B2928" s="5" t="s">
        <v>8229</v>
      </c>
      <c r="D2928" s="5" t="s">
        <v>38</v>
      </c>
      <c r="E2928" s="5" t="s">
        <v>233</v>
      </c>
      <c r="F2928" s="5" t="s">
        <v>218</v>
      </c>
      <c r="G2928" s="14" t="str">
        <f t="array" ref="G2928">IF(B2928="", "",
  LET(_xlpm.spell, IFERROR(IF(F2928="", "", INDEX(_xlws.FILTER(Hairstyles!$F:$F, ISNUMBER(SEARCH(F2928, Hairstyles!$B:$B))), 1)), "No Spell for Hairstyle"),
  _xlpm.vanillaPrefix, IF(LEFT(_xlpm.spell, 7)="Uvi_Wig", "", ";"),
  ";" &amp; IF(C2928="", B2928, C2928) &amp; IF(M2928="", "", " ("&amp;M2928&amp;")") &amp; CHAR(10) &amp;
  _xlpm.vanillaPrefix &amp; "Keyword = Uvi_Wig_Distr_KYWD|" &amp; B2928 &amp; CHAR(10) &amp;
  _xlpm.vanillaPrefix &amp; "Spell = " &amp; _xlpm.spell &amp; "|" &amp; B2928
  )
)</f>
        <v>;EncVigilantOfStendarr01NordM02
;Keyword = Uvi_Wig_Distr_KYWD|EncVigilantOfStendarr01NordM02
;Spell = No Spell for Hairstyle|EncVigilantOfStendarr01NordM02</v>
      </c>
    </row>
    <row r="2929" ht="12.75" customHeight="1">
      <c r="A2929" s="5" t="s">
        <v>8230</v>
      </c>
      <c r="B2929" s="5" t="s">
        <v>8231</v>
      </c>
      <c r="D2929" s="5" t="s">
        <v>38</v>
      </c>
      <c r="E2929" s="5" t="s">
        <v>233</v>
      </c>
      <c r="F2929" s="5" t="s">
        <v>1906</v>
      </c>
      <c r="G2929" s="14" t="str">
        <f t="array" ref="G2929">IF(B2929="", "",
  LET(_xlpm.spell, IFERROR(IF(F2929="", "", INDEX(_xlws.FILTER(Hairstyles!$F:$F, ISNUMBER(SEARCH(F2929, Hairstyles!$B:$B))), 1)), "No Spell for Hairstyle"),
  _xlpm.vanillaPrefix, IF(LEFT(_xlpm.spell, 7)="Uvi_Wig", "", ";"),
  ";" &amp; IF(C2929="", B2929, C2929) &amp; IF(M2929="", "", " ("&amp;M2929&amp;")") &amp; CHAR(10) &amp;
  _xlpm.vanillaPrefix &amp; "Keyword = Uvi_Wig_Distr_KYWD|" &amp; B2929 &amp; CHAR(10) &amp;
  _xlpm.vanillaPrefix &amp; "Spell = " &amp; _xlpm.spell &amp; "|" &amp; B2929
  )
)</f>
        <v>;EncVigilantOfStendarr01NordM03
;Keyword = Uvi_Wig_Distr_KYWD|EncVigilantOfStendarr01NordM03
;Spell = No Spell for Hairstyle|EncVigilantOfStendarr01NordM03</v>
      </c>
    </row>
    <row r="2930" ht="12.75" customHeight="1">
      <c r="A2930" s="5" t="s">
        <v>8232</v>
      </c>
      <c r="B2930" s="5" t="s">
        <v>8233</v>
      </c>
      <c r="D2930" s="5" t="s">
        <v>38</v>
      </c>
      <c r="E2930" s="5" t="s">
        <v>233</v>
      </c>
      <c r="F2930" s="5" t="s">
        <v>1894</v>
      </c>
      <c r="G2930" s="14" t="str">
        <f t="array" ref="G2930">IF(B2930="", "",
  LET(_xlpm.spell, IFERROR(IF(F2930="", "", INDEX(_xlws.FILTER(Hairstyles!$F:$F, ISNUMBER(SEARCH(F2930, Hairstyles!$B:$B))), 1)), "No Spell for Hairstyle"),
  _xlpm.vanillaPrefix, IF(LEFT(_xlpm.spell, 7)="Uvi_Wig", "", ";"),
  ";" &amp; IF(C2930="", B2930, C2930) &amp; IF(M2930="", "", " ("&amp;M2930&amp;")") &amp; CHAR(10) &amp;
  _xlpm.vanillaPrefix &amp; "Keyword = Uvi_Wig_Distr_KYWD|" &amp; B2930 &amp; CHAR(10) &amp;
  _xlpm.vanillaPrefix &amp; "Spell = " &amp; _xlpm.spell &amp; "|" &amp; B2930
  )
)</f>
        <v>;EncVigilantOfStendarr01NordM04
;Keyword = Uvi_Wig_Distr_KYWD|EncVigilantOfStendarr01NordM04
;Spell = No Spell for Hairstyle|EncVigilantOfStendarr01NordM04</v>
      </c>
    </row>
    <row r="2931" ht="12.75" customHeight="1">
      <c r="A2931" s="5" t="s">
        <v>8234</v>
      </c>
      <c r="B2931" s="5" t="s">
        <v>8235</v>
      </c>
      <c r="D2931" s="5" t="s">
        <v>83</v>
      </c>
      <c r="E2931" s="5" t="s">
        <v>41</v>
      </c>
      <c r="F2931" s="5" t="s">
        <v>281</v>
      </c>
      <c r="G2931" s="14" t="str">
        <f t="array" ref="G2931">IF(B2931="", "",
  LET(_xlpm.spell, IFERROR(IF(F2931="", "", INDEX(_xlws.FILTER(Hairstyles!$F:$F, ISNUMBER(SEARCH(F2931, Hairstyles!$B:$B))), 1)), "No Spell for Hairstyle"),
  _xlpm.vanillaPrefix, IF(LEFT(_xlpm.spell, 7)="Uvi_Wig", "", ";"),
  ";" &amp; IF(C2931="", B2931, C2931) &amp; IF(M2931="", "", " ("&amp;M2931&amp;")") &amp; CHAR(10) &amp;
  _xlpm.vanillaPrefix &amp; "Keyword = Uvi_Wig_Distr_KYWD|" &amp; B2931 &amp; CHAR(10) &amp;
  _xlpm.vanillaPrefix &amp; "Spell = " &amp; _xlpm.spell &amp; "|" &amp; B2931
  )
)</f>
        <v>;EncVigilantOfStendarr01RedguardF
;Keyword = Uvi_Wig_Distr_KYWD|EncVigilantOfStendarr01RedguardF
;Spell = No Spell for Hairstyle|EncVigilantOfStendarr01RedguardF</v>
      </c>
    </row>
    <row r="2932" ht="12.75" customHeight="1">
      <c r="A2932" s="5" t="s">
        <v>8236</v>
      </c>
      <c r="B2932" s="5" t="s">
        <v>8237</v>
      </c>
      <c r="D2932" s="5" t="s">
        <v>45</v>
      </c>
      <c r="E2932" s="5" t="s">
        <v>41</v>
      </c>
      <c r="F2932" s="5" t="s">
        <v>1854</v>
      </c>
      <c r="G2932" s="14" t="str">
        <f t="array" ref="G2932">IF(B2932="", "",
  LET(_xlpm.spell, IFERROR(IF(F2932="", "", INDEX(_xlws.FILTER(Hairstyles!$F:$F, ISNUMBER(SEARCH(F2932, Hairstyles!$B:$B))), 1)), "No Spell for Hairstyle"),
  _xlpm.vanillaPrefix, IF(LEFT(_xlpm.spell, 7)="Uvi_Wig", "", ";"),
  ";" &amp; IF(C2932="", B2932, C2932) &amp; IF(M2932="", "", " ("&amp;M2932&amp;")") &amp; CHAR(10) &amp;
  _xlpm.vanillaPrefix &amp; "Keyword = Uvi_Wig_Distr_KYWD|" &amp; B2932 &amp; CHAR(10) &amp;
  _xlpm.vanillaPrefix &amp; "Spell = " &amp; _xlpm.spell &amp; "|" &amp; B2932
  )
)</f>
        <v>;EncVigilantOfStendarr02DarkElfF
;Keyword = Uvi_Wig_Distr_KYWD|EncVigilantOfStendarr02DarkElfF
;Spell = No Spell for Hairstyle|EncVigilantOfStendarr02DarkElfF</v>
      </c>
    </row>
    <row r="2933" ht="12.75" customHeight="1">
      <c r="A2933" s="5" t="s">
        <v>8238</v>
      </c>
      <c r="B2933" s="5" t="s">
        <v>8239</v>
      </c>
      <c r="D2933" s="5" t="s">
        <v>38</v>
      </c>
      <c r="E2933" s="5" t="s">
        <v>41</v>
      </c>
      <c r="F2933" s="5" t="s">
        <v>69</v>
      </c>
      <c r="G2933" s="14" t="str">
        <f t="array" ref="G2933">IF(B2933="", "",
  LET(_xlpm.spell, IFERROR(IF(F2933="", "", INDEX(_xlws.FILTER(Hairstyles!$F:$F, ISNUMBER(SEARCH(F2933, Hairstyles!$B:$B))), 1)), "No Spell for Hairstyle"),
  _xlpm.vanillaPrefix, IF(LEFT(_xlpm.spell, 7)="Uvi_Wig", "", ";"),
  ";" &amp; IF(C2933="", B2933, C2933) &amp; IF(M2933="", "", " ("&amp;M2933&amp;")") &amp; CHAR(10) &amp;
  _xlpm.vanillaPrefix &amp; "Keyword = Uvi_Wig_Distr_KYWD|" &amp; B2933 &amp; CHAR(10) &amp;
  _xlpm.vanillaPrefix &amp; "Spell = " &amp; _xlpm.spell &amp; "|" &amp; B2933
  )
)</f>
        <v>;EncVigilantOfStendarr02NordF
;Keyword = Uvi_Wig_Distr_KYWD|EncVigilantOfStendarr02NordF
;Spell = No Spell for Hairstyle|EncVigilantOfStendarr02NordF</v>
      </c>
    </row>
    <row r="2934" ht="12.75" customHeight="1">
      <c r="A2934" s="5" t="s">
        <v>8240</v>
      </c>
      <c r="B2934" s="5" t="s">
        <v>8241</v>
      </c>
      <c r="D2934" s="5" t="s">
        <v>38</v>
      </c>
      <c r="E2934" s="5" t="s">
        <v>233</v>
      </c>
      <c r="F2934" s="5" t="s">
        <v>40</v>
      </c>
      <c r="G2934" s="14" t="str">
        <f t="array" ref="G2934">IF(B2934="", "",
  LET(_xlpm.spell, IFERROR(IF(F2934="", "", INDEX(_xlws.FILTER(Hairstyles!$F:$F, ISNUMBER(SEARCH(F2934, Hairstyles!$B:$B))), 1)), "No Spell for Hairstyle"),
  _xlpm.vanillaPrefix, IF(LEFT(_xlpm.spell, 7)="Uvi_Wig", "", ";"),
  ";" &amp; IF(C2934="", B2934, C2934) &amp; IF(M2934="", "", " ("&amp;M2934&amp;")") &amp; CHAR(10) &amp;
  _xlpm.vanillaPrefix &amp; "Keyword = Uvi_Wig_Distr_KYWD|" &amp; B2934 &amp; CHAR(10) &amp;
  _xlpm.vanillaPrefix &amp; "Spell = " &amp; _xlpm.spell &amp; "|" &amp; B2934
  )
)</f>
        <v>;EncVigilantOfStendarr02NordM01
;Keyword = Uvi_Wig_Distr_KYWD|EncVigilantOfStendarr02NordM01
;Spell = No Spell for Hairstyle|EncVigilantOfStendarr02NordM01</v>
      </c>
    </row>
    <row r="2935" ht="12.75" customHeight="1">
      <c r="A2935" s="5" t="s">
        <v>8242</v>
      </c>
      <c r="B2935" s="5" t="s">
        <v>8243</v>
      </c>
      <c r="D2935" s="5" t="s">
        <v>38</v>
      </c>
      <c r="E2935" s="5" t="s">
        <v>233</v>
      </c>
      <c r="F2935" s="5" t="s">
        <v>218</v>
      </c>
      <c r="G2935" s="14" t="str">
        <f t="array" ref="G2935">IF(B2935="", "",
  LET(_xlpm.spell, IFERROR(IF(F2935="", "", INDEX(_xlws.FILTER(Hairstyles!$F:$F, ISNUMBER(SEARCH(F2935, Hairstyles!$B:$B))), 1)), "No Spell for Hairstyle"),
  _xlpm.vanillaPrefix, IF(LEFT(_xlpm.spell, 7)="Uvi_Wig", "", ";"),
  ";" &amp; IF(C2935="", B2935, C2935) &amp; IF(M2935="", "", " ("&amp;M2935&amp;")") &amp; CHAR(10) &amp;
  _xlpm.vanillaPrefix &amp; "Keyword = Uvi_Wig_Distr_KYWD|" &amp; B2935 &amp; CHAR(10) &amp;
  _xlpm.vanillaPrefix &amp; "Spell = " &amp; _xlpm.spell &amp; "|" &amp; B2935
  )
)</f>
        <v>;EncVigilantOfStendarr02NordM02
;Keyword = Uvi_Wig_Distr_KYWD|EncVigilantOfStendarr02NordM02
;Spell = No Spell for Hairstyle|EncVigilantOfStendarr02NordM02</v>
      </c>
    </row>
    <row r="2936" ht="12.75" customHeight="1">
      <c r="A2936" s="5" t="s">
        <v>8244</v>
      </c>
      <c r="B2936" s="5" t="s">
        <v>8245</v>
      </c>
      <c r="D2936" s="5" t="s">
        <v>38</v>
      </c>
      <c r="E2936" s="5" t="s">
        <v>233</v>
      </c>
      <c r="F2936" s="5" t="s">
        <v>1906</v>
      </c>
      <c r="G2936" s="14" t="str">
        <f t="array" ref="G2936">IF(B2936="", "",
  LET(_xlpm.spell, IFERROR(IF(F2936="", "", INDEX(_xlws.FILTER(Hairstyles!$F:$F, ISNUMBER(SEARCH(F2936, Hairstyles!$B:$B))), 1)), "No Spell for Hairstyle"),
  _xlpm.vanillaPrefix, IF(LEFT(_xlpm.spell, 7)="Uvi_Wig", "", ";"),
  ";" &amp; IF(C2936="", B2936, C2936) &amp; IF(M2936="", "", " ("&amp;M2936&amp;")") &amp; CHAR(10) &amp;
  _xlpm.vanillaPrefix &amp; "Keyword = Uvi_Wig_Distr_KYWD|" &amp; B2936 &amp; CHAR(10) &amp;
  _xlpm.vanillaPrefix &amp; "Spell = " &amp; _xlpm.spell &amp; "|" &amp; B2936
  )
)</f>
        <v>;EncVigilantOfStendarr02NordM03
;Keyword = Uvi_Wig_Distr_KYWD|EncVigilantOfStendarr02NordM03
;Spell = No Spell for Hairstyle|EncVigilantOfStendarr02NordM03</v>
      </c>
    </row>
    <row r="2937" ht="12.75" customHeight="1">
      <c r="A2937" s="5" t="s">
        <v>8246</v>
      </c>
      <c r="B2937" s="5" t="s">
        <v>8247</v>
      </c>
      <c r="D2937" s="5" t="s">
        <v>38</v>
      </c>
      <c r="E2937" s="5" t="s">
        <v>233</v>
      </c>
      <c r="F2937" s="5" t="s">
        <v>1894</v>
      </c>
      <c r="G2937" s="14" t="str">
        <f t="array" ref="G2937">IF(B2937="", "",
  LET(_xlpm.spell, IFERROR(IF(F2937="", "", INDEX(_xlws.FILTER(Hairstyles!$F:$F, ISNUMBER(SEARCH(F2937, Hairstyles!$B:$B))), 1)), "No Spell for Hairstyle"),
  _xlpm.vanillaPrefix, IF(LEFT(_xlpm.spell, 7)="Uvi_Wig", "", ";"),
  ";" &amp; IF(C2937="", B2937, C2937) &amp; IF(M2937="", "", " ("&amp;M2937&amp;")") &amp; CHAR(10) &amp;
  _xlpm.vanillaPrefix &amp; "Keyword = Uvi_Wig_Distr_KYWD|" &amp; B2937 &amp; CHAR(10) &amp;
  _xlpm.vanillaPrefix &amp; "Spell = " &amp; _xlpm.spell &amp; "|" &amp; B2937
  )
)</f>
        <v>;EncVigilantOfStendarr02NordM04
;Keyword = Uvi_Wig_Distr_KYWD|EncVigilantOfStendarr02NordM04
;Spell = No Spell for Hairstyle|EncVigilantOfStendarr02NordM04</v>
      </c>
    </row>
    <row r="2938" ht="12.75" customHeight="1">
      <c r="A2938" s="5" t="s">
        <v>8248</v>
      </c>
      <c r="B2938" s="5" t="s">
        <v>8249</v>
      </c>
      <c r="D2938" s="5" t="s">
        <v>83</v>
      </c>
      <c r="E2938" s="5" t="s">
        <v>41</v>
      </c>
      <c r="F2938" s="5" t="s">
        <v>281</v>
      </c>
      <c r="G2938" s="14" t="str">
        <f t="array" ref="G2938">IF(B2938="", "",
  LET(_xlpm.spell, IFERROR(IF(F2938="", "", INDEX(_xlws.FILTER(Hairstyles!$F:$F, ISNUMBER(SEARCH(F2938, Hairstyles!$B:$B))), 1)), "No Spell for Hairstyle"),
  _xlpm.vanillaPrefix, IF(LEFT(_xlpm.spell, 7)="Uvi_Wig", "", ";"),
  ";" &amp; IF(C2938="", B2938, C2938) &amp; IF(M2938="", "", " ("&amp;M2938&amp;")") &amp; CHAR(10) &amp;
  _xlpm.vanillaPrefix &amp; "Keyword = Uvi_Wig_Distr_KYWD|" &amp; B2938 &amp; CHAR(10) &amp;
  _xlpm.vanillaPrefix &amp; "Spell = " &amp; _xlpm.spell &amp; "|" &amp; B2938
  )
)</f>
        <v>;EncVigilantOfStendarr02RedguardF
;Keyword = Uvi_Wig_Distr_KYWD|EncVigilantOfStendarr02RedguardF
;Spell = No Spell for Hairstyle|EncVigilantOfStendarr02RedguardF</v>
      </c>
    </row>
    <row r="2939" ht="12.75" customHeight="1">
      <c r="A2939" s="5" t="s">
        <v>8250</v>
      </c>
      <c r="B2939" s="5" t="s">
        <v>8251</v>
      </c>
      <c r="D2939" s="5" t="s">
        <v>45</v>
      </c>
      <c r="E2939" s="5" t="s">
        <v>41</v>
      </c>
      <c r="F2939" s="5" t="s">
        <v>1854</v>
      </c>
      <c r="G2939" s="14" t="str">
        <f t="array" ref="G2939">IF(B2939="", "",
  LET(_xlpm.spell, IFERROR(IF(F2939="", "", INDEX(_xlws.FILTER(Hairstyles!$F:$F, ISNUMBER(SEARCH(F2939, Hairstyles!$B:$B))), 1)), "No Spell for Hairstyle"),
  _xlpm.vanillaPrefix, IF(LEFT(_xlpm.spell, 7)="Uvi_Wig", "", ";"),
  ";" &amp; IF(C2939="", B2939, C2939) &amp; IF(M2939="", "", " ("&amp;M2939&amp;")") &amp; CHAR(10) &amp;
  _xlpm.vanillaPrefix &amp; "Keyword = Uvi_Wig_Distr_KYWD|" &amp; B2939 &amp; CHAR(10) &amp;
  _xlpm.vanillaPrefix &amp; "Spell = " &amp; _xlpm.spell &amp; "|" &amp; B2939
  )
)</f>
        <v>;EncVigilantOfStendarr03DarkElfF
;Keyword = Uvi_Wig_Distr_KYWD|EncVigilantOfStendarr03DarkElfF
;Spell = No Spell for Hairstyle|EncVigilantOfStendarr03DarkElfF</v>
      </c>
    </row>
    <row r="2940" ht="12.75" customHeight="1">
      <c r="A2940" s="5" t="s">
        <v>8252</v>
      </c>
      <c r="B2940" s="5" t="s">
        <v>8253</v>
      </c>
      <c r="D2940" s="5" t="s">
        <v>38</v>
      </c>
      <c r="E2940" s="5" t="s">
        <v>41</v>
      </c>
      <c r="F2940" s="5" t="s">
        <v>69</v>
      </c>
      <c r="G2940" s="14" t="str">
        <f t="array" ref="G2940">IF(B2940="", "",
  LET(_xlpm.spell, IFERROR(IF(F2940="", "", INDEX(_xlws.FILTER(Hairstyles!$F:$F, ISNUMBER(SEARCH(F2940, Hairstyles!$B:$B))), 1)), "No Spell for Hairstyle"),
  _xlpm.vanillaPrefix, IF(LEFT(_xlpm.spell, 7)="Uvi_Wig", "", ";"),
  ";" &amp; IF(C2940="", B2940, C2940) &amp; IF(M2940="", "", " ("&amp;M2940&amp;")") &amp; CHAR(10) &amp;
  _xlpm.vanillaPrefix &amp; "Keyword = Uvi_Wig_Distr_KYWD|" &amp; B2940 &amp; CHAR(10) &amp;
  _xlpm.vanillaPrefix &amp; "Spell = " &amp; _xlpm.spell &amp; "|" &amp; B2940
  )
)</f>
        <v>;EncVigilantOfStendarr03NordF
;Keyword = Uvi_Wig_Distr_KYWD|EncVigilantOfStendarr03NordF
;Spell = No Spell for Hairstyle|EncVigilantOfStendarr03NordF</v>
      </c>
    </row>
    <row r="2941" ht="12.75" customHeight="1">
      <c r="A2941" s="5" t="s">
        <v>8254</v>
      </c>
      <c r="B2941" s="5" t="s">
        <v>8255</v>
      </c>
      <c r="D2941" s="5" t="s">
        <v>38</v>
      </c>
      <c r="E2941" s="5" t="s">
        <v>233</v>
      </c>
      <c r="F2941" s="5" t="s">
        <v>40</v>
      </c>
      <c r="G2941" s="14" t="str">
        <f t="array" ref="G2941">IF(B2941="", "",
  LET(_xlpm.spell, IFERROR(IF(F2941="", "", INDEX(_xlws.FILTER(Hairstyles!$F:$F, ISNUMBER(SEARCH(F2941, Hairstyles!$B:$B))), 1)), "No Spell for Hairstyle"),
  _xlpm.vanillaPrefix, IF(LEFT(_xlpm.spell, 7)="Uvi_Wig", "", ";"),
  ";" &amp; IF(C2941="", B2941, C2941) &amp; IF(M2941="", "", " ("&amp;M2941&amp;")") &amp; CHAR(10) &amp;
  _xlpm.vanillaPrefix &amp; "Keyword = Uvi_Wig_Distr_KYWD|" &amp; B2941 &amp; CHAR(10) &amp;
  _xlpm.vanillaPrefix &amp; "Spell = " &amp; _xlpm.spell &amp; "|" &amp; B2941
  )
)</f>
        <v>;EncVigilantOfStendarr03NordM01
;Keyword = Uvi_Wig_Distr_KYWD|EncVigilantOfStendarr03NordM01
;Spell = No Spell for Hairstyle|EncVigilantOfStendarr03NordM01</v>
      </c>
    </row>
    <row r="2942" ht="12.75" customHeight="1">
      <c r="A2942" s="5" t="s">
        <v>8256</v>
      </c>
      <c r="B2942" s="5" t="s">
        <v>8257</v>
      </c>
      <c r="D2942" s="5" t="s">
        <v>38</v>
      </c>
      <c r="E2942" s="5" t="s">
        <v>233</v>
      </c>
      <c r="F2942" s="5" t="s">
        <v>218</v>
      </c>
      <c r="G2942" s="14" t="str">
        <f t="array" ref="G2942">IF(B2942="", "",
  LET(_xlpm.spell, IFERROR(IF(F2942="", "", INDEX(_xlws.FILTER(Hairstyles!$F:$F, ISNUMBER(SEARCH(F2942, Hairstyles!$B:$B))), 1)), "No Spell for Hairstyle"),
  _xlpm.vanillaPrefix, IF(LEFT(_xlpm.spell, 7)="Uvi_Wig", "", ";"),
  ";" &amp; IF(C2942="", B2942, C2942) &amp; IF(M2942="", "", " ("&amp;M2942&amp;")") &amp; CHAR(10) &amp;
  _xlpm.vanillaPrefix &amp; "Keyword = Uvi_Wig_Distr_KYWD|" &amp; B2942 &amp; CHAR(10) &amp;
  _xlpm.vanillaPrefix &amp; "Spell = " &amp; _xlpm.spell &amp; "|" &amp; B2942
  )
)</f>
        <v>;EncVigilantOfStendarr03NordM02
;Keyword = Uvi_Wig_Distr_KYWD|EncVigilantOfStendarr03NordM02
;Spell = No Spell for Hairstyle|EncVigilantOfStendarr03NordM02</v>
      </c>
    </row>
    <row r="2943" ht="12.75" customHeight="1">
      <c r="A2943" s="5" t="s">
        <v>8258</v>
      </c>
      <c r="B2943" s="5" t="s">
        <v>8259</v>
      </c>
      <c r="D2943" s="5" t="s">
        <v>38</v>
      </c>
      <c r="E2943" s="5" t="s">
        <v>233</v>
      </c>
      <c r="F2943" s="5" t="s">
        <v>1906</v>
      </c>
      <c r="G2943" s="14" t="str">
        <f t="array" ref="G2943">IF(B2943="", "",
  LET(_xlpm.spell, IFERROR(IF(F2943="", "", INDEX(_xlws.FILTER(Hairstyles!$F:$F, ISNUMBER(SEARCH(F2943, Hairstyles!$B:$B))), 1)), "No Spell for Hairstyle"),
  _xlpm.vanillaPrefix, IF(LEFT(_xlpm.spell, 7)="Uvi_Wig", "", ";"),
  ";" &amp; IF(C2943="", B2943, C2943) &amp; IF(M2943="", "", " ("&amp;M2943&amp;")") &amp; CHAR(10) &amp;
  _xlpm.vanillaPrefix &amp; "Keyword = Uvi_Wig_Distr_KYWD|" &amp; B2943 &amp; CHAR(10) &amp;
  _xlpm.vanillaPrefix &amp; "Spell = " &amp; _xlpm.spell &amp; "|" &amp; B2943
  )
)</f>
        <v>;EncVigilantOfStendarr03NordM03
;Keyword = Uvi_Wig_Distr_KYWD|EncVigilantOfStendarr03NordM03
;Spell = No Spell for Hairstyle|EncVigilantOfStendarr03NordM03</v>
      </c>
    </row>
    <row r="2944" ht="12.75" customHeight="1">
      <c r="A2944" s="5" t="s">
        <v>8260</v>
      </c>
      <c r="B2944" s="5" t="s">
        <v>8261</v>
      </c>
      <c r="D2944" s="5" t="s">
        <v>38</v>
      </c>
      <c r="E2944" s="5" t="s">
        <v>233</v>
      </c>
      <c r="F2944" s="5" t="s">
        <v>1894</v>
      </c>
      <c r="G2944" s="14" t="str">
        <f t="array" ref="G2944">IF(B2944="", "",
  LET(_xlpm.spell, IFERROR(IF(F2944="", "", INDEX(_xlws.FILTER(Hairstyles!$F:$F, ISNUMBER(SEARCH(F2944, Hairstyles!$B:$B))), 1)), "No Spell for Hairstyle"),
  _xlpm.vanillaPrefix, IF(LEFT(_xlpm.spell, 7)="Uvi_Wig", "", ";"),
  ";" &amp; IF(C2944="", B2944, C2944) &amp; IF(M2944="", "", " ("&amp;M2944&amp;")") &amp; CHAR(10) &amp;
  _xlpm.vanillaPrefix &amp; "Keyword = Uvi_Wig_Distr_KYWD|" &amp; B2944 &amp; CHAR(10) &amp;
  _xlpm.vanillaPrefix &amp; "Spell = " &amp; _xlpm.spell &amp; "|" &amp; B2944
  )
)</f>
        <v>;EncVigilantOfStendarr03NordM04
;Keyword = Uvi_Wig_Distr_KYWD|EncVigilantOfStendarr03NordM04
;Spell = No Spell for Hairstyle|EncVigilantOfStendarr03NordM04</v>
      </c>
    </row>
    <row r="2945" ht="12.75" customHeight="1">
      <c r="A2945" s="5" t="s">
        <v>8262</v>
      </c>
      <c r="B2945" s="5" t="s">
        <v>8263</v>
      </c>
      <c r="D2945" s="5" t="s">
        <v>83</v>
      </c>
      <c r="E2945" s="5" t="s">
        <v>41</v>
      </c>
      <c r="F2945" s="5" t="s">
        <v>281</v>
      </c>
      <c r="G2945" s="14" t="str">
        <f t="array" ref="G2945">IF(B2945="", "",
  LET(_xlpm.spell, IFERROR(IF(F2945="", "", INDEX(_xlws.FILTER(Hairstyles!$F:$F, ISNUMBER(SEARCH(F2945, Hairstyles!$B:$B))), 1)), "No Spell for Hairstyle"),
  _xlpm.vanillaPrefix, IF(LEFT(_xlpm.spell, 7)="Uvi_Wig", "", ";"),
  ";" &amp; IF(C2945="", B2945, C2945) &amp; IF(M2945="", "", " ("&amp;M2945&amp;")") &amp; CHAR(10) &amp;
  _xlpm.vanillaPrefix &amp; "Keyword = Uvi_Wig_Distr_KYWD|" &amp; B2945 &amp; CHAR(10) &amp;
  _xlpm.vanillaPrefix &amp; "Spell = " &amp; _xlpm.spell &amp; "|" &amp; B2945
  )
)</f>
        <v>;EncVigilantOfStendarr03RedguardF
;Keyword = Uvi_Wig_Distr_KYWD|EncVigilantOfStendarr03RedguardF
;Spell = No Spell for Hairstyle|EncVigilantOfStendarr03RedguardF</v>
      </c>
    </row>
    <row r="2946" ht="12.75" customHeight="1">
      <c r="A2946" s="5" t="s">
        <v>8264</v>
      </c>
      <c r="B2946" s="5" t="s">
        <v>8265</v>
      </c>
      <c r="D2946" s="5" t="s">
        <v>45</v>
      </c>
      <c r="E2946" s="5" t="s">
        <v>41</v>
      </c>
      <c r="F2946" s="5" t="s">
        <v>1854</v>
      </c>
      <c r="G2946" s="14" t="str">
        <f t="array" ref="G2946">IF(B2946="", "",
  LET(_xlpm.spell, IFERROR(IF(F2946="", "", INDEX(_xlws.FILTER(Hairstyles!$F:$F, ISNUMBER(SEARCH(F2946, Hairstyles!$B:$B))), 1)), "No Spell for Hairstyle"),
  _xlpm.vanillaPrefix, IF(LEFT(_xlpm.spell, 7)="Uvi_Wig", "", ";"),
  ";" &amp; IF(C2946="", B2946, C2946) &amp; IF(M2946="", "", " ("&amp;M2946&amp;")") &amp; CHAR(10) &amp;
  _xlpm.vanillaPrefix &amp; "Keyword = Uvi_Wig_Distr_KYWD|" &amp; B2946 &amp; CHAR(10) &amp;
  _xlpm.vanillaPrefix &amp; "Spell = " &amp; _xlpm.spell &amp; "|" &amp; B2946
  )
)</f>
        <v>;EncVigilantOfStendarr04DarkElfF
;Keyword = Uvi_Wig_Distr_KYWD|EncVigilantOfStendarr04DarkElfF
;Spell = No Spell for Hairstyle|EncVigilantOfStendarr04DarkElfF</v>
      </c>
    </row>
    <row r="2947" ht="12.75" customHeight="1">
      <c r="A2947" s="5" t="s">
        <v>8266</v>
      </c>
      <c r="B2947" s="5" t="s">
        <v>8267</v>
      </c>
      <c r="D2947" s="5" t="s">
        <v>38</v>
      </c>
      <c r="E2947" s="5" t="s">
        <v>41</v>
      </c>
      <c r="F2947" s="5" t="s">
        <v>69</v>
      </c>
      <c r="G2947" s="14" t="str">
        <f t="array" ref="G2947">IF(B2947="", "",
  LET(_xlpm.spell, IFERROR(IF(F2947="", "", INDEX(_xlws.FILTER(Hairstyles!$F:$F, ISNUMBER(SEARCH(F2947, Hairstyles!$B:$B))), 1)), "No Spell for Hairstyle"),
  _xlpm.vanillaPrefix, IF(LEFT(_xlpm.spell, 7)="Uvi_Wig", "", ";"),
  ";" &amp; IF(C2947="", B2947, C2947) &amp; IF(M2947="", "", " ("&amp;M2947&amp;")") &amp; CHAR(10) &amp;
  _xlpm.vanillaPrefix &amp; "Keyword = Uvi_Wig_Distr_KYWD|" &amp; B2947 &amp; CHAR(10) &amp;
  _xlpm.vanillaPrefix &amp; "Spell = " &amp; _xlpm.spell &amp; "|" &amp; B2947
  )
)</f>
        <v>;EncVigilantOfStendarr04NordF
;Keyword = Uvi_Wig_Distr_KYWD|EncVigilantOfStendarr04NordF
;Spell = No Spell for Hairstyle|EncVigilantOfStendarr04NordF</v>
      </c>
    </row>
    <row r="2948" ht="12.75" customHeight="1">
      <c r="A2948" s="5" t="s">
        <v>8268</v>
      </c>
      <c r="B2948" s="5" t="s">
        <v>8269</v>
      </c>
      <c r="D2948" s="5" t="s">
        <v>38</v>
      </c>
      <c r="E2948" s="5" t="s">
        <v>233</v>
      </c>
      <c r="F2948" s="5" t="s">
        <v>40</v>
      </c>
      <c r="G2948" s="14" t="str">
        <f t="array" ref="G2948">IF(B2948="", "",
  LET(_xlpm.spell, IFERROR(IF(F2948="", "", INDEX(_xlws.FILTER(Hairstyles!$F:$F, ISNUMBER(SEARCH(F2948, Hairstyles!$B:$B))), 1)), "No Spell for Hairstyle"),
  _xlpm.vanillaPrefix, IF(LEFT(_xlpm.spell, 7)="Uvi_Wig", "", ";"),
  ";" &amp; IF(C2948="", B2948, C2948) &amp; IF(M2948="", "", " ("&amp;M2948&amp;")") &amp; CHAR(10) &amp;
  _xlpm.vanillaPrefix &amp; "Keyword = Uvi_Wig_Distr_KYWD|" &amp; B2948 &amp; CHAR(10) &amp;
  _xlpm.vanillaPrefix &amp; "Spell = " &amp; _xlpm.spell &amp; "|" &amp; B2948
  )
)</f>
        <v>;EncVigilantOfStendarr04NordM01
;Keyword = Uvi_Wig_Distr_KYWD|EncVigilantOfStendarr04NordM01
;Spell = No Spell for Hairstyle|EncVigilantOfStendarr04NordM01</v>
      </c>
    </row>
    <row r="2949" ht="12.75" customHeight="1">
      <c r="A2949" s="5" t="s">
        <v>8270</v>
      </c>
      <c r="B2949" s="5" t="s">
        <v>8271</v>
      </c>
      <c r="D2949" s="5" t="s">
        <v>38</v>
      </c>
      <c r="E2949" s="5" t="s">
        <v>233</v>
      </c>
      <c r="F2949" s="5" t="s">
        <v>218</v>
      </c>
      <c r="G2949" s="14" t="str">
        <f t="array" ref="G2949">IF(B2949="", "",
  LET(_xlpm.spell, IFERROR(IF(F2949="", "", INDEX(_xlws.FILTER(Hairstyles!$F:$F, ISNUMBER(SEARCH(F2949, Hairstyles!$B:$B))), 1)), "No Spell for Hairstyle"),
  _xlpm.vanillaPrefix, IF(LEFT(_xlpm.spell, 7)="Uvi_Wig", "", ";"),
  ";" &amp; IF(C2949="", B2949, C2949) &amp; IF(M2949="", "", " ("&amp;M2949&amp;")") &amp; CHAR(10) &amp;
  _xlpm.vanillaPrefix &amp; "Keyword = Uvi_Wig_Distr_KYWD|" &amp; B2949 &amp; CHAR(10) &amp;
  _xlpm.vanillaPrefix &amp; "Spell = " &amp; _xlpm.spell &amp; "|" &amp; B2949
  )
)</f>
        <v>;EncVigilantOfStendarr04NordM02
;Keyword = Uvi_Wig_Distr_KYWD|EncVigilantOfStendarr04NordM02
;Spell = No Spell for Hairstyle|EncVigilantOfStendarr04NordM02</v>
      </c>
    </row>
    <row r="2950" ht="12.75" customHeight="1">
      <c r="A2950" s="5" t="s">
        <v>8272</v>
      </c>
      <c r="B2950" s="5" t="s">
        <v>8273</v>
      </c>
      <c r="D2950" s="5" t="s">
        <v>38</v>
      </c>
      <c r="E2950" s="5" t="s">
        <v>233</v>
      </c>
      <c r="F2950" s="5" t="s">
        <v>1906</v>
      </c>
      <c r="G2950" s="14" t="str">
        <f t="array" ref="G2950">IF(B2950="", "",
  LET(_xlpm.spell, IFERROR(IF(F2950="", "", INDEX(_xlws.FILTER(Hairstyles!$F:$F, ISNUMBER(SEARCH(F2950, Hairstyles!$B:$B))), 1)), "No Spell for Hairstyle"),
  _xlpm.vanillaPrefix, IF(LEFT(_xlpm.spell, 7)="Uvi_Wig", "", ";"),
  ";" &amp; IF(C2950="", B2950, C2950) &amp; IF(M2950="", "", " ("&amp;M2950&amp;")") &amp; CHAR(10) &amp;
  _xlpm.vanillaPrefix &amp; "Keyword = Uvi_Wig_Distr_KYWD|" &amp; B2950 &amp; CHAR(10) &amp;
  _xlpm.vanillaPrefix &amp; "Spell = " &amp; _xlpm.spell &amp; "|" &amp; B2950
  )
)</f>
        <v>;EncVigilantOfStendarr04NordM03
;Keyword = Uvi_Wig_Distr_KYWD|EncVigilantOfStendarr04NordM03
;Spell = No Spell for Hairstyle|EncVigilantOfStendarr04NordM03</v>
      </c>
    </row>
    <row r="2951" ht="12.75" customHeight="1">
      <c r="A2951" s="5" t="s">
        <v>8274</v>
      </c>
      <c r="B2951" s="5" t="s">
        <v>8275</v>
      </c>
      <c r="D2951" s="5" t="s">
        <v>38</v>
      </c>
      <c r="E2951" s="5" t="s">
        <v>233</v>
      </c>
      <c r="F2951" s="5" t="s">
        <v>1894</v>
      </c>
      <c r="G2951" s="14" t="str">
        <f t="array" ref="G2951">IF(B2951="", "",
  LET(_xlpm.spell, IFERROR(IF(F2951="", "", INDEX(_xlws.FILTER(Hairstyles!$F:$F, ISNUMBER(SEARCH(F2951, Hairstyles!$B:$B))), 1)), "No Spell for Hairstyle"),
  _xlpm.vanillaPrefix, IF(LEFT(_xlpm.spell, 7)="Uvi_Wig", "", ";"),
  ";" &amp; IF(C2951="", B2951, C2951) &amp; IF(M2951="", "", " ("&amp;M2951&amp;")") &amp; CHAR(10) &amp;
  _xlpm.vanillaPrefix &amp; "Keyword = Uvi_Wig_Distr_KYWD|" &amp; B2951 &amp; CHAR(10) &amp;
  _xlpm.vanillaPrefix &amp; "Spell = " &amp; _xlpm.spell &amp; "|" &amp; B2951
  )
)</f>
        <v>;EncVigilantOfStendarr04NordM04
;Keyword = Uvi_Wig_Distr_KYWD|EncVigilantOfStendarr04NordM04
;Spell = No Spell for Hairstyle|EncVigilantOfStendarr04NordM04</v>
      </c>
    </row>
    <row r="2952" ht="12.75" customHeight="1">
      <c r="A2952" s="5" t="s">
        <v>8276</v>
      </c>
      <c r="B2952" s="5" t="s">
        <v>8277</v>
      </c>
      <c r="D2952" s="5" t="s">
        <v>83</v>
      </c>
      <c r="E2952" s="5" t="s">
        <v>41</v>
      </c>
      <c r="F2952" s="5" t="s">
        <v>281</v>
      </c>
      <c r="G2952" s="14" t="str">
        <f t="array" ref="G2952">IF(B2952="", "",
  LET(_xlpm.spell, IFERROR(IF(F2952="", "", INDEX(_xlws.FILTER(Hairstyles!$F:$F, ISNUMBER(SEARCH(F2952, Hairstyles!$B:$B))), 1)), "No Spell for Hairstyle"),
  _xlpm.vanillaPrefix, IF(LEFT(_xlpm.spell, 7)="Uvi_Wig", "", ";"),
  ";" &amp; IF(C2952="", B2952, C2952) &amp; IF(M2952="", "", " ("&amp;M2952&amp;")") &amp; CHAR(10) &amp;
  _xlpm.vanillaPrefix &amp; "Keyword = Uvi_Wig_Distr_KYWD|" &amp; B2952 &amp; CHAR(10) &amp;
  _xlpm.vanillaPrefix &amp; "Spell = " &amp; _xlpm.spell &amp; "|" &amp; B2952
  )
)</f>
        <v>;EncVigilantOfStendarr04RedguardF
;Keyword = Uvi_Wig_Distr_KYWD|EncVigilantOfStendarr04RedguardF
;Spell = No Spell for Hairstyle|EncVigilantOfStendarr04RedguardF</v>
      </c>
    </row>
    <row r="2953" ht="12.75" customHeight="1">
      <c r="A2953" s="5" t="s">
        <v>8278</v>
      </c>
      <c r="B2953" s="5" t="s">
        <v>8279</v>
      </c>
      <c r="D2953" s="5" t="s">
        <v>45</v>
      </c>
      <c r="E2953" s="5" t="s">
        <v>41</v>
      </c>
      <c r="F2953" s="5" t="s">
        <v>1854</v>
      </c>
      <c r="G2953" s="14" t="str">
        <f t="array" ref="G2953">IF(B2953="", "",
  LET(_xlpm.spell, IFERROR(IF(F2953="", "", INDEX(_xlws.FILTER(Hairstyles!$F:$F, ISNUMBER(SEARCH(F2953, Hairstyles!$B:$B))), 1)), "No Spell for Hairstyle"),
  _xlpm.vanillaPrefix, IF(LEFT(_xlpm.spell, 7)="Uvi_Wig", "", ";"),
  ";" &amp; IF(C2953="", B2953, C2953) &amp; IF(M2953="", "", " ("&amp;M2953&amp;")") &amp; CHAR(10) &amp;
  _xlpm.vanillaPrefix &amp; "Keyword = Uvi_Wig_Distr_KYWD|" &amp; B2953 &amp; CHAR(10) &amp;
  _xlpm.vanillaPrefix &amp; "Spell = " &amp; _xlpm.spell &amp; "|" &amp; B2953
  )
)</f>
        <v>;EncVigilantOfStendarr05DarkElfF
;Keyword = Uvi_Wig_Distr_KYWD|EncVigilantOfStendarr05DarkElfF
;Spell = No Spell for Hairstyle|EncVigilantOfStendarr05DarkElfF</v>
      </c>
    </row>
    <row r="2954" ht="12.75" customHeight="1">
      <c r="A2954" s="5" t="s">
        <v>8280</v>
      </c>
      <c r="B2954" s="5" t="s">
        <v>8281</v>
      </c>
      <c r="D2954" s="5" t="s">
        <v>38</v>
      </c>
      <c r="E2954" s="5" t="s">
        <v>41</v>
      </c>
      <c r="F2954" s="5" t="s">
        <v>69</v>
      </c>
      <c r="G2954" s="14" t="str">
        <f t="array" ref="G2954">IF(B2954="", "",
  LET(_xlpm.spell, IFERROR(IF(F2954="", "", INDEX(_xlws.FILTER(Hairstyles!$F:$F, ISNUMBER(SEARCH(F2954, Hairstyles!$B:$B))), 1)), "No Spell for Hairstyle"),
  _xlpm.vanillaPrefix, IF(LEFT(_xlpm.spell, 7)="Uvi_Wig", "", ";"),
  ";" &amp; IF(C2954="", B2954, C2954) &amp; IF(M2954="", "", " ("&amp;M2954&amp;")") &amp; CHAR(10) &amp;
  _xlpm.vanillaPrefix &amp; "Keyword = Uvi_Wig_Distr_KYWD|" &amp; B2954 &amp; CHAR(10) &amp;
  _xlpm.vanillaPrefix &amp; "Spell = " &amp; _xlpm.spell &amp; "|" &amp; B2954
  )
)</f>
        <v>;EncVigilantOfStendarr05NordF
;Keyword = Uvi_Wig_Distr_KYWD|EncVigilantOfStendarr05NordF
;Spell = No Spell for Hairstyle|EncVigilantOfStendarr05NordF</v>
      </c>
    </row>
    <row r="2955" ht="12.75" customHeight="1">
      <c r="A2955" s="5" t="s">
        <v>8282</v>
      </c>
      <c r="B2955" s="5" t="s">
        <v>8283</v>
      </c>
      <c r="D2955" s="5" t="s">
        <v>38</v>
      </c>
      <c r="E2955" s="5" t="s">
        <v>233</v>
      </c>
      <c r="F2955" s="5" t="s">
        <v>40</v>
      </c>
      <c r="G2955" s="14" t="str">
        <f t="array" ref="G2955">IF(B2955="", "",
  LET(_xlpm.spell, IFERROR(IF(F2955="", "", INDEX(_xlws.FILTER(Hairstyles!$F:$F, ISNUMBER(SEARCH(F2955, Hairstyles!$B:$B))), 1)), "No Spell for Hairstyle"),
  _xlpm.vanillaPrefix, IF(LEFT(_xlpm.spell, 7)="Uvi_Wig", "", ";"),
  ";" &amp; IF(C2955="", B2955, C2955) &amp; IF(M2955="", "", " ("&amp;M2955&amp;")") &amp; CHAR(10) &amp;
  _xlpm.vanillaPrefix &amp; "Keyword = Uvi_Wig_Distr_KYWD|" &amp; B2955 &amp; CHAR(10) &amp;
  _xlpm.vanillaPrefix &amp; "Spell = " &amp; _xlpm.spell &amp; "|" &amp; B2955
  )
)</f>
        <v>;EncVigilantOfStendarr05NordM01
;Keyword = Uvi_Wig_Distr_KYWD|EncVigilantOfStendarr05NordM01
;Spell = No Spell for Hairstyle|EncVigilantOfStendarr05NordM01</v>
      </c>
    </row>
    <row r="2956" ht="12.75" customHeight="1">
      <c r="A2956" s="5" t="s">
        <v>8284</v>
      </c>
      <c r="B2956" s="5" t="s">
        <v>8285</v>
      </c>
      <c r="D2956" s="5" t="s">
        <v>38</v>
      </c>
      <c r="E2956" s="5" t="s">
        <v>233</v>
      </c>
      <c r="F2956" s="5" t="s">
        <v>218</v>
      </c>
      <c r="G2956" s="14" t="str">
        <f t="array" ref="G2956">IF(B2956="", "",
  LET(_xlpm.spell, IFERROR(IF(F2956="", "", INDEX(_xlws.FILTER(Hairstyles!$F:$F, ISNUMBER(SEARCH(F2956, Hairstyles!$B:$B))), 1)), "No Spell for Hairstyle"),
  _xlpm.vanillaPrefix, IF(LEFT(_xlpm.spell, 7)="Uvi_Wig", "", ";"),
  ";" &amp; IF(C2956="", B2956, C2956) &amp; IF(M2956="", "", " ("&amp;M2956&amp;")") &amp; CHAR(10) &amp;
  _xlpm.vanillaPrefix &amp; "Keyword = Uvi_Wig_Distr_KYWD|" &amp; B2956 &amp; CHAR(10) &amp;
  _xlpm.vanillaPrefix &amp; "Spell = " &amp; _xlpm.spell &amp; "|" &amp; B2956
  )
)</f>
        <v>;EncVigilantOfStendarr05NordM02
;Keyword = Uvi_Wig_Distr_KYWD|EncVigilantOfStendarr05NordM02
;Spell = No Spell for Hairstyle|EncVigilantOfStendarr05NordM02</v>
      </c>
    </row>
    <row r="2957" ht="12.75" customHeight="1">
      <c r="A2957" s="5" t="s">
        <v>8286</v>
      </c>
      <c r="B2957" s="5" t="s">
        <v>8287</v>
      </c>
      <c r="D2957" s="5" t="s">
        <v>38</v>
      </c>
      <c r="E2957" s="5" t="s">
        <v>233</v>
      </c>
      <c r="F2957" s="5" t="s">
        <v>1906</v>
      </c>
      <c r="G2957" s="14" t="str">
        <f t="array" ref="G2957">IF(B2957="", "",
  LET(_xlpm.spell, IFERROR(IF(F2957="", "", INDEX(_xlws.FILTER(Hairstyles!$F:$F, ISNUMBER(SEARCH(F2957, Hairstyles!$B:$B))), 1)), "No Spell for Hairstyle"),
  _xlpm.vanillaPrefix, IF(LEFT(_xlpm.spell, 7)="Uvi_Wig", "", ";"),
  ";" &amp; IF(C2957="", B2957, C2957) &amp; IF(M2957="", "", " ("&amp;M2957&amp;")") &amp; CHAR(10) &amp;
  _xlpm.vanillaPrefix &amp; "Keyword = Uvi_Wig_Distr_KYWD|" &amp; B2957 &amp; CHAR(10) &amp;
  _xlpm.vanillaPrefix &amp; "Spell = " &amp; _xlpm.spell &amp; "|" &amp; B2957
  )
)</f>
        <v>;EncVigilantOfStendarr05NordM03
;Keyword = Uvi_Wig_Distr_KYWD|EncVigilantOfStendarr05NordM03
;Spell = No Spell for Hairstyle|EncVigilantOfStendarr05NordM03</v>
      </c>
    </row>
    <row r="2958" ht="12.75" customHeight="1">
      <c r="A2958" s="5" t="s">
        <v>8288</v>
      </c>
      <c r="B2958" s="5" t="s">
        <v>8289</v>
      </c>
      <c r="D2958" s="5" t="s">
        <v>38</v>
      </c>
      <c r="E2958" s="5" t="s">
        <v>233</v>
      </c>
      <c r="F2958" s="5" t="s">
        <v>1894</v>
      </c>
      <c r="G2958" s="14" t="str">
        <f t="array" ref="G2958">IF(B2958="", "",
  LET(_xlpm.spell, IFERROR(IF(F2958="", "", INDEX(_xlws.FILTER(Hairstyles!$F:$F, ISNUMBER(SEARCH(F2958, Hairstyles!$B:$B))), 1)), "No Spell for Hairstyle"),
  _xlpm.vanillaPrefix, IF(LEFT(_xlpm.spell, 7)="Uvi_Wig", "", ";"),
  ";" &amp; IF(C2958="", B2958, C2958) &amp; IF(M2958="", "", " ("&amp;M2958&amp;")") &amp; CHAR(10) &amp;
  _xlpm.vanillaPrefix &amp; "Keyword = Uvi_Wig_Distr_KYWD|" &amp; B2958 &amp; CHAR(10) &amp;
  _xlpm.vanillaPrefix &amp; "Spell = " &amp; _xlpm.spell &amp; "|" &amp; B2958
  )
)</f>
        <v>;EncVigilantOfStendarr05NordM04
;Keyword = Uvi_Wig_Distr_KYWD|EncVigilantOfStendarr05NordM04
;Spell = No Spell for Hairstyle|EncVigilantOfStendarr05NordM04</v>
      </c>
    </row>
    <row r="2959" ht="12.75" customHeight="1">
      <c r="A2959" s="5" t="s">
        <v>8290</v>
      </c>
      <c r="B2959" s="5" t="s">
        <v>8291</v>
      </c>
      <c r="D2959" s="5" t="s">
        <v>83</v>
      </c>
      <c r="E2959" s="5" t="s">
        <v>41</v>
      </c>
      <c r="F2959" s="5" t="s">
        <v>281</v>
      </c>
      <c r="G2959" s="14" t="str">
        <f t="array" ref="G2959">IF(B2959="", "",
  LET(_xlpm.spell, IFERROR(IF(F2959="", "", INDEX(_xlws.FILTER(Hairstyles!$F:$F, ISNUMBER(SEARCH(F2959, Hairstyles!$B:$B))), 1)), "No Spell for Hairstyle"),
  _xlpm.vanillaPrefix, IF(LEFT(_xlpm.spell, 7)="Uvi_Wig", "", ";"),
  ";" &amp; IF(C2959="", B2959, C2959) &amp; IF(M2959="", "", " ("&amp;M2959&amp;")") &amp; CHAR(10) &amp;
  _xlpm.vanillaPrefix &amp; "Keyword = Uvi_Wig_Distr_KYWD|" &amp; B2959 &amp; CHAR(10) &amp;
  _xlpm.vanillaPrefix &amp; "Spell = " &amp; _xlpm.spell &amp; "|" &amp; B2959
  )
)</f>
        <v>;EncVigilantOfStendarr05RedguardF
;Keyword = Uvi_Wig_Distr_KYWD|EncVigilantOfStendarr05RedguardF
;Spell = No Spell for Hairstyle|EncVigilantOfStendarr05RedguardF</v>
      </c>
    </row>
    <row r="2960" ht="12.75" customHeight="1">
      <c r="A2960" s="5" t="s">
        <v>8292</v>
      </c>
      <c r="B2960" s="5" t="s">
        <v>8293</v>
      </c>
      <c r="D2960" s="5" t="s">
        <v>16</v>
      </c>
      <c r="E2960" s="5" t="s">
        <v>41</v>
      </c>
      <c r="F2960" s="5" t="s">
        <v>42</v>
      </c>
      <c r="G2960" s="14" t="str">
        <f t="array" ref="G2960">IF(B2960="", "",
  LET(_xlpm.spell, IFERROR(IF(F2960="", "", INDEX(_xlws.FILTER(Hairstyles!$F:$F, ISNUMBER(SEARCH(F2960, Hairstyles!$B:$B))), 1)), "No Spell for Hairstyle"),
  _xlpm.vanillaPrefix, IF(LEFT(_xlpm.spell, 7)="Uvi_Wig", "", ";"),
  ";" &amp; IF(C2960="", B2960, C2960) &amp; IF(M2960="", "", " ("&amp;M2960&amp;")") &amp; CHAR(10) &amp;
  _xlpm.vanillaPrefix &amp; "Keyword = Uvi_Wig_Distr_KYWD|" &amp; B2960 &amp; CHAR(10) &amp;
  _xlpm.vanillaPrefix &amp; "Spell = " &amp; _xlpm.spell &amp; "|" &amp; B2960
  )
)</f>
        <v>;EncWarlockAtro01BretonF
;Keyword = Uvi_Wig_Distr_KYWD|EncWarlockAtro01BretonF
;Spell = No Spell for Hairstyle|EncWarlockAtro01BretonF</v>
      </c>
    </row>
    <row r="2961" ht="12.75" customHeight="1">
      <c r="A2961" s="5" t="s">
        <v>8294</v>
      </c>
      <c r="B2961" s="5" t="s">
        <v>8295</v>
      </c>
      <c r="D2961" s="5" t="s">
        <v>16</v>
      </c>
      <c r="E2961" s="5" t="s">
        <v>233</v>
      </c>
      <c r="F2961" s="5" t="s">
        <v>1894</v>
      </c>
      <c r="G2961" s="14" t="str">
        <f t="array" ref="G2961">IF(B2961="", "",
  LET(_xlpm.spell, IFERROR(IF(F2961="", "", INDEX(_xlws.FILTER(Hairstyles!$F:$F, ISNUMBER(SEARCH(F2961, Hairstyles!$B:$B))), 1)), "No Spell for Hairstyle"),
  _xlpm.vanillaPrefix, IF(LEFT(_xlpm.spell, 7)="Uvi_Wig", "", ";"),
  ";" &amp; IF(C2961="", B2961, C2961) &amp; IF(M2961="", "", " ("&amp;M2961&amp;")") &amp; CHAR(10) &amp;
  _xlpm.vanillaPrefix &amp; "Keyword = Uvi_Wig_Distr_KYWD|" &amp; B2961 &amp; CHAR(10) &amp;
  _xlpm.vanillaPrefix &amp; "Spell = " &amp; _xlpm.spell &amp; "|" &amp; B2961
  )
)</f>
        <v>;EncWarlockAtro01BretonM
;Keyword = Uvi_Wig_Distr_KYWD|EncWarlockAtro01BretonM
;Spell = No Spell for Hairstyle|EncWarlockAtro01BretonM</v>
      </c>
    </row>
    <row r="2962" ht="12.75" customHeight="1">
      <c r="A2962" s="5" t="s">
        <v>8296</v>
      </c>
      <c r="B2962" s="5" t="s">
        <v>8297</v>
      </c>
      <c r="D2962" s="5" t="s">
        <v>45</v>
      </c>
      <c r="E2962" s="5" t="s">
        <v>41</v>
      </c>
      <c r="F2962" s="5" t="s">
        <v>1691</v>
      </c>
      <c r="G2962" s="14" t="str">
        <f t="array" ref="G2962">IF(B2962="", "",
  LET(_xlpm.spell, IFERROR(IF(F2962="", "", INDEX(_xlws.FILTER(Hairstyles!$F:$F, ISNUMBER(SEARCH(F2962, Hairstyles!$B:$B))), 1)), "No Spell for Hairstyle"),
  _xlpm.vanillaPrefix, IF(LEFT(_xlpm.spell, 7)="Uvi_Wig", "", ";"),
  ";" &amp; IF(C2962="", B2962, C2962) &amp; IF(M2962="", "", " ("&amp;M2962&amp;")") &amp; CHAR(10) &amp;
  _xlpm.vanillaPrefix &amp; "Keyword = Uvi_Wig_Distr_KYWD|" &amp; B2962 &amp; CHAR(10) &amp;
  _xlpm.vanillaPrefix &amp; "Spell = " &amp; _xlpm.spell &amp; "|" &amp; B2962
  )
)</f>
        <v>;EncWarlockAtro01DarkElfF
;Keyword = Uvi_Wig_Distr_KYWD|EncWarlockAtro01DarkElfF
;Spell = No Spell for Hairstyle|EncWarlockAtro01DarkElfF</v>
      </c>
    </row>
    <row r="2963" ht="12.75" customHeight="1">
      <c r="A2963" s="5" t="s">
        <v>8298</v>
      </c>
      <c r="B2963" s="5" t="s">
        <v>8299</v>
      </c>
      <c r="D2963" s="5" t="s">
        <v>45</v>
      </c>
      <c r="E2963" s="5" t="s">
        <v>233</v>
      </c>
      <c r="F2963" s="5" t="s">
        <v>1541</v>
      </c>
      <c r="G2963" s="14" t="str">
        <f t="array" ref="G2963">IF(B2963="", "",
  LET(_xlpm.spell, IFERROR(IF(F2963="", "", INDEX(_xlws.FILTER(Hairstyles!$F:$F, ISNUMBER(SEARCH(F2963, Hairstyles!$B:$B))), 1)), "No Spell for Hairstyle"),
  _xlpm.vanillaPrefix, IF(LEFT(_xlpm.spell, 7)="Uvi_Wig", "", ";"),
  ";" &amp; IF(C2963="", B2963, C2963) &amp; IF(M2963="", "", " ("&amp;M2963&amp;")") &amp; CHAR(10) &amp;
  _xlpm.vanillaPrefix &amp; "Keyword = Uvi_Wig_Distr_KYWD|" &amp; B2963 &amp; CHAR(10) &amp;
  _xlpm.vanillaPrefix &amp; "Spell = " &amp; _xlpm.spell &amp; "|" &amp; B2963
  )
)</f>
        <v>;EncWarlockAtro01DarkElfM
;Keyword = Uvi_Wig_Distr_KYWD|EncWarlockAtro01DarkElfM
;Spell = No Spell for Hairstyle|EncWarlockAtro01DarkElfM</v>
      </c>
    </row>
    <row r="2964" ht="12.75" customHeight="1">
      <c r="A2964" s="5" t="s">
        <v>8300</v>
      </c>
      <c r="B2964" s="5" t="s">
        <v>8301</v>
      </c>
      <c r="D2964" s="5" t="s">
        <v>57</v>
      </c>
      <c r="E2964" s="5" t="s">
        <v>41</v>
      </c>
      <c r="F2964" s="5" t="s">
        <v>1656</v>
      </c>
      <c r="G2964" s="14" t="str">
        <f t="array" ref="G2964">IF(B2964="", "",
  LET(_xlpm.spell, IFERROR(IF(F2964="", "", INDEX(_xlws.FILTER(Hairstyles!$F:$F, ISNUMBER(SEARCH(F2964, Hairstyles!$B:$B))), 1)), "No Spell for Hairstyle"),
  _xlpm.vanillaPrefix, IF(LEFT(_xlpm.spell, 7)="Uvi_Wig", "", ";"),
  ";" &amp; IF(C2964="", B2964, C2964) &amp; IF(M2964="", "", " ("&amp;M2964&amp;")") &amp; CHAR(10) &amp;
  _xlpm.vanillaPrefix &amp; "Keyword = Uvi_Wig_Distr_KYWD|" &amp; B2964 &amp; CHAR(10) &amp;
  _xlpm.vanillaPrefix &amp; "Spell = " &amp; _xlpm.spell &amp; "|" &amp; B2964
  )
)</f>
        <v>;EncWarlockAtro01HighElfF
;Keyword = Uvi_Wig_Distr_KYWD|EncWarlockAtro01HighElfF
;Spell = No Spell for Hairstyle|EncWarlockAtro01HighElfF</v>
      </c>
    </row>
    <row r="2965" ht="12.75" customHeight="1">
      <c r="A2965" s="5" t="s">
        <v>8302</v>
      </c>
      <c r="B2965" s="5" t="s">
        <v>8303</v>
      </c>
      <c r="D2965" s="5" t="s">
        <v>57</v>
      </c>
      <c r="E2965" s="5" t="s">
        <v>233</v>
      </c>
      <c r="F2965" s="5" t="s">
        <v>1937</v>
      </c>
      <c r="G2965" s="14" t="str">
        <f t="array" ref="G2965">IF(B2965="", "",
  LET(_xlpm.spell, IFERROR(IF(F2965="", "", INDEX(_xlws.FILTER(Hairstyles!$F:$F, ISNUMBER(SEARCH(F2965, Hairstyles!$B:$B))), 1)), "No Spell for Hairstyle"),
  _xlpm.vanillaPrefix, IF(LEFT(_xlpm.spell, 7)="Uvi_Wig", "", ";"),
  ";" &amp; IF(C2965="", B2965, C2965) &amp; IF(M2965="", "", " ("&amp;M2965&amp;")") &amp; CHAR(10) &amp;
  _xlpm.vanillaPrefix &amp; "Keyword = Uvi_Wig_Distr_KYWD|" &amp; B2965 &amp; CHAR(10) &amp;
  _xlpm.vanillaPrefix &amp; "Spell = " &amp; _xlpm.spell &amp; "|" &amp; B2965
  )
)</f>
        <v>;EncWarlockAtro01HighElfM
;Keyword = Uvi_Wig_Distr_KYWD|EncWarlockAtro01HighElfM
;Spell = No Spell for Hairstyle|EncWarlockAtro01HighElfM</v>
      </c>
    </row>
    <row r="2966" ht="12.75" customHeight="1">
      <c r="A2966" s="5" t="s">
        <v>8304</v>
      </c>
      <c r="B2966" s="5" t="s">
        <v>8305</v>
      </c>
      <c r="D2966" s="5" t="s">
        <v>59</v>
      </c>
      <c r="E2966" s="5" t="s">
        <v>41</v>
      </c>
      <c r="F2966" s="5" t="s">
        <v>343</v>
      </c>
      <c r="G2966" s="14" t="str">
        <f t="array" ref="G2966">IF(B2966="", "",
  LET(_xlpm.spell, IFERROR(IF(F2966="", "", INDEX(_xlws.FILTER(Hairstyles!$F:$F, ISNUMBER(SEARCH(F2966, Hairstyles!$B:$B))), 1)), "No Spell for Hairstyle"),
  _xlpm.vanillaPrefix, IF(LEFT(_xlpm.spell, 7)="Uvi_Wig", "", ";"),
  ";" &amp; IF(C2966="", B2966, C2966) &amp; IF(M2966="", "", " ("&amp;M2966&amp;")") &amp; CHAR(10) &amp;
  _xlpm.vanillaPrefix &amp; "Keyword = Uvi_Wig_Distr_KYWD|" &amp; B2966 &amp; CHAR(10) &amp;
  _xlpm.vanillaPrefix &amp; "Spell = " &amp; _xlpm.spell &amp; "|" &amp; B2966
  )
)</f>
        <v>;EncWarlockAtro01ImperialF
;Keyword = Uvi_Wig_Distr_KYWD|EncWarlockAtro01ImperialF
;Spell = No Spell for Hairstyle|EncWarlockAtro01ImperialF</v>
      </c>
    </row>
    <row r="2967" ht="12.75" customHeight="1">
      <c r="A2967" s="5" t="s">
        <v>8306</v>
      </c>
      <c r="B2967" s="5" t="s">
        <v>8307</v>
      </c>
      <c r="D2967" s="5" t="s">
        <v>59</v>
      </c>
      <c r="E2967" s="5" t="s">
        <v>233</v>
      </c>
      <c r="F2967" s="5" t="s">
        <v>234</v>
      </c>
      <c r="G2967" s="14" t="str">
        <f t="array" ref="G2967">IF(B2967="", "",
  LET(_xlpm.spell, IFERROR(IF(F2967="", "", INDEX(_xlws.FILTER(Hairstyles!$F:$F, ISNUMBER(SEARCH(F2967, Hairstyles!$B:$B))), 1)), "No Spell for Hairstyle"),
  _xlpm.vanillaPrefix, IF(LEFT(_xlpm.spell, 7)="Uvi_Wig", "", ";"),
  ";" &amp; IF(C2967="", B2967, C2967) &amp; IF(M2967="", "", " ("&amp;M2967&amp;")") &amp; CHAR(10) &amp;
  _xlpm.vanillaPrefix &amp; "Keyword = Uvi_Wig_Distr_KYWD|" &amp; B2967 &amp; CHAR(10) &amp;
  _xlpm.vanillaPrefix &amp; "Spell = " &amp; _xlpm.spell &amp; "|" &amp; B2967
  )
)</f>
        <v>;EncWarlockAtro01ImperialM
;Keyword = Uvi_Wig_Distr_KYWD|EncWarlockAtro01ImperialM
;Spell = No Spell for Hairstyle|EncWarlockAtro01ImperialM</v>
      </c>
    </row>
    <row r="2968" ht="12.75" customHeight="1">
      <c r="A2968" s="5" t="s">
        <v>8308</v>
      </c>
      <c r="B2968" s="5" t="s">
        <v>8309</v>
      </c>
      <c r="D2968" s="5" t="s">
        <v>16</v>
      </c>
      <c r="E2968" s="5" t="s">
        <v>41</v>
      </c>
      <c r="F2968" s="5" t="s">
        <v>905</v>
      </c>
      <c r="G2968" s="14" t="str">
        <f t="array" ref="G2968">IF(B2968="", "",
  LET(_xlpm.spell, IFERROR(IF(F2968="", "", INDEX(_xlws.FILTER(Hairstyles!$F:$F, ISNUMBER(SEARCH(F2968, Hairstyles!$B:$B))), 1)), "No Spell for Hairstyle"),
  _xlpm.vanillaPrefix, IF(LEFT(_xlpm.spell, 7)="Uvi_Wig", "", ";"),
  ";" &amp; IF(C2968="", B2968, C2968) &amp; IF(M2968="", "", " ("&amp;M2968&amp;")") &amp; CHAR(10) &amp;
  _xlpm.vanillaPrefix &amp; "Keyword = Uvi_Wig_Distr_KYWD|" &amp; B2968 &amp; CHAR(10) &amp;
  _xlpm.vanillaPrefix &amp; "Spell = " &amp; _xlpm.spell &amp; "|" &amp; B2968
  )
)</f>
        <v>;EncWarlockAtro02BossBretonF
;Keyword = Uvi_Wig_Distr_KYWD|EncWarlockAtro02BossBretonF
;Spell = No Spell for Hairstyle|EncWarlockAtro02BossBretonF</v>
      </c>
    </row>
    <row r="2969" ht="12.75" customHeight="1">
      <c r="A2969" s="5" t="s">
        <v>8310</v>
      </c>
      <c r="B2969" s="5" t="s">
        <v>8311</v>
      </c>
      <c r="D2969" s="5" t="s">
        <v>16</v>
      </c>
      <c r="E2969" s="5" t="s">
        <v>233</v>
      </c>
      <c r="F2969" s="5" t="s">
        <v>40</v>
      </c>
      <c r="G2969" s="14" t="str">
        <f t="array" ref="G2969">IF(B2969="", "",
  LET(_xlpm.spell, IFERROR(IF(F2969="", "", INDEX(_xlws.FILTER(Hairstyles!$F:$F, ISNUMBER(SEARCH(F2969, Hairstyles!$B:$B))), 1)), "No Spell for Hairstyle"),
  _xlpm.vanillaPrefix, IF(LEFT(_xlpm.spell, 7)="Uvi_Wig", "", ";"),
  ";" &amp; IF(C2969="", B2969, C2969) &amp; IF(M2969="", "", " ("&amp;M2969&amp;")") &amp; CHAR(10) &amp;
  _xlpm.vanillaPrefix &amp; "Keyword = Uvi_Wig_Distr_KYWD|" &amp; B2969 &amp; CHAR(10) &amp;
  _xlpm.vanillaPrefix &amp; "Spell = " &amp; _xlpm.spell &amp; "|" &amp; B2969
  )
)</f>
        <v>;EncWarlockAtro02BossBretonM
;Keyword = Uvi_Wig_Distr_KYWD|EncWarlockAtro02BossBretonM
;Spell = No Spell for Hairstyle|EncWarlockAtro02BossBretonM</v>
      </c>
    </row>
    <row r="2970" ht="12.75" customHeight="1">
      <c r="A2970" s="5" t="s">
        <v>8312</v>
      </c>
      <c r="B2970" s="5" t="s">
        <v>8313</v>
      </c>
      <c r="D2970" s="5" t="s">
        <v>57</v>
      </c>
      <c r="E2970" s="5" t="s">
        <v>41</v>
      </c>
      <c r="F2970" s="5" t="s">
        <v>491</v>
      </c>
      <c r="G2970" s="14" t="str">
        <f t="array" ref="G2970">IF(B2970="", "",
  LET(_xlpm.spell, IFERROR(IF(F2970="", "", INDEX(_xlws.FILTER(Hairstyles!$F:$F, ISNUMBER(SEARCH(F2970, Hairstyles!$B:$B))), 1)), "No Spell for Hairstyle"),
  _xlpm.vanillaPrefix, IF(LEFT(_xlpm.spell, 7)="Uvi_Wig", "", ";"),
  ";" &amp; IF(C2970="", B2970, C2970) &amp; IF(M2970="", "", " ("&amp;M2970&amp;")") &amp; CHAR(10) &amp;
  _xlpm.vanillaPrefix &amp; "Keyword = Uvi_Wig_Distr_KYWD|" &amp; B2970 &amp; CHAR(10) &amp;
  _xlpm.vanillaPrefix &amp; "Spell = " &amp; _xlpm.spell &amp; "|" &amp; B2970
  )
)</f>
        <v>;EncWarlockAtro02BossHighElfF
;Keyword = Uvi_Wig_Distr_KYWD|EncWarlockAtro02BossHighElfF
;Spell = No Spell for Hairstyle|EncWarlockAtro02BossHighElfF</v>
      </c>
    </row>
    <row r="2971" ht="12.75" customHeight="1">
      <c r="A2971" s="5" t="s">
        <v>8314</v>
      </c>
      <c r="B2971" s="5" t="s">
        <v>8315</v>
      </c>
      <c r="D2971" s="5" t="s">
        <v>57</v>
      </c>
      <c r="E2971" s="5" t="s">
        <v>233</v>
      </c>
      <c r="F2971" s="5" t="s">
        <v>1723</v>
      </c>
      <c r="G2971" s="14" t="str">
        <f t="array" ref="G2971">IF(B2971="", "",
  LET(_xlpm.spell, IFERROR(IF(F2971="", "", INDEX(_xlws.FILTER(Hairstyles!$F:$F, ISNUMBER(SEARCH(F2971, Hairstyles!$B:$B))), 1)), "No Spell for Hairstyle"),
  _xlpm.vanillaPrefix, IF(LEFT(_xlpm.spell, 7)="Uvi_Wig", "", ";"),
  ";" &amp; IF(C2971="", B2971, C2971) &amp; IF(M2971="", "", " ("&amp;M2971&amp;")") &amp; CHAR(10) &amp;
  _xlpm.vanillaPrefix &amp; "Keyword = Uvi_Wig_Distr_KYWD|" &amp; B2971 &amp; CHAR(10) &amp;
  _xlpm.vanillaPrefix &amp; "Spell = " &amp; _xlpm.spell &amp; "|" &amp; B2971
  )
)</f>
        <v>;EncWarlockAtro02BossHighElfM
;Keyword = Uvi_Wig_Distr_KYWD|EncWarlockAtro02BossHighElfM
;Spell = No Spell for Hairstyle|EncWarlockAtro02BossHighElfM</v>
      </c>
    </row>
    <row r="2972" ht="12.75" customHeight="1">
      <c r="A2972" s="5" t="s">
        <v>8316</v>
      </c>
      <c r="B2972" s="5" t="s">
        <v>8317</v>
      </c>
      <c r="D2972" s="5" t="s">
        <v>16</v>
      </c>
      <c r="E2972" s="5" t="s">
        <v>41</v>
      </c>
      <c r="F2972" s="5" t="s">
        <v>1557</v>
      </c>
      <c r="G2972" s="14" t="str">
        <f t="array" ref="G2972">IF(B2972="", "",
  LET(_xlpm.spell, IFERROR(IF(F2972="", "", INDEX(_xlws.FILTER(Hairstyles!$F:$F, ISNUMBER(SEARCH(F2972, Hairstyles!$B:$B))), 1)), "No Spell for Hairstyle"),
  _xlpm.vanillaPrefix, IF(LEFT(_xlpm.spell, 7)="Uvi_Wig", "", ";"),
  ";" &amp; IF(C2972="", B2972, C2972) &amp; IF(M2972="", "", " ("&amp;M2972&amp;")") &amp; CHAR(10) &amp;
  _xlpm.vanillaPrefix &amp; "Keyword = Uvi_Wig_Distr_KYWD|" &amp; B2972 &amp; CHAR(10) &amp;
  _xlpm.vanillaPrefix &amp; "Spell = " &amp; _xlpm.spell &amp; "|" &amp; B2972
  )
)</f>
        <v>;EncWarlockAtro02BretonF
;Keyword = Uvi_Wig_Distr_KYWD|EncWarlockAtro02BretonF
;Spell = No Spell for Hairstyle|EncWarlockAtro02BretonF</v>
      </c>
    </row>
    <row r="2973" ht="12.75" customHeight="1">
      <c r="A2973" s="5" t="s">
        <v>8318</v>
      </c>
      <c r="B2973" s="5" t="s">
        <v>8319</v>
      </c>
      <c r="D2973" s="5" t="s">
        <v>16</v>
      </c>
      <c r="E2973" s="5" t="s">
        <v>233</v>
      </c>
      <c r="F2973" s="5" t="s">
        <v>424</v>
      </c>
      <c r="G2973" s="14" t="str">
        <f t="array" ref="G2973">IF(B2973="", "",
  LET(_xlpm.spell, IFERROR(IF(F2973="", "", INDEX(_xlws.FILTER(Hairstyles!$F:$F, ISNUMBER(SEARCH(F2973, Hairstyles!$B:$B))), 1)), "No Spell for Hairstyle"),
  _xlpm.vanillaPrefix, IF(LEFT(_xlpm.spell, 7)="Uvi_Wig", "", ";"),
  ";" &amp; IF(C2973="", B2973, C2973) &amp; IF(M2973="", "", " ("&amp;M2973&amp;")") &amp; CHAR(10) &amp;
  _xlpm.vanillaPrefix &amp; "Keyword = Uvi_Wig_Distr_KYWD|" &amp; B2973 &amp; CHAR(10) &amp;
  _xlpm.vanillaPrefix &amp; "Spell = " &amp; _xlpm.spell &amp; "|" &amp; B2973
  )
)</f>
        <v>;EncWarlockAtro02BretonM
;Keyword = Uvi_Wig_Distr_KYWD|EncWarlockAtro02BretonM
;Spell = No Spell for Hairstyle|EncWarlockAtro02BretonM</v>
      </c>
    </row>
    <row r="2974" ht="12.75" customHeight="1">
      <c r="A2974" s="5" t="s">
        <v>8320</v>
      </c>
      <c r="B2974" s="5" t="s">
        <v>8321</v>
      </c>
      <c r="D2974" s="5" t="s">
        <v>45</v>
      </c>
      <c r="E2974" s="5" t="s">
        <v>41</v>
      </c>
      <c r="F2974" s="5" t="s">
        <v>1854</v>
      </c>
      <c r="G2974" s="14" t="str">
        <f t="array" ref="G2974">IF(B2974="", "",
  LET(_xlpm.spell, IFERROR(IF(F2974="", "", INDEX(_xlws.FILTER(Hairstyles!$F:$F, ISNUMBER(SEARCH(F2974, Hairstyles!$B:$B))), 1)), "No Spell for Hairstyle"),
  _xlpm.vanillaPrefix, IF(LEFT(_xlpm.spell, 7)="Uvi_Wig", "", ";"),
  ";" &amp; IF(C2974="", B2974, C2974) &amp; IF(M2974="", "", " ("&amp;M2974&amp;")") &amp; CHAR(10) &amp;
  _xlpm.vanillaPrefix &amp; "Keyword = Uvi_Wig_Distr_KYWD|" &amp; B2974 &amp; CHAR(10) &amp;
  _xlpm.vanillaPrefix &amp; "Spell = " &amp; _xlpm.spell &amp; "|" &amp; B2974
  )
)</f>
        <v>;EncWarlockAtro02DarkElfF
;Keyword = Uvi_Wig_Distr_KYWD|EncWarlockAtro02DarkElfF
;Spell = No Spell for Hairstyle|EncWarlockAtro02DarkElfF</v>
      </c>
    </row>
    <row r="2975" ht="12.75" customHeight="1">
      <c r="A2975" s="5" t="s">
        <v>8322</v>
      </c>
      <c r="B2975" s="5" t="s">
        <v>8323</v>
      </c>
      <c r="D2975" s="5" t="s">
        <v>45</v>
      </c>
      <c r="E2975" s="5" t="s">
        <v>233</v>
      </c>
      <c r="F2975" s="5" t="s">
        <v>534</v>
      </c>
      <c r="G2975" s="14" t="str">
        <f t="array" ref="G2975">IF(B2975="", "",
  LET(_xlpm.spell, IFERROR(IF(F2975="", "", INDEX(_xlws.FILTER(Hairstyles!$F:$F, ISNUMBER(SEARCH(F2975, Hairstyles!$B:$B))), 1)), "No Spell for Hairstyle"),
  _xlpm.vanillaPrefix, IF(LEFT(_xlpm.spell, 7)="Uvi_Wig", "", ";"),
  ";" &amp; IF(C2975="", B2975, C2975) &amp; IF(M2975="", "", " ("&amp;M2975&amp;")") &amp; CHAR(10) &amp;
  _xlpm.vanillaPrefix &amp; "Keyword = Uvi_Wig_Distr_KYWD|" &amp; B2975 &amp; CHAR(10) &amp;
  _xlpm.vanillaPrefix &amp; "Spell = " &amp; _xlpm.spell &amp; "|" &amp; B2975
  )
)</f>
        <v>;EncWarlockAtro02DarkElfM
;Keyword = Uvi_Wig_Distr_KYWD|EncWarlockAtro02DarkElfM
;Spell = No Spell for Hairstyle|EncWarlockAtro02DarkElfM</v>
      </c>
    </row>
    <row r="2976" ht="12.75" customHeight="1">
      <c r="A2976" s="5" t="s">
        <v>8324</v>
      </c>
      <c r="B2976" s="5" t="s">
        <v>8325</v>
      </c>
      <c r="D2976" s="5" t="s">
        <v>57</v>
      </c>
      <c r="E2976" s="5" t="s">
        <v>41</v>
      </c>
      <c r="F2976" s="5" t="s">
        <v>48</v>
      </c>
      <c r="G2976" s="14" t="str">
        <f t="array" ref="G2976">IF(B2976="", "",
  LET(_xlpm.spell, IFERROR(IF(F2976="", "", INDEX(_xlws.FILTER(Hairstyles!$F:$F, ISNUMBER(SEARCH(F2976, Hairstyles!$B:$B))), 1)), "No Spell for Hairstyle"),
  _xlpm.vanillaPrefix, IF(LEFT(_xlpm.spell, 7)="Uvi_Wig", "", ";"),
  ";" &amp; IF(C2976="", B2976, C2976) &amp; IF(M2976="", "", " ("&amp;M2976&amp;")") &amp; CHAR(10) &amp;
  _xlpm.vanillaPrefix &amp; "Keyword = Uvi_Wig_Distr_KYWD|" &amp; B2976 &amp; CHAR(10) &amp;
  _xlpm.vanillaPrefix &amp; "Spell = " &amp; _xlpm.spell &amp; "|" &amp; B2976
  )
)</f>
        <v>;EncWarlockAtro02HighElfF
;Keyword = Uvi_Wig_Distr_KYWD|EncWarlockAtro02HighElfF
;Spell = No Spell for Hairstyle|EncWarlockAtro02HighElfF</v>
      </c>
    </row>
    <row r="2977" ht="12.75" customHeight="1">
      <c r="A2977" s="5" t="s">
        <v>8326</v>
      </c>
      <c r="B2977" s="5" t="s">
        <v>8327</v>
      </c>
      <c r="D2977" s="5" t="s">
        <v>57</v>
      </c>
      <c r="E2977" s="5" t="s">
        <v>233</v>
      </c>
      <c r="F2977" s="5" t="s">
        <v>47</v>
      </c>
      <c r="G2977" s="14" t="str">
        <f t="array" ref="G2977">IF(B2977="", "",
  LET(_xlpm.spell, IFERROR(IF(F2977="", "", INDEX(_xlws.FILTER(Hairstyles!$F:$F, ISNUMBER(SEARCH(F2977, Hairstyles!$B:$B))), 1)), "No Spell for Hairstyle"),
  _xlpm.vanillaPrefix, IF(LEFT(_xlpm.spell, 7)="Uvi_Wig", "", ";"),
  ";" &amp; IF(C2977="", B2977, C2977) &amp; IF(M2977="", "", " ("&amp;M2977&amp;")") &amp; CHAR(10) &amp;
  _xlpm.vanillaPrefix &amp; "Keyword = Uvi_Wig_Distr_KYWD|" &amp; B2977 &amp; CHAR(10) &amp;
  _xlpm.vanillaPrefix &amp; "Spell = " &amp; _xlpm.spell &amp; "|" &amp; B2977
  )
)</f>
        <v>;EncWarlockAtro02HighElfM
;Keyword = Uvi_Wig_Distr_KYWD|EncWarlockAtro02HighElfM
;Spell = No Spell for Hairstyle|EncWarlockAtro02HighElfM</v>
      </c>
    </row>
    <row r="2978" ht="12.75" customHeight="1">
      <c r="A2978" s="5" t="s">
        <v>8328</v>
      </c>
      <c r="B2978" s="5" t="s">
        <v>8329</v>
      </c>
      <c r="D2978" s="5" t="s">
        <v>59</v>
      </c>
      <c r="E2978" s="5" t="s">
        <v>41</v>
      </c>
      <c r="F2978" s="5" t="s">
        <v>44</v>
      </c>
      <c r="G2978" s="14" t="str">
        <f t="array" ref="G2978">IF(B2978="", "",
  LET(_xlpm.spell, IFERROR(IF(F2978="", "", INDEX(_xlws.FILTER(Hairstyles!$F:$F, ISNUMBER(SEARCH(F2978, Hairstyles!$B:$B))), 1)), "No Spell for Hairstyle"),
  _xlpm.vanillaPrefix, IF(LEFT(_xlpm.spell, 7)="Uvi_Wig", "", ";"),
  ";" &amp; IF(C2978="", B2978, C2978) &amp; IF(M2978="", "", " ("&amp;M2978&amp;")") &amp; CHAR(10) &amp;
  _xlpm.vanillaPrefix &amp; "Keyword = Uvi_Wig_Distr_KYWD|" &amp; B2978 &amp; CHAR(10) &amp;
  _xlpm.vanillaPrefix &amp; "Spell = " &amp; _xlpm.spell &amp; "|" &amp; B2978
  )
)</f>
        <v>;EncWarlockAtro02ImperialF
;Keyword = Uvi_Wig_Distr_KYWD|EncWarlockAtro02ImperialF
;Spell = No Spell for Hairstyle|EncWarlockAtro02ImperialF</v>
      </c>
    </row>
    <row r="2979" ht="12.75" customHeight="1">
      <c r="A2979" s="5" t="s">
        <v>8330</v>
      </c>
      <c r="B2979" s="5" t="s">
        <v>8331</v>
      </c>
      <c r="D2979" s="5" t="s">
        <v>59</v>
      </c>
      <c r="E2979" s="5" t="s">
        <v>233</v>
      </c>
      <c r="F2979" s="5" t="s">
        <v>346</v>
      </c>
      <c r="G2979" s="14" t="str">
        <f t="array" ref="G2979">IF(B2979="", "",
  LET(_xlpm.spell, IFERROR(IF(F2979="", "", INDEX(_xlws.FILTER(Hairstyles!$F:$F, ISNUMBER(SEARCH(F2979, Hairstyles!$B:$B))), 1)), "No Spell for Hairstyle"),
  _xlpm.vanillaPrefix, IF(LEFT(_xlpm.spell, 7)="Uvi_Wig", "", ";"),
  ";" &amp; IF(C2979="", B2979, C2979) &amp; IF(M2979="", "", " ("&amp;M2979&amp;")") &amp; CHAR(10) &amp;
  _xlpm.vanillaPrefix &amp; "Keyword = Uvi_Wig_Distr_KYWD|" &amp; B2979 &amp; CHAR(10) &amp;
  _xlpm.vanillaPrefix &amp; "Spell = " &amp; _xlpm.spell &amp; "|" &amp; B2979
  )
)</f>
        <v>;EncWarlockAtro02ImperialM
;Keyword = Uvi_Wig_Distr_KYWD|EncWarlockAtro02ImperialM
;Spell = No Spell for Hairstyle|EncWarlockAtro02ImperialM</v>
      </c>
    </row>
    <row r="2980" ht="12.75" customHeight="1">
      <c r="A2980" s="5" t="s">
        <v>8332</v>
      </c>
      <c r="B2980" s="5" t="s">
        <v>8333</v>
      </c>
      <c r="D2980" s="5" t="s">
        <v>16</v>
      </c>
      <c r="E2980" s="5" t="s">
        <v>41</v>
      </c>
      <c r="F2980" s="5" t="s">
        <v>4628</v>
      </c>
      <c r="G2980" s="14" t="str">
        <f t="array" ref="G2980">IF(B2980="", "",
  LET(_xlpm.spell, IFERROR(IF(F2980="", "", INDEX(_xlws.FILTER(Hairstyles!$F:$F, ISNUMBER(SEARCH(F2980, Hairstyles!$B:$B))), 1)), "No Spell for Hairstyle"),
  _xlpm.vanillaPrefix, IF(LEFT(_xlpm.spell, 7)="Uvi_Wig", "", ";"),
  ";" &amp; IF(C2980="", B2980, C2980) &amp; IF(M2980="", "", " ("&amp;M2980&amp;")") &amp; CHAR(10) &amp;
  _xlpm.vanillaPrefix &amp; "Keyword = Uvi_Wig_Distr_KYWD|" &amp; B2980 &amp; CHAR(10) &amp;
  _xlpm.vanillaPrefix &amp; "Spell = " &amp; _xlpm.spell &amp; "|" &amp; B2980
  )
)</f>
        <v>;EncWarlockAtro03BossBretonF
;Keyword = Uvi_Wig_Distr_KYWD|EncWarlockAtro03BossBretonF
;Spell = No Spell for Hairstyle|EncWarlockAtro03BossBretonF</v>
      </c>
    </row>
    <row r="2981" ht="12.75" customHeight="1">
      <c r="A2981" s="5" t="s">
        <v>8334</v>
      </c>
      <c r="B2981" s="5" t="s">
        <v>8335</v>
      </c>
      <c r="D2981" s="5" t="s">
        <v>16</v>
      </c>
      <c r="E2981" s="5" t="s">
        <v>233</v>
      </c>
      <c r="F2981" s="5" t="s">
        <v>40</v>
      </c>
      <c r="G2981" s="14" t="str">
        <f t="array" ref="G2981">IF(B2981="", "",
  LET(_xlpm.spell, IFERROR(IF(F2981="", "", INDEX(_xlws.FILTER(Hairstyles!$F:$F, ISNUMBER(SEARCH(F2981, Hairstyles!$B:$B))), 1)), "No Spell for Hairstyle"),
  _xlpm.vanillaPrefix, IF(LEFT(_xlpm.spell, 7)="Uvi_Wig", "", ";"),
  ";" &amp; IF(C2981="", B2981, C2981) &amp; IF(M2981="", "", " ("&amp;M2981&amp;")") &amp; CHAR(10) &amp;
  _xlpm.vanillaPrefix &amp; "Keyword = Uvi_Wig_Distr_KYWD|" &amp; B2981 &amp; CHAR(10) &amp;
  _xlpm.vanillaPrefix &amp; "Spell = " &amp; _xlpm.spell &amp; "|" &amp; B2981
  )
)</f>
        <v>;EncWarlockAtro03BossBretonM
;Keyword = Uvi_Wig_Distr_KYWD|EncWarlockAtro03BossBretonM
;Spell = No Spell for Hairstyle|EncWarlockAtro03BossBretonM</v>
      </c>
    </row>
    <row r="2982" ht="12.75" customHeight="1">
      <c r="A2982" s="5" t="s">
        <v>8336</v>
      </c>
      <c r="B2982" s="5" t="s">
        <v>8337</v>
      </c>
      <c r="D2982" s="5" t="s">
        <v>57</v>
      </c>
      <c r="E2982" s="5" t="s">
        <v>41</v>
      </c>
      <c r="F2982" s="5" t="s">
        <v>48</v>
      </c>
      <c r="G2982" s="14" t="str">
        <f t="array" ref="G2982">IF(B2982="", "",
  LET(_xlpm.spell, IFERROR(IF(F2982="", "", INDEX(_xlws.FILTER(Hairstyles!$F:$F, ISNUMBER(SEARCH(F2982, Hairstyles!$B:$B))), 1)), "No Spell for Hairstyle"),
  _xlpm.vanillaPrefix, IF(LEFT(_xlpm.spell, 7)="Uvi_Wig", "", ";"),
  ";" &amp; IF(C2982="", B2982, C2982) &amp; IF(M2982="", "", " ("&amp;M2982&amp;")") &amp; CHAR(10) &amp;
  _xlpm.vanillaPrefix &amp; "Keyword = Uvi_Wig_Distr_KYWD|" &amp; B2982 &amp; CHAR(10) &amp;
  _xlpm.vanillaPrefix &amp; "Spell = " &amp; _xlpm.spell &amp; "|" &amp; B2982
  )
)</f>
        <v>;EncWarlockAtro03BossHighElfF
;Keyword = Uvi_Wig_Distr_KYWD|EncWarlockAtro03BossHighElfF
;Spell = No Spell for Hairstyle|EncWarlockAtro03BossHighElfF</v>
      </c>
    </row>
    <row r="2983" ht="12.75" customHeight="1">
      <c r="A2983" s="5" t="s">
        <v>8338</v>
      </c>
      <c r="B2983" s="5" t="s">
        <v>8339</v>
      </c>
      <c r="D2983" s="5" t="s">
        <v>57</v>
      </c>
      <c r="E2983" s="5" t="s">
        <v>233</v>
      </c>
      <c r="F2983" s="5" t="s">
        <v>47</v>
      </c>
      <c r="G2983" s="14" t="str">
        <f t="array" ref="G2983">IF(B2983="", "",
  LET(_xlpm.spell, IFERROR(IF(F2983="", "", INDEX(_xlws.FILTER(Hairstyles!$F:$F, ISNUMBER(SEARCH(F2983, Hairstyles!$B:$B))), 1)), "No Spell for Hairstyle"),
  _xlpm.vanillaPrefix, IF(LEFT(_xlpm.spell, 7)="Uvi_Wig", "", ";"),
  ";" &amp; IF(C2983="", B2983, C2983) &amp; IF(M2983="", "", " ("&amp;M2983&amp;")") &amp; CHAR(10) &amp;
  _xlpm.vanillaPrefix &amp; "Keyword = Uvi_Wig_Distr_KYWD|" &amp; B2983 &amp; CHAR(10) &amp;
  _xlpm.vanillaPrefix &amp; "Spell = " &amp; _xlpm.spell &amp; "|" &amp; B2983
  )
)</f>
        <v>;EncWarlockAtro03BossHighElfM
;Keyword = Uvi_Wig_Distr_KYWD|EncWarlockAtro03BossHighElfM
;Spell = No Spell for Hairstyle|EncWarlockAtro03BossHighElfM</v>
      </c>
    </row>
    <row r="2984" ht="12.75" customHeight="1">
      <c r="A2984" s="5" t="s">
        <v>8340</v>
      </c>
      <c r="B2984" s="5" t="s">
        <v>8341</v>
      </c>
      <c r="D2984" s="5" t="s">
        <v>16</v>
      </c>
      <c r="E2984" s="5" t="s">
        <v>41</v>
      </c>
      <c r="F2984" s="5" t="s">
        <v>1557</v>
      </c>
      <c r="G2984" s="14" t="str">
        <f t="array" ref="G2984">IF(B2984="", "",
  LET(_xlpm.spell, IFERROR(IF(F2984="", "", INDEX(_xlws.FILTER(Hairstyles!$F:$F, ISNUMBER(SEARCH(F2984, Hairstyles!$B:$B))), 1)), "No Spell for Hairstyle"),
  _xlpm.vanillaPrefix, IF(LEFT(_xlpm.spell, 7)="Uvi_Wig", "", ";"),
  ";" &amp; IF(C2984="", B2984, C2984) &amp; IF(M2984="", "", " ("&amp;M2984&amp;")") &amp; CHAR(10) &amp;
  _xlpm.vanillaPrefix &amp; "Keyword = Uvi_Wig_Distr_KYWD|" &amp; B2984 &amp; CHAR(10) &amp;
  _xlpm.vanillaPrefix &amp; "Spell = " &amp; _xlpm.spell &amp; "|" &amp; B2984
  )
)</f>
        <v>;EncWarlockAtro03BretonF
;Keyword = Uvi_Wig_Distr_KYWD|EncWarlockAtro03BretonF
;Spell = No Spell for Hairstyle|EncWarlockAtro03BretonF</v>
      </c>
    </row>
    <row r="2985" ht="12.75" customHeight="1">
      <c r="A2985" s="5" t="s">
        <v>8342</v>
      </c>
      <c r="B2985" s="5" t="s">
        <v>8343</v>
      </c>
      <c r="D2985" s="5" t="s">
        <v>16</v>
      </c>
      <c r="E2985" s="5" t="s">
        <v>233</v>
      </c>
      <c r="F2985" s="5" t="s">
        <v>68</v>
      </c>
      <c r="G2985" s="14" t="str">
        <f t="array" ref="G2985">IF(B2985="", "",
  LET(_xlpm.spell, IFERROR(IF(F2985="", "", INDEX(_xlws.FILTER(Hairstyles!$F:$F, ISNUMBER(SEARCH(F2985, Hairstyles!$B:$B))), 1)), "No Spell for Hairstyle"),
  _xlpm.vanillaPrefix, IF(LEFT(_xlpm.spell, 7)="Uvi_Wig", "", ";"),
  ";" &amp; IF(C2985="", B2985, C2985) &amp; IF(M2985="", "", " ("&amp;M2985&amp;")") &amp; CHAR(10) &amp;
  _xlpm.vanillaPrefix &amp; "Keyword = Uvi_Wig_Distr_KYWD|" &amp; B2985 &amp; CHAR(10) &amp;
  _xlpm.vanillaPrefix &amp; "Spell = " &amp; _xlpm.spell &amp; "|" &amp; B2985
  )
)</f>
        <v>;EncWarlockAtro03BretonM
;Keyword = Uvi_Wig_Distr_KYWD|EncWarlockAtro03BretonM
;Spell = No Spell for Hairstyle|EncWarlockAtro03BretonM</v>
      </c>
    </row>
    <row r="2986" ht="12.75" customHeight="1">
      <c r="A2986" s="5" t="s">
        <v>8344</v>
      </c>
      <c r="B2986" s="5" t="s">
        <v>8345</v>
      </c>
      <c r="D2986" s="5" t="s">
        <v>45</v>
      </c>
      <c r="E2986" s="5" t="s">
        <v>41</v>
      </c>
      <c r="F2986" s="5" t="s">
        <v>1967</v>
      </c>
      <c r="G2986" s="14" t="str">
        <f t="array" ref="G2986">IF(B2986="", "",
  LET(_xlpm.spell, IFERROR(IF(F2986="", "", INDEX(_xlws.FILTER(Hairstyles!$F:$F, ISNUMBER(SEARCH(F2986, Hairstyles!$B:$B))), 1)), "No Spell for Hairstyle"),
  _xlpm.vanillaPrefix, IF(LEFT(_xlpm.spell, 7)="Uvi_Wig", "", ";"),
  ";" &amp; IF(C2986="", B2986, C2986) &amp; IF(M2986="", "", " ("&amp;M2986&amp;")") &amp; CHAR(10) &amp;
  _xlpm.vanillaPrefix &amp; "Keyword = Uvi_Wig_Distr_KYWD|" &amp; B2986 &amp; CHAR(10) &amp;
  _xlpm.vanillaPrefix &amp; "Spell = " &amp; _xlpm.spell &amp; "|" &amp; B2986
  )
)</f>
        <v>;EncWarlockAtro03DarkElfF
;Keyword = Uvi_Wig_Distr_KYWD|EncWarlockAtro03DarkElfF
;Spell = No Spell for Hairstyle|EncWarlockAtro03DarkElfF</v>
      </c>
    </row>
    <row r="2987" ht="12.75" customHeight="1">
      <c r="A2987" s="5" t="s">
        <v>8346</v>
      </c>
      <c r="B2987" s="5" t="s">
        <v>8347</v>
      </c>
      <c r="D2987" s="5" t="s">
        <v>45</v>
      </c>
      <c r="E2987" s="5" t="s">
        <v>233</v>
      </c>
      <c r="F2987" s="5" t="s">
        <v>47</v>
      </c>
      <c r="G2987" s="14" t="str">
        <f t="array" ref="G2987">IF(B2987="", "",
  LET(_xlpm.spell, IFERROR(IF(F2987="", "", INDEX(_xlws.FILTER(Hairstyles!$F:$F, ISNUMBER(SEARCH(F2987, Hairstyles!$B:$B))), 1)), "No Spell for Hairstyle"),
  _xlpm.vanillaPrefix, IF(LEFT(_xlpm.spell, 7)="Uvi_Wig", "", ";"),
  ";" &amp; IF(C2987="", B2987, C2987) &amp; IF(M2987="", "", " ("&amp;M2987&amp;")") &amp; CHAR(10) &amp;
  _xlpm.vanillaPrefix &amp; "Keyword = Uvi_Wig_Distr_KYWD|" &amp; B2987 &amp; CHAR(10) &amp;
  _xlpm.vanillaPrefix &amp; "Spell = " &amp; _xlpm.spell &amp; "|" &amp; B2987
  )
)</f>
        <v>;EncWarlockAtro03DarkElfM
;Keyword = Uvi_Wig_Distr_KYWD|EncWarlockAtro03DarkElfM
;Spell = No Spell for Hairstyle|EncWarlockAtro03DarkElfM</v>
      </c>
    </row>
    <row r="2988" ht="12.75" customHeight="1">
      <c r="A2988" s="5" t="s">
        <v>8348</v>
      </c>
      <c r="B2988" s="5" t="s">
        <v>8349</v>
      </c>
      <c r="D2988" s="5" t="s">
        <v>57</v>
      </c>
      <c r="E2988" s="5" t="s">
        <v>41</v>
      </c>
      <c r="F2988" s="5" t="s">
        <v>491</v>
      </c>
      <c r="G2988" s="14" t="str">
        <f t="array" ref="G2988">IF(B2988="", "",
  LET(_xlpm.spell, IFERROR(IF(F2988="", "", INDEX(_xlws.FILTER(Hairstyles!$F:$F, ISNUMBER(SEARCH(F2988, Hairstyles!$B:$B))), 1)), "No Spell for Hairstyle"),
  _xlpm.vanillaPrefix, IF(LEFT(_xlpm.spell, 7)="Uvi_Wig", "", ";"),
  ";" &amp; IF(C2988="", B2988, C2988) &amp; IF(M2988="", "", " ("&amp;M2988&amp;")") &amp; CHAR(10) &amp;
  _xlpm.vanillaPrefix &amp; "Keyword = Uvi_Wig_Distr_KYWD|" &amp; B2988 &amp; CHAR(10) &amp;
  _xlpm.vanillaPrefix &amp; "Spell = " &amp; _xlpm.spell &amp; "|" &amp; B2988
  )
)</f>
        <v>;EncWarlockAtro03HighElfF
;Keyword = Uvi_Wig_Distr_KYWD|EncWarlockAtro03HighElfF
;Spell = No Spell for Hairstyle|EncWarlockAtro03HighElfF</v>
      </c>
    </row>
    <row r="2989" ht="12.75" customHeight="1">
      <c r="A2989" s="5" t="s">
        <v>8350</v>
      </c>
      <c r="B2989" s="5" t="s">
        <v>8351</v>
      </c>
      <c r="D2989" s="5" t="s">
        <v>57</v>
      </c>
      <c r="E2989" s="5" t="s">
        <v>233</v>
      </c>
      <c r="F2989" s="5" t="s">
        <v>2489</v>
      </c>
      <c r="G2989" s="14" t="str">
        <f t="array" ref="G2989">IF(B2989="", "",
  LET(_xlpm.spell, IFERROR(IF(F2989="", "", INDEX(_xlws.FILTER(Hairstyles!$F:$F, ISNUMBER(SEARCH(F2989, Hairstyles!$B:$B))), 1)), "No Spell for Hairstyle"),
  _xlpm.vanillaPrefix, IF(LEFT(_xlpm.spell, 7)="Uvi_Wig", "", ";"),
  ";" &amp; IF(C2989="", B2989, C2989) &amp; IF(M2989="", "", " ("&amp;M2989&amp;")") &amp; CHAR(10) &amp;
  _xlpm.vanillaPrefix &amp; "Keyword = Uvi_Wig_Distr_KYWD|" &amp; B2989 &amp; CHAR(10) &amp;
  _xlpm.vanillaPrefix &amp; "Spell = " &amp; _xlpm.spell &amp; "|" &amp; B2989
  )
)</f>
        <v>;EncWarlockAtro03HighElfM
;Keyword = Uvi_Wig_Distr_KYWD|EncWarlockAtro03HighElfM
;Spell = No Spell for Hairstyle|EncWarlockAtro03HighElfM</v>
      </c>
    </row>
    <row r="2990" ht="12.75" customHeight="1">
      <c r="A2990" s="5" t="s">
        <v>8352</v>
      </c>
      <c r="B2990" s="5" t="s">
        <v>8353</v>
      </c>
      <c r="D2990" s="5" t="s">
        <v>59</v>
      </c>
      <c r="E2990" s="5" t="s">
        <v>41</v>
      </c>
      <c r="F2990" s="5" t="s">
        <v>1996</v>
      </c>
      <c r="G2990" s="14" t="str">
        <f t="array" ref="G2990">IF(B2990="", "",
  LET(_xlpm.spell, IFERROR(IF(F2990="", "", INDEX(_xlws.FILTER(Hairstyles!$F:$F, ISNUMBER(SEARCH(F2990, Hairstyles!$B:$B))), 1)), "No Spell for Hairstyle"),
  _xlpm.vanillaPrefix, IF(LEFT(_xlpm.spell, 7)="Uvi_Wig", "", ";"),
  ";" &amp; IF(C2990="", B2990, C2990) &amp; IF(M2990="", "", " ("&amp;M2990&amp;")") &amp; CHAR(10) &amp;
  _xlpm.vanillaPrefix &amp; "Keyword = Uvi_Wig_Distr_KYWD|" &amp; B2990 &amp; CHAR(10) &amp;
  _xlpm.vanillaPrefix &amp; "Spell = " &amp; _xlpm.spell &amp; "|" &amp; B2990
  )
)</f>
        <v>;EncWarlockAtro03ImperialF
;Keyword = Uvi_Wig_Distr_KYWD|EncWarlockAtro03ImperialF
;Spell = No Spell for Hairstyle|EncWarlockAtro03ImperialF</v>
      </c>
    </row>
    <row r="2991" ht="12.75" customHeight="1">
      <c r="A2991" s="5" t="s">
        <v>8354</v>
      </c>
      <c r="B2991" s="5" t="s">
        <v>8355</v>
      </c>
      <c r="D2991" s="5" t="s">
        <v>59</v>
      </c>
      <c r="E2991" s="5" t="s">
        <v>233</v>
      </c>
      <c r="F2991" s="5" t="s">
        <v>19</v>
      </c>
      <c r="G2991" s="14" t="str">
        <f t="array" ref="G2991">IF(B2991="", "",
  LET(_xlpm.spell, IFERROR(IF(F2991="", "", INDEX(_xlws.FILTER(Hairstyles!$F:$F, ISNUMBER(SEARCH(F2991, Hairstyles!$B:$B))), 1)), "No Spell for Hairstyle"),
  _xlpm.vanillaPrefix, IF(LEFT(_xlpm.spell, 7)="Uvi_Wig", "", ";"),
  ";" &amp; IF(C2991="", B2991, C2991) &amp; IF(M2991="", "", " ("&amp;M2991&amp;")") &amp; CHAR(10) &amp;
  _xlpm.vanillaPrefix &amp; "Keyword = Uvi_Wig_Distr_KYWD|" &amp; B2991 &amp; CHAR(10) &amp;
  _xlpm.vanillaPrefix &amp; "Spell = " &amp; _xlpm.spell &amp; "|" &amp; B2991
  )
)</f>
        <v>;EncWarlockAtro03ImperialM
;Keyword = Uvi_Wig_Distr_KYWD|EncWarlockAtro03ImperialM
;Spell = No Spell for Hairstyle|EncWarlockAtro03ImperialM</v>
      </c>
    </row>
    <row r="2992" ht="12.75" customHeight="1">
      <c r="A2992" s="5" t="s">
        <v>8356</v>
      </c>
      <c r="B2992" s="5" t="s">
        <v>8357</v>
      </c>
      <c r="D2992" s="5" t="s">
        <v>16</v>
      </c>
      <c r="E2992" s="5" t="s">
        <v>41</v>
      </c>
      <c r="F2992" s="5" t="s">
        <v>1557</v>
      </c>
      <c r="G2992" s="14" t="str">
        <f t="array" ref="G2992">IF(B2992="", "",
  LET(_xlpm.spell, IFERROR(IF(F2992="", "", INDEX(_xlws.FILTER(Hairstyles!$F:$F, ISNUMBER(SEARCH(F2992, Hairstyles!$B:$B))), 1)), "No Spell for Hairstyle"),
  _xlpm.vanillaPrefix, IF(LEFT(_xlpm.spell, 7)="Uvi_Wig", "", ";"),
  ";" &amp; IF(C2992="", B2992, C2992) &amp; IF(M2992="", "", " ("&amp;M2992&amp;")") &amp; CHAR(10) &amp;
  _xlpm.vanillaPrefix &amp; "Keyword = Uvi_Wig_Distr_KYWD|" &amp; B2992 &amp; CHAR(10) &amp;
  _xlpm.vanillaPrefix &amp; "Spell = " &amp; _xlpm.spell &amp; "|" &amp; B2992
  )
)</f>
        <v>;EncWarlockAtro04BossBretonF
;Keyword = Uvi_Wig_Distr_KYWD|EncWarlockAtro04BossBretonF
;Spell = No Spell for Hairstyle|EncWarlockAtro04BossBretonF</v>
      </c>
    </row>
    <row r="2993" ht="12.75" customHeight="1">
      <c r="A2993" s="5" t="s">
        <v>8358</v>
      </c>
      <c r="B2993" s="5" t="s">
        <v>8359</v>
      </c>
      <c r="D2993" s="5" t="s">
        <v>16</v>
      </c>
      <c r="E2993" s="5" t="s">
        <v>233</v>
      </c>
      <c r="F2993" s="5" t="s">
        <v>234</v>
      </c>
      <c r="G2993" s="14" t="str">
        <f t="array" ref="G2993">IF(B2993="", "",
  LET(_xlpm.spell, IFERROR(IF(F2993="", "", INDEX(_xlws.FILTER(Hairstyles!$F:$F, ISNUMBER(SEARCH(F2993, Hairstyles!$B:$B))), 1)), "No Spell for Hairstyle"),
  _xlpm.vanillaPrefix, IF(LEFT(_xlpm.spell, 7)="Uvi_Wig", "", ";"),
  ";" &amp; IF(C2993="", B2993, C2993) &amp; IF(M2993="", "", " ("&amp;M2993&amp;")") &amp; CHAR(10) &amp;
  _xlpm.vanillaPrefix &amp; "Keyword = Uvi_Wig_Distr_KYWD|" &amp; B2993 &amp; CHAR(10) &amp;
  _xlpm.vanillaPrefix &amp; "Spell = " &amp; _xlpm.spell &amp; "|" &amp; B2993
  )
)</f>
        <v>;EncWarlockAtro04BossBretonM
;Keyword = Uvi_Wig_Distr_KYWD|EncWarlockAtro04BossBretonM
;Spell = No Spell for Hairstyle|EncWarlockAtro04BossBretonM</v>
      </c>
    </row>
    <row r="2994" ht="12.75" customHeight="1">
      <c r="A2994" s="5" t="s">
        <v>8360</v>
      </c>
      <c r="B2994" s="5" t="s">
        <v>8361</v>
      </c>
      <c r="D2994" s="5" t="s">
        <v>57</v>
      </c>
      <c r="E2994" s="5" t="s">
        <v>41</v>
      </c>
      <c r="F2994" s="5" t="s">
        <v>1854</v>
      </c>
      <c r="G2994" s="14" t="str">
        <f t="array" ref="G2994">IF(B2994="", "",
  LET(_xlpm.spell, IFERROR(IF(F2994="", "", INDEX(_xlws.FILTER(Hairstyles!$F:$F, ISNUMBER(SEARCH(F2994, Hairstyles!$B:$B))), 1)), "No Spell for Hairstyle"),
  _xlpm.vanillaPrefix, IF(LEFT(_xlpm.spell, 7)="Uvi_Wig", "", ";"),
  ";" &amp; IF(C2994="", B2994, C2994) &amp; IF(M2994="", "", " ("&amp;M2994&amp;")") &amp; CHAR(10) &amp;
  _xlpm.vanillaPrefix &amp; "Keyword = Uvi_Wig_Distr_KYWD|" &amp; B2994 &amp; CHAR(10) &amp;
  _xlpm.vanillaPrefix &amp; "Spell = " &amp; _xlpm.spell &amp; "|" &amp; B2994
  )
)</f>
        <v>;EncWarlockAtro04BossHighElfF
;Keyword = Uvi_Wig_Distr_KYWD|EncWarlockAtro04BossHighElfF
;Spell = No Spell for Hairstyle|EncWarlockAtro04BossHighElfF</v>
      </c>
    </row>
    <row r="2995" ht="12.75" customHeight="1">
      <c r="A2995" s="5" t="s">
        <v>8362</v>
      </c>
      <c r="B2995" s="5" t="s">
        <v>8363</v>
      </c>
      <c r="D2995" s="5" t="s">
        <v>57</v>
      </c>
      <c r="E2995" s="5" t="s">
        <v>233</v>
      </c>
      <c r="F2995" s="5" t="s">
        <v>543</v>
      </c>
      <c r="G2995" s="14" t="str">
        <f t="array" ref="G2995">IF(B2995="", "",
  LET(_xlpm.spell, IFERROR(IF(F2995="", "", INDEX(_xlws.FILTER(Hairstyles!$F:$F, ISNUMBER(SEARCH(F2995, Hairstyles!$B:$B))), 1)), "No Spell for Hairstyle"),
  _xlpm.vanillaPrefix, IF(LEFT(_xlpm.spell, 7)="Uvi_Wig", "", ";"),
  ";" &amp; IF(C2995="", B2995, C2995) &amp; IF(M2995="", "", " ("&amp;M2995&amp;")") &amp; CHAR(10) &amp;
  _xlpm.vanillaPrefix &amp; "Keyword = Uvi_Wig_Distr_KYWD|" &amp; B2995 &amp; CHAR(10) &amp;
  _xlpm.vanillaPrefix &amp; "Spell = " &amp; _xlpm.spell &amp; "|" &amp; B2995
  )
)</f>
        <v>;EncWarlockAtro04BossHighElfM
;Keyword = Uvi_Wig_Distr_KYWD|EncWarlockAtro04BossHighElfM
;Spell = No Spell for Hairstyle|EncWarlockAtro04BossHighElfM</v>
      </c>
    </row>
    <row r="2996" ht="12.75" customHeight="1">
      <c r="A2996" s="5" t="s">
        <v>8364</v>
      </c>
      <c r="B2996" s="5" t="s">
        <v>8365</v>
      </c>
      <c r="D2996" s="5" t="s">
        <v>16</v>
      </c>
      <c r="E2996" s="5" t="s">
        <v>41</v>
      </c>
      <c r="F2996" s="5" t="s">
        <v>1041</v>
      </c>
      <c r="G2996" s="14" t="str">
        <f t="array" ref="G2996">IF(B2996="", "",
  LET(_xlpm.spell, IFERROR(IF(F2996="", "", INDEX(_xlws.FILTER(Hairstyles!$F:$F, ISNUMBER(SEARCH(F2996, Hairstyles!$B:$B))), 1)), "No Spell for Hairstyle"),
  _xlpm.vanillaPrefix, IF(LEFT(_xlpm.spell, 7)="Uvi_Wig", "", ";"),
  ";" &amp; IF(C2996="", B2996, C2996) &amp; IF(M2996="", "", " ("&amp;M2996&amp;")") &amp; CHAR(10) &amp;
  _xlpm.vanillaPrefix &amp; "Keyword = Uvi_Wig_Distr_KYWD|" &amp; B2996 &amp; CHAR(10) &amp;
  _xlpm.vanillaPrefix &amp; "Spell = " &amp; _xlpm.spell &amp; "|" &amp; B2996
  )
)</f>
        <v>;EncWarlockAtro04BretonF
;Keyword = Uvi_Wig_Distr_KYWD|EncWarlockAtro04BretonF
;Spell = No Spell for Hairstyle|EncWarlockAtro04BretonF</v>
      </c>
    </row>
    <row r="2997" ht="12.75" customHeight="1">
      <c r="A2997" s="5" t="s">
        <v>8366</v>
      </c>
      <c r="B2997" s="5" t="s">
        <v>8367</v>
      </c>
      <c r="D2997" s="5" t="s">
        <v>16</v>
      </c>
      <c r="E2997" s="5" t="s">
        <v>233</v>
      </c>
      <c r="F2997" s="5" t="s">
        <v>19</v>
      </c>
      <c r="G2997" s="14" t="str">
        <f t="array" ref="G2997">IF(B2997="", "",
  LET(_xlpm.spell, IFERROR(IF(F2997="", "", INDEX(_xlws.FILTER(Hairstyles!$F:$F, ISNUMBER(SEARCH(F2997, Hairstyles!$B:$B))), 1)), "No Spell for Hairstyle"),
  _xlpm.vanillaPrefix, IF(LEFT(_xlpm.spell, 7)="Uvi_Wig", "", ";"),
  ";" &amp; IF(C2997="", B2997, C2997) &amp; IF(M2997="", "", " ("&amp;M2997&amp;")") &amp; CHAR(10) &amp;
  _xlpm.vanillaPrefix &amp; "Keyword = Uvi_Wig_Distr_KYWD|" &amp; B2997 &amp; CHAR(10) &amp;
  _xlpm.vanillaPrefix &amp; "Spell = " &amp; _xlpm.spell &amp; "|" &amp; B2997
  )
)</f>
        <v>;EncWarlockAtro04BretonM
;Keyword = Uvi_Wig_Distr_KYWD|EncWarlockAtro04BretonM
;Spell = No Spell for Hairstyle|EncWarlockAtro04BretonM</v>
      </c>
    </row>
    <row r="2998" ht="12.75" customHeight="1">
      <c r="A2998" s="5" t="s">
        <v>8368</v>
      </c>
      <c r="B2998" s="5" t="s">
        <v>8369</v>
      </c>
      <c r="D2998" s="5" t="s">
        <v>45</v>
      </c>
      <c r="E2998" s="5" t="s">
        <v>41</v>
      </c>
      <c r="F2998" s="5" t="s">
        <v>1854</v>
      </c>
      <c r="G2998" s="14" t="str">
        <f t="array" ref="G2998">IF(B2998="", "",
  LET(_xlpm.spell, IFERROR(IF(F2998="", "", INDEX(_xlws.FILTER(Hairstyles!$F:$F, ISNUMBER(SEARCH(F2998, Hairstyles!$B:$B))), 1)), "No Spell for Hairstyle"),
  _xlpm.vanillaPrefix, IF(LEFT(_xlpm.spell, 7)="Uvi_Wig", "", ";"),
  ";" &amp; IF(C2998="", B2998, C2998) &amp; IF(M2998="", "", " ("&amp;M2998&amp;")") &amp; CHAR(10) &amp;
  _xlpm.vanillaPrefix &amp; "Keyword = Uvi_Wig_Distr_KYWD|" &amp; B2998 &amp; CHAR(10) &amp;
  _xlpm.vanillaPrefix &amp; "Spell = " &amp; _xlpm.spell &amp; "|" &amp; B2998
  )
)</f>
        <v>;EncWarlockAtro04DarkElfF
;Keyword = Uvi_Wig_Distr_KYWD|EncWarlockAtro04DarkElfF
;Spell = No Spell for Hairstyle|EncWarlockAtro04DarkElfF</v>
      </c>
    </row>
    <row r="2999" ht="12.75" customHeight="1">
      <c r="A2999" s="5" t="s">
        <v>8370</v>
      </c>
      <c r="B2999" s="5" t="s">
        <v>8371</v>
      </c>
      <c r="D2999" s="5" t="s">
        <v>45</v>
      </c>
      <c r="E2999" s="5" t="s">
        <v>233</v>
      </c>
      <c r="F2999" s="5" t="s">
        <v>1787</v>
      </c>
      <c r="G2999" s="14" t="str">
        <f t="array" ref="G2999">IF(B2999="", "",
  LET(_xlpm.spell, IFERROR(IF(F2999="", "", INDEX(_xlws.FILTER(Hairstyles!$F:$F, ISNUMBER(SEARCH(F2999, Hairstyles!$B:$B))), 1)), "No Spell for Hairstyle"),
  _xlpm.vanillaPrefix, IF(LEFT(_xlpm.spell, 7)="Uvi_Wig", "", ";"),
  ";" &amp; IF(C2999="", B2999, C2999) &amp; IF(M2999="", "", " ("&amp;M2999&amp;")") &amp; CHAR(10) &amp;
  _xlpm.vanillaPrefix &amp; "Keyword = Uvi_Wig_Distr_KYWD|" &amp; B2999 &amp; CHAR(10) &amp;
  _xlpm.vanillaPrefix &amp; "Spell = " &amp; _xlpm.spell &amp; "|" &amp; B2999
  )
)</f>
        <v>;EncWarlockAtro04DarkElfM
;Keyword = Uvi_Wig_Distr_KYWD|EncWarlockAtro04DarkElfM
;Spell = No Spell for Hairstyle|EncWarlockAtro04DarkElfM</v>
      </c>
    </row>
    <row r="3000" ht="12.75" customHeight="1">
      <c r="A3000" s="5" t="s">
        <v>8372</v>
      </c>
      <c r="B3000" s="5" t="s">
        <v>8373</v>
      </c>
      <c r="D3000" s="5" t="s">
        <v>57</v>
      </c>
      <c r="E3000" s="5" t="s">
        <v>41</v>
      </c>
      <c r="F3000" s="5" t="s">
        <v>48</v>
      </c>
      <c r="G3000" s="14" t="str">
        <f t="array" ref="G3000">IF(B3000="", "",
  LET(_xlpm.spell, IFERROR(IF(F3000="", "", INDEX(_xlws.FILTER(Hairstyles!$F:$F, ISNUMBER(SEARCH(F3000, Hairstyles!$B:$B))), 1)), "No Spell for Hairstyle"),
  _xlpm.vanillaPrefix, IF(LEFT(_xlpm.spell, 7)="Uvi_Wig", "", ";"),
  ";" &amp; IF(C3000="", B3000, C3000) &amp; IF(M3000="", "", " ("&amp;M3000&amp;")") &amp; CHAR(10) &amp;
  _xlpm.vanillaPrefix &amp; "Keyword = Uvi_Wig_Distr_KYWD|" &amp; B3000 &amp; CHAR(10) &amp;
  _xlpm.vanillaPrefix &amp; "Spell = " &amp; _xlpm.spell &amp; "|" &amp; B3000
  )
)</f>
        <v>;EncWarlockAtro04HighElfF
;Keyword = Uvi_Wig_Distr_KYWD|EncWarlockAtro04HighElfF
;Spell = No Spell for Hairstyle|EncWarlockAtro04HighElfF</v>
      </c>
    </row>
    <row r="3001" ht="12.75" customHeight="1">
      <c r="A3001" s="5" t="s">
        <v>8374</v>
      </c>
      <c r="B3001" s="5" t="s">
        <v>8375</v>
      </c>
      <c r="D3001" s="5" t="s">
        <v>57</v>
      </c>
      <c r="E3001" s="5" t="s">
        <v>233</v>
      </c>
      <c r="F3001" s="5" t="s">
        <v>91</v>
      </c>
      <c r="G3001" s="14" t="str">
        <f t="array" ref="G3001">IF(B3001="", "",
  LET(_xlpm.spell, IFERROR(IF(F3001="", "", INDEX(_xlws.FILTER(Hairstyles!$F:$F, ISNUMBER(SEARCH(F3001, Hairstyles!$B:$B))), 1)), "No Spell for Hairstyle"),
  _xlpm.vanillaPrefix, IF(LEFT(_xlpm.spell, 7)="Uvi_Wig", "", ";"),
  ";" &amp; IF(C3001="", B3001, C3001) &amp; IF(M3001="", "", " ("&amp;M3001&amp;")") &amp; CHAR(10) &amp;
  _xlpm.vanillaPrefix &amp; "Keyword = Uvi_Wig_Distr_KYWD|" &amp; B3001 &amp; CHAR(10) &amp;
  _xlpm.vanillaPrefix &amp; "Spell = " &amp; _xlpm.spell &amp; "|" &amp; B3001
  )
)</f>
        <v>;EncWarlockAtro04HighElfM
;Keyword = Uvi_Wig_Distr_KYWD|EncWarlockAtro04HighElfM
;Spell = No Spell for Hairstyle|EncWarlockAtro04HighElfM</v>
      </c>
    </row>
    <row r="3002" ht="12.75" customHeight="1">
      <c r="A3002" s="5" t="s">
        <v>8376</v>
      </c>
      <c r="B3002" s="5" t="s">
        <v>8377</v>
      </c>
      <c r="D3002" s="5" t="s">
        <v>59</v>
      </c>
      <c r="E3002" s="5" t="s">
        <v>41</v>
      </c>
      <c r="F3002" s="5" t="s">
        <v>42</v>
      </c>
      <c r="G3002" s="14" t="str">
        <f t="array" ref="G3002">IF(B3002="", "",
  LET(_xlpm.spell, IFERROR(IF(F3002="", "", INDEX(_xlws.FILTER(Hairstyles!$F:$F, ISNUMBER(SEARCH(F3002, Hairstyles!$B:$B))), 1)), "No Spell for Hairstyle"),
  _xlpm.vanillaPrefix, IF(LEFT(_xlpm.spell, 7)="Uvi_Wig", "", ";"),
  ";" &amp; IF(C3002="", B3002, C3002) &amp; IF(M3002="", "", " ("&amp;M3002&amp;")") &amp; CHAR(10) &amp;
  _xlpm.vanillaPrefix &amp; "Keyword = Uvi_Wig_Distr_KYWD|" &amp; B3002 &amp; CHAR(10) &amp;
  _xlpm.vanillaPrefix &amp; "Spell = " &amp; _xlpm.spell &amp; "|" &amp; B3002
  )
)</f>
        <v>;EncWarlockAtro04ImperialF
;Keyword = Uvi_Wig_Distr_KYWD|EncWarlockAtro04ImperialF
;Spell = No Spell for Hairstyle|EncWarlockAtro04ImperialF</v>
      </c>
    </row>
    <row r="3003" ht="12.75" customHeight="1">
      <c r="A3003" s="5" t="s">
        <v>8378</v>
      </c>
      <c r="B3003" s="5" t="s">
        <v>8379</v>
      </c>
      <c r="D3003" s="5" t="s">
        <v>59</v>
      </c>
      <c r="E3003" s="5" t="s">
        <v>233</v>
      </c>
      <c r="F3003" s="5" t="s">
        <v>209</v>
      </c>
      <c r="G3003" s="14" t="str">
        <f t="array" ref="G3003">IF(B3003="", "",
  LET(_xlpm.spell, IFERROR(IF(F3003="", "", INDEX(_xlws.FILTER(Hairstyles!$F:$F, ISNUMBER(SEARCH(F3003, Hairstyles!$B:$B))), 1)), "No Spell for Hairstyle"),
  _xlpm.vanillaPrefix, IF(LEFT(_xlpm.spell, 7)="Uvi_Wig", "", ";"),
  ";" &amp; IF(C3003="", B3003, C3003) &amp; IF(M3003="", "", " ("&amp;M3003&amp;")") &amp; CHAR(10) &amp;
  _xlpm.vanillaPrefix &amp; "Keyword = Uvi_Wig_Distr_KYWD|" &amp; B3003 &amp; CHAR(10) &amp;
  _xlpm.vanillaPrefix &amp; "Spell = " &amp; _xlpm.spell &amp; "|" &amp; B3003
  )
)</f>
        <v>;EncWarlockAtro04ImperialM
;Keyword = Uvi_Wig_Distr_KYWD|EncWarlockAtro04ImperialM
;Spell = No Spell for Hairstyle|EncWarlockAtro04ImperialM</v>
      </c>
    </row>
    <row r="3004" ht="12.75" customHeight="1">
      <c r="A3004" s="5" t="s">
        <v>8380</v>
      </c>
      <c r="B3004" s="5" t="s">
        <v>8381</v>
      </c>
      <c r="D3004" s="5" t="s">
        <v>16</v>
      </c>
      <c r="E3004" s="5" t="s">
        <v>41</v>
      </c>
      <c r="F3004" s="5" t="s">
        <v>1041</v>
      </c>
      <c r="G3004" s="14" t="str">
        <f t="array" ref="G3004">IF(B3004="", "",
  LET(_xlpm.spell, IFERROR(IF(F3004="", "", INDEX(_xlws.FILTER(Hairstyles!$F:$F, ISNUMBER(SEARCH(F3004, Hairstyles!$B:$B))), 1)), "No Spell for Hairstyle"),
  _xlpm.vanillaPrefix, IF(LEFT(_xlpm.spell, 7)="Uvi_Wig", "", ";"),
  ";" &amp; IF(C3004="", B3004, C3004) &amp; IF(M3004="", "", " ("&amp;M3004&amp;")") &amp; CHAR(10) &amp;
  _xlpm.vanillaPrefix &amp; "Keyword = Uvi_Wig_Distr_KYWD|" &amp; B3004 &amp; CHAR(10) &amp;
  _xlpm.vanillaPrefix &amp; "Spell = " &amp; _xlpm.spell &amp; "|" &amp; B3004
  )
)</f>
        <v>;EncWarlockAtro05BossBretonF
;Keyword = Uvi_Wig_Distr_KYWD|EncWarlockAtro05BossBretonF
;Spell = No Spell for Hairstyle|EncWarlockAtro05BossBretonF</v>
      </c>
    </row>
    <row r="3005" ht="12.75" customHeight="1">
      <c r="A3005" s="5" t="s">
        <v>8382</v>
      </c>
      <c r="B3005" s="5" t="s">
        <v>8383</v>
      </c>
      <c r="D3005" s="5" t="s">
        <v>16</v>
      </c>
      <c r="E3005" s="5" t="s">
        <v>233</v>
      </c>
      <c r="F3005" s="5" t="s">
        <v>990</v>
      </c>
      <c r="G3005" s="14" t="str">
        <f t="array" ref="G3005">IF(B3005="", "",
  LET(_xlpm.spell, IFERROR(IF(F3005="", "", INDEX(_xlws.FILTER(Hairstyles!$F:$F, ISNUMBER(SEARCH(F3005, Hairstyles!$B:$B))), 1)), "No Spell for Hairstyle"),
  _xlpm.vanillaPrefix, IF(LEFT(_xlpm.spell, 7)="Uvi_Wig", "", ";"),
  ";" &amp; IF(C3005="", B3005, C3005) &amp; IF(M3005="", "", " ("&amp;M3005&amp;")") &amp; CHAR(10) &amp;
  _xlpm.vanillaPrefix &amp; "Keyword = Uvi_Wig_Distr_KYWD|" &amp; B3005 &amp; CHAR(10) &amp;
  _xlpm.vanillaPrefix &amp; "Spell = " &amp; _xlpm.spell &amp; "|" &amp; B3005
  )
)</f>
        <v>;EncWarlockAtro05BossBretonM
;Keyword = Uvi_Wig_Distr_KYWD|EncWarlockAtro05BossBretonM
;Spell = No Spell for Hairstyle|EncWarlockAtro05BossBretonM</v>
      </c>
    </row>
    <row r="3006" ht="12.75" customHeight="1">
      <c r="A3006" s="5" t="s">
        <v>8384</v>
      </c>
      <c r="B3006" s="5" t="s">
        <v>8385</v>
      </c>
      <c r="D3006" s="5" t="s">
        <v>57</v>
      </c>
      <c r="E3006" s="5" t="s">
        <v>41</v>
      </c>
      <c r="F3006" s="5" t="s">
        <v>1732</v>
      </c>
      <c r="G3006" s="14" t="str">
        <f t="array" ref="G3006">IF(B3006="", "",
  LET(_xlpm.spell, IFERROR(IF(F3006="", "", INDEX(_xlws.FILTER(Hairstyles!$F:$F, ISNUMBER(SEARCH(F3006, Hairstyles!$B:$B))), 1)), "No Spell for Hairstyle"),
  _xlpm.vanillaPrefix, IF(LEFT(_xlpm.spell, 7)="Uvi_Wig", "", ";"),
  ";" &amp; IF(C3006="", B3006, C3006) &amp; IF(M3006="", "", " ("&amp;M3006&amp;")") &amp; CHAR(10) &amp;
  _xlpm.vanillaPrefix &amp; "Keyword = Uvi_Wig_Distr_KYWD|" &amp; B3006 &amp; CHAR(10) &amp;
  _xlpm.vanillaPrefix &amp; "Spell = " &amp; _xlpm.spell &amp; "|" &amp; B3006
  )
)</f>
        <v>;EncWarlockAtro05BossHighElfF
;Keyword = Uvi_Wig_Distr_KYWD|EncWarlockAtro05BossHighElfF
;Spell = No Spell for Hairstyle|EncWarlockAtro05BossHighElfF</v>
      </c>
    </row>
    <row r="3007" ht="12.75" customHeight="1">
      <c r="A3007" s="5" t="s">
        <v>8386</v>
      </c>
      <c r="B3007" s="5" t="s">
        <v>8387</v>
      </c>
      <c r="D3007" s="5" t="s">
        <v>57</v>
      </c>
      <c r="E3007" s="5" t="s">
        <v>233</v>
      </c>
      <c r="F3007" s="5" t="s">
        <v>543</v>
      </c>
      <c r="G3007" s="14" t="str">
        <f t="array" ref="G3007">IF(B3007="", "",
  LET(_xlpm.spell, IFERROR(IF(F3007="", "", INDEX(_xlws.FILTER(Hairstyles!$F:$F, ISNUMBER(SEARCH(F3007, Hairstyles!$B:$B))), 1)), "No Spell for Hairstyle"),
  _xlpm.vanillaPrefix, IF(LEFT(_xlpm.spell, 7)="Uvi_Wig", "", ";"),
  ";" &amp; IF(C3007="", B3007, C3007) &amp; IF(M3007="", "", " ("&amp;M3007&amp;")") &amp; CHAR(10) &amp;
  _xlpm.vanillaPrefix &amp; "Keyword = Uvi_Wig_Distr_KYWD|" &amp; B3007 &amp; CHAR(10) &amp;
  _xlpm.vanillaPrefix &amp; "Spell = " &amp; _xlpm.spell &amp; "|" &amp; B3007
  )
)</f>
        <v>;EncWarlockAtro05BossHighElfM
;Keyword = Uvi_Wig_Distr_KYWD|EncWarlockAtro05BossHighElfM
;Spell = No Spell for Hairstyle|EncWarlockAtro05BossHighElfM</v>
      </c>
    </row>
    <row r="3008" ht="12.75" customHeight="1">
      <c r="A3008" s="5" t="s">
        <v>8388</v>
      </c>
      <c r="B3008" s="5" t="s">
        <v>8389</v>
      </c>
      <c r="D3008" s="5" t="s">
        <v>16</v>
      </c>
      <c r="E3008" s="5" t="s">
        <v>41</v>
      </c>
      <c r="F3008" s="5" t="s">
        <v>22</v>
      </c>
      <c r="G3008" s="14" t="str">
        <f t="array" ref="G3008">IF(B3008="", "",
  LET(_xlpm.spell, IFERROR(IF(F3008="", "", INDEX(_xlws.FILTER(Hairstyles!$F:$F, ISNUMBER(SEARCH(F3008, Hairstyles!$B:$B))), 1)), "No Spell for Hairstyle"),
  _xlpm.vanillaPrefix, IF(LEFT(_xlpm.spell, 7)="Uvi_Wig", "", ";"),
  ";" &amp; IF(C3008="", B3008, C3008) &amp; IF(M3008="", "", " ("&amp;M3008&amp;")") &amp; CHAR(10) &amp;
  _xlpm.vanillaPrefix &amp; "Keyword = Uvi_Wig_Distr_KYWD|" &amp; B3008 &amp; CHAR(10) &amp;
  _xlpm.vanillaPrefix &amp; "Spell = " &amp; _xlpm.spell &amp; "|" &amp; B3008
  )
)</f>
        <v>;EncWarlockAtro05BretonF
;Keyword = Uvi_Wig_Distr_KYWD|EncWarlockAtro05BretonF
;Spell = No Spell for Hairstyle|EncWarlockAtro05BretonF</v>
      </c>
    </row>
    <row r="3009" ht="12.75" customHeight="1">
      <c r="A3009" s="5" t="s">
        <v>8390</v>
      </c>
      <c r="B3009" s="5" t="s">
        <v>8391</v>
      </c>
      <c r="D3009" s="5" t="s">
        <v>16</v>
      </c>
      <c r="E3009" s="5" t="s">
        <v>233</v>
      </c>
      <c r="F3009" s="5" t="s">
        <v>521</v>
      </c>
      <c r="G3009" s="14" t="str">
        <f t="array" ref="G3009">IF(B3009="", "",
  LET(_xlpm.spell, IFERROR(IF(F3009="", "", INDEX(_xlws.FILTER(Hairstyles!$F:$F, ISNUMBER(SEARCH(F3009, Hairstyles!$B:$B))), 1)), "No Spell for Hairstyle"),
  _xlpm.vanillaPrefix, IF(LEFT(_xlpm.spell, 7)="Uvi_Wig", "", ";"),
  ";" &amp; IF(C3009="", B3009, C3009) &amp; IF(M3009="", "", " ("&amp;M3009&amp;")") &amp; CHAR(10) &amp;
  _xlpm.vanillaPrefix &amp; "Keyword = Uvi_Wig_Distr_KYWD|" &amp; B3009 &amp; CHAR(10) &amp;
  _xlpm.vanillaPrefix &amp; "Spell = " &amp; _xlpm.spell &amp; "|" &amp; B3009
  )
)</f>
        <v>;EncWarlockAtro05BretonM
;Keyword = Uvi_Wig_Distr_KYWD|EncWarlockAtro05BretonM
;Spell = No Spell for Hairstyle|EncWarlockAtro05BretonM</v>
      </c>
    </row>
    <row r="3010" ht="12.75" customHeight="1">
      <c r="A3010" s="5" t="s">
        <v>8392</v>
      </c>
      <c r="B3010" s="5" t="s">
        <v>8393</v>
      </c>
      <c r="D3010" s="5" t="s">
        <v>45</v>
      </c>
      <c r="E3010" s="5" t="s">
        <v>41</v>
      </c>
      <c r="F3010" s="5" t="s">
        <v>2577</v>
      </c>
      <c r="G3010" s="14" t="str">
        <f t="array" ref="G3010">IF(B3010="", "",
  LET(_xlpm.spell, IFERROR(IF(F3010="", "", INDEX(_xlws.FILTER(Hairstyles!$F:$F, ISNUMBER(SEARCH(F3010, Hairstyles!$B:$B))), 1)), "No Spell for Hairstyle"),
  _xlpm.vanillaPrefix, IF(LEFT(_xlpm.spell, 7)="Uvi_Wig", "", ";"),
  ";" &amp; IF(C3010="", B3010, C3010) &amp; IF(M3010="", "", " ("&amp;M3010&amp;")") &amp; CHAR(10) &amp;
  _xlpm.vanillaPrefix &amp; "Keyword = Uvi_Wig_Distr_KYWD|" &amp; B3010 &amp; CHAR(10) &amp;
  _xlpm.vanillaPrefix &amp; "Spell = " &amp; _xlpm.spell &amp; "|" &amp; B3010
  )
)</f>
        <v>;EncWarlockAtro05DarkElfF
;Keyword = Uvi_Wig_Distr_KYWD|EncWarlockAtro05DarkElfF
;Spell = No Spell for Hairstyle|EncWarlockAtro05DarkElfF</v>
      </c>
    </row>
    <row r="3011" ht="12.75" customHeight="1">
      <c r="A3011" s="5" t="s">
        <v>8394</v>
      </c>
      <c r="B3011" s="5" t="s">
        <v>8395</v>
      </c>
      <c r="D3011" s="5" t="s">
        <v>45</v>
      </c>
      <c r="E3011" s="5" t="s">
        <v>233</v>
      </c>
      <c r="F3011" s="5" t="s">
        <v>1787</v>
      </c>
      <c r="G3011" s="14" t="str">
        <f t="array" ref="G3011">IF(B3011="", "",
  LET(_xlpm.spell, IFERROR(IF(F3011="", "", INDEX(_xlws.FILTER(Hairstyles!$F:$F, ISNUMBER(SEARCH(F3011, Hairstyles!$B:$B))), 1)), "No Spell for Hairstyle"),
  _xlpm.vanillaPrefix, IF(LEFT(_xlpm.spell, 7)="Uvi_Wig", "", ";"),
  ";" &amp; IF(C3011="", B3011, C3011) &amp; IF(M3011="", "", " ("&amp;M3011&amp;")") &amp; CHAR(10) &amp;
  _xlpm.vanillaPrefix &amp; "Keyword = Uvi_Wig_Distr_KYWD|" &amp; B3011 &amp; CHAR(10) &amp;
  _xlpm.vanillaPrefix &amp; "Spell = " &amp; _xlpm.spell &amp; "|" &amp; B3011
  )
)</f>
        <v>;EncWarlockAtro05DarkElfM
;Keyword = Uvi_Wig_Distr_KYWD|EncWarlockAtro05DarkElfM
;Spell = No Spell for Hairstyle|EncWarlockAtro05DarkElfM</v>
      </c>
    </row>
    <row r="3012" ht="12.75" customHeight="1">
      <c r="A3012" s="5" t="s">
        <v>8396</v>
      </c>
      <c r="B3012" s="5" t="s">
        <v>8397</v>
      </c>
      <c r="D3012" s="5" t="s">
        <v>57</v>
      </c>
      <c r="E3012" s="5" t="s">
        <v>41</v>
      </c>
      <c r="F3012" s="5" t="s">
        <v>48</v>
      </c>
      <c r="G3012" s="14" t="str">
        <f t="array" ref="G3012">IF(B3012="", "",
  LET(_xlpm.spell, IFERROR(IF(F3012="", "", INDEX(_xlws.FILTER(Hairstyles!$F:$F, ISNUMBER(SEARCH(F3012, Hairstyles!$B:$B))), 1)), "No Spell for Hairstyle"),
  _xlpm.vanillaPrefix, IF(LEFT(_xlpm.spell, 7)="Uvi_Wig", "", ";"),
  ";" &amp; IF(C3012="", B3012, C3012) &amp; IF(M3012="", "", " ("&amp;M3012&amp;")") &amp; CHAR(10) &amp;
  _xlpm.vanillaPrefix &amp; "Keyword = Uvi_Wig_Distr_KYWD|" &amp; B3012 &amp; CHAR(10) &amp;
  _xlpm.vanillaPrefix &amp; "Spell = " &amp; _xlpm.spell &amp; "|" &amp; B3012
  )
)</f>
        <v>;EncWarlockAtro05HighElfF
;Keyword = Uvi_Wig_Distr_KYWD|EncWarlockAtro05HighElfF
;Spell = No Spell for Hairstyle|EncWarlockAtro05HighElfF</v>
      </c>
    </row>
    <row r="3013" ht="12.75" customHeight="1">
      <c r="A3013" s="5" t="s">
        <v>8398</v>
      </c>
      <c r="B3013" s="5" t="s">
        <v>8399</v>
      </c>
      <c r="D3013" s="5" t="s">
        <v>57</v>
      </c>
      <c r="E3013" s="5" t="s">
        <v>233</v>
      </c>
      <c r="F3013" s="5" t="s">
        <v>534</v>
      </c>
      <c r="G3013" s="14" t="str">
        <f t="array" ref="G3013">IF(B3013="", "",
  LET(_xlpm.spell, IFERROR(IF(F3013="", "", INDEX(_xlws.FILTER(Hairstyles!$F:$F, ISNUMBER(SEARCH(F3013, Hairstyles!$B:$B))), 1)), "No Spell for Hairstyle"),
  _xlpm.vanillaPrefix, IF(LEFT(_xlpm.spell, 7)="Uvi_Wig", "", ";"),
  ";" &amp; IF(C3013="", B3013, C3013) &amp; IF(M3013="", "", " ("&amp;M3013&amp;")") &amp; CHAR(10) &amp;
  _xlpm.vanillaPrefix &amp; "Keyword = Uvi_Wig_Distr_KYWD|" &amp; B3013 &amp; CHAR(10) &amp;
  _xlpm.vanillaPrefix &amp; "Spell = " &amp; _xlpm.spell &amp; "|" &amp; B3013
  )
)</f>
        <v>;EncWarlockAtro05HighElfM
;Keyword = Uvi_Wig_Distr_KYWD|EncWarlockAtro05HighElfM
;Spell = No Spell for Hairstyle|EncWarlockAtro05HighElfM</v>
      </c>
    </row>
    <row r="3014" ht="12.75" customHeight="1">
      <c r="A3014" s="5" t="s">
        <v>8400</v>
      </c>
      <c r="B3014" s="5" t="s">
        <v>8401</v>
      </c>
      <c r="D3014" s="5" t="s">
        <v>59</v>
      </c>
      <c r="E3014" s="5" t="s">
        <v>41</v>
      </c>
      <c r="F3014" s="5" t="s">
        <v>1596</v>
      </c>
      <c r="G3014" s="14" t="str">
        <f t="array" ref="G3014">IF(B3014="", "",
  LET(_xlpm.spell, IFERROR(IF(F3014="", "", INDEX(_xlws.FILTER(Hairstyles!$F:$F, ISNUMBER(SEARCH(F3014, Hairstyles!$B:$B))), 1)), "No Spell for Hairstyle"),
  _xlpm.vanillaPrefix, IF(LEFT(_xlpm.spell, 7)="Uvi_Wig", "", ";"),
  ";" &amp; IF(C3014="", B3014, C3014) &amp; IF(M3014="", "", " ("&amp;M3014&amp;")") &amp; CHAR(10) &amp;
  _xlpm.vanillaPrefix &amp; "Keyword = Uvi_Wig_Distr_KYWD|" &amp; B3014 &amp; CHAR(10) &amp;
  _xlpm.vanillaPrefix &amp; "Spell = " &amp; _xlpm.spell &amp; "|" &amp; B3014
  )
)</f>
        <v>;EncWarlockAtro05ImperialF
;Keyword = Uvi_Wig_Distr_KYWD|EncWarlockAtro05ImperialF
;Spell = No Spell for Hairstyle|EncWarlockAtro05ImperialF</v>
      </c>
    </row>
    <row r="3015" ht="12.75" customHeight="1">
      <c r="A3015" s="5" t="s">
        <v>8402</v>
      </c>
      <c r="B3015" s="5" t="s">
        <v>8403</v>
      </c>
      <c r="D3015" s="5" t="s">
        <v>59</v>
      </c>
      <c r="E3015" s="5" t="s">
        <v>233</v>
      </c>
      <c r="F3015" s="5" t="s">
        <v>521</v>
      </c>
      <c r="G3015" s="14" t="str">
        <f t="array" ref="G3015">IF(B3015="", "",
  LET(_xlpm.spell, IFERROR(IF(F3015="", "", INDEX(_xlws.FILTER(Hairstyles!$F:$F, ISNUMBER(SEARCH(F3015, Hairstyles!$B:$B))), 1)), "No Spell for Hairstyle"),
  _xlpm.vanillaPrefix, IF(LEFT(_xlpm.spell, 7)="Uvi_Wig", "", ";"),
  ";" &amp; IF(C3015="", B3015, C3015) &amp; IF(M3015="", "", " ("&amp;M3015&amp;")") &amp; CHAR(10) &amp;
  _xlpm.vanillaPrefix &amp; "Keyword = Uvi_Wig_Distr_KYWD|" &amp; B3015 &amp; CHAR(10) &amp;
  _xlpm.vanillaPrefix &amp; "Spell = " &amp; _xlpm.spell &amp; "|" &amp; B3015
  )
)</f>
        <v>;EncWarlockAtro05ImperialM
;Keyword = Uvi_Wig_Distr_KYWD|EncWarlockAtro05ImperialM
;Spell = No Spell for Hairstyle|EncWarlockAtro05ImperialM</v>
      </c>
    </row>
    <row r="3016" ht="12.75" customHeight="1">
      <c r="A3016" s="5" t="s">
        <v>8404</v>
      </c>
      <c r="B3016" s="5" t="s">
        <v>8405</v>
      </c>
      <c r="D3016" s="5" t="s">
        <v>16</v>
      </c>
      <c r="E3016" s="5" t="s">
        <v>41</v>
      </c>
      <c r="F3016" s="5" t="s">
        <v>1063</v>
      </c>
      <c r="G3016" s="14" t="str">
        <f t="array" ref="G3016">IF(B3016="", "",
  LET(_xlpm.spell, IFERROR(IF(F3016="", "", INDEX(_xlws.FILTER(Hairstyles!$F:$F, ISNUMBER(SEARCH(F3016, Hairstyles!$B:$B))), 1)), "No Spell for Hairstyle"),
  _xlpm.vanillaPrefix, IF(LEFT(_xlpm.spell, 7)="Uvi_Wig", "", ";"),
  ";" &amp; IF(C3016="", B3016, C3016) &amp; IF(M3016="", "", " ("&amp;M3016&amp;")") &amp; CHAR(10) &amp;
  _xlpm.vanillaPrefix &amp; "Keyword = Uvi_Wig_Distr_KYWD|" &amp; B3016 &amp; CHAR(10) &amp;
  _xlpm.vanillaPrefix &amp; "Spell = " &amp; _xlpm.spell &amp; "|" &amp; B3016
  )
)</f>
        <v>;EncWarlockAtro06BossBretonF
;Keyword = Uvi_Wig_Distr_KYWD|EncWarlockAtro06BossBretonF
;Spell = No Spell for Hairstyle|EncWarlockAtro06BossBretonF</v>
      </c>
    </row>
    <row r="3017" ht="12.75" customHeight="1">
      <c r="A3017" s="5" t="s">
        <v>8406</v>
      </c>
      <c r="B3017" s="5" t="s">
        <v>8407</v>
      </c>
      <c r="D3017" s="5" t="s">
        <v>16</v>
      </c>
      <c r="E3017" s="5" t="s">
        <v>233</v>
      </c>
      <c r="F3017" s="5" t="s">
        <v>1906</v>
      </c>
      <c r="G3017" s="14" t="str">
        <f t="array" ref="G3017">IF(B3017="", "",
  LET(_xlpm.spell, IFERROR(IF(F3017="", "", INDEX(_xlws.FILTER(Hairstyles!$F:$F, ISNUMBER(SEARCH(F3017, Hairstyles!$B:$B))), 1)), "No Spell for Hairstyle"),
  _xlpm.vanillaPrefix, IF(LEFT(_xlpm.spell, 7)="Uvi_Wig", "", ";"),
  ";" &amp; IF(C3017="", B3017, C3017) &amp; IF(M3017="", "", " ("&amp;M3017&amp;")") &amp; CHAR(10) &amp;
  _xlpm.vanillaPrefix &amp; "Keyword = Uvi_Wig_Distr_KYWD|" &amp; B3017 &amp; CHAR(10) &amp;
  _xlpm.vanillaPrefix &amp; "Spell = " &amp; _xlpm.spell &amp; "|" &amp; B3017
  )
)</f>
        <v>;EncWarlockAtro06BossBretonM
;Keyword = Uvi_Wig_Distr_KYWD|EncWarlockAtro06BossBretonM
;Spell = No Spell for Hairstyle|EncWarlockAtro06BossBretonM</v>
      </c>
    </row>
    <row r="3018" ht="12.75" customHeight="1">
      <c r="A3018" s="5" t="s">
        <v>8408</v>
      </c>
      <c r="B3018" s="5" t="s">
        <v>8409</v>
      </c>
      <c r="D3018" s="5" t="s">
        <v>57</v>
      </c>
      <c r="E3018" s="5" t="s">
        <v>41</v>
      </c>
      <c r="F3018" s="5" t="s">
        <v>48</v>
      </c>
      <c r="G3018" s="14" t="str">
        <f t="array" ref="G3018">IF(B3018="", "",
  LET(_xlpm.spell, IFERROR(IF(F3018="", "", INDEX(_xlws.FILTER(Hairstyles!$F:$F, ISNUMBER(SEARCH(F3018, Hairstyles!$B:$B))), 1)), "No Spell for Hairstyle"),
  _xlpm.vanillaPrefix, IF(LEFT(_xlpm.spell, 7)="Uvi_Wig", "", ";"),
  ";" &amp; IF(C3018="", B3018, C3018) &amp; IF(M3018="", "", " ("&amp;M3018&amp;")") &amp; CHAR(10) &amp;
  _xlpm.vanillaPrefix &amp; "Keyword = Uvi_Wig_Distr_KYWD|" &amp; B3018 &amp; CHAR(10) &amp;
  _xlpm.vanillaPrefix &amp; "Spell = " &amp; _xlpm.spell &amp; "|" &amp; B3018
  )
)</f>
        <v>;EncWarlockAtro06BossHighElfF
;Keyword = Uvi_Wig_Distr_KYWD|EncWarlockAtro06BossHighElfF
;Spell = No Spell for Hairstyle|EncWarlockAtro06BossHighElfF</v>
      </c>
    </row>
    <row r="3019" ht="12.75" customHeight="1">
      <c r="A3019" s="5" t="s">
        <v>8410</v>
      </c>
      <c r="B3019" s="5" t="s">
        <v>8411</v>
      </c>
      <c r="D3019" s="5" t="s">
        <v>57</v>
      </c>
      <c r="E3019" s="5" t="s">
        <v>233</v>
      </c>
      <c r="F3019" s="5" t="s">
        <v>543</v>
      </c>
      <c r="G3019" s="14" t="str">
        <f t="array" ref="G3019">IF(B3019="", "",
  LET(_xlpm.spell, IFERROR(IF(F3019="", "", INDEX(_xlws.FILTER(Hairstyles!$F:$F, ISNUMBER(SEARCH(F3019, Hairstyles!$B:$B))), 1)), "No Spell for Hairstyle"),
  _xlpm.vanillaPrefix, IF(LEFT(_xlpm.spell, 7)="Uvi_Wig", "", ";"),
  ";" &amp; IF(C3019="", B3019, C3019) &amp; IF(M3019="", "", " ("&amp;M3019&amp;")") &amp; CHAR(10) &amp;
  _xlpm.vanillaPrefix &amp; "Keyword = Uvi_Wig_Distr_KYWD|" &amp; B3019 &amp; CHAR(10) &amp;
  _xlpm.vanillaPrefix &amp; "Spell = " &amp; _xlpm.spell &amp; "|" &amp; B3019
  )
)</f>
        <v>;EncWarlockAtro06BossHighElfM
;Keyword = Uvi_Wig_Distr_KYWD|EncWarlockAtro06BossHighElfM
;Spell = No Spell for Hairstyle|EncWarlockAtro06BossHighElfM</v>
      </c>
    </row>
    <row r="3020" ht="12.75" customHeight="1">
      <c r="A3020" s="5" t="s">
        <v>8412</v>
      </c>
      <c r="B3020" s="5" t="s">
        <v>8413</v>
      </c>
      <c r="D3020" s="5" t="s">
        <v>16</v>
      </c>
      <c r="E3020" s="5" t="s">
        <v>41</v>
      </c>
      <c r="F3020" s="5" t="s">
        <v>1063</v>
      </c>
      <c r="G3020" s="14" t="str">
        <f t="array" ref="G3020">IF(B3020="", "",
  LET(_xlpm.spell, IFERROR(IF(F3020="", "", INDEX(_xlws.FILTER(Hairstyles!$F:$F, ISNUMBER(SEARCH(F3020, Hairstyles!$B:$B))), 1)), "No Spell for Hairstyle"),
  _xlpm.vanillaPrefix, IF(LEFT(_xlpm.spell, 7)="Uvi_Wig", "", ";"),
  ";" &amp; IF(C3020="", B3020, C3020) &amp; IF(M3020="", "", " ("&amp;M3020&amp;")") &amp; CHAR(10) &amp;
  _xlpm.vanillaPrefix &amp; "Keyword = Uvi_Wig_Distr_KYWD|" &amp; B3020 &amp; CHAR(10) &amp;
  _xlpm.vanillaPrefix &amp; "Spell = " &amp; _xlpm.spell &amp; "|" &amp; B3020
  )
)</f>
        <v>;EncWarlockAtro06BretonF
;Keyword = Uvi_Wig_Distr_KYWD|EncWarlockAtro06BretonF
;Spell = No Spell for Hairstyle|EncWarlockAtro06BretonF</v>
      </c>
    </row>
    <row r="3021" ht="12.75" customHeight="1">
      <c r="A3021" s="5" t="s">
        <v>8414</v>
      </c>
      <c r="B3021" s="5" t="s">
        <v>8415</v>
      </c>
      <c r="D3021" s="5" t="s">
        <v>16</v>
      </c>
      <c r="E3021" s="5" t="s">
        <v>233</v>
      </c>
      <c r="F3021" s="5" t="s">
        <v>1700</v>
      </c>
      <c r="G3021" s="14" t="str">
        <f t="array" ref="G3021">IF(B3021="", "",
  LET(_xlpm.spell, IFERROR(IF(F3021="", "", INDEX(_xlws.FILTER(Hairstyles!$F:$F, ISNUMBER(SEARCH(F3021, Hairstyles!$B:$B))), 1)), "No Spell for Hairstyle"),
  _xlpm.vanillaPrefix, IF(LEFT(_xlpm.spell, 7)="Uvi_Wig", "", ";"),
  ";" &amp; IF(C3021="", B3021, C3021) &amp; IF(M3021="", "", " ("&amp;M3021&amp;")") &amp; CHAR(10) &amp;
  _xlpm.vanillaPrefix &amp; "Keyword = Uvi_Wig_Distr_KYWD|" &amp; B3021 &amp; CHAR(10) &amp;
  _xlpm.vanillaPrefix &amp; "Spell = " &amp; _xlpm.spell &amp; "|" &amp; B3021
  )
)</f>
        <v>;EncWarlockAtro06BretonM
;Keyword = Uvi_Wig_Distr_KYWD|EncWarlockAtro06BretonM
;Spell = No Spell for Hairstyle|EncWarlockAtro06BretonM</v>
      </c>
    </row>
    <row r="3022" ht="12.75" customHeight="1">
      <c r="A3022" s="5" t="s">
        <v>8416</v>
      </c>
      <c r="B3022" s="5" t="s">
        <v>8417</v>
      </c>
      <c r="D3022" s="5" t="s">
        <v>45</v>
      </c>
      <c r="E3022" s="5" t="s">
        <v>41</v>
      </c>
      <c r="F3022" s="5" t="s">
        <v>2034</v>
      </c>
      <c r="G3022" s="14" t="str">
        <f t="array" ref="G3022">IF(B3022="", "",
  LET(_xlpm.spell, IFERROR(IF(F3022="", "", INDEX(_xlws.FILTER(Hairstyles!$F:$F, ISNUMBER(SEARCH(F3022, Hairstyles!$B:$B))), 1)), "No Spell for Hairstyle"),
  _xlpm.vanillaPrefix, IF(LEFT(_xlpm.spell, 7)="Uvi_Wig", "", ";"),
  ";" &amp; IF(C3022="", B3022, C3022) &amp; IF(M3022="", "", " ("&amp;M3022&amp;")") &amp; CHAR(10) &amp;
  _xlpm.vanillaPrefix &amp; "Keyword = Uvi_Wig_Distr_KYWD|" &amp; B3022 &amp; CHAR(10) &amp;
  _xlpm.vanillaPrefix &amp; "Spell = " &amp; _xlpm.spell &amp; "|" &amp; B3022
  )
)</f>
        <v>;EncWarlockAtro06DarkElfF
;Keyword = Uvi_Wig_Distr_KYWD|EncWarlockAtro06DarkElfF
;Spell = No Spell for Hairstyle|EncWarlockAtro06DarkElfF</v>
      </c>
    </row>
    <row r="3023" ht="12.75" customHeight="1">
      <c r="A3023" s="5" t="s">
        <v>8418</v>
      </c>
      <c r="B3023" s="5" t="s">
        <v>8419</v>
      </c>
      <c r="D3023" s="5" t="s">
        <v>45</v>
      </c>
      <c r="E3023" s="5" t="s">
        <v>233</v>
      </c>
      <c r="F3023" s="5" t="s">
        <v>4186</v>
      </c>
      <c r="G3023" s="14" t="str">
        <f t="array" ref="G3023">IF(B3023="", "",
  LET(_xlpm.spell, IFERROR(IF(F3023="", "", INDEX(_xlws.FILTER(Hairstyles!$F:$F, ISNUMBER(SEARCH(F3023, Hairstyles!$B:$B))), 1)), "No Spell for Hairstyle"),
  _xlpm.vanillaPrefix, IF(LEFT(_xlpm.spell, 7)="Uvi_Wig", "", ";"),
  ";" &amp; IF(C3023="", B3023, C3023) &amp; IF(M3023="", "", " ("&amp;M3023&amp;")") &amp; CHAR(10) &amp;
  _xlpm.vanillaPrefix &amp; "Keyword = Uvi_Wig_Distr_KYWD|" &amp; B3023 &amp; CHAR(10) &amp;
  _xlpm.vanillaPrefix &amp; "Spell = " &amp; _xlpm.spell &amp; "|" &amp; B3023
  )
)</f>
        <v>;EncWarlockAtro06DarkElfM
;Keyword = Uvi_Wig_Distr_KYWD|EncWarlockAtro06DarkElfM
;Spell = No Spell for Hairstyle|EncWarlockAtro06DarkElfM</v>
      </c>
    </row>
    <row r="3024" ht="12.75" customHeight="1">
      <c r="A3024" s="5" t="s">
        <v>8420</v>
      </c>
      <c r="B3024" s="5" t="s">
        <v>8421</v>
      </c>
      <c r="D3024" s="5" t="s">
        <v>57</v>
      </c>
      <c r="E3024" s="5" t="s">
        <v>41</v>
      </c>
      <c r="F3024" s="5" t="s">
        <v>512</v>
      </c>
      <c r="G3024" s="14" t="str">
        <f t="array" ref="G3024">IF(B3024="", "",
  LET(_xlpm.spell, IFERROR(IF(F3024="", "", INDEX(_xlws.FILTER(Hairstyles!$F:$F, ISNUMBER(SEARCH(F3024, Hairstyles!$B:$B))), 1)), "No Spell for Hairstyle"),
  _xlpm.vanillaPrefix, IF(LEFT(_xlpm.spell, 7)="Uvi_Wig", "", ";"),
  ";" &amp; IF(C3024="", B3024, C3024) &amp; IF(M3024="", "", " ("&amp;M3024&amp;")") &amp; CHAR(10) &amp;
  _xlpm.vanillaPrefix &amp; "Keyword = Uvi_Wig_Distr_KYWD|" &amp; B3024 &amp; CHAR(10) &amp;
  _xlpm.vanillaPrefix &amp; "Spell = " &amp; _xlpm.spell &amp; "|" &amp; B3024
  )
)</f>
        <v>;EncWarlockAtro06HighElfF
;Keyword = Uvi_Wig_Distr_KYWD|EncWarlockAtro06HighElfF
;Spell = No Spell for Hairstyle|EncWarlockAtro06HighElfF</v>
      </c>
    </row>
    <row r="3025" ht="12.75" customHeight="1">
      <c r="A3025" s="5" t="s">
        <v>8422</v>
      </c>
      <c r="B3025" s="5" t="s">
        <v>8423</v>
      </c>
      <c r="D3025" s="5" t="s">
        <v>57</v>
      </c>
      <c r="E3025" s="5" t="s">
        <v>233</v>
      </c>
      <c r="F3025" s="5" t="s">
        <v>1541</v>
      </c>
      <c r="G3025" s="14" t="str">
        <f t="array" ref="G3025">IF(B3025="", "",
  LET(_xlpm.spell, IFERROR(IF(F3025="", "", INDEX(_xlws.FILTER(Hairstyles!$F:$F, ISNUMBER(SEARCH(F3025, Hairstyles!$B:$B))), 1)), "No Spell for Hairstyle"),
  _xlpm.vanillaPrefix, IF(LEFT(_xlpm.spell, 7)="Uvi_Wig", "", ";"),
  ";" &amp; IF(C3025="", B3025, C3025) &amp; IF(M3025="", "", " ("&amp;M3025&amp;")") &amp; CHAR(10) &amp;
  _xlpm.vanillaPrefix &amp; "Keyword = Uvi_Wig_Distr_KYWD|" &amp; B3025 &amp; CHAR(10) &amp;
  _xlpm.vanillaPrefix &amp; "Spell = " &amp; _xlpm.spell &amp; "|" &amp; B3025
  )
)</f>
        <v>;EncWarlockAtro06HighElfM
;Keyword = Uvi_Wig_Distr_KYWD|EncWarlockAtro06HighElfM
;Spell = No Spell for Hairstyle|EncWarlockAtro06HighElfM</v>
      </c>
    </row>
    <row r="3026" ht="12.75" customHeight="1">
      <c r="A3026" s="5" t="s">
        <v>8424</v>
      </c>
      <c r="B3026" s="5" t="s">
        <v>8425</v>
      </c>
      <c r="D3026" s="5" t="s">
        <v>59</v>
      </c>
      <c r="E3026" s="5" t="s">
        <v>41</v>
      </c>
      <c r="F3026" s="5" t="s">
        <v>1596</v>
      </c>
      <c r="G3026" s="14" t="str">
        <f t="array" ref="G3026">IF(B3026="", "",
  LET(_xlpm.spell, IFERROR(IF(F3026="", "", INDEX(_xlws.FILTER(Hairstyles!$F:$F, ISNUMBER(SEARCH(F3026, Hairstyles!$B:$B))), 1)), "No Spell for Hairstyle"),
  _xlpm.vanillaPrefix, IF(LEFT(_xlpm.spell, 7)="Uvi_Wig", "", ";"),
  ";" &amp; IF(C3026="", B3026, C3026) &amp; IF(M3026="", "", " ("&amp;M3026&amp;")") &amp; CHAR(10) &amp;
  _xlpm.vanillaPrefix &amp; "Keyword = Uvi_Wig_Distr_KYWD|" &amp; B3026 &amp; CHAR(10) &amp;
  _xlpm.vanillaPrefix &amp; "Spell = " &amp; _xlpm.spell &amp; "|" &amp; B3026
  )
)</f>
        <v>;EncWarlockAtro06ImperialF
;Keyword = Uvi_Wig_Distr_KYWD|EncWarlockAtro06ImperialF
;Spell = No Spell for Hairstyle|EncWarlockAtro06ImperialF</v>
      </c>
    </row>
    <row r="3027" ht="12.75" customHeight="1">
      <c r="A3027" s="5" t="s">
        <v>8426</v>
      </c>
      <c r="B3027" s="5" t="s">
        <v>8427</v>
      </c>
      <c r="D3027" s="5" t="s">
        <v>59</v>
      </c>
      <c r="E3027" s="5" t="s">
        <v>233</v>
      </c>
      <c r="F3027" s="5" t="s">
        <v>1700</v>
      </c>
      <c r="G3027" s="14" t="str">
        <f t="array" ref="G3027">IF(B3027="", "",
  LET(_xlpm.spell, IFERROR(IF(F3027="", "", INDEX(_xlws.FILTER(Hairstyles!$F:$F, ISNUMBER(SEARCH(F3027, Hairstyles!$B:$B))), 1)), "No Spell for Hairstyle"),
  _xlpm.vanillaPrefix, IF(LEFT(_xlpm.spell, 7)="Uvi_Wig", "", ";"),
  ";" &amp; IF(C3027="", B3027, C3027) &amp; IF(M3027="", "", " ("&amp;M3027&amp;")") &amp; CHAR(10) &amp;
  _xlpm.vanillaPrefix &amp; "Keyword = Uvi_Wig_Distr_KYWD|" &amp; B3027 &amp; CHAR(10) &amp;
  _xlpm.vanillaPrefix &amp; "Spell = " &amp; _xlpm.spell &amp; "|" &amp; B3027
  )
)</f>
        <v>;EncWarlockAtro06ImperialM
;Keyword = Uvi_Wig_Distr_KYWD|EncWarlockAtro06ImperialM
;Spell = No Spell for Hairstyle|EncWarlockAtro06ImperialM</v>
      </c>
    </row>
    <row r="3028" ht="12.75" customHeight="1">
      <c r="A3028" s="5" t="s">
        <v>8428</v>
      </c>
      <c r="B3028" s="5" t="s">
        <v>8429</v>
      </c>
      <c r="D3028" s="5" t="s">
        <v>16</v>
      </c>
      <c r="E3028" s="5" t="s">
        <v>41</v>
      </c>
      <c r="F3028" s="5" t="s">
        <v>1063</v>
      </c>
      <c r="G3028" s="14" t="str">
        <f t="array" ref="G3028">IF(B3028="", "",
  LET(_xlpm.spell, IFERROR(IF(F3028="", "", INDEX(_xlws.FILTER(Hairstyles!$F:$F, ISNUMBER(SEARCH(F3028, Hairstyles!$B:$B))), 1)), "No Spell for Hairstyle"),
  _xlpm.vanillaPrefix, IF(LEFT(_xlpm.spell, 7)="Uvi_Wig", "", ";"),
  ";" &amp; IF(C3028="", B3028, C3028) &amp; IF(M3028="", "", " ("&amp;M3028&amp;")") &amp; CHAR(10) &amp;
  _xlpm.vanillaPrefix &amp; "Keyword = Uvi_Wig_Distr_KYWD|" &amp; B3028 &amp; CHAR(10) &amp;
  _xlpm.vanillaPrefix &amp; "Spell = " &amp; _xlpm.spell &amp; "|" &amp; B3028
  )
)</f>
        <v>;EncWarlockAtro07BossBretonF
;Keyword = Uvi_Wig_Distr_KYWD|EncWarlockAtro07BossBretonF
;Spell = No Spell for Hairstyle|EncWarlockAtro07BossBretonF</v>
      </c>
    </row>
    <row r="3029" ht="12.75" customHeight="1">
      <c r="A3029" s="5" t="s">
        <v>8430</v>
      </c>
      <c r="B3029" s="5" t="s">
        <v>8431</v>
      </c>
      <c r="D3029" s="5" t="s">
        <v>57</v>
      </c>
      <c r="E3029" s="5" t="s">
        <v>233</v>
      </c>
      <c r="F3029" s="5" t="s">
        <v>543</v>
      </c>
      <c r="G3029" s="14" t="str">
        <f t="array" ref="G3029">IF(B3029="", "",
  LET(_xlpm.spell, IFERROR(IF(F3029="", "", INDEX(_xlws.FILTER(Hairstyles!$F:$F, ISNUMBER(SEARCH(F3029, Hairstyles!$B:$B))), 1)), "No Spell for Hairstyle"),
  _xlpm.vanillaPrefix, IF(LEFT(_xlpm.spell, 7)="Uvi_Wig", "", ";"),
  ";" &amp; IF(C3029="", B3029, C3029) &amp; IF(M3029="", "", " ("&amp;M3029&amp;")") &amp; CHAR(10) &amp;
  _xlpm.vanillaPrefix &amp; "Keyword = Uvi_Wig_Distr_KYWD|" &amp; B3029 &amp; CHAR(10) &amp;
  _xlpm.vanillaPrefix &amp; "Spell = " &amp; _xlpm.spell &amp; "|" &amp; B3029
  )
)</f>
        <v>;EncWarlockAtro07BossHighElfM
;Keyword = Uvi_Wig_Distr_KYWD|EncWarlockAtro07BossHighElfM
;Spell = No Spell for Hairstyle|EncWarlockAtro07BossHighElfM</v>
      </c>
    </row>
    <row r="3030" ht="12.75" customHeight="1">
      <c r="A3030" s="5" t="s">
        <v>8432</v>
      </c>
      <c r="B3030" s="5" t="s">
        <v>8433</v>
      </c>
      <c r="D3030" s="5" t="s">
        <v>16</v>
      </c>
      <c r="E3030" s="5" t="s">
        <v>41</v>
      </c>
      <c r="F3030" s="5" t="s">
        <v>1063</v>
      </c>
      <c r="G3030" s="14" t="str">
        <f t="array" ref="G3030">IF(B3030="", "",
  LET(_xlpm.spell, IFERROR(IF(F3030="", "", INDEX(_xlws.FILTER(Hairstyles!$F:$F, ISNUMBER(SEARCH(F3030, Hairstyles!$B:$B))), 1)), "No Spell for Hairstyle"),
  _xlpm.vanillaPrefix, IF(LEFT(_xlpm.spell, 7)="Uvi_Wig", "", ";"),
  ";" &amp; IF(C3030="", B3030, C3030) &amp; IF(M3030="", "", " ("&amp;M3030&amp;")") &amp; CHAR(10) &amp;
  _xlpm.vanillaPrefix &amp; "Keyword = Uvi_Wig_Distr_KYWD|" &amp; B3030 &amp; CHAR(10) &amp;
  _xlpm.vanillaPrefix &amp; "Spell = " &amp; _xlpm.spell &amp; "|" &amp; B3030
  )
)</f>
        <v>;EncWarlockAtro07BretonF
;Keyword = Uvi_Wig_Distr_KYWD|EncWarlockAtro07BretonF
;Spell = No Spell for Hairstyle|EncWarlockAtro07BretonF</v>
      </c>
    </row>
    <row r="3031" ht="12.75" customHeight="1">
      <c r="A3031" s="5" t="s">
        <v>8434</v>
      </c>
      <c r="B3031" s="5" t="s">
        <v>8435</v>
      </c>
      <c r="D3031" s="5" t="s">
        <v>57</v>
      </c>
      <c r="E3031" s="5" t="s">
        <v>233</v>
      </c>
      <c r="F3031" s="5" t="s">
        <v>1541</v>
      </c>
      <c r="G3031" s="14" t="str">
        <f t="array" ref="G3031">IF(B3031="", "",
  LET(_xlpm.spell, IFERROR(IF(F3031="", "", INDEX(_xlws.FILTER(Hairstyles!$F:$F, ISNUMBER(SEARCH(F3031, Hairstyles!$B:$B))), 1)), "No Spell for Hairstyle"),
  _xlpm.vanillaPrefix, IF(LEFT(_xlpm.spell, 7)="Uvi_Wig", "", ";"),
  ";" &amp; IF(C3031="", B3031, C3031) &amp; IF(M3031="", "", " ("&amp;M3031&amp;")") &amp; CHAR(10) &amp;
  _xlpm.vanillaPrefix &amp; "Keyword = Uvi_Wig_Distr_KYWD|" &amp; B3031 &amp; CHAR(10) &amp;
  _xlpm.vanillaPrefix &amp; "Spell = " &amp; _xlpm.spell &amp; "|" &amp; B3031
  )
)</f>
        <v>;EncWarlockAtro07HighElfM
;Keyword = Uvi_Wig_Distr_KYWD|EncWarlockAtro07HighElfM
;Spell = No Spell for Hairstyle|EncWarlockAtro07HighElfM</v>
      </c>
    </row>
    <row r="3032" ht="12.75" customHeight="1">
      <c r="A3032" s="5" t="s">
        <v>8436</v>
      </c>
      <c r="B3032" s="5" t="s">
        <v>8437</v>
      </c>
      <c r="D3032" s="5" t="s">
        <v>16</v>
      </c>
      <c r="E3032" s="5" t="s">
        <v>41</v>
      </c>
      <c r="F3032" s="5" t="s">
        <v>371</v>
      </c>
      <c r="G3032" s="14" t="str">
        <f t="array" ref="G3032">IF(B3032="", "",
  LET(_xlpm.spell, IFERROR(IF(F3032="", "", INDEX(_xlws.FILTER(Hairstyles!$F:$F, ISNUMBER(SEARCH(F3032, Hairstyles!$B:$B))), 1)), "No Spell for Hairstyle"),
  _xlpm.vanillaPrefix, IF(LEFT(_xlpm.spell, 7)="Uvi_Wig", "", ";"),
  ";" &amp; IF(C3032="", B3032, C3032) &amp; IF(M3032="", "", " ("&amp;M3032&amp;")") &amp; CHAR(10) &amp;
  _xlpm.vanillaPrefix &amp; "Keyword = Uvi_Wig_Distr_KYWD|" &amp; B3032 &amp; CHAR(10) &amp;
  _xlpm.vanillaPrefix &amp; "Spell = " &amp; _xlpm.spell &amp; "|" &amp; B3032
  )
)</f>
        <v>;EncWarlockFire01BretonF
;Keyword = Uvi_Wig_Distr_KYWD|EncWarlockFire01BretonF
;Spell = No Spell for Hairstyle|EncWarlockFire01BretonF</v>
      </c>
    </row>
    <row r="3033" ht="12.75" customHeight="1">
      <c r="A3033" s="5" t="s">
        <v>8438</v>
      </c>
      <c r="B3033" s="5" t="s">
        <v>8439</v>
      </c>
      <c r="D3033" s="5" t="s">
        <v>16</v>
      </c>
      <c r="E3033" s="5" t="s">
        <v>233</v>
      </c>
      <c r="F3033" s="5" t="s">
        <v>990</v>
      </c>
      <c r="G3033" s="14" t="str">
        <f t="array" ref="G3033">IF(B3033="", "",
  LET(_xlpm.spell, IFERROR(IF(F3033="", "", INDEX(_xlws.FILTER(Hairstyles!$F:$F, ISNUMBER(SEARCH(F3033, Hairstyles!$B:$B))), 1)), "No Spell for Hairstyle"),
  _xlpm.vanillaPrefix, IF(LEFT(_xlpm.spell, 7)="Uvi_Wig", "", ";"),
  ";" &amp; IF(C3033="", B3033, C3033) &amp; IF(M3033="", "", " ("&amp;M3033&amp;")") &amp; CHAR(10) &amp;
  _xlpm.vanillaPrefix &amp; "Keyword = Uvi_Wig_Distr_KYWD|" &amp; B3033 &amp; CHAR(10) &amp;
  _xlpm.vanillaPrefix &amp; "Spell = " &amp; _xlpm.spell &amp; "|" &amp; B3033
  )
)</f>
        <v>;EncWarlockFire01BretonM
;Keyword = Uvi_Wig_Distr_KYWD|EncWarlockFire01BretonM
;Spell = No Spell for Hairstyle|EncWarlockFire01BretonM</v>
      </c>
    </row>
    <row r="3034" ht="12.75" customHeight="1">
      <c r="A3034" s="5" t="s">
        <v>8440</v>
      </c>
      <c r="B3034" s="5" t="s">
        <v>8441</v>
      </c>
      <c r="D3034" s="5" t="s">
        <v>45</v>
      </c>
      <c r="E3034" s="5" t="s">
        <v>41</v>
      </c>
      <c r="F3034" s="5" t="s">
        <v>1854</v>
      </c>
      <c r="G3034" s="14" t="str">
        <f t="array" ref="G3034">IF(B3034="", "",
  LET(_xlpm.spell, IFERROR(IF(F3034="", "", INDEX(_xlws.FILTER(Hairstyles!$F:$F, ISNUMBER(SEARCH(F3034, Hairstyles!$B:$B))), 1)), "No Spell for Hairstyle"),
  _xlpm.vanillaPrefix, IF(LEFT(_xlpm.spell, 7)="Uvi_Wig", "", ";"),
  ";" &amp; IF(C3034="", B3034, C3034) &amp; IF(M3034="", "", " ("&amp;M3034&amp;")") &amp; CHAR(10) &amp;
  _xlpm.vanillaPrefix &amp; "Keyword = Uvi_Wig_Distr_KYWD|" &amp; B3034 &amp; CHAR(10) &amp;
  _xlpm.vanillaPrefix &amp; "Spell = " &amp; _xlpm.spell &amp; "|" &amp; B3034
  )
)</f>
        <v>;EncWarlockFire01DarkElfF
;Keyword = Uvi_Wig_Distr_KYWD|EncWarlockFire01DarkElfF
;Spell = No Spell for Hairstyle|EncWarlockFire01DarkElfF</v>
      </c>
    </row>
    <row r="3035" ht="12.75" customHeight="1">
      <c r="A3035" s="5" t="s">
        <v>8442</v>
      </c>
      <c r="B3035" s="5" t="s">
        <v>8443</v>
      </c>
      <c r="D3035" s="5" t="s">
        <v>45</v>
      </c>
      <c r="E3035" s="5" t="s">
        <v>233</v>
      </c>
      <c r="F3035" s="5" t="s">
        <v>2088</v>
      </c>
      <c r="G3035" s="14" t="str">
        <f t="array" ref="G3035">IF(B3035="", "",
  LET(_xlpm.spell, IFERROR(IF(F3035="", "", INDEX(_xlws.FILTER(Hairstyles!$F:$F, ISNUMBER(SEARCH(F3035, Hairstyles!$B:$B))), 1)), "No Spell for Hairstyle"),
  _xlpm.vanillaPrefix, IF(LEFT(_xlpm.spell, 7)="Uvi_Wig", "", ";"),
  ";" &amp; IF(C3035="", B3035, C3035) &amp; IF(M3035="", "", " ("&amp;M3035&amp;")") &amp; CHAR(10) &amp;
  _xlpm.vanillaPrefix &amp; "Keyword = Uvi_Wig_Distr_KYWD|" &amp; B3035 &amp; CHAR(10) &amp;
  _xlpm.vanillaPrefix &amp; "Spell = " &amp; _xlpm.spell &amp; "|" &amp; B3035
  )
)</f>
        <v>;EncWarlockFire01DarkElfM
;Keyword = Uvi_Wig_Distr_KYWD|EncWarlockFire01DarkElfM
;Spell = No Spell for Hairstyle|EncWarlockFire01DarkElfM</v>
      </c>
    </row>
    <row r="3036" ht="12.75" customHeight="1">
      <c r="A3036" s="5" t="s">
        <v>8444</v>
      </c>
      <c r="B3036" s="5" t="s">
        <v>8445</v>
      </c>
      <c r="D3036" s="5" t="s">
        <v>57</v>
      </c>
      <c r="E3036" s="5" t="s">
        <v>41</v>
      </c>
      <c r="F3036" s="5" t="s">
        <v>48</v>
      </c>
      <c r="G3036" s="14" t="str">
        <f t="array" ref="G3036">IF(B3036="", "",
  LET(_xlpm.spell, IFERROR(IF(F3036="", "", INDEX(_xlws.FILTER(Hairstyles!$F:$F, ISNUMBER(SEARCH(F3036, Hairstyles!$B:$B))), 1)), "No Spell for Hairstyle"),
  _xlpm.vanillaPrefix, IF(LEFT(_xlpm.spell, 7)="Uvi_Wig", "", ";"),
  ";" &amp; IF(C3036="", B3036, C3036) &amp; IF(M3036="", "", " ("&amp;M3036&amp;")") &amp; CHAR(10) &amp;
  _xlpm.vanillaPrefix &amp; "Keyword = Uvi_Wig_Distr_KYWD|" &amp; B3036 &amp; CHAR(10) &amp;
  _xlpm.vanillaPrefix &amp; "Spell = " &amp; _xlpm.spell &amp; "|" &amp; B3036
  )
)</f>
        <v>;EncWarlockFire01HighElfF
;Keyword = Uvi_Wig_Distr_KYWD|EncWarlockFire01HighElfF
;Spell = No Spell for Hairstyle|EncWarlockFire01HighElfF</v>
      </c>
    </row>
    <row r="3037" ht="12.75" customHeight="1">
      <c r="A3037" s="5" t="s">
        <v>8446</v>
      </c>
      <c r="B3037" s="5" t="s">
        <v>8447</v>
      </c>
      <c r="D3037" s="5" t="s">
        <v>57</v>
      </c>
      <c r="E3037" s="5" t="s">
        <v>233</v>
      </c>
      <c r="F3037" s="5" t="s">
        <v>543</v>
      </c>
      <c r="G3037" s="14" t="str">
        <f t="array" ref="G3037">IF(B3037="", "",
  LET(_xlpm.spell, IFERROR(IF(F3037="", "", INDEX(_xlws.FILTER(Hairstyles!$F:$F, ISNUMBER(SEARCH(F3037, Hairstyles!$B:$B))), 1)), "No Spell for Hairstyle"),
  _xlpm.vanillaPrefix, IF(LEFT(_xlpm.spell, 7)="Uvi_Wig", "", ";"),
  ";" &amp; IF(C3037="", B3037, C3037) &amp; IF(M3037="", "", " ("&amp;M3037&amp;")") &amp; CHAR(10) &amp;
  _xlpm.vanillaPrefix &amp; "Keyword = Uvi_Wig_Distr_KYWD|" &amp; B3037 &amp; CHAR(10) &amp;
  _xlpm.vanillaPrefix &amp; "Spell = " &amp; _xlpm.spell &amp; "|" &amp; B3037
  )
)</f>
        <v>;EncWarlockFire01HighElfM
;Keyword = Uvi_Wig_Distr_KYWD|EncWarlockFire01HighElfM
;Spell = No Spell for Hairstyle|EncWarlockFire01HighElfM</v>
      </c>
    </row>
    <row r="3038" ht="12.75" customHeight="1">
      <c r="A3038" s="5" t="s">
        <v>8448</v>
      </c>
      <c r="B3038" s="5" t="s">
        <v>8449</v>
      </c>
      <c r="D3038" s="5" t="s">
        <v>59</v>
      </c>
      <c r="E3038" s="5" t="s">
        <v>41</v>
      </c>
      <c r="F3038" s="5" t="s">
        <v>1557</v>
      </c>
      <c r="G3038" s="14" t="str">
        <f t="array" ref="G3038">IF(B3038="", "",
  LET(_xlpm.spell, IFERROR(IF(F3038="", "", INDEX(_xlws.FILTER(Hairstyles!$F:$F, ISNUMBER(SEARCH(F3038, Hairstyles!$B:$B))), 1)), "No Spell for Hairstyle"),
  _xlpm.vanillaPrefix, IF(LEFT(_xlpm.spell, 7)="Uvi_Wig", "", ";"),
  ";" &amp; IF(C3038="", B3038, C3038) &amp; IF(M3038="", "", " ("&amp;M3038&amp;")") &amp; CHAR(10) &amp;
  _xlpm.vanillaPrefix &amp; "Keyword = Uvi_Wig_Distr_KYWD|" &amp; B3038 &amp; CHAR(10) &amp;
  _xlpm.vanillaPrefix &amp; "Spell = " &amp; _xlpm.spell &amp; "|" &amp; B3038
  )
)</f>
        <v>;EncWarlockFire01ImperialF
;Keyword = Uvi_Wig_Distr_KYWD|EncWarlockFire01ImperialF
;Spell = No Spell for Hairstyle|EncWarlockFire01ImperialF</v>
      </c>
    </row>
    <row r="3039" ht="12.75" customHeight="1">
      <c r="A3039" s="5" t="s">
        <v>8450</v>
      </c>
      <c r="B3039" s="5" t="s">
        <v>8451</v>
      </c>
      <c r="D3039" s="5" t="s">
        <v>59</v>
      </c>
      <c r="E3039" s="5" t="s">
        <v>233</v>
      </c>
      <c r="F3039" s="5" t="s">
        <v>2030</v>
      </c>
      <c r="G3039" s="14" t="str">
        <f t="array" ref="G3039">IF(B3039="", "",
  LET(_xlpm.spell, IFERROR(IF(F3039="", "", INDEX(_xlws.FILTER(Hairstyles!$F:$F, ISNUMBER(SEARCH(F3039, Hairstyles!$B:$B))), 1)), "No Spell for Hairstyle"),
  _xlpm.vanillaPrefix, IF(LEFT(_xlpm.spell, 7)="Uvi_Wig", "", ";"),
  ";" &amp; IF(C3039="", B3039, C3039) &amp; IF(M3039="", "", " ("&amp;M3039&amp;")") &amp; CHAR(10) &amp;
  _xlpm.vanillaPrefix &amp; "Keyword = Uvi_Wig_Distr_KYWD|" &amp; B3039 &amp; CHAR(10) &amp;
  _xlpm.vanillaPrefix &amp; "Spell = " &amp; _xlpm.spell &amp; "|" &amp; B3039
  )
)</f>
        <v>;EncWarlockFire01ImperialM
;Keyword = Uvi_Wig_Distr_KYWD|EncWarlockFire01ImperialM
;Spell = No Spell for Hairstyle|EncWarlockFire01ImperialM</v>
      </c>
    </row>
    <row r="3040" ht="12.75" customHeight="1">
      <c r="A3040" s="5" t="s">
        <v>8452</v>
      </c>
      <c r="B3040" s="5" t="s">
        <v>8453</v>
      </c>
      <c r="D3040" s="5" t="s">
        <v>45</v>
      </c>
      <c r="E3040" s="5" t="s">
        <v>41</v>
      </c>
      <c r="F3040" s="5" t="s">
        <v>1854</v>
      </c>
      <c r="G3040" s="14" t="str">
        <f t="array" ref="G3040">IF(B3040="", "",
  LET(_xlpm.spell, IFERROR(IF(F3040="", "", INDEX(_xlws.FILTER(Hairstyles!$F:$F, ISNUMBER(SEARCH(F3040, Hairstyles!$B:$B))), 1)), "No Spell for Hairstyle"),
  _xlpm.vanillaPrefix, IF(LEFT(_xlpm.spell, 7)="Uvi_Wig", "", ";"),
  ";" &amp; IF(C3040="", B3040, C3040) &amp; IF(M3040="", "", " ("&amp;M3040&amp;")") &amp; CHAR(10) &amp;
  _xlpm.vanillaPrefix &amp; "Keyword = Uvi_Wig_Distr_KYWD|" &amp; B3040 &amp; CHAR(10) &amp;
  _xlpm.vanillaPrefix &amp; "Spell = " &amp; _xlpm.spell &amp; "|" &amp; B3040
  )
)</f>
        <v>;EncWarlockFire02BossDarkElfF
;Keyword = Uvi_Wig_Distr_KYWD|EncWarlockFire02BossDarkElfF
;Spell = No Spell for Hairstyle|EncWarlockFire02BossDarkElfF</v>
      </c>
    </row>
    <row r="3041" ht="12.75" customHeight="1">
      <c r="A3041" s="15" t="s">
        <v>8454</v>
      </c>
      <c r="B3041" s="5" t="s">
        <v>8455</v>
      </c>
      <c r="D3041" s="5" t="s">
        <v>45</v>
      </c>
      <c r="E3041" s="5" t="s">
        <v>233</v>
      </c>
      <c r="F3041" s="5" t="s">
        <v>543</v>
      </c>
      <c r="G3041" s="14" t="str">
        <f t="array" ref="G3041">IF(B3041="", "",
  LET(_xlpm.spell, IFERROR(IF(F3041="", "", INDEX(_xlws.FILTER(Hairstyles!$F:$F, ISNUMBER(SEARCH(F3041, Hairstyles!$B:$B))), 1)), "No Spell for Hairstyle"),
  _xlpm.vanillaPrefix, IF(LEFT(_xlpm.spell, 7)="Uvi_Wig", "", ";"),
  ";" &amp; IF(C3041="", B3041, C3041) &amp; IF(M3041="", "", " ("&amp;M3041&amp;")") &amp; CHAR(10) &amp;
  _xlpm.vanillaPrefix &amp; "Keyword = Uvi_Wig_Distr_KYWD|" &amp; B3041 &amp; CHAR(10) &amp;
  _xlpm.vanillaPrefix &amp; "Spell = " &amp; _xlpm.spell &amp; "|" &amp; B3041
  )
)</f>
        <v>;EncWarlockFire02BossDarkElfM
;Keyword = Uvi_Wig_Distr_KYWD|EncWarlockFire02BossDarkElfM
;Spell = No Spell for Hairstyle|EncWarlockFire02BossDarkElfM</v>
      </c>
    </row>
    <row r="3042" ht="12.75" customHeight="1">
      <c r="A3042" s="15" t="s">
        <v>8456</v>
      </c>
      <c r="B3042" s="5" t="s">
        <v>8457</v>
      </c>
      <c r="D3042" s="5" t="s">
        <v>57</v>
      </c>
      <c r="E3042" s="5" t="s">
        <v>41</v>
      </c>
      <c r="F3042" s="5" t="s">
        <v>2380</v>
      </c>
      <c r="G3042" s="14" t="str">
        <f t="array" ref="G3042">IF(B3042="", "",
  LET(_xlpm.spell, IFERROR(IF(F3042="", "", INDEX(_xlws.FILTER(Hairstyles!$F:$F, ISNUMBER(SEARCH(F3042, Hairstyles!$B:$B))), 1)), "No Spell for Hairstyle"),
  _xlpm.vanillaPrefix, IF(LEFT(_xlpm.spell, 7)="Uvi_Wig", "", ";"),
  ";" &amp; IF(C3042="", B3042, C3042) &amp; IF(M3042="", "", " ("&amp;M3042&amp;")") &amp; CHAR(10) &amp;
  _xlpm.vanillaPrefix &amp; "Keyword = Uvi_Wig_Distr_KYWD|" &amp; B3042 &amp; CHAR(10) &amp;
  _xlpm.vanillaPrefix &amp; "Spell = " &amp; _xlpm.spell &amp; "|" &amp; B3042
  )
)</f>
        <v>;EncWarlockFire02BossHighElfF
;Keyword = Uvi_Wig_Distr_KYWD|EncWarlockFire02BossHighElfF
;Spell = No Spell for Hairstyle|EncWarlockFire02BossHighElfF</v>
      </c>
    </row>
    <row r="3043" ht="12.75" customHeight="1">
      <c r="A3043" s="15" t="s">
        <v>8458</v>
      </c>
      <c r="B3043" s="5" t="s">
        <v>8459</v>
      </c>
      <c r="D3043" s="5" t="s">
        <v>57</v>
      </c>
      <c r="E3043" s="5" t="s">
        <v>233</v>
      </c>
      <c r="F3043" s="5" t="s">
        <v>91</v>
      </c>
      <c r="G3043" s="14" t="str">
        <f t="array" ref="G3043">IF(B3043="", "",
  LET(_xlpm.spell, IFERROR(IF(F3043="", "", INDEX(_xlws.FILTER(Hairstyles!$F:$F, ISNUMBER(SEARCH(F3043, Hairstyles!$B:$B))), 1)), "No Spell for Hairstyle"),
  _xlpm.vanillaPrefix, IF(LEFT(_xlpm.spell, 7)="Uvi_Wig", "", ";"),
  ";" &amp; IF(C3043="", B3043, C3043) &amp; IF(M3043="", "", " ("&amp;M3043&amp;")") &amp; CHAR(10) &amp;
  _xlpm.vanillaPrefix &amp; "Keyword = Uvi_Wig_Distr_KYWD|" &amp; B3043 &amp; CHAR(10) &amp;
  _xlpm.vanillaPrefix &amp; "Spell = " &amp; _xlpm.spell &amp; "|" &amp; B3043
  )
)</f>
        <v>;EncWarlockFire02BossHighElfM
;Keyword = Uvi_Wig_Distr_KYWD|EncWarlockFire02BossHighElfM
;Spell = No Spell for Hairstyle|EncWarlockFire02BossHighElfM</v>
      </c>
    </row>
    <row r="3044" ht="12.75" customHeight="1">
      <c r="A3044" s="5" t="s">
        <v>8460</v>
      </c>
      <c r="B3044" s="5" t="s">
        <v>8461</v>
      </c>
      <c r="D3044" s="5" t="s">
        <v>16</v>
      </c>
      <c r="E3044" s="5" t="s">
        <v>41</v>
      </c>
      <c r="F3044" s="5" t="s">
        <v>42</v>
      </c>
      <c r="G3044" s="14" t="str">
        <f t="array" ref="G3044">IF(B3044="", "",
  LET(_xlpm.spell, IFERROR(IF(F3044="", "", INDEX(_xlws.FILTER(Hairstyles!$F:$F, ISNUMBER(SEARCH(F3044, Hairstyles!$B:$B))), 1)), "No Spell for Hairstyle"),
  _xlpm.vanillaPrefix, IF(LEFT(_xlpm.spell, 7)="Uvi_Wig", "", ";"),
  ";" &amp; IF(C3044="", B3044, C3044) &amp; IF(M3044="", "", " ("&amp;M3044&amp;")") &amp; CHAR(10) &amp;
  _xlpm.vanillaPrefix &amp; "Keyword = Uvi_Wig_Distr_KYWD|" &amp; B3044 &amp; CHAR(10) &amp;
  _xlpm.vanillaPrefix &amp; "Spell = " &amp; _xlpm.spell &amp; "|" &amp; B3044
  )
)</f>
        <v>;EncWarlockFire02BretonF
;Keyword = Uvi_Wig_Distr_KYWD|EncWarlockFire02BretonF
;Spell = No Spell for Hairstyle|EncWarlockFire02BretonF</v>
      </c>
    </row>
    <row r="3045" ht="12.75" customHeight="1">
      <c r="A3045" s="5" t="s">
        <v>8462</v>
      </c>
      <c r="B3045" s="5" t="s">
        <v>8463</v>
      </c>
      <c r="D3045" s="5" t="s">
        <v>16</v>
      </c>
      <c r="E3045" s="5" t="s">
        <v>233</v>
      </c>
      <c r="F3045" s="5" t="s">
        <v>695</v>
      </c>
      <c r="G3045" s="14" t="str">
        <f t="array" ref="G3045">IF(B3045="", "",
  LET(_xlpm.spell, IFERROR(IF(F3045="", "", INDEX(_xlws.FILTER(Hairstyles!$F:$F, ISNUMBER(SEARCH(F3045, Hairstyles!$B:$B))), 1)), "No Spell for Hairstyle"),
  _xlpm.vanillaPrefix, IF(LEFT(_xlpm.spell, 7)="Uvi_Wig", "", ";"),
  ";" &amp; IF(C3045="", B3045, C3045) &amp; IF(M3045="", "", " ("&amp;M3045&amp;")") &amp; CHAR(10) &amp;
  _xlpm.vanillaPrefix &amp; "Keyword = Uvi_Wig_Distr_KYWD|" &amp; B3045 &amp; CHAR(10) &amp;
  _xlpm.vanillaPrefix &amp; "Spell = " &amp; _xlpm.spell &amp; "|" &amp; B3045
  )
)</f>
        <v>;EncWarlockFire02BretonM
;Keyword = Uvi_Wig_Distr_KYWD|EncWarlockFire02BretonM
;Spell = No Spell for Hairstyle|EncWarlockFire02BretonM</v>
      </c>
    </row>
    <row r="3046" ht="12.75" customHeight="1">
      <c r="A3046" s="5" t="s">
        <v>8464</v>
      </c>
      <c r="B3046" s="5" t="s">
        <v>8465</v>
      </c>
      <c r="D3046" s="5" t="s">
        <v>45</v>
      </c>
      <c r="E3046" s="5" t="s">
        <v>41</v>
      </c>
      <c r="F3046" s="5" t="s">
        <v>6747</v>
      </c>
      <c r="G3046" s="14" t="str">
        <f t="array" ref="G3046">IF(B3046="", "",
  LET(_xlpm.spell, IFERROR(IF(F3046="", "", INDEX(_xlws.FILTER(Hairstyles!$F:$F, ISNUMBER(SEARCH(F3046, Hairstyles!$B:$B))), 1)), "No Spell for Hairstyle"),
  _xlpm.vanillaPrefix, IF(LEFT(_xlpm.spell, 7)="Uvi_Wig", "", ";"),
  ";" &amp; IF(C3046="", B3046, C3046) &amp; IF(M3046="", "", " ("&amp;M3046&amp;")") &amp; CHAR(10) &amp;
  _xlpm.vanillaPrefix &amp; "Keyword = Uvi_Wig_Distr_KYWD|" &amp; B3046 &amp; CHAR(10) &amp;
  _xlpm.vanillaPrefix &amp; "Spell = " &amp; _xlpm.spell &amp; "|" &amp; B3046
  )
)</f>
        <v>;EncWarlockFire02DarkElfF
;Keyword = Uvi_Wig_Distr_KYWD|EncWarlockFire02DarkElfF
;Spell = No Spell for Hairstyle|EncWarlockFire02DarkElfF</v>
      </c>
    </row>
    <row r="3047" ht="12.75" customHeight="1">
      <c r="A3047" s="5" t="s">
        <v>8466</v>
      </c>
      <c r="B3047" s="5" t="s">
        <v>8467</v>
      </c>
      <c r="D3047" s="5" t="s">
        <v>45</v>
      </c>
      <c r="E3047" s="5" t="s">
        <v>233</v>
      </c>
      <c r="F3047" s="5" t="s">
        <v>1787</v>
      </c>
      <c r="G3047" s="14" t="str">
        <f t="array" ref="G3047">IF(B3047="", "",
  LET(_xlpm.spell, IFERROR(IF(F3047="", "", INDEX(_xlws.FILTER(Hairstyles!$F:$F, ISNUMBER(SEARCH(F3047, Hairstyles!$B:$B))), 1)), "No Spell for Hairstyle"),
  _xlpm.vanillaPrefix, IF(LEFT(_xlpm.spell, 7)="Uvi_Wig", "", ";"),
  ";" &amp; IF(C3047="", B3047, C3047) &amp; IF(M3047="", "", " ("&amp;M3047&amp;")") &amp; CHAR(10) &amp;
  _xlpm.vanillaPrefix &amp; "Keyword = Uvi_Wig_Distr_KYWD|" &amp; B3047 &amp; CHAR(10) &amp;
  _xlpm.vanillaPrefix &amp; "Spell = " &amp; _xlpm.spell &amp; "|" &amp; B3047
  )
)</f>
        <v>;EncWarlockFire02DarkElfM
;Keyword = Uvi_Wig_Distr_KYWD|EncWarlockFire02DarkElfM
;Spell = No Spell for Hairstyle|EncWarlockFire02DarkElfM</v>
      </c>
    </row>
    <row r="3048" ht="12.75" customHeight="1">
      <c r="A3048" s="5" t="s">
        <v>8468</v>
      </c>
      <c r="B3048" s="5" t="s">
        <v>8469</v>
      </c>
      <c r="D3048" s="5" t="s">
        <v>57</v>
      </c>
      <c r="E3048" s="5" t="s">
        <v>41</v>
      </c>
      <c r="F3048" s="5" t="s">
        <v>1854</v>
      </c>
      <c r="G3048" s="14" t="str">
        <f t="array" ref="G3048">IF(B3048="", "",
  LET(_xlpm.spell, IFERROR(IF(F3048="", "", INDEX(_xlws.FILTER(Hairstyles!$F:$F, ISNUMBER(SEARCH(F3048, Hairstyles!$B:$B))), 1)), "No Spell for Hairstyle"),
  _xlpm.vanillaPrefix, IF(LEFT(_xlpm.spell, 7)="Uvi_Wig", "", ";"),
  ";" &amp; IF(C3048="", B3048, C3048) &amp; IF(M3048="", "", " ("&amp;M3048&amp;")") &amp; CHAR(10) &amp;
  _xlpm.vanillaPrefix &amp; "Keyword = Uvi_Wig_Distr_KYWD|" &amp; B3048 &amp; CHAR(10) &amp;
  _xlpm.vanillaPrefix &amp; "Spell = " &amp; _xlpm.spell &amp; "|" &amp; B3048
  )
)</f>
        <v>;EncWarlockFire02HighElfF
;Keyword = Uvi_Wig_Distr_KYWD|EncWarlockFire02HighElfF
;Spell = No Spell for Hairstyle|EncWarlockFire02HighElfF</v>
      </c>
    </row>
    <row r="3049" ht="12.75" customHeight="1">
      <c r="A3049" s="5" t="s">
        <v>8470</v>
      </c>
      <c r="B3049" s="5" t="s">
        <v>8471</v>
      </c>
      <c r="D3049" s="5" t="s">
        <v>57</v>
      </c>
      <c r="E3049" s="5" t="s">
        <v>233</v>
      </c>
      <c r="F3049" s="5" t="s">
        <v>525</v>
      </c>
      <c r="G3049" s="14" t="str">
        <f t="array" ref="G3049">IF(B3049="", "",
  LET(_xlpm.spell, IFERROR(IF(F3049="", "", INDEX(_xlws.FILTER(Hairstyles!$F:$F, ISNUMBER(SEARCH(F3049, Hairstyles!$B:$B))), 1)), "No Spell for Hairstyle"),
  _xlpm.vanillaPrefix, IF(LEFT(_xlpm.spell, 7)="Uvi_Wig", "", ";"),
  ";" &amp; IF(C3049="", B3049, C3049) &amp; IF(M3049="", "", " ("&amp;M3049&amp;")") &amp; CHAR(10) &amp;
  _xlpm.vanillaPrefix &amp; "Keyword = Uvi_Wig_Distr_KYWD|" &amp; B3049 &amp; CHAR(10) &amp;
  _xlpm.vanillaPrefix &amp; "Spell = " &amp; _xlpm.spell &amp; "|" &amp; B3049
  )
)</f>
        <v>;EncWarlockFire02HighElfM
;Keyword = Uvi_Wig_Distr_KYWD|EncWarlockFire02HighElfM
;Spell = No Spell for Hairstyle|EncWarlockFire02HighElfM</v>
      </c>
    </row>
    <row r="3050" ht="12.75" customHeight="1">
      <c r="A3050" s="5" t="s">
        <v>8472</v>
      </c>
      <c r="B3050" s="5" t="s">
        <v>8473</v>
      </c>
      <c r="D3050" s="5" t="s">
        <v>59</v>
      </c>
      <c r="E3050" s="5" t="s">
        <v>41</v>
      </c>
      <c r="F3050" s="5" t="s">
        <v>1694</v>
      </c>
      <c r="G3050" s="14" t="str">
        <f t="array" ref="G3050">IF(B3050="", "",
  LET(_xlpm.spell, IFERROR(IF(F3050="", "", INDEX(_xlws.FILTER(Hairstyles!$F:$F, ISNUMBER(SEARCH(F3050, Hairstyles!$B:$B))), 1)), "No Spell for Hairstyle"),
  _xlpm.vanillaPrefix, IF(LEFT(_xlpm.spell, 7)="Uvi_Wig", "", ";"),
  ";" &amp; IF(C3050="", B3050, C3050) &amp; IF(M3050="", "", " ("&amp;M3050&amp;")") &amp; CHAR(10) &amp;
  _xlpm.vanillaPrefix &amp; "Keyword = Uvi_Wig_Distr_KYWD|" &amp; B3050 &amp; CHAR(10) &amp;
  _xlpm.vanillaPrefix &amp; "Spell = " &amp; _xlpm.spell &amp; "|" &amp; B3050
  )
)</f>
        <v>;EncWarlockFire02ImperialF
;Keyword = Uvi_Wig_Distr_KYWD|EncWarlockFire02ImperialF
;Spell = No Spell for Hairstyle|EncWarlockFire02ImperialF</v>
      </c>
    </row>
    <row r="3051" ht="12.75" customHeight="1">
      <c r="A3051" s="5" t="s">
        <v>8474</v>
      </c>
      <c r="B3051" s="5" t="s">
        <v>8475</v>
      </c>
      <c r="D3051" s="5" t="s">
        <v>59</v>
      </c>
      <c r="E3051" s="5" t="s">
        <v>233</v>
      </c>
      <c r="F3051" s="5" t="s">
        <v>1906</v>
      </c>
      <c r="G3051" s="14" t="str">
        <f t="array" ref="G3051">IF(B3051="", "",
  LET(_xlpm.spell, IFERROR(IF(F3051="", "", INDEX(_xlws.FILTER(Hairstyles!$F:$F, ISNUMBER(SEARCH(F3051, Hairstyles!$B:$B))), 1)), "No Spell for Hairstyle"),
  _xlpm.vanillaPrefix, IF(LEFT(_xlpm.spell, 7)="Uvi_Wig", "", ";"),
  ";" &amp; IF(C3051="", B3051, C3051) &amp; IF(M3051="", "", " ("&amp;M3051&amp;")") &amp; CHAR(10) &amp;
  _xlpm.vanillaPrefix &amp; "Keyword = Uvi_Wig_Distr_KYWD|" &amp; B3051 &amp; CHAR(10) &amp;
  _xlpm.vanillaPrefix &amp; "Spell = " &amp; _xlpm.spell &amp; "|" &amp; B3051
  )
)</f>
        <v>;EncWarlockFire02ImperialM
;Keyword = Uvi_Wig_Distr_KYWD|EncWarlockFire02ImperialM
;Spell = No Spell for Hairstyle|EncWarlockFire02ImperialM</v>
      </c>
    </row>
    <row r="3052" ht="12.75" customHeight="1">
      <c r="A3052" s="15" t="s">
        <v>8476</v>
      </c>
      <c r="B3052" s="5" t="s">
        <v>8477</v>
      </c>
      <c r="D3052" s="5" t="s">
        <v>45</v>
      </c>
      <c r="E3052" s="5" t="s">
        <v>41</v>
      </c>
      <c r="F3052" s="5" t="s">
        <v>1854</v>
      </c>
      <c r="G3052" s="14" t="str">
        <f t="array" ref="G3052">IF(B3052="", "",
  LET(_xlpm.spell, IFERROR(IF(F3052="", "", INDEX(_xlws.FILTER(Hairstyles!$F:$F, ISNUMBER(SEARCH(F3052, Hairstyles!$B:$B))), 1)), "No Spell for Hairstyle"),
  _xlpm.vanillaPrefix, IF(LEFT(_xlpm.spell, 7)="Uvi_Wig", "", ";"),
  ";" &amp; IF(C3052="", B3052, C3052) &amp; IF(M3052="", "", " ("&amp;M3052&amp;")") &amp; CHAR(10) &amp;
  _xlpm.vanillaPrefix &amp; "Keyword = Uvi_Wig_Distr_KYWD|" &amp; B3052 &amp; CHAR(10) &amp;
  _xlpm.vanillaPrefix &amp; "Spell = " &amp; _xlpm.spell &amp; "|" &amp; B3052
  )
)</f>
        <v>;EncWarlockFire03BossDarkElfF
;Keyword = Uvi_Wig_Distr_KYWD|EncWarlockFire03BossDarkElfF
;Spell = No Spell for Hairstyle|EncWarlockFire03BossDarkElfF</v>
      </c>
    </row>
    <row r="3053" ht="12.75" customHeight="1">
      <c r="A3053" s="15" t="s">
        <v>8478</v>
      </c>
      <c r="B3053" s="5" t="s">
        <v>8479</v>
      </c>
      <c r="D3053" s="5" t="s">
        <v>45</v>
      </c>
      <c r="E3053" s="5" t="s">
        <v>233</v>
      </c>
      <c r="F3053" s="5" t="s">
        <v>543</v>
      </c>
      <c r="G3053" s="14" t="str">
        <f t="array" ref="G3053">IF(B3053="", "",
  LET(_xlpm.spell, IFERROR(IF(F3053="", "", INDEX(_xlws.FILTER(Hairstyles!$F:$F, ISNUMBER(SEARCH(F3053, Hairstyles!$B:$B))), 1)), "No Spell for Hairstyle"),
  _xlpm.vanillaPrefix, IF(LEFT(_xlpm.spell, 7)="Uvi_Wig", "", ";"),
  ";" &amp; IF(C3053="", B3053, C3053) &amp; IF(M3053="", "", " ("&amp;M3053&amp;")") &amp; CHAR(10) &amp;
  _xlpm.vanillaPrefix &amp; "Keyword = Uvi_Wig_Distr_KYWD|" &amp; B3053 &amp; CHAR(10) &amp;
  _xlpm.vanillaPrefix &amp; "Spell = " &amp; _xlpm.spell &amp; "|" &amp; B3053
  )
)</f>
        <v>;EncWarlockFire03BossDarkElfM
;Keyword = Uvi_Wig_Distr_KYWD|EncWarlockFire03BossDarkElfM
;Spell = No Spell for Hairstyle|EncWarlockFire03BossDarkElfM</v>
      </c>
    </row>
    <row r="3054" ht="12.75" customHeight="1">
      <c r="A3054" s="15" t="s">
        <v>8480</v>
      </c>
      <c r="B3054" s="5" t="s">
        <v>8481</v>
      </c>
      <c r="D3054" s="5" t="s">
        <v>57</v>
      </c>
      <c r="E3054" s="5" t="s">
        <v>41</v>
      </c>
      <c r="F3054" s="5" t="s">
        <v>1732</v>
      </c>
      <c r="G3054" s="14" t="str">
        <f t="array" ref="G3054">IF(B3054="", "",
  LET(_xlpm.spell, IFERROR(IF(F3054="", "", INDEX(_xlws.FILTER(Hairstyles!$F:$F, ISNUMBER(SEARCH(F3054, Hairstyles!$B:$B))), 1)), "No Spell for Hairstyle"),
  _xlpm.vanillaPrefix, IF(LEFT(_xlpm.spell, 7)="Uvi_Wig", "", ";"),
  ";" &amp; IF(C3054="", B3054, C3054) &amp; IF(M3054="", "", " ("&amp;M3054&amp;")") &amp; CHAR(10) &amp;
  _xlpm.vanillaPrefix &amp; "Keyword = Uvi_Wig_Distr_KYWD|" &amp; B3054 &amp; CHAR(10) &amp;
  _xlpm.vanillaPrefix &amp; "Spell = " &amp; _xlpm.spell &amp; "|" &amp; B3054
  )
)</f>
        <v>;EncWarlockFire03BossHighElfF
;Keyword = Uvi_Wig_Distr_KYWD|EncWarlockFire03BossHighElfF
;Spell = No Spell for Hairstyle|EncWarlockFire03BossHighElfF</v>
      </c>
    </row>
    <row r="3055" ht="12.75" customHeight="1">
      <c r="A3055" s="15" t="s">
        <v>8482</v>
      </c>
      <c r="B3055" s="5" t="s">
        <v>8483</v>
      </c>
      <c r="D3055" s="5" t="s">
        <v>57</v>
      </c>
      <c r="E3055" s="5" t="s">
        <v>233</v>
      </c>
      <c r="F3055" s="5" t="s">
        <v>1541</v>
      </c>
      <c r="G3055" s="14" t="str">
        <f t="array" ref="G3055">IF(B3055="", "",
  LET(_xlpm.spell, IFERROR(IF(F3055="", "", INDEX(_xlws.FILTER(Hairstyles!$F:$F, ISNUMBER(SEARCH(F3055, Hairstyles!$B:$B))), 1)), "No Spell for Hairstyle"),
  _xlpm.vanillaPrefix, IF(LEFT(_xlpm.spell, 7)="Uvi_Wig", "", ";"),
  ";" &amp; IF(C3055="", B3055, C3055) &amp; IF(M3055="", "", " ("&amp;M3055&amp;")") &amp; CHAR(10) &amp;
  _xlpm.vanillaPrefix &amp; "Keyword = Uvi_Wig_Distr_KYWD|" &amp; B3055 &amp; CHAR(10) &amp;
  _xlpm.vanillaPrefix &amp; "Spell = " &amp; _xlpm.spell &amp; "|" &amp; B3055
  )
)</f>
        <v>;EncWarlockFire03BossHighElfM
;Keyword = Uvi_Wig_Distr_KYWD|EncWarlockFire03BossHighElfM
;Spell = No Spell for Hairstyle|EncWarlockFire03BossHighElfM</v>
      </c>
    </row>
    <row r="3056" ht="12.75" customHeight="1">
      <c r="A3056" s="5" t="s">
        <v>8484</v>
      </c>
      <c r="B3056" s="5" t="s">
        <v>8485</v>
      </c>
      <c r="D3056" s="5" t="s">
        <v>16</v>
      </c>
      <c r="E3056" s="5" t="s">
        <v>41</v>
      </c>
      <c r="F3056" s="5" t="s">
        <v>4628</v>
      </c>
      <c r="G3056" s="14" t="str">
        <f t="array" ref="G3056">IF(B3056="", "",
  LET(_xlpm.spell, IFERROR(IF(F3056="", "", INDEX(_xlws.FILTER(Hairstyles!$F:$F, ISNUMBER(SEARCH(F3056, Hairstyles!$B:$B))), 1)), "No Spell for Hairstyle"),
  _xlpm.vanillaPrefix, IF(LEFT(_xlpm.spell, 7)="Uvi_Wig", "", ";"),
  ";" &amp; IF(C3056="", B3056, C3056) &amp; IF(M3056="", "", " ("&amp;M3056&amp;")") &amp; CHAR(10) &amp;
  _xlpm.vanillaPrefix &amp; "Keyword = Uvi_Wig_Distr_KYWD|" &amp; B3056 &amp; CHAR(10) &amp;
  _xlpm.vanillaPrefix &amp; "Spell = " &amp; _xlpm.spell &amp; "|" &amp; B3056
  )
)</f>
        <v>;EncWarlockFire03BretonF
;Keyword = Uvi_Wig_Distr_KYWD|EncWarlockFire03BretonF
;Spell = No Spell for Hairstyle|EncWarlockFire03BretonF</v>
      </c>
    </row>
    <row r="3057" ht="12.75" customHeight="1">
      <c r="A3057" s="5" t="s">
        <v>8486</v>
      </c>
      <c r="B3057" s="5" t="s">
        <v>8487</v>
      </c>
      <c r="D3057" s="5" t="s">
        <v>16</v>
      </c>
      <c r="E3057" s="5" t="s">
        <v>233</v>
      </c>
      <c r="F3057" s="5" t="s">
        <v>1906</v>
      </c>
      <c r="G3057" s="14" t="str">
        <f t="array" ref="G3057">IF(B3057="", "",
  LET(_xlpm.spell, IFERROR(IF(F3057="", "", INDEX(_xlws.FILTER(Hairstyles!$F:$F, ISNUMBER(SEARCH(F3057, Hairstyles!$B:$B))), 1)), "No Spell for Hairstyle"),
  _xlpm.vanillaPrefix, IF(LEFT(_xlpm.spell, 7)="Uvi_Wig", "", ";"),
  ";" &amp; IF(C3057="", B3057, C3057) &amp; IF(M3057="", "", " ("&amp;M3057&amp;")") &amp; CHAR(10) &amp;
  _xlpm.vanillaPrefix &amp; "Keyword = Uvi_Wig_Distr_KYWD|" &amp; B3057 &amp; CHAR(10) &amp;
  _xlpm.vanillaPrefix &amp; "Spell = " &amp; _xlpm.spell &amp; "|" &amp; B3057
  )
)</f>
        <v>;EncWarlockFire03BretonM
;Keyword = Uvi_Wig_Distr_KYWD|EncWarlockFire03BretonM
;Spell = No Spell for Hairstyle|EncWarlockFire03BretonM</v>
      </c>
    </row>
    <row r="3058" ht="12.75" customHeight="1">
      <c r="A3058" s="5" t="s">
        <v>8488</v>
      </c>
      <c r="B3058" s="5" t="s">
        <v>8489</v>
      </c>
      <c r="D3058" s="5" t="s">
        <v>45</v>
      </c>
      <c r="E3058" s="5" t="s">
        <v>41</v>
      </c>
      <c r="F3058" s="5" t="s">
        <v>2034</v>
      </c>
      <c r="G3058" s="14" t="str">
        <f t="array" ref="G3058">IF(B3058="", "",
  LET(_xlpm.spell, IFERROR(IF(F3058="", "", INDEX(_xlws.FILTER(Hairstyles!$F:$F, ISNUMBER(SEARCH(F3058, Hairstyles!$B:$B))), 1)), "No Spell for Hairstyle"),
  _xlpm.vanillaPrefix, IF(LEFT(_xlpm.spell, 7)="Uvi_Wig", "", ";"),
  ";" &amp; IF(C3058="", B3058, C3058) &amp; IF(M3058="", "", " ("&amp;M3058&amp;")") &amp; CHAR(10) &amp;
  _xlpm.vanillaPrefix &amp; "Keyword = Uvi_Wig_Distr_KYWD|" &amp; B3058 &amp; CHAR(10) &amp;
  _xlpm.vanillaPrefix &amp; "Spell = " &amp; _xlpm.spell &amp; "|" &amp; B3058
  )
)</f>
        <v>;EncWarlockFire03DarkElfF
;Keyword = Uvi_Wig_Distr_KYWD|EncWarlockFire03DarkElfF
;Spell = No Spell for Hairstyle|EncWarlockFire03DarkElfF</v>
      </c>
    </row>
    <row r="3059" ht="12.75" customHeight="1">
      <c r="A3059" s="5" t="s">
        <v>8490</v>
      </c>
      <c r="B3059" s="5" t="s">
        <v>8491</v>
      </c>
      <c r="D3059" s="5" t="s">
        <v>45</v>
      </c>
      <c r="E3059" s="5" t="s">
        <v>233</v>
      </c>
      <c r="F3059" s="5" t="s">
        <v>1937</v>
      </c>
      <c r="G3059" s="14" t="str">
        <f t="array" ref="G3059">IF(B3059="", "",
  LET(_xlpm.spell, IFERROR(IF(F3059="", "", INDEX(_xlws.FILTER(Hairstyles!$F:$F, ISNUMBER(SEARCH(F3059, Hairstyles!$B:$B))), 1)), "No Spell for Hairstyle"),
  _xlpm.vanillaPrefix, IF(LEFT(_xlpm.spell, 7)="Uvi_Wig", "", ";"),
  ";" &amp; IF(C3059="", B3059, C3059) &amp; IF(M3059="", "", " ("&amp;M3059&amp;")") &amp; CHAR(10) &amp;
  _xlpm.vanillaPrefix &amp; "Keyword = Uvi_Wig_Distr_KYWD|" &amp; B3059 &amp; CHAR(10) &amp;
  _xlpm.vanillaPrefix &amp; "Spell = " &amp; _xlpm.spell &amp; "|" &amp; B3059
  )
)</f>
        <v>;EncWarlockFire03DarkElfM
;Keyword = Uvi_Wig_Distr_KYWD|EncWarlockFire03DarkElfM
;Spell = No Spell for Hairstyle|EncWarlockFire03DarkElfM</v>
      </c>
    </row>
    <row r="3060" ht="12.75" customHeight="1">
      <c r="A3060" s="5" t="s">
        <v>8492</v>
      </c>
      <c r="B3060" s="5" t="s">
        <v>8493</v>
      </c>
      <c r="D3060" s="5" t="s">
        <v>57</v>
      </c>
      <c r="E3060" s="5" t="s">
        <v>41</v>
      </c>
      <c r="F3060" s="5" t="s">
        <v>92</v>
      </c>
      <c r="G3060" s="14" t="str">
        <f t="array" ref="G3060">IF(B3060="", "",
  LET(_xlpm.spell, IFERROR(IF(F3060="", "", INDEX(_xlws.FILTER(Hairstyles!$F:$F, ISNUMBER(SEARCH(F3060, Hairstyles!$B:$B))), 1)), "No Spell for Hairstyle"),
  _xlpm.vanillaPrefix, IF(LEFT(_xlpm.spell, 7)="Uvi_Wig", "", ";"),
  ";" &amp; IF(C3060="", B3060, C3060) &amp; IF(M3060="", "", " ("&amp;M3060&amp;")") &amp; CHAR(10) &amp;
  _xlpm.vanillaPrefix &amp; "Keyword = Uvi_Wig_Distr_KYWD|" &amp; B3060 &amp; CHAR(10) &amp;
  _xlpm.vanillaPrefix &amp; "Spell = " &amp; _xlpm.spell &amp; "|" &amp; B3060
  )
)</f>
        <v>;EncWarlockFire03HighElfF
;Keyword = Uvi_Wig_Distr_KYWD|EncWarlockFire03HighElfF
;Spell = No Spell for Hairstyle|EncWarlockFire03HighElfF</v>
      </c>
    </row>
    <row r="3061" ht="12.75" customHeight="1">
      <c r="A3061" s="5" t="s">
        <v>8494</v>
      </c>
      <c r="B3061" s="5" t="s">
        <v>8495</v>
      </c>
      <c r="D3061" s="5" t="s">
        <v>57</v>
      </c>
      <c r="E3061" s="5" t="s">
        <v>233</v>
      </c>
      <c r="F3061" s="5" t="s">
        <v>525</v>
      </c>
      <c r="G3061" s="14" t="str">
        <f t="array" ref="G3061">IF(B3061="", "",
  LET(_xlpm.spell, IFERROR(IF(F3061="", "", INDEX(_xlws.FILTER(Hairstyles!$F:$F, ISNUMBER(SEARCH(F3061, Hairstyles!$B:$B))), 1)), "No Spell for Hairstyle"),
  _xlpm.vanillaPrefix, IF(LEFT(_xlpm.spell, 7)="Uvi_Wig", "", ";"),
  ";" &amp; IF(C3061="", B3061, C3061) &amp; IF(M3061="", "", " ("&amp;M3061&amp;")") &amp; CHAR(10) &amp;
  _xlpm.vanillaPrefix &amp; "Keyword = Uvi_Wig_Distr_KYWD|" &amp; B3061 &amp; CHAR(10) &amp;
  _xlpm.vanillaPrefix &amp; "Spell = " &amp; _xlpm.spell &amp; "|" &amp; B3061
  )
)</f>
        <v>;EncWarlockFire03HighElfM
;Keyword = Uvi_Wig_Distr_KYWD|EncWarlockFire03HighElfM
;Spell = No Spell for Hairstyle|EncWarlockFire03HighElfM</v>
      </c>
    </row>
    <row r="3062" ht="12.75" customHeight="1">
      <c r="A3062" s="5" t="s">
        <v>8496</v>
      </c>
      <c r="B3062" s="5" t="s">
        <v>8497</v>
      </c>
      <c r="D3062" s="5" t="s">
        <v>59</v>
      </c>
      <c r="E3062" s="5" t="s">
        <v>41</v>
      </c>
      <c r="F3062" s="5" t="s">
        <v>69</v>
      </c>
      <c r="G3062" s="14" t="str">
        <f t="array" ref="G3062">IF(B3062="", "",
  LET(_xlpm.spell, IFERROR(IF(F3062="", "", INDEX(_xlws.FILTER(Hairstyles!$F:$F, ISNUMBER(SEARCH(F3062, Hairstyles!$B:$B))), 1)), "No Spell for Hairstyle"),
  _xlpm.vanillaPrefix, IF(LEFT(_xlpm.spell, 7)="Uvi_Wig", "", ";"),
  ";" &amp; IF(C3062="", B3062, C3062) &amp; IF(M3062="", "", " ("&amp;M3062&amp;")") &amp; CHAR(10) &amp;
  _xlpm.vanillaPrefix &amp; "Keyword = Uvi_Wig_Distr_KYWD|" &amp; B3062 &amp; CHAR(10) &amp;
  _xlpm.vanillaPrefix &amp; "Spell = " &amp; _xlpm.spell &amp; "|" &amp; B3062
  )
)</f>
        <v>;EncWarlockFire03ImperialF
;Keyword = Uvi_Wig_Distr_KYWD|EncWarlockFire03ImperialF
;Spell = No Spell for Hairstyle|EncWarlockFire03ImperialF</v>
      </c>
    </row>
    <row r="3063" ht="12.75" customHeight="1">
      <c r="A3063" s="5" t="s">
        <v>8498</v>
      </c>
      <c r="B3063" s="5" t="s">
        <v>8499</v>
      </c>
      <c r="D3063" s="5" t="s">
        <v>59</v>
      </c>
      <c r="E3063" s="5" t="s">
        <v>233</v>
      </c>
      <c r="F3063" s="5" t="s">
        <v>1906</v>
      </c>
      <c r="G3063" s="14" t="str">
        <f t="array" ref="G3063">IF(B3063="", "",
  LET(_xlpm.spell, IFERROR(IF(F3063="", "", INDEX(_xlws.FILTER(Hairstyles!$F:$F, ISNUMBER(SEARCH(F3063, Hairstyles!$B:$B))), 1)), "No Spell for Hairstyle"),
  _xlpm.vanillaPrefix, IF(LEFT(_xlpm.spell, 7)="Uvi_Wig", "", ";"),
  ";" &amp; IF(C3063="", B3063, C3063) &amp; IF(M3063="", "", " ("&amp;M3063&amp;")") &amp; CHAR(10) &amp;
  _xlpm.vanillaPrefix &amp; "Keyword = Uvi_Wig_Distr_KYWD|" &amp; B3063 &amp; CHAR(10) &amp;
  _xlpm.vanillaPrefix &amp; "Spell = " &amp; _xlpm.spell &amp; "|" &amp; B3063
  )
)</f>
        <v>;EncWarlockFire03ImperialM
;Keyword = Uvi_Wig_Distr_KYWD|EncWarlockFire03ImperialM
;Spell = No Spell for Hairstyle|EncWarlockFire03ImperialM</v>
      </c>
    </row>
    <row r="3064" ht="12.75" customHeight="1">
      <c r="A3064" s="15" t="s">
        <v>8500</v>
      </c>
      <c r="B3064" s="5" t="s">
        <v>8501</v>
      </c>
      <c r="D3064" s="5" t="s">
        <v>45</v>
      </c>
      <c r="E3064" s="5" t="s">
        <v>41</v>
      </c>
      <c r="F3064" s="5" t="s">
        <v>92</v>
      </c>
      <c r="G3064" s="14" t="str">
        <f t="array" ref="G3064">IF(B3064="", "",
  LET(_xlpm.spell, IFERROR(IF(F3064="", "", INDEX(_xlws.FILTER(Hairstyles!$F:$F, ISNUMBER(SEARCH(F3064, Hairstyles!$B:$B))), 1)), "No Spell for Hairstyle"),
  _xlpm.vanillaPrefix, IF(LEFT(_xlpm.spell, 7)="Uvi_Wig", "", ";"),
  ";" &amp; IF(C3064="", B3064, C3064) &amp; IF(M3064="", "", " ("&amp;M3064&amp;")") &amp; CHAR(10) &amp;
  _xlpm.vanillaPrefix &amp; "Keyword = Uvi_Wig_Distr_KYWD|" &amp; B3064 &amp; CHAR(10) &amp;
  _xlpm.vanillaPrefix &amp; "Spell = " &amp; _xlpm.spell &amp; "|" &amp; B3064
  )
)</f>
        <v>;EncWarlockFire04BossDarkElfF
;Keyword = Uvi_Wig_Distr_KYWD|EncWarlockFire04BossDarkElfF
;Spell = No Spell for Hairstyle|EncWarlockFire04BossDarkElfF</v>
      </c>
    </row>
    <row r="3065" ht="12.75" customHeight="1">
      <c r="A3065" s="15" t="s">
        <v>8502</v>
      </c>
      <c r="B3065" s="5" t="s">
        <v>8503</v>
      </c>
      <c r="D3065" s="5" t="s">
        <v>45</v>
      </c>
      <c r="E3065" s="5" t="s">
        <v>233</v>
      </c>
      <c r="F3065" s="5" t="s">
        <v>525</v>
      </c>
      <c r="G3065" s="14" t="str">
        <f t="array" ref="G3065">IF(B3065="", "",
  LET(_xlpm.spell, IFERROR(IF(F3065="", "", INDEX(_xlws.FILTER(Hairstyles!$F:$F, ISNUMBER(SEARCH(F3065, Hairstyles!$B:$B))), 1)), "No Spell for Hairstyle"),
  _xlpm.vanillaPrefix, IF(LEFT(_xlpm.spell, 7)="Uvi_Wig", "", ";"),
  ";" &amp; IF(C3065="", B3065, C3065) &amp; IF(M3065="", "", " ("&amp;M3065&amp;")") &amp; CHAR(10) &amp;
  _xlpm.vanillaPrefix &amp; "Keyword = Uvi_Wig_Distr_KYWD|" &amp; B3065 &amp; CHAR(10) &amp;
  _xlpm.vanillaPrefix &amp; "Spell = " &amp; _xlpm.spell &amp; "|" &amp; B3065
  )
)</f>
        <v>;EncWarlockFire04BossDarkElfM
;Keyword = Uvi_Wig_Distr_KYWD|EncWarlockFire04BossDarkElfM
;Spell = No Spell for Hairstyle|EncWarlockFire04BossDarkElfM</v>
      </c>
    </row>
    <row r="3066" ht="12.75" customHeight="1">
      <c r="A3066" s="15" t="s">
        <v>8504</v>
      </c>
      <c r="B3066" s="5" t="s">
        <v>8505</v>
      </c>
      <c r="D3066" s="5" t="s">
        <v>57</v>
      </c>
      <c r="E3066" s="5" t="s">
        <v>41</v>
      </c>
      <c r="F3066" s="5" t="s">
        <v>4274</v>
      </c>
      <c r="G3066" s="14" t="str">
        <f t="array" ref="G3066">IF(B3066="", "",
  LET(_xlpm.spell, IFERROR(IF(F3066="", "", INDEX(_xlws.FILTER(Hairstyles!$F:$F, ISNUMBER(SEARCH(F3066, Hairstyles!$B:$B))), 1)), "No Spell for Hairstyle"),
  _xlpm.vanillaPrefix, IF(LEFT(_xlpm.spell, 7)="Uvi_Wig", "", ";"),
  ";" &amp; IF(C3066="", B3066, C3066) &amp; IF(M3066="", "", " ("&amp;M3066&amp;")") &amp; CHAR(10) &amp;
  _xlpm.vanillaPrefix &amp; "Keyword = Uvi_Wig_Distr_KYWD|" &amp; B3066 &amp; CHAR(10) &amp;
  _xlpm.vanillaPrefix &amp; "Spell = " &amp; _xlpm.spell &amp; "|" &amp; B3066
  )
)</f>
        <v>;EncWarlockFire04BossHighElfF
;Keyword = Uvi_Wig_Distr_KYWD|EncWarlockFire04BossHighElfF
;Spell = No Spell for Hairstyle|EncWarlockFire04BossHighElfF</v>
      </c>
    </row>
    <row r="3067" ht="12.75" customHeight="1">
      <c r="A3067" s="5" t="s">
        <v>8506</v>
      </c>
      <c r="B3067" s="5" t="s">
        <v>8507</v>
      </c>
      <c r="D3067" s="5" t="s">
        <v>57</v>
      </c>
      <c r="E3067" s="5" t="s">
        <v>233</v>
      </c>
      <c r="F3067" s="5" t="s">
        <v>534</v>
      </c>
      <c r="G3067" s="14" t="str">
        <f t="array" ref="G3067">IF(B3067="", "",
  LET(_xlpm.spell, IFERROR(IF(F3067="", "", INDEX(_xlws.FILTER(Hairstyles!$F:$F, ISNUMBER(SEARCH(F3067, Hairstyles!$B:$B))), 1)), "No Spell for Hairstyle"),
  _xlpm.vanillaPrefix, IF(LEFT(_xlpm.spell, 7)="Uvi_Wig", "", ";"),
  ";" &amp; IF(C3067="", B3067, C3067) &amp; IF(M3067="", "", " ("&amp;M3067&amp;")") &amp; CHAR(10) &amp;
  _xlpm.vanillaPrefix &amp; "Keyword = Uvi_Wig_Distr_KYWD|" &amp; B3067 &amp; CHAR(10) &amp;
  _xlpm.vanillaPrefix &amp; "Spell = " &amp; _xlpm.spell &amp; "|" &amp; B3067
  )
)</f>
        <v>;EncWarlockFire04BossHighElfM
;Keyword = Uvi_Wig_Distr_KYWD|EncWarlockFire04BossHighElfM
;Spell = No Spell for Hairstyle|EncWarlockFire04BossHighElfM</v>
      </c>
    </row>
    <row r="3068" ht="12.75" customHeight="1">
      <c r="A3068" s="5" t="s">
        <v>8508</v>
      </c>
      <c r="B3068" s="5" t="s">
        <v>8509</v>
      </c>
      <c r="D3068" s="5" t="s">
        <v>16</v>
      </c>
      <c r="E3068" s="5" t="s">
        <v>41</v>
      </c>
      <c r="F3068" s="5" t="s">
        <v>4628</v>
      </c>
      <c r="G3068" s="14" t="str">
        <f t="array" ref="G3068">IF(B3068="", "",
  LET(_xlpm.spell, IFERROR(IF(F3068="", "", INDEX(_xlws.FILTER(Hairstyles!$F:$F, ISNUMBER(SEARCH(F3068, Hairstyles!$B:$B))), 1)), "No Spell for Hairstyle"),
  _xlpm.vanillaPrefix, IF(LEFT(_xlpm.spell, 7)="Uvi_Wig", "", ";"),
  ";" &amp; IF(C3068="", B3068, C3068) &amp; IF(M3068="", "", " ("&amp;M3068&amp;")") &amp; CHAR(10) &amp;
  _xlpm.vanillaPrefix &amp; "Keyword = Uvi_Wig_Distr_KYWD|" &amp; B3068 &amp; CHAR(10) &amp;
  _xlpm.vanillaPrefix &amp; "Spell = " &amp; _xlpm.spell &amp; "|" &amp; B3068
  )
)</f>
        <v>;EncWarlockFire04BretonF
;Keyword = Uvi_Wig_Distr_KYWD|EncWarlockFire04BretonF
;Spell = No Spell for Hairstyle|EncWarlockFire04BretonF</v>
      </c>
    </row>
    <row r="3069" ht="12.75" customHeight="1">
      <c r="A3069" s="5" t="s">
        <v>8510</v>
      </c>
      <c r="B3069" s="5" t="s">
        <v>8511</v>
      </c>
      <c r="D3069" s="5" t="s">
        <v>16</v>
      </c>
      <c r="E3069" s="5" t="s">
        <v>233</v>
      </c>
      <c r="F3069" s="5" t="s">
        <v>40</v>
      </c>
      <c r="G3069" s="14" t="str">
        <f t="array" ref="G3069">IF(B3069="", "",
  LET(_xlpm.spell, IFERROR(IF(F3069="", "", INDEX(_xlws.FILTER(Hairstyles!$F:$F, ISNUMBER(SEARCH(F3069, Hairstyles!$B:$B))), 1)), "No Spell for Hairstyle"),
  _xlpm.vanillaPrefix, IF(LEFT(_xlpm.spell, 7)="Uvi_Wig", "", ";"),
  ";" &amp; IF(C3069="", B3069, C3069) &amp; IF(M3069="", "", " ("&amp;M3069&amp;")") &amp; CHAR(10) &amp;
  _xlpm.vanillaPrefix &amp; "Keyword = Uvi_Wig_Distr_KYWD|" &amp; B3069 &amp; CHAR(10) &amp;
  _xlpm.vanillaPrefix &amp; "Spell = " &amp; _xlpm.spell &amp; "|" &amp; B3069
  )
)</f>
        <v>;EncWarlockFire04BretonM
;Keyword = Uvi_Wig_Distr_KYWD|EncWarlockFire04BretonM
;Spell = No Spell for Hairstyle|EncWarlockFire04BretonM</v>
      </c>
    </row>
    <row r="3070" ht="12.75" customHeight="1">
      <c r="A3070" s="5" t="s">
        <v>8512</v>
      </c>
      <c r="B3070" s="5" t="s">
        <v>8513</v>
      </c>
      <c r="D3070" s="5" t="s">
        <v>45</v>
      </c>
      <c r="E3070" s="5" t="s">
        <v>41</v>
      </c>
      <c r="F3070" s="5" t="s">
        <v>512</v>
      </c>
      <c r="G3070" s="14" t="str">
        <f t="array" ref="G3070">IF(B3070="", "",
  LET(_xlpm.spell, IFERROR(IF(F3070="", "", INDEX(_xlws.FILTER(Hairstyles!$F:$F, ISNUMBER(SEARCH(F3070, Hairstyles!$B:$B))), 1)), "No Spell for Hairstyle"),
  _xlpm.vanillaPrefix, IF(LEFT(_xlpm.spell, 7)="Uvi_Wig", "", ";"),
  ";" &amp; IF(C3070="", B3070, C3070) &amp; IF(M3070="", "", " ("&amp;M3070&amp;")") &amp; CHAR(10) &amp;
  _xlpm.vanillaPrefix &amp; "Keyword = Uvi_Wig_Distr_KYWD|" &amp; B3070 &amp; CHAR(10) &amp;
  _xlpm.vanillaPrefix &amp; "Spell = " &amp; _xlpm.spell &amp; "|" &amp; B3070
  )
)</f>
        <v>;EncWarlockFire04DarkElfF
;Keyword = Uvi_Wig_Distr_KYWD|EncWarlockFire04DarkElfF
;Spell = No Spell for Hairstyle|EncWarlockFire04DarkElfF</v>
      </c>
    </row>
    <row r="3071" ht="12.75" customHeight="1">
      <c r="A3071" s="5" t="s">
        <v>8514</v>
      </c>
      <c r="B3071" s="5" t="s">
        <v>8515</v>
      </c>
      <c r="D3071" s="5" t="s">
        <v>45</v>
      </c>
      <c r="E3071" s="5" t="s">
        <v>233</v>
      </c>
      <c r="F3071" s="5" t="s">
        <v>91</v>
      </c>
      <c r="G3071" s="14" t="str">
        <f t="array" ref="G3071">IF(B3071="", "",
  LET(_xlpm.spell, IFERROR(IF(F3071="", "", INDEX(_xlws.FILTER(Hairstyles!$F:$F, ISNUMBER(SEARCH(F3071, Hairstyles!$B:$B))), 1)), "No Spell for Hairstyle"),
  _xlpm.vanillaPrefix, IF(LEFT(_xlpm.spell, 7)="Uvi_Wig", "", ";"),
  ";" &amp; IF(C3071="", B3071, C3071) &amp; IF(M3071="", "", " ("&amp;M3071&amp;")") &amp; CHAR(10) &amp;
  _xlpm.vanillaPrefix &amp; "Keyword = Uvi_Wig_Distr_KYWD|" &amp; B3071 &amp; CHAR(10) &amp;
  _xlpm.vanillaPrefix &amp; "Spell = " &amp; _xlpm.spell &amp; "|" &amp; B3071
  )
)</f>
        <v>;EncWarlockFire04DarkElfM
;Keyword = Uvi_Wig_Distr_KYWD|EncWarlockFire04DarkElfM
;Spell = No Spell for Hairstyle|EncWarlockFire04DarkElfM</v>
      </c>
    </row>
    <row r="3072" ht="12.75" customHeight="1">
      <c r="A3072" s="5" t="s">
        <v>8516</v>
      </c>
      <c r="B3072" s="5" t="s">
        <v>8517</v>
      </c>
      <c r="D3072" s="5" t="s">
        <v>57</v>
      </c>
      <c r="E3072" s="5" t="s">
        <v>41</v>
      </c>
      <c r="F3072" s="5" t="s">
        <v>92</v>
      </c>
      <c r="G3072" s="14" t="str">
        <f t="array" ref="G3072">IF(B3072="", "",
  LET(_xlpm.spell, IFERROR(IF(F3072="", "", INDEX(_xlws.FILTER(Hairstyles!$F:$F, ISNUMBER(SEARCH(F3072, Hairstyles!$B:$B))), 1)), "No Spell for Hairstyle"),
  _xlpm.vanillaPrefix, IF(LEFT(_xlpm.spell, 7)="Uvi_Wig", "", ";"),
  ";" &amp; IF(C3072="", B3072, C3072) &amp; IF(M3072="", "", " ("&amp;M3072&amp;")") &amp; CHAR(10) &amp;
  _xlpm.vanillaPrefix &amp; "Keyword = Uvi_Wig_Distr_KYWD|" &amp; B3072 &amp; CHAR(10) &amp;
  _xlpm.vanillaPrefix &amp; "Spell = " &amp; _xlpm.spell &amp; "|" &amp; B3072
  )
)</f>
        <v>;EncWarlockFire04HighElfF
;Keyword = Uvi_Wig_Distr_KYWD|EncWarlockFire04HighElfF
;Spell = No Spell for Hairstyle|EncWarlockFire04HighElfF</v>
      </c>
    </row>
    <row r="3073" ht="12.75" customHeight="1">
      <c r="A3073" s="5" t="s">
        <v>8518</v>
      </c>
      <c r="B3073" s="5" t="s">
        <v>8519</v>
      </c>
      <c r="D3073" s="5" t="s">
        <v>57</v>
      </c>
      <c r="E3073" s="5" t="s">
        <v>233</v>
      </c>
      <c r="F3073" s="5" t="s">
        <v>91</v>
      </c>
      <c r="G3073" s="14" t="str">
        <f t="array" ref="G3073">IF(B3073="", "",
  LET(_xlpm.spell, IFERROR(IF(F3073="", "", INDEX(_xlws.FILTER(Hairstyles!$F:$F, ISNUMBER(SEARCH(F3073, Hairstyles!$B:$B))), 1)), "No Spell for Hairstyle"),
  _xlpm.vanillaPrefix, IF(LEFT(_xlpm.spell, 7)="Uvi_Wig", "", ";"),
  ";" &amp; IF(C3073="", B3073, C3073) &amp; IF(M3073="", "", " ("&amp;M3073&amp;")") &amp; CHAR(10) &amp;
  _xlpm.vanillaPrefix &amp; "Keyword = Uvi_Wig_Distr_KYWD|" &amp; B3073 &amp; CHAR(10) &amp;
  _xlpm.vanillaPrefix &amp; "Spell = " &amp; _xlpm.spell &amp; "|" &amp; B3073
  )
)</f>
        <v>;EncWarlockFire04HighElfM
;Keyword = Uvi_Wig_Distr_KYWD|EncWarlockFire04HighElfM
;Spell = No Spell for Hairstyle|EncWarlockFire04HighElfM</v>
      </c>
    </row>
    <row r="3074" ht="12.75" customHeight="1">
      <c r="A3074" s="5" t="s">
        <v>8520</v>
      </c>
      <c r="B3074" s="5" t="s">
        <v>8521</v>
      </c>
      <c r="D3074" s="5" t="s">
        <v>59</v>
      </c>
      <c r="E3074" s="5" t="s">
        <v>41</v>
      </c>
      <c r="F3074" s="5" t="s">
        <v>1557</v>
      </c>
      <c r="G3074" s="14" t="str">
        <f t="array" ref="G3074">IF(B3074="", "",
  LET(_xlpm.spell, IFERROR(IF(F3074="", "", INDEX(_xlws.FILTER(Hairstyles!$F:$F, ISNUMBER(SEARCH(F3074, Hairstyles!$B:$B))), 1)), "No Spell for Hairstyle"),
  _xlpm.vanillaPrefix, IF(LEFT(_xlpm.spell, 7)="Uvi_Wig", "", ";"),
  ";" &amp; IF(C3074="", B3074, C3074) &amp; IF(M3074="", "", " ("&amp;M3074&amp;")") &amp; CHAR(10) &amp;
  _xlpm.vanillaPrefix &amp; "Keyword = Uvi_Wig_Distr_KYWD|" &amp; B3074 &amp; CHAR(10) &amp;
  _xlpm.vanillaPrefix &amp; "Spell = " &amp; _xlpm.spell &amp; "|" &amp; B3074
  )
)</f>
        <v>;EncWarlockFire04ImperialF
;Keyword = Uvi_Wig_Distr_KYWD|EncWarlockFire04ImperialF
;Spell = No Spell for Hairstyle|EncWarlockFire04ImperialF</v>
      </c>
    </row>
    <row r="3075" ht="12.75" customHeight="1">
      <c r="A3075" s="5" t="s">
        <v>8522</v>
      </c>
      <c r="B3075" s="5" t="s">
        <v>8523</v>
      </c>
      <c r="D3075" s="5" t="s">
        <v>59</v>
      </c>
      <c r="E3075" s="5" t="s">
        <v>233</v>
      </c>
      <c r="F3075" s="5" t="s">
        <v>215</v>
      </c>
      <c r="G3075" s="14" t="str">
        <f t="array" ref="G3075">IF(B3075="", "",
  LET(_xlpm.spell, IFERROR(IF(F3075="", "", INDEX(_xlws.FILTER(Hairstyles!$F:$F, ISNUMBER(SEARCH(F3075, Hairstyles!$B:$B))), 1)), "No Spell for Hairstyle"),
  _xlpm.vanillaPrefix, IF(LEFT(_xlpm.spell, 7)="Uvi_Wig", "", ";"),
  ";" &amp; IF(C3075="", B3075, C3075) &amp; IF(M3075="", "", " ("&amp;M3075&amp;")") &amp; CHAR(10) &amp;
  _xlpm.vanillaPrefix &amp; "Keyword = Uvi_Wig_Distr_KYWD|" &amp; B3075 &amp; CHAR(10) &amp;
  _xlpm.vanillaPrefix &amp; "Spell = " &amp; _xlpm.spell &amp; "|" &amp; B3075
  )
)</f>
        <v>;EncWarlockFire04ImperialM
;Keyword = Uvi_Wig_Distr_KYWD|EncWarlockFire04ImperialM
;Spell = No Spell for Hairstyle|EncWarlockFire04ImperialM</v>
      </c>
    </row>
    <row r="3076" ht="12.75" customHeight="1">
      <c r="A3076" s="5" t="s">
        <v>8524</v>
      </c>
      <c r="B3076" s="5" t="s">
        <v>8525</v>
      </c>
      <c r="D3076" s="5" t="s">
        <v>45</v>
      </c>
      <c r="E3076" s="5" t="s">
        <v>41</v>
      </c>
      <c r="F3076" s="5" t="s">
        <v>512</v>
      </c>
      <c r="G3076" s="14" t="str">
        <f t="array" ref="G3076">IF(B3076="", "",
  LET(_xlpm.spell, IFERROR(IF(F3076="", "", INDEX(_xlws.FILTER(Hairstyles!$F:$F, ISNUMBER(SEARCH(F3076, Hairstyles!$B:$B))), 1)), "No Spell for Hairstyle"),
  _xlpm.vanillaPrefix, IF(LEFT(_xlpm.spell, 7)="Uvi_Wig", "", ";"),
  ";" &amp; IF(C3076="", B3076, C3076) &amp; IF(M3076="", "", " ("&amp;M3076&amp;")") &amp; CHAR(10) &amp;
  _xlpm.vanillaPrefix &amp; "Keyword = Uvi_Wig_Distr_KYWD|" &amp; B3076 &amp; CHAR(10) &amp;
  _xlpm.vanillaPrefix &amp; "Spell = " &amp; _xlpm.spell &amp; "|" &amp; B3076
  )
)</f>
        <v>;EncWarlockFire05BossDarkElfF
;Keyword = Uvi_Wig_Distr_KYWD|EncWarlockFire05BossDarkElfF
;Spell = No Spell for Hairstyle|EncWarlockFire05BossDarkElfF</v>
      </c>
    </row>
    <row r="3077" ht="12.75" customHeight="1">
      <c r="A3077" s="5" t="s">
        <v>8526</v>
      </c>
      <c r="B3077" s="5" t="s">
        <v>8527</v>
      </c>
      <c r="D3077" s="5" t="s">
        <v>45</v>
      </c>
      <c r="E3077" s="5" t="s">
        <v>233</v>
      </c>
      <c r="F3077" s="5" t="s">
        <v>2469</v>
      </c>
      <c r="G3077" s="14" t="str">
        <f t="array" ref="G3077">IF(B3077="", "",
  LET(_xlpm.spell, IFERROR(IF(F3077="", "", INDEX(_xlws.FILTER(Hairstyles!$F:$F, ISNUMBER(SEARCH(F3077, Hairstyles!$B:$B))), 1)), "No Spell for Hairstyle"),
  _xlpm.vanillaPrefix, IF(LEFT(_xlpm.spell, 7)="Uvi_Wig", "", ";"),
  ";" &amp; IF(C3077="", B3077, C3077) &amp; IF(M3077="", "", " ("&amp;M3077&amp;")") &amp; CHAR(10) &amp;
  _xlpm.vanillaPrefix &amp; "Keyword = Uvi_Wig_Distr_KYWD|" &amp; B3077 &amp; CHAR(10) &amp;
  _xlpm.vanillaPrefix &amp; "Spell = " &amp; _xlpm.spell &amp; "|" &amp; B3077
  )
)</f>
        <v>;EncWarlockFire05BossDarkElfM
;Keyword = Uvi_Wig_Distr_KYWD|EncWarlockFire05BossDarkElfM
;Spell = No Spell for Hairstyle|EncWarlockFire05BossDarkElfM</v>
      </c>
    </row>
    <row r="3078" ht="12.75" customHeight="1">
      <c r="A3078" s="5" t="s">
        <v>8528</v>
      </c>
      <c r="B3078" s="5" t="s">
        <v>8529</v>
      </c>
      <c r="D3078" s="5" t="s">
        <v>57</v>
      </c>
      <c r="E3078" s="5" t="s">
        <v>41</v>
      </c>
      <c r="F3078" s="5" t="s">
        <v>1967</v>
      </c>
      <c r="G3078" s="14" t="str">
        <f t="array" ref="G3078">IF(B3078="", "",
  LET(_xlpm.spell, IFERROR(IF(F3078="", "", INDEX(_xlws.FILTER(Hairstyles!$F:$F, ISNUMBER(SEARCH(F3078, Hairstyles!$B:$B))), 1)), "No Spell for Hairstyle"),
  _xlpm.vanillaPrefix, IF(LEFT(_xlpm.spell, 7)="Uvi_Wig", "", ";"),
  ";" &amp; IF(C3078="", B3078, C3078) &amp; IF(M3078="", "", " ("&amp;M3078&amp;")") &amp; CHAR(10) &amp;
  _xlpm.vanillaPrefix &amp; "Keyword = Uvi_Wig_Distr_KYWD|" &amp; B3078 &amp; CHAR(10) &amp;
  _xlpm.vanillaPrefix &amp; "Spell = " &amp; _xlpm.spell &amp; "|" &amp; B3078
  )
)</f>
        <v>;EncWarlockFire05BossHighElfF
;Keyword = Uvi_Wig_Distr_KYWD|EncWarlockFire05BossHighElfF
;Spell = No Spell for Hairstyle|EncWarlockFire05BossHighElfF</v>
      </c>
    </row>
    <row r="3079" ht="12.75" customHeight="1">
      <c r="A3079" s="5" t="s">
        <v>8530</v>
      </c>
      <c r="B3079" s="5" t="s">
        <v>8531</v>
      </c>
      <c r="D3079" s="5" t="s">
        <v>57</v>
      </c>
      <c r="E3079" s="5" t="s">
        <v>233</v>
      </c>
      <c r="F3079" s="5" t="s">
        <v>2583</v>
      </c>
      <c r="G3079" s="14" t="str">
        <f t="array" ref="G3079">IF(B3079="", "",
  LET(_xlpm.spell, IFERROR(IF(F3079="", "", INDEX(_xlws.FILTER(Hairstyles!$F:$F, ISNUMBER(SEARCH(F3079, Hairstyles!$B:$B))), 1)), "No Spell for Hairstyle"),
  _xlpm.vanillaPrefix, IF(LEFT(_xlpm.spell, 7)="Uvi_Wig", "", ";"),
  ";" &amp; IF(C3079="", B3079, C3079) &amp; IF(M3079="", "", " ("&amp;M3079&amp;")") &amp; CHAR(10) &amp;
  _xlpm.vanillaPrefix &amp; "Keyword = Uvi_Wig_Distr_KYWD|" &amp; B3079 &amp; CHAR(10) &amp;
  _xlpm.vanillaPrefix &amp; "Spell = " &amp; _xlpm.spell &amp; "|" &amp; B3079
  )
)</f>
        <v>;EncWarlockFire05BossHighElfM
;Keyword = Uvi_Wig_Distr_KYWD|EncWarlockFire05BossHighElfM
;Spell = No Spell for Hairstyle|EncWarlockFire05BossHighElfM</v>
      </c>
    </row>
    <row r="3080" ht="12.75" customHeight="1">
      <c r="A3080" s="5" t="s">
        <v>8532</v>
      </c>
      <c r="B3080" s="5" t="s">
        <v>8533</v>
      </c>
      <c r="D3080" s="5" t="s">
        <v>16</v>
      </c>
      <c r="E3080" s="5" t="s">
        <v>41</v>
      </c>
      <c r="F3080" s="5" t="s">
        <v>22</v>
      </c>
      <c r="G3080" s="14" t="str">
        <f t="array" ref="G3080">IF(B3080="", "",
  LET(_xlpm.spell, IFERROR(IF(F3080="", "", INDEX(_xlws.FILTER(Hairstyles!$F:$F, ISNUMBER(SEARCH(F3080, Hairstyles!$B:$B))), 1)), "No Spell for Hairstyle"),
  _xlpm.vanillaPrefix, IF(LEFT(_xlpm.spell, 7)="Uvi_Wig", "", ";"),
  ";" &amp; IF(C3080="", B3080, C3080) &amp; IF(M3080="", "", " ("&amp;M3080&amp;")") &amp; CHAR(10) &amp;
  _xlpm.vanillaPrefix &amp; "Keyword = Uvi_Wig_Distr_KYWD|" &amp; B3080 &amp; CHAR(10) &amp;
  _xlpm.vanillaPrefix &amp; "Spell = " &amp; _xlpm.spell &amp; "|" &amp; B3080
  )
)</f>
        <v>;EncWarlockFire05BretonF
;Keyword = Uvi_Wig_Distr_KYWD|EncWarlockFire05BretonF
;Spell = No Spell for Hairstyle|EncWarlockFire05BretonF</v>
      </c>
    </row>
    <row r="3081" ht="12.75" customHeight="1">
      <c r="A3081" s="5" t="s">
        <v>8534</v>
      </c>
      <c r="B3081" s="5" t="s">
        <v>8535</v>
      </c>
      <c r="D3081" s="5" t="s">
        <v>16</v>
      </c>
      <c r="E3081" s="5" t="s">
        <v>233</v>
      </c>
      <c r="F3081" s="5" t="s">
        <v>19</v>
      </c>
      <c r="G3081" s="14" t="str">
        <f t="array" ref="G3081">IF(B3081="", "",
  LET(_xlpm.spell, IFERROR(IF(F3081="", "", INDEX(_xlws.FILTER(Hairstyles!$F:$F, ISNUMBER(SEARCH(F3081, Hairstyles!$B:$B))), 1)), "No Spell for Hairstyle"),
  _xlpm.vanillaPrefix, IF(LEFT(_xlpm.spell, 7)="Uvi_Wig", "", ";"),
  ";" &amp; IF(C3081="", B3081, C3081) &amp; IF(M3081="", "", " ("&amp;M3081&amp;")") &amp; CHAR(10) &amp;
  _xlpm.vanillaPrefix &amp; "Keyword = Uvi_Wig_Distr_KYWD|" &amp; B3081 &amp; CHAR(10) &amp;
  _xlpm.vanillaPrefix &amp; "Spell = " &amp; _xlpm.spell &amp; "|" &amp; B3081
  )
)</f>
        <v>;EncWarlockFire05BretonM
;Keyword = Uvi_Wig_Distr_KYWD|EncWarlockFire05BretonM
;Spell = No Spell for Hairstyle|EncWarlockFire05BretonM</v>
      </c>
    </row>
    <row r="3082" ht="12.75" customHeight="1">
      <c r="A3082" s="5" t="s">
        <v>8536</v>
      </c>
      <c r="B3082" s="5" t="s">
        <v>8537</v>
      </c>
      <c r="D3082" s="5" t="s">
        <v>45</v>
      </c>
      <c r="E3082" s="5" t="s">
        <v>41</v>
      </c>
      <c r="F3082" s="5" t="s">
        <v>48</v>
      </c>
      <c r="G3082" s="14" t="str">
        <f t="array" ref="G3082">IF(B3082="", "",
  LET(_xlpm.spell, IFERROR(IF(F3082="", "", INDEX(_xlws.FILTER(Hairstyles!$F:$F, ISNUMBER(SEARCH(F3082, Hairstyles!$B:$B))), 1)), "No Spell for Hairstyle"),
  _xlpm.vanillaPrefix, IF(LEFT(_xlpm.spell, 7)="Uvi_Wig", "", ";"),
  ";" &amp; IF(C3082="", B3082, C3082) &amp; IF(M3082="", "", " ("&amp;M3082&amp;")") &amp; CHAR(10) &amp;
  _xlpm.vanillaPrefix &amp; "Keyword = Uvi_Wig_Distr_KYWD|" &amp; B3082 &amp; CHAR(10) &amp;
  _xlpm.vanillaPrefix &amp; "Spell = " &amp; _xlpm.spell &amp; "|" &amp; B3082
  )
)</f>
        <v>;EncWarlockFire05DarkElfF
;Keyword = Uvi_Wig_Distr_KYWD|EncWarlockFire05DarkElfF
;Spell = No Spell for Hairstyle|EncWarlockFire05DarkElfF</v>
      </c>
    </row>
    <row r="3083" ht="12.75" customHeight="1">
      <c r="A3083" s="5" t="s">
        <v>8538</v>
      </c>
      <c r="B3083" s="5" t="s">
        <v>8539</v>
      </c>
      <c r="D3083" s="5" t="s">
        <v>45</v>
      </c>
      <c r="E3083" s="5" t="s">
        <v>233</v>
      </c>
      <c r="F3083" s="5" t="s">
        <v>47</v>
      </c>
      <c r="G3083" s="14" t="str">
        <f t="array" ref="G3083">IF(B3083="", "",
  LET(_xlpm.spell, IFERROR(IF(F3083="", "", INDEX(_xlws.FILTER(Hairstyles!$F:$F, ISNUMBER(SEARCH(F3083, Hairstyles!$B:$B))), 1)), "No Spell for Hairstyle"),
  _xlpm.vanillaPrefix, IF(LEFT(_xlpm.spell, 7)="Uvi_Wig", "", ";"),
  ";" &amp; IF(C3083="", B3083, C3083) &amp; IF(M3083="", "", " ("&amp;M3083&amp;")") &amp; CHAR(10) &amp;
  _xlpm.vanillaPrefix &amp; "Keyword = Uvi_Wig_Distr_KYWD|" &amp; B3083 &amp; CHAR(10) &amp;
  _xlpm.vanillaPrefix &amp; "Spell = " &amp; _xlpm.spell &amp; "|" &amp; B3083
  )
)</f>
        <v>;EncWarlockFire05DarkElfM
;Keyword = Uvi_Wig_Distr_KYWD|EncWarlockFire05DarkElfM
;Spell = No Spell for Hairstyle|EncWarlockFire05DarkElfM</v>
      </c>
    </row>
    <row r="3084" ht="12.75" customHeight="1">
      <c r="A3084" s="5" t="s">
        <v>8540</v>
      </c>
      <c r="B3084" s="5" t="s">
        <v>8541</v>
      </c>
      <c r="D3084" s="5" t="s">
        <v>57</v>
      </c>
      <c r="E3084" s="5" t="s">
        <v>41</v>
      </c>
      <c r="F3084" s="5" t="s">
        <v>48</v>
      </c>
      <c r="G3084" s="14" t="str">
        <f t="array" ref="G3084">IF(B3084="", "",
  LET(_xlpm.spell, IFERROR(IF(F3084="", "", INDEX(_xlws.FILTER(Hairstyles!$F:$F, ISNUMBER(SEARCH(F3084, Hairstyles!$B:$B))), 1)), "No Spell for Hairstyle"),
  _xlpm.vanillaPrefix, IF(LEFT(_xlpm.spell, 7)="Uvi_Wig", "", ";"),
  ";" &amp; IF(C3084="", B3084, C3084) &amp; IF(M3084="", "", " ("&amp;M3084&amp;")") &amp; CHAR(10) &amp;
  _xlpm.vanillaPrefix &amp; "Keyword = Uvi_Wig_Distr_KYWD|" &amp; B3084 &amp; CHAR(10) &amp;
  _xlpm.vanillaPrefix &amp; "Spell = " &amp; _xlpm.spell &amp; "|" &amp; B3084
  )
)</f>
        <v>;EncWarlockFire05HighElfF
;Keyword = Uvi_Wig_Distr_KYWD|EncWarlockFire05HighElfF
;Spell = No Spell for Hairstyle|EncWarlockFire05HighElfF</v>
      </c>
    </row>
    <row r="3085" ht="12.75" customHeight="1">
      <c r="A3085" s="5" t="s">
        <v>8542</v>
      </c>
      <c r="B3085" s="5" t="s">
        <v>8543</v>
      </c>
      <c r="D3085" s="5" t="s">
        <v>57</v>
      </c>
      <c r="E3085" s="5" t="s">
        <v>233</v>
      </c>
      <c r="F3085" s="5" t="s">
        <v>47</v>
      </c>
      <c r="G3085" s="14" t="str">
        <f t="array" ref="G3085">IF(B3085="", "",
  LET(_xlpm.spell, IFERROR(IF(F3085="", "", INDEX(_xlws.FILTER(Hairstyles!$F:$F, ISNUMBER(SEARCH(F3085, Hairstyles!$B:$B))), 1)), "No Spell for Hairstyle"),
  _xlpm.vanillaPrefix, IF(LEFT(_xlpm.spell, 7)="Uvi_Wig", "", ";"),
  ";" &amp; IF(C3085="", B3085, C3085) &amp; IF(M3085="", "", " ("&amp;M3085&amp;")") &amp; CHAR(10) &amp;
  _xlpm.vanillaPrefix &amp; "Keyword = Uvi_Wig_Distr_KYWD|" &amp; B3085 &amp; CHAR(10) &amp;
  _xlpm.vanillaPrefix &amp; "Spell = " &amp; _xlpm.spell &amp; "|" &amp; B3085
  )
)</f>
        <v>;EncWarlockFire05HighElfM
;Keyword = Uvi_Wig_Distr_KYWD|EncWarlockFire05HighElfM
;Spell = No Spell for Hairstyle|EncWarlockFire05HighElfM</v>
      </c>
    </row>
    <row r="3086" ht="12.75" customHeight="1">
      <c r="A3086" s="5" t="s">
        <v>8544</v>
      </c>
      <c r="B3086" s="5" t="s">
        <v>8545</v>
      </c>
      <c r="D3086" s="5" t="s">
        <v>59</v>
      </c>
      <c r="E3086" s="5" t="s">
        <v>41</v>
      </c>
      <c r="F3086" s="5" t="s">
        <v>42</v>
      </c>
      <c r="G3086" s="14" t="str">
        <f t="array" ref="G3086">IF(B3086="", "",
  LET(_xlpm.spell, IFERROR(IF(F3086="", "", INDEX(_xlws.FILTER(Hairstyles!$F:$F, ISNUMBER(SEARCH(F3086, Hairstyles!$B:$B))), 1)), "No Spell for Hairstyle"),
  _xlpm.vanillaPrefix, IF(LEFT(_xlpm.spell, 7)="Uvi_Wig", "", ";"),
  ";" &amp; IF(C3086="", B3086, C3086) &amp; IF(M3086="", "", " ("&amp;M3086&amp;")") &amp; CHAR(10) &amp;
  _xlpm.vanillaPrefix &amp; "Keyword = Uvi_Wig_Distr_KYWD|" &amp; B3086 &amp; CHAR(10) &amp;
  _xlpm.vanillaPrefix &amp; "Spell = " &amp; _xlpm.spell &amp; "|" &amp; B3086
  )
)</f>
        <v>;EncWarlockFire05ImperialF
;Keyword = Uvi_Wig_Distr_KYWD|EncWarlockFire05ImperialF
;Spell = No Spell for Hairstyle|EncWarlockFire05ImperialF</v>
      </c>
    </row>
    <row r="3087" ht="12.75" customHeight="1">
      <c r="A3087" s="5" t="s">
        <v>8546</v>
      </c>
      <c r="B3087" s="5" t="s">
        <v>8547</v>
      </c>
      <c r="D3087" s="5" t="s">
        <v>59</v>
      </c>
      <c r="E3087" s="5" t="s">
        <v>233</v>
      </c>
      <c r="F3087" s="5" t="s">
        <v>19</v>
      </c>
      <c r="G3087" s="14" t="str">
        <f t="array" ref="G3087">IF(B3087="", "",
  LET(_xlpm.spell, IFERROR(IF(F3087="", "", INDEX(_xlws.FILTER(Hairstyles!$F:$F, ISNUMBER(SEARCH(F3087, Hairstyles!$B:$B))), 1)), "No Spell for Hairstyle"),
  _xlpm.vanillaPrefix, IF(LEFT(_xlpm.spell, 7)="Uvi_Wig", "", ";"),
  ";" &amp; IF(C3087="", B3087, C3087) &amp; IF(M3087="", "", " ("&amp;M3087&amp;")") &amp; CHAR(10) &amp;
  _xlpm.vanillaPrefix &amp; "Keyword = Uvi_Wig_Distr_KYWD|" &amp; B3087 &amp; CHAR(10) &amp;
  _xlpm.vanillaPrefix &amp; "Spell = " &amp; _xlpm.spell &amp; "|" &amp; B3087
  )
)</f>
        <v>;EncWarlockFire05ImperialM
;Keyword = Uvi_Wig_Distr_KYWD|EncWarlockFire05ImperialM
;Spell = No Spell for Hairstyle|EncWarlockFire05ImperialM</v>
      </c>
    </row>
    <row r="3088" ht="12.75" customHeight="1">
      <c r="A3088" s="5" t="s">
        <v>8548</v>
      </c>
      <c r="B3088" s="5" t="s">
        <v>8549</v>
      </c>
      <c r="D3088" s="5" t="s">
        <v>45</v>
      </c>
      <c r="E3088" s="5" t="s">
        <v>41</v>
      </c>
      <c r="F3088" s="5" t="s">
        <v>1732</v>
      </c>
      <c r="G3088" s="14" t="str">
        <f t="array" ref="G3088">IF(B3088="", "",
  LET(_xlpm.spell, IFERROR(IF(F3088="", "", INDEX(_xlws.FILTER(Hairstyles!$F:$F, ISNUMBER(SEARCH(F3088, Hairstyles!$B:$B))), 1)), "No Spell for Hairstyle"),
  _xlpm.vanillaPrefix, IF(LEFT(_xlpm.spell, 7)="Uvi_Wig", "", ";"),
  ";" &amp; IF(C3088="", B3088, C3088) &amp; IF(M3088="", "", " ("&amp;M3088&amp;")") &amp; CHAR(10) &amp;
  _xlpm.vanillaPrefix &amp; "Keyword = Uvi_Wig_Distr_KYWD|" &amp; B3088 &amp; CHAR(10) &amp;
  _xlpm.vanillaPrefix &amp; "Spell = " &amp; _xlpm.spell &amp; "|" &amp; B3088
  )
)</f>
        <v>;EncWarlockFire06BossDarkElfF
;Keyword = Uvi_Wig_Distr_KYWD|EncWarlockFire06BossDarkElfF
;Spell = No Spell for Hairstyle|EncWarlockFire06BossDarkElfF</v>
      </c>
    </row>
    <row r="3089" ht="12.75" customHeight="1">
      <c r="A3089" s="15" t="s">
        <v>8550</v>
      </c>
      <c r="B3089" s="5" t="s">
        <v>8551</v>
      </c>
      <c r="D3089" s="5" t="s">
        <v>45</v>
      </c>
      <c r="E3089" s="5" t="s">
        <v>233</v>
      </c>
      <c r="F3089" s="5" t="s">
        <v>1541</v>
      </c>
      <c r="G3089" s="14" t="str">
        <f t="array" ref="G3089">IF(B3089="", "",
  LET(_xlpm.spell, IFERROR(IF(F3089="", "", INDEX(_xlws.FILTER(Hairstyles!$F:$F, ISNUMBER(SEARCH(F3089, Hairstyles!$B:$B))), 1)), "No Spell for Hairstyle"),
  _xlpm.vanillaPrefix, IF(LEFT(_xlpm.spell, 7)="Uvi_Wig", "", ";"),
  ";" &amp; IF(C3089="", B3089, C3089) &amp; IF(M3089="", "", " ("&amp;M3089&amp;")") &amp; CHAR(10) &amp;
  _xlpm.vanillaPrefix &amp; "Keyword = Uvi_Wig_Distr_KYWD|" &amp; B3089 &amp; CHAR(10) &amp;
  _xlpm.vanillaPrefix &amp; "Spell = " &amp; _xlpm.spell &amp; "|" &amp; B3089
  )
)</f>
        <v>;EncWarlockFire06BossDarkElfM
;Keyword = Uvi_Wig_Distr_KYWD|EncWarlockFire06BossDarkElfM
;Spell = No Spell for Hairstyle|EncWarlockFire06BossDarkElfM</v>
      </c>
    </row>
    <row r="3090" ht="12.75" customHeight="1">
      <c r="A3090" s="15" t="s">
        <v>8552</v>
      </c>
      <c r="B3090" s="5" t="s">
        <v>8553</v>
      </c>
      <c r="D3090" s="5" t="s">
        <v>57</v>
      </c>
      <c r="E3090" s="5" t="s">
        <v>41</v>
      </c>
      <c r="F3090" s="5" t="s">
        <v>2096</v>
      </c>
      <c r="G3090" s="14" t="str">
        <f t="array" ref="G3090">IF(B3090="", "",
  LET(_xlpm.spell, IFERROR(IF(F3090="", "", INDEX(_xlws.FILTER(Hairstyles!$F:$F, ISNUMBER(SEARCH(F3090, Hairstyles!$B:$B))), 1)), "No Spell for Hairstyle"),
  _xlpm.vanillaPrefix, IF(LEFT(_xlpm.spell, 7)="Uvi_Wig", "", ";"),
  ";" &amp; IF(C3090="", B3090, C3090) &amp; IF(M3090="", "", " ("&amp;M3090&amp;")") &amp; CHAR(10) &amp;
  _xlpm.vanillaPrefix &amp; "Keyword = Uvi_Wig_Distr_KYWD|" &amp; B3090 &amp; CHAR(10) &amp;
  _xlpm.vanillaPrefix &amp; "Spell = " &amp; _xlpm.spell &amp; "|" &amp; B3090
  )
)</f>
        <v>;EncWarlockFire06BossHighElfF
;Keyword = Uvi_Wig_Distr_KYWD|EncWarlockFire06BossHighElfF
;Spell = No Spell for Hairstyle|EncWarlockFire06BossHighElfF</v>
      </c>
    </row>
    <row r="3091" ht="12.75" customHeight="1">
      <c r="A3091" s="15" t="s">
        <v>8554</v>
      </c>
      <c r="B3091" s="5" t="s">
        <v>8555</v>
      </c>
      <c r="D3091" s="5" t="s">
        <v>57</v>
      </c>
      <c r="E3091" s="5" t="s">
        <v>233</v>
      </c>
      <c r="F3091" s="5" t="s">
        <v>543</v>
      </c>
      <c r="G3091" s="14" t="str">
        <f t="array" ref="G3091">IF(B3091="", "",
  LET(_xlpm.spell, IFERROR(IF(F3091="", "", INDEX(_xlws.FILTER(Hairstyles!$F:$F, ISNUMBER(SEARCH(F3091, Hairstyles!$B:$B))), 1)), "No Spell for Hairstyle"),
  _xlpm.vanillaPrefix, IF(LEFT(_xlpm.spell, 7)="Uvi_Wig", "", ";"),
  ";" &amp; IF(C3091="", B3091, C3091) &amp; IF(M3091="", "", " ("&amp;M3091&amp;")") &amp; CHAR(10) &amp;
  _xlpm.vanillaPrefix &amp; "Keyword = Uvi_Wig_Distr_KYWD|" &amp; B3091 &amp; CHAR(10) &amp;
  _xlpm.vanillaPrefix &amp; "Spell = " &amp; _xlpm.spell &amp; "|" &amp; B3091
  )
)</f>
        <v>;EncWarlockFire06BossHighElfM
;Keyword = Uvi_Wig_Distr_KYWD|EncWarlockFire06BossHighElfM
;Spell = No Spell for Hairstyle|EncWarlockFire06BossHighElfM</v>
      </c>
    </row>
    <row r="3092" ht="12.75" customHeight="1">
      <c r="A3092" s="5" t="s">
        <v>8556</v>
      </c>
      <c r="B3092" s="5" t="s">
        <v>8557</v>
      </c>
      <c r="D3092" s="5" t="s">
        <v>16</v>
      </c>
      <c r="E3092" s="5" t="s">
        <v>41</v>
      </c>
      <c r="F3092" s="5" t="s">
        <v>22</v>
      </c>
      <c r="G3092" s="14" t="str">
        <f t="array" ref="G3092">IF(B3092="", "",
  LET(_xlpm.spell, IFERROR(IF(F3092="", "", INDEX(_xlws.FILTER(Hairstyles!$F:$F, ISNUMBER(SEARCH(F3092, Hairstyles!$B:$B))), 1)), "No Spell for Hairstyle"),
  _xlpm.vanillaPrefix, IF(LEFT(_xlpm.spell, 7)="Uvi_Wig", "", ";"),
  ";" &amp; IF(C3092="", B3092, C3092) &amp; IF(M3092="", "", " ("&amp;M3092&amp;")") &amp; CHAR(10) &amp;
  _xlpm.vanillaPrefix &amp; "Keyword = Uvi_Wig_Distr_KYWD|" &amp; B3092 &amp; CHAR(10) &amp;
  _xlpm.vanillaPrefix &amp; "Spell = " &amp; _xlpm.spell &amp; "|" &amp; B3092
  )
)</f>
        <v>;EncWarlockFire06BretonF
;Keyword = Uvi_Wig_Distr_KYWD|EncWarlockFire06BretonF
;Spell = No Spell for Hairstyle|EncWarlockFire06BretonF</v>
      </c>
    </row>
    <row r="3093" ht="12.75" customHeight="1">
      <c r="A3093" s="5" t="s">
        <v>8558</v>
      </c>
      <c r="B3093" s="5" t="s">
        <v>8559</v>
      </c>
      <c r="D3093" s="5" t="s">
        <v>16</v>
      </c>
      <c r="E3093" s="5" t="s">
        <v>233</v>
      </c>
      <c r="F3093" s="5" t="s">
        <v>19</v>
      </c>
      <c r="G3093" s="14" t="str">
        <f t="array" ref="G3093">IF(B3093="", "",
  LET(_xlpm.spell, IFERROR(IF(F3093="", "", INDEX(_xlws.FILTER(Hairstyles!$F:$F, ISNUMBER(SEARCH(F3093, Hairstyles!$B:$B))), 1)), "No Spell for Hairstyle"),
  _xlpm.vanillaPrefix, IF(LEFT(_xlpm.spell, 7)="Uvi_Wig", "", ";"),
  ";" &amp; IF(C3093="", B3093, C3093) &amp; IF(M3093="", "", " ("&amp;M3093&amp;")") &amp; CHAR(10) &amp;
  _xlpm.vanillaPrefix &amp; "Keyword = Uvi_Wig_Distr_KYWD|" &amp; B3093 &amp; CHAR(10) &amp;
  _xlpm.vanillaPrefix &amp; "Spell = " &amp; _xlpm.spell &amp; "|" &amp; B3093
  )
)</f>
        <v>;EncWarlockFire06BretonM
;Keyword = Uvi_Wig_Distr_KYWD|EncWarlockFire06BretonM
;Spell = No Spell for Hairstyle|EncWarlockFire06BretonM</v>
      </c>
    </row>
    <row r="3094" ht="12.75" customHeight="1">
      <c r="A3094" s="5" t="s">
        <v>8560</v>
      </c>
      <c r="B3094" s="5" t="s">
        <v>8561</v>
      </c>
      <c r="D3094" s="5" t="s">
        <v>45</v>
      </c>
      <c r="E3094" s="5" t="s">
        <v>41</v>
      </c>
      <c r="F3094" s="5" t="s">
        <v>48</v>
      </c>
      <c r="G3094" s="14" t="str">
        <f t="array" ref="G3094">IF(B3094="", "",
  LET(_xlpm.spell, IFERROR(IF(F3094="", "", INDEX(_xlws.FILTER(Hairstyles!$F:$F, ISNUMBER(SEARCH(F3094, Hairstyles!$B:$B))), 1)), "No Spell for Hairstyle"),
  _xlpm.vanillaPrefix, IF(LEFT(_xlpm.spell, 7)="Uvi_Wig", "", ";"),
  ";" &amp; IF(C3094="", B3094, C3094) &amp; IF(M3094="", "", " ("&amp;M3094&amp;")") &amp; CHAR(10) &amp;
  _xlpm.vanillaPrefix &amp; "Keyword = Uvi_Wig_Distr_KYWD|" &amp; B3094 &amp; CHAR(10) &amp;
  _xlpm.vanillaPrefix &amp; "Spell = " &amp; _xlpm.spell &amp; "|" &amp; B3094
  )
)</f>
        <v>;EncWarlockFire06DarkElfF
;Keyword = Uvi_Wig_Distr_KYWD|EncWarlockFire06DarkElfF
;Spell = No Spell for Hairstyle|EncWarlockFire06DarkElfF</v>
      </c>
    </row>
    <row r="3095" ht="12.75" customHeight="1">
      <c r="A3095" s="5" t="s">
        <v>8562</v>
      </c>
      <c r="B3095" s="5" t="s">
        <v>8563</v>
      </c>
      <c r="D3095" s="5" t="s">
        <v>45</v>
      </c>
      <c r="E3095" s="5" t="s">
        <v>233</v>
      </c>
      <c r="F3095" s="5" t="s">
        <v>47</v>
      </c>
      <c r="G3095" s="14" t="str">
        <f t="array" ref="G3095">IF(B3095="", "",
  LET(_xlpm.spell, IFERROR(IF(F3095="", "", INDEX(_xlws.FILTER(Hairstyles!$F:$F, ISNUMBER(SEARCH(F3095, Hairstyles!$B:$B))), 1)), "No Spell for Hairstyle"),
  _xlpm.vanillaPrefix, IF(LEFT(_xlpm.spell, 7)="Uvi_Wig", "", ";"),
  ";" &amp; IF(C3095="", B3095, C3095) &amp; IF(M3095="", "", " ("&amp;M3095&amp;")") &amp; CHAR(10) &amp;
  _xlpm.vanillaPrefix &amp; "Keyword = Uvi_Wig_Distr_KYWD|" &amp; B3095 &amp; CHAR(10) &amp;
  _xlpm.vanillaPrefix &amp; "Spell = " &amp; _xlpm.spell &amp; "|" &amp; B3095
  )
)</f>
        <v>;EncWarlockFire06DarkElfM
;Keyword = Uvi_Wig_Distr_KYWD|EncWarlockFire06DarkElfM
;Spell = No Spell for Hairstyle|EncWarlockFire06DarkElfM</v>
      </c>
    </row>
    <row r="3096" ht="12.75" customHeight="1">
      <c r="A3096" s="5" t="s">
        <v>8564</v>
      </c>
      <c r="B3096" s="5" t="s">
        <v>8565</v>
      </c>
      <c r="D3096" s="5" t="s">
        <v>57</v>
      </c>
      <c r="E3096" s="5" t="s">
        <v>41</v>
      </c>
      <c r="F3096" s="5" t="s">
        <v>48</v>
      </c>
      <c r="G3096" s="14" t="str">
        <f t="array" ref="G3096">IF(B3096="", "",
  LET(_xlpm.spell, IFERROR(IF(F3096="", "", INDEX(_xlws.FILTER(Hairstyles!$F:$F, ISNUMBER(SEARCH(F3096, Hairstyles!$B:$B))), 1)), "No Spell for Hairstyle"),
  _xlpm.vanillaPrefix, IF(LEFT(_xlpm.spell, 7)="Uvi_Wig", "", ";"),
  ";" &amp; IF(C3096="", B3096, C3096) &amp; IF(M3096="", "", " ("&amp;M3096&amp;")") &amp; CHAR(10) &amp;
  _xlpm.vanillaPrefix &amp; "Keyword = Uvi_Wig_Distr_KYWD|" &amp; B3096 &amp; CHAR(10) &amp;
  _xlpm.vanillaPrefix &amp; "Spell = " &amp; _xlpm.spell &amp; "|" &amp; B3096
  )
)</f>
        <v>;EncWarlockFire06HighElfF
;Keyword = Uvi_Wig_Distr_KYWD|EncWarlockFire06HighElfF
;Spell = No Spell for Hairstyle|EncWarlockFire06HighElfF</v>
      </c>
    </row>
    <row r="3097" ht="12.75" customHeight="1">
      <c r="A3097" s="5" t="s">
        <v>8566</v>
      </c>
      <c r="B3097" s="5" t="s">
        <v>8567</v>
      </c>
      <c r="D3097" s="5" t="s">
        <v>57</v>
      </c>
      <c r="E3097" s="5" t="s">
        <v>233</v>
      </c>
      <c r="F3097" s="5" t="s">
        <v>47</v>
      </c>
      <c r="G3097" s="14" t="str">
        <f t="array" ref="G3097">IF(B3097="", "",
  LET(_xlpm.spell, IFERROR(IF(F3097="", "", INDEX(_xlws.FILTER(Hairstyles!$F:$F, ISNUMBER(SEARCH(F3097, Hairstyles!$B:$B))), 1)), "No Spell for Hairstyle"),
  _xlpm.vanillaPrefix, IF(LEFT(_xlpm.spell, 7)="Uvi_Wig", "", ";"),
  ";" &amp; IF(C3097="", B3097, C3097) &amp; IF(M3097="", "", " ("&amp;M3097&amp;")") &amp; CHAR(10) &amp;
  _xlpm.vanillaPrefix &amp; "Keyword = Uvi_Wig_Distr_KYWD|" &amp; B3097 &amp; CHAR(10) &amp;
  _xlpm.vanillaPrefix &amp; "Spell = " &amp; _xlpm.spell &amp; "|" &amp; B3097
  )
)</f>
        <v>;EncWarlockFire06HighElfM
;Keyword = Uvi_Wig_Distr_KYWD|EncWarlockFire06HighElfM
;Spell = No Spell for Hairstyle|EncWarlockFire06HighElfM</v>
      </c>
    </row>
    <row r="3098" ht="12.75" customHeight="1">
      <c r="A3098" s="5" t="s">
        <v>8568</v>
      </c>
      <c r="B3098" s="5" t="s">
        <v>8569</v>
      </c>
      <c r="D3098" s="5" t="s">
        <v>59</v>
      </c>
      <c r="E3098" s="5" t="s">
        <v>41</v>
      </c>
      <c r="F3098" s="5" t="s">
        <v>42</v>
      </c>
      <c r="G3098" s="14" t="str">
        <f t="array" ref="G3098">IF(B3098="", "",
  LET(_xlpm.spell, IFERROR(IF(F3098="", "", INDEX(_xlws.FILTER(Hairstyles!$F:$F, ISNUMBER(SEARCH(F3098, Hairstyles!$B:$B))), 1)), "No Spell for Hairstyle"),
  _xlpm.vanillaPrefix, IF(LEFT(_xlpm.spell, 7)="Uvi_Wig", "", ";"),
  ";" &amp; IF(C3098="", B3098, C3098) &amp; IF(M3098="", "", " ("&amp;M3098&amp;")") &amp; CHAR(10) &amp;
  _xlpm.vanillaPrefix &amp; "Keyword = Uvi_Wig_Distr_KYWD|" &amp; B3098 &amp; CHAR(10) &amp;
  _xlpm.vanillaPrefix &amp; "Spell = " &amp; _xlpm.spell &amp; "|" &amp; B3098
  )
)</f>
        <v>;EncWarlockFire06ImperialF
;Keyword = Uvi_Wig_Distr_KYWD|EncWarlockFire06ImperialF
;Spell = No Spell for Hairstyle|EncWarlockFire06ImperialF</v>
      </c>
    </row>
    <row r="3099" ht="12.75" customHeight="1">
      <c r="A3099" s="5" t="s">
        <v>8570</v>
      </c>
      <c r="B3099" s="5" t="s">
        <v>8571</v>
      </c>
      <c r="D3099" s="5" t="s">
        <v>59</v>
      </c>
      <c r="E3099" s="5" t="s">
        <v>233</v>
      </c>
      <c r="F3099" s="5" t="s">
        <v>19</v>
      </c>
      <c r="G3099" s="14" t="str">
        <f t="array" ref="G3099">IF(B3099="", "",
  LET(_xlpm.spell, IFERROR(IF(F3099="", "", INDEX(_xlws.FILTER(Hairstyles!$F:$F, ISNUMBER(SEARCH(F3099, Hairstyles!$B:$B))), 1)), "No Spell for Hairstyle"),
  _xlpm.vanillaPrefix, IF(LEFT(_xlpm.spell, 7)="Uvi_Wig", "", ";"),
  ";" &amp; IF(C3099="", B3099, C3099) &amp; IF(M3099="", "", " ("&amp;M3099&amp;")") &amp; CHAR(10) &amp;
  _xlpm.vanillaPrefix &amp; "Keyword = Uvi_Wig_Distr_KYWD|" &amp; B3099 &amp; CHAR(10) &amp;
  _xlpm.vanillaPrefix &amp; "Spell = " &amp; _xlpm.spell &amp; "|" &amp; B3099
  )
)</f>
        <v>;EncWarlockFire06ImperialM
;Keyword = Uvi_Wig_Distr_KYWD|EncWarlockFire06ImperialM
;Spell = No Spell for Hairstyle|EncWarlockFire06ImperialM</v>
      </c>
    </row>
    <row r="3100" ht="12.75" customHeight="1">
      <c r="A3100" s="5" t="s">
        <v>8572</v>
      </c>
      <c r="B3100" s="5" t="s">
        <v>8573</v>
      </c>
      <c r="D3100" s="5" t="s">
        <v>45</v>
      </c>
      <c r="E3100" s="5" t="s">
        <v>41</v>
      </c>
      <c r="F3100" s="5" t="s">
        <v>1732</v>
      </c>
      <c r="G3100" s="14" t="str">
        <f t="array" ref="G3100">IF(B3100="", "",
  LET(_xlpm.spell, IFERROR(IF(F3100="", "", INDEX(_xlws.FILTER(Hairstyles!$F:$F, ISNUMBER(SEARCH(F3100, Hairstyles!$B:$B))), 1)), "No Spell for Hairstyle"),
  _xlpm.vanillaPrefix, IF(LEFT(_xlpm.spell, 7)="Uvi_Wig", "", ";"),
  ";" &amp; IF(C3100="", B3100, C3100) &amp; IF(M3100="", "", " ("&amp;M3100&amp;")") &amp; CHAR(10) &amp;
  _xlpm.vanillaPrefix &amp; "Keyword = Uvi_Wig_Distr_KYWD|" &amp; B3100 &amp; CHAR(10) &amp;
  _xlpm.vanillaPrefix &amp; "Spell = " &amp; _xlpm.spell &amp; "|" &amp; B3100
  )
)</f>
        <v>;EncWarlockFire07BossDarkElfF
;Keyword = Uvi_Wig_Distr_KYWD|EncWarlockFire07BossDarkElfF
;Spell = No Spell for Hairstyle|EncWarlockFire07BossDarkElfF</v>
      </c>
    </row>
    <row r="3101" ht="12.75" customHeight="1">
      <c r="A3101" s="5" t="s">
        <v>8574</v>
      </c>
      <c r="B3101" s="5" t="s">
        <v>8575</v>
      </c>
      <c r="D3101" s="5" t="s">
        <v>57</v>
      </c>
      <c r="E3101" s="5" t="s">
        <v>233</v>
      </c>
      <c r="F3101" s="5" t="s">
        <v>543</v>
      </c>
      <c r="G3101" s="14" t="str">
        <f t="array" ref="G3101">IF(B3101="", "",
  LET(_xlpm.spell, IFERROR(IF(F3101="", "", INDEX(_xlws.FILTER(Hairstyles!$F:$F, ISNUMBER(SEARCH(F3101, Hairstyles!$B:$B))), 1)), "No Spell for Hairstyle"),
  _xlpm.vanillaPrefix, IF(LEFT(_xlpm.spell, 7)="Uvi_Wig", "", ";"),
  ";" &amp; IF(C3101="", B3101, C3101) &amp; IF(M3101="", "", " ("&amp;M3101&amp;")") &amp; CHAR(10) &amp;
  _xlpm.vanillaPrefix &amp; "Keyword = Uvi_Wig_Distr_KYWD|" &amp; B3101 &amp; CHAR(10) &amp;
  _xlpm.vanillaPrefix &amp; "Spell = " &amp; _xlpm.spell &amp; "|" &amp; B3101
  )
)</f>
        <v>;EncWarlockFire07BossHighElfM
;Keyword = Uvi_Wig_Distr_KYWD|EncWarlockFire07BossHighElfM
;Spell = No Spell for Hairstyle|EncWarlockFire07BossHighElfM</v>
      </c>
    </row>
    <row r="3102" ht="12.75" customHeight="1">
      <c r="A3102" s="5" t="s">
        <v>8576</v>
      </c>
      <c r="B3102" s="5" t="s">
        <v>8577</v>
      </c>
      <c r="D3102" s="5" t="s">
        <v>16</v>
      </c>
      <c r="E3102" s="5" t="s">
        <v>41</v>
      </c>
      <c r="F3102" s="5" t="s">
        <v>22</v>
      </c>
      <c r="G3102" s="14" t="str">
        <f t="array" ref="G3102">IF(B3102="", "",
  LET(_xlpm.spell, IFERROR(IF(F3102="", "", INDEX(_xlws.FILTER(Hairstyles!$F:$F, ISNUMBER(SEARCH(F3102, Hairstyles!$B:$B))), 1)), "No Spell for Hairstyle"),
  _xlpm.vanillaPrefix, IF(LEFT(_xlpm.spell, 7)="Uvi_Wig", "", ";"),
  ";" &amp; IF(C3102="", B3102, C3102) &amp; IF(M3102="", "", " ("&amp;M3102&amp;")") &amp; CHAR(10) &amp;
  _xlpm.vanillaPrefix &amp; "Keyword = Uvi_Wig_Distr_KYWD|" &amp; B3102 &amp; CHAR(10) &amp;
  _xlpm.vanillaPrefix &amp; "Spell = " &amp; _xlpm.spell &amp; "|" &amp; B3102
  )
)</f>
        <v>;EncWarlockFire07BretonF
;Keyword = Uvi_Wig_Distr_KYWD|EncWarlockFire07BretonF
;Spell = No Spell for Hairstyle|EncWarlockFire07BretonF</v>
      </c>
    </row>
    <row r="3103" ht="12.75" customHeight="1">
      <c r="A3103" s="5" t="s">
        <v>8578</v>
      </c>
      <c r="B3103" s="5" t="s">
        <v>8579</v>
      </c>
      <c r="D3103" s="5" t="s">
        <v>57</v>
      </c>
      <c r="E3103" s="5" t="s">
        <v>233</v>
      </c>
      <c r="F3103" s="5" t="s">
        <v>47</v>
      </c>
      <c r="G3103" s="14" t="str">
        <f t="array" ref="G3103">IF(B3103="", "",
  LET(_xlpm.spell, IFERROR(IF(F3103="", "", INDEX(_xlws.FILTER(Hairstyles!$F:$F, ISNUMBER(SEARCH(F3103, Hairstyles!$B:$B))), 1)), "No Spell for Hairstyle"),
  _xlpm.vanillaPrefix, IF(LEFT(_xlpm.spell, 7)="Uvi_Wig", "", ";"),
  ";" &amp; IF(C3103="", B3103, C3103) &amp; IF(M3103="", "", " ("&amp;M3103&amp;")") &amp; CHAR(10) &amp;
  _xlpm.vanillaPrefix &amp; "Keyword = Uvi_Wig_Distr_KYWD|" &amp; B3103 &amp; CHAR(10) &amp;
  _xlpm.vanillaPrefix &amp; "Spell = " &amp; _xlpm.spell &amp; "|" &amp; B3103
  )
)</f>
        <v>;EncWarlockFire07HighElfM
;Keyword = Uvi_Wig_Distr_KYWD|EncWarlockFire07HighElfM
;Spell = No Spell for Hairstyle|EncWarlockFire07HighElfM</v>
      </c>
    </row>
    <row r="3104" ht="12.75" customHeight="1">
      <c r="A3104" s="5" t="s">
        <v>8580</v>
      </c>
      <c r="B3104" s="5" t="s">
        <v>8581</v>
      </c>
      <c r="D3104" s="5" t="s">
        <v>16</v>
      </c>
      <c r="E3104" s="5" t="s">
        <v>41</v>
      </c>
      <c r="F3104" s="5" t="s">
        <v>1041</v>
      </c>
      <c r="G3104" s="14" t="str">
        <f t="array" ref="G3104">IF(B3104="", "",
  LET(_xlpm.spell, IFERROR(IF(F3104="", "", INDEX(_xlws.FILTER(Hairstyles!$F:$F, ISNUMBER(SEARCH(F3104, Hairstyles!$B:$B))), 1)), "No Spell for Hairstyle"),
  _xlpm.vanillaPrefix, IF(LEFT(_xlpm.spell, 7)="Uvi_Wig", "", ";"),
  ";" &amp; IF(C3104="", B3104, C3104) &amp; IF(M3104="", "", " ("&amp;M3104&amp;")") &amp; CHAR(10) &amp;
  _xlpm.vanillaPrefix &amp; "Keyword = Uvi_Wig_Distr_KYWD|" &amp; B3104 &amp; CHAR(10) &amp;
  _xlpm.vanillaPrefix &amp; "Spell = " &amp; _xlpm.spell &amp; "|" &amp; B3104
  )
)</f>
        <v>;EncWarlockIce01BretonF
;Keyword = Uvi_Wig_Distr_KYWD|EncWarlockIce01BretonF
;Spell = No Spell for Hairstyle|EncWarlockIce01BretonF</v>
      </c>
    </row>
    <row r="3105" ht="12.75" customHeight="1">
      <c r="A3105" s="5" t="s">
        <v>8582</v>
      </c>
      <c r="B3105" s="5" t="s">
        <v>8583</v>
      </c>
      <c r="D3105" s="5" t="s">
        <v>16</v>
      </c>
      <c r="E3105" s="5" t="s">
        <v>233</v>
      </c>
      <c r="F3105" s="5" t="s">
        <v>1678</v>
      </c>
      <c r="G3105" s="14" t="str">
        <f t="array" ref="G3105">IF(B3105="", "",
  LET(_xlpm.spell, IFERROR(IF(F3105="", "", INDEX(_xlws.FILTER(Hairstyles!$F:$F, ISNUMBER(SEARCH(F3105, Hairstyles!$B:$B))), 1)), "No Spell for Hairstyle"),
  _xlpm.vanillaPrefix, IF(LEFT(_xlpm.spell, 7)="Uvi_Wig", "", ";"),
  ";" &amp; IF(C3105="", B3105, C3105) &amp; IF(M3105="", "", " ("&amp;M3105&amp;")") &amp; CHAR(10) &amp;
  _xlpm.vanillaPrefix &amp; "Keyword = Uvi_Wig_Distr_KYWD|" &amp; B3105 &amp; CHAR(10) &amp;
  _xlpm.vanillaPrefix &amp; "Spell = " &amp; _xlpm.spell &amp; "|" &amp; B3105
  )
)</f>
        <v>;EncWarlockIce01BretonM
;Keyword = Uvi_Wig_Distr_KYWD|EncWarlockIce01BretonM
;Spell = No Spell for Hairstyle|EncWarlockIce01BretonM</v>
      </c>
    </row>
    <row r="3106" ht="12.75" customHeight="1">
      <c r="A3106" s="5" t="s">
        <v>8584</v>
      </c>
      <c r="B3106" s="5" t="s">
        <v>8585</v>
      </c>
      <c r="D3106" s="5" t="s">
        <v>57</v>
      </c>
      <c r="E3106" s="5" t="s">
        <v>41</v>
      </c>
      <c r="F3106" s="5" t="s">
        <v>491</v>
      </c>
      <c r="G3106" s="14" t="str">
        <f t="array" ref="G3106">IF(B3106="", "",
  LET(_xlpm.spell, IFERROR(IF(F3106="", "", INDEX(_xlws.FILTER(Hairstyles!$F:$F, ISNUMBER(SEARCH(F3106, Hairstyles!$B:$B))), 1)), "No Spell for Hairstyle"),
  _xlpm.vanillaPrefix, IF(LEFT(_xlpm.spell, 7)="Uvi_Wig", "", ";"),
  ";" &amp; IF(C3106="", B3106, C3106) &amp; IF(M3106="", "", " ("&amp;M3106&amp;")") &amp; CHAR(10) &amp;
  _xlpm.vanillaPrefix &amp; "Keyword = Uvi_Wig_Distr_KYWD|" &amp; B3106 &amp; CHAR(10) &amp;
  _xlpm.vanillaPrefix &amp; "Spell = " &amp; _xlpm.spell &amp; "|" &amp; B3106
  )
)</f>
        <v>;EncWarlockIce01HighElfF
;Keyword = Uvi_Wig_Distr_KYWD|EncWarlockIce01HighElfF
;Spell = No Spell for Hairstyle|EncWarlockIce01HighElfF</v>
      </c>
    </row>
    <row r="3107" ht="12.75" customHeight="1">
      <c r="A3107" s="5" t="s">
        <v>8586</v>
      </c>
      <c r="B3107" s="5" t="s">
        <v>8587</v>
      </c>
      <c r="D3107" s="5" t="s">
        <v>57</v>
      </c>
      <c r="E3107" s="5" t="s">
        <v>233</v>
      </c>
      <c r="F3107" s="5" t="s">
        <v>91</v>
      </c>
      <c r="G3107" s="14" t="str">
        <f t="array" ref="G3107">IF(B3107="", "",
  LET(_xlpm.spell, IFERROR(IF(F3107="", "", INDEX(_xlws.FILTER(Hairstyles!$F:$F, ISNUMBER(SEARCH(F3107, Hairstyles!$B:$B))), 1)), "No Spell for Hairstyle"),
  _xlpm.vanillaPrefix, IF(LEFT(_xlpm.spell, 7)="Uvi_Wig", "", ";"),
  ";" &amp; IF(C3107="", B3107, C3107) &amp; IF(M3107="", "", " ("&amp;M3107&amp;")") &amp; CHAR(10) &amp;
  _xlpm.vanillaPrefix &amp; "Keyword = Uvi_Wig_Distr_KYWD|" &amp; B3107 &amp; CHAR(10) &amp;
  _xlpm.vanillaPrefix &amp; "Spell = " &amp; _xlpm.spell &amp; "|" &amp; B3107
  )
)</f>
        <v>;EncWarlockIce01HighElfM
;Keyword = Uvi_Wig_Distr_KYWD|EncWarlockIce01HighElfM
;Spell = No Spell for Hairstyle|EncWarlockIce01HighElfM</v>
      </c>
    </row>
    <row r="3108" ht="12.75" customHeight="1">
      <c r="A3108" s="5" t="s">
        <v>8588</v>
      </c>
      <c r="B3108" s="5" t="s">
        <v>8589</v>
      </c>
      <c r="D3108" s="5" t="s">
        <v>59</v>
      </c>
      <c r="E3108" s="5" t="s">
        <v>41</v>
      </c>
      <c r="F3108" s="5" t="s">
        <v>44</v>
      </c>
      <c r="G3108" s="14" t="str">
        <f t="array" ref="G3108">IF(B3108="", "",
  LET(_xlpm.spell, IFERROR(IF(F3108="", "", INDEX(_xlws.FILTER(Hairstyles!$F:$F, ISNUMBER(SEARCH(F3108, Hairstyles!$B:$B))), 1)), "No Spell for Hairstyle"),
  _xlpm.vanillaPrefix, IF(LEFT(_xlpm.spell, 7)="Uvi_Wig", "", ";"),
  ";" &amp; IF(C3108="", B3108, C3108) &amp; IF(M3108="", "", " ("&amp;M3108&amp;")") &amp; CHAR(10) &amp;
  _xlpm.vanillaPrefix &amp; "Keyword = Uvi_Wig_Distr_KYWD|" &amp; B3108 &amp; CHAR(10) &amp;
  _xlpm.vanillaPrefix &amp; "Spell = " &amp; _xlpm.spell &amp; "|" &amp; B3108
  )
)</f>
        <v>;EncWarlockIce01ImperialF
;Keyword = Uvi_Wig_Distr_KYWD|EncWarlockIce01ImperialF
;Spell = No Spell for Hairstyle|EncWarlockIce01ImperialF</v>
      </c>
    </row>
    <row r="3109" ht="12.75" customHeight="1">
      <c r="A3109" s="5" t="s">
        <v>8590</v>
      </c>
      <c r="B3109" s="5" t="s">
        <v>8591</v>
      </c>
      <c r="D3109" s="5" t="s">
        <v>59</v>
      </c>
      <c r="E3109" s="5" t="s">
        <v>233</v>
      </c>
      <c r="F3109" s="5" t="s">
        <v>19</v>
      </c>
      <c r="G3109" s="14" t="str">
        <f t="array" ref="G3109">IF(B3109="", "",
  LET(_xlpm.spell, IFERROR(IF(F3109="", "", INDEX(_xlws.FILTER(Hairstyles!$F:$F, ISNUMBER(SEARCH(F3109, Hairstyles!$B:$B))), 1)), "No Spell for Hairstyle"),
  _xlpm.vanillaPrefix, IF(LEFT(_xlpm.spell, 7)="Uvi_Wig", "", ";"),
  ";" &amp; IF(C3109="", B3109, C3109) &amp; IF(M3109="", "", " ("&amp;M3109&amp;")") &amp; CHAR(10) &amp;
  _xlpm.vanillaPrefix &amp; "Keyword = Uvi_Wig_Distr_KYWD|" &amp; B3109 &amp; CHAR(10) &amp;
  _xlpm.vanillaPrefix &amp; "Spell = " &amp; _xlpm.spell &amp; "|" &amp; B3109
  )
)</f>
        <v>;EncWarlockIce01ImperialM
;Keyword = Uvi_Wig_Distr_KYWD|EncWarlockIce01ImperialM
;Spell = No Spell for Hairstyle|EncWarlockIce01ImperialM</v>
      </c>
    </row>
    <row r="3110" ht="12.75" customHeight="1">
      <c r="A3110" s="5" t="s">
        <v>8592</v>
      </c>
      <c r="B3110" s="5" t="s">
        <v>8593</v>
      </c>
      <c r="D3110" s="5" t="s">
        <v>38</v>
      </c>
      <c r="E3110" s="5" t="s">
        <v>41</v>
      </c>
      <c r="F3110" s="5" t="s">
        <v>22</v>
      </c>
      <c r="G3110" s="14" t="str">
        <f t="array" ref="G3110">IF(B3110="", "",
  LET(_xlpm.spell, IFERROR(IF(F3110="", "", INDEX(_xlws.FILTER(Hairstyles!$F:$F, ISNUMBER(SEARCH(F3110, Hairstyles!$B:$B))), 1)), "No Spell for Hairstyle"),
  _xlpm.vanillaPrefix, IF(LEFT(_xlpm.spell, 7)="Uvi_Wig", "", ";"),
  ";" &amp; IF(C3110="", B3110, C3110) &amp; IF(M3110="", "", " ("&amp;M3110&amp;")") &amp; CHAR(10) &amp;
  _xlpm.vanillaPrefix &amp; "Keyword = Uvi_Wig_Distr_KYWD|" &amp; B3110 &amp; CHAR(10) &amp;
  _xlpm.vanillaPrefix &amp; "Spell = " &amp; _xlpm.spell &amp; "|" &amp; B3110
  )
)</f>
        <v>;EncWarlockIce01NordF
;Keyword = Uvi_Wig_Distr_KYWD|EncWarlockIce01NordF
;Spell = No Spell for Hairstyle|EncWarlockIce01NordF</v>
      </c>
    </row>
    <row r="3111" ht="12.75" customHeight="1">
      <c r="A3111" s="5" t="s">
        <v>8594</v>
      </c>
      <c r="B3111" s="5" t="s">
        <v>8595</v>
      </c>
      <c r="D3111" s="5" t="s">
        <v>38</v>
      </c>
      <c r="E3111" s="5" t="s">
        <v>233</v>
      </c>
      <c r="F3111" s="5" t="s">
        <v>1700</v>
      </c>
      <c r="G3111" s="14" t="str">
        <f t="array" ref="G3111">IF(B3111="", "",
  LET(_xlpm.spell, IFERROR(IF(F3111="", "", INDEX(_xlws.FILTER(Hairstyles!$F:$F, ISNUMBER(SEARCH(F3111, Hairstyles!$B:$B))), 1)), "No Spell for Hairstyle"),
  _xlpm.vanillaPrefix, IF(LEFT(_xlpm.spell, 7)="Uvi_Wig", "", ";"),
  ";" &amp; IF(C3111="", B3111, C3111) &amp; IF(M3111="", "", " ("&amp;M3111&amp;")") &amp; CHAR(10) &amp;
  _xlpm.vanillaPrefix &amp; "Keyword = Uvi_Wig_Distr_KYWD|" &amp; B3111 &amp; CHAR(10) &amp;
  _xlpm.vanillaPrefix &amp; "Spell = " &amp; _xlpm.spell &amp; "|" &amp; B3111
  )
)</f>
        <v>;EncWarlockIce01NordM
;Keyword = Uvi_Wig_Distr_KYWD|EncWarlockIce01NordM
;Spell = No Spell for Hairstyle|EncWarlockIce01NordM</v>
      </c>
    </row>
    <row r="3112" ht="12.75" customHeight="1">
      <c r="A3112" s="5" t="s">
        <v>8596</v>
      </c>
      <c r="B3112" s="5" t="s">
        <v>8597</v>
      </c>
      <c r="D3112" s="5" t="s">
        <v>57</v>
      </c>
      <c r="E3112" s="5" t="s">
        <v>41</v>
      </c>
      <c r="F3112" s="5" t="s">
        <v>512</v>
      </c>
      <c r="G3112" s="14" t="str">
        <f t="array" ref="G3112">IF(B3112="", "",
  LET(_xlpm.spell, IFERROR(IF(F3112="", "", INDEX(_xlws.FILTER(Hairstyles!$F:$F, ISNUMBER(SEARCH(F3112, Hairstyles!$B:$B))), 1)), "No Spell for Hairstyle"),
  _xlpm.vanillaPrefix, IF(LEFT(_xlpm.spell, 7)="Uvi_Wig", "", ";"),
  ";" &amp; IF(C3112="", B3112, C3112) &amp; IF(M3112="", "", " ("&amp;M3112&amp;")") &amp; CHAR(10) &amp;
  _xlpm.vanillaPrefix &amp; "Keyword = Uvi_Wig_Distr_KYWD|" &amp; B3112 &amp; CHAR(10) &amp;
  _xlpm.vanillaPrefix &amp; "Spell = " &amp; _xlpm.spell &amp; "|" &amp; B3112
  )
)</f>
        <v>;EncWarlockIce02BossHighElfF
;Keyword = Uvi_Wig_Distr_KYWD|EncWarlockIce02BossHighElfF
;Spell = No Spell for Hairstyle|EncWarlockIce02BossHighElfF</v>
      </c>
    </row>
    <row r="3113" ht="12.75" customHeight="1">
      <c r="A3113" s="5" t="s">
        <v>8598</v>
      </c>
      <c r="B3113" s="5" t="s">
        <v>8599</v>
      </c>
      <c r="D3113" s="5" t="s">
        <v>57</v>
      </c>
      <c r="E3113" s="5" t="s">
        <v>233</v>
      </c>
      <c r="F3113" s="5" t="s">
        <v>4186</v>
      </c>
      <c r="G3113" s="14" t="str">
        <f t="array" ref="G3113">IF(B3113="", "",
  LET(_xlpm.spell, IFERROR(IF(F3113="", "", INDEX(_xlws.FILTER(Hairstyles!$F:$F, ISNUMBER(SEARCH(F3113, Hairstyles!$B:$B))), 1)), "No Spell for Hairstyle"),
  _xlpm.vanillaPrefix, IF(LEFT(_xlpm.spell, 7)="Uvi_Wig", "", ";"),
  ";" &amp; IF(C3113="", B3113, C3113) &amp; IF(M3113="", "", " ("&amp;M3113&amp;")") &amp; CHAR(10) &amp;
  _xlpm.vanillaPrefix &amp; "Keyword = Uvi_Wig_Distr_KYWD|" &amp; B3113 &amp; CHAR(10) &amp;
  _xlpm.vanillaPrefix &amp; "Spell = " &amp; _xlpm.spell &amp; "|" &amp; B3113
  )
)</f>
        <v>;EncWarlockIce02BossHighElfM
;Keyword = Uvi_Wig_Distr_KYWD|EncWarlockIce02BossHighElfM
;Spell = No Spell for Hairstyle|EncWarlockIce02BossHighElfM</v>
      </c>
    </row>
    <row r="3114" ht="12.75" customHeight="1">
      <c r="A3114" s="15" t="s">
        <v>8600</v>
      </c>
      <c r="B3114" s="5" t="s">
        <v>8601</v>
      </c>
      <c r="D3114" s="5" t="s">
        <v>38</v>
      </c>
      <c r="E3114" s="5" t="s">
        <v>41</v>
      </c>
      <c r="F3114" s="5" t="s">
        <v>42</v>
      </c>
      <c r="G3114" s="14" t="str">
        <f t="array" ref="G3114">IF(B3114="", "",
  LET(_xlpm.spell, IFERROR(IF(F3114="", "", INDEX(_xlws.FILTER(Hairstyles!$F:$F, ISNUMBER(SEARCH(F3114, Hairstyles!$B:$B))), 1)), "No Spell for Hairstyle"),
  _xlpm.vanillaPrefix, IF(LEFT(_xlpm.spell, 7)="Uvi_Wig", "", ";"),
  ";" &amp; IF(C3114="", B3114, C3114) &amp; IF(M3114="", "", " ("&amp;M3114&amp;")") &amp; CHAR(10) &amp;
  _xlpm.vanillaPrefix &amp; "Keyword = Uvi_Wig_Distr_KYWD|" &amp; B3114 &amp; CHAR(10) &amp;
  _xlpm.vanillaPrefix &amp; "Spell = " &amp; _xlpm.spell &amp; "|" &amp; B3114
  )
)</f>
        <v>;EncWarlockIce02BossNordF
;Keyword = Uvi_Wig_Distr_KYWD|EncWarlockIce02BossNordF
;Spell = No Spell for Hairstyle|EncWarlockIce02BossNordF</v>
      </c>
    </row>
    <row r="3115" ht="12.75" customHeight="1">
      <c r="A3115" s="5" t="s">
        <v>8602</v>
      </c>
      <c r="B3115" s="5" t="s">
        <v>8603</v>
      </c>
      <c r="D3115" s="5" t="s">
        <v>38</v>
      </c>
      <c r="E3115" s="5" t="s">
        <v>233</v>
      </c>
      <c r="F3115" s="5" t="s">
        <v>40</v>
      </c>
      <c r="G3115" s="14" t="str">
        <f t="array" ref="G3115">IF(B3115="", "",
  LET(_xlpm.spell, IFERROR(IF(F3115="", "", INDEX(_xlws.FILTER(Hairstyles!$F:$F, ISNUMBER(SEARCH(F3115, Hairstyles!$B:$B))), 1)), "No Spell for Hairstyle"),
  _xlpm.vanillaPrefix, IF(LEFT(_xlpm.spell, 7)="Uvi_Wig", "", ";"),
  ";" &amp; IF(C3115="", B3115, C3115) &amp; IF(M3115="", "", " ("&amp;M3115&amp;")") &amp; CHAR(10) &amp;
  _xlpm.vanillaPrefix &amp; "Keyword = Uvi_Wig_Distr_KYWD|" &amp; B3115 &amp; CHAR(10) &amp;
  _xlpm.vanillaPrefix &amp; "Spell = " &amp; _xlpm.spell &amp; "|" &amp; B3115
  )
)</f>
        <v>;EncWarlockIce02BossNordM
;Keyword = Uvi_Wig_Distr_KYWD|EncWarlockIce02BossNordM
;Spell = No Spell for Hairstyle|EncWarlockIce02BossNordM</v>
      </c>
    </row>
    <row r="3116" ht="12.75" customHeight="1">
      <c r="A3116" s="5" t="s">
        <v>8604</v>
      </c>
      <c r="B3116" s="5" t="s">
        <v>8605</v>
      </c>
      <c r="D3116" s="5" t="s">
        <v>16</v>
      </c>
      <c r="E3116" s="5" t="s">
        <v>41</v>
      </c>
      <c r="F3116" s="5" t="s">
        <v>22</v>
      </c>
      <c r="G3116" s="14" t="str">
        <f t="array" ref="G3116">IF(B3116="", "",
  LET(_xlpm.spell, IFERROR(IF(F3116="", "", INDEX(_xlws.FILTER(Hairstyles!$F:$F, ISNUMBER(SEARCH(F3116, Hairstyles!$B:$B))), 1)), "No Spell for Hairstyle"),
  _xlpm.vanillaPrefix, IF(LEFT(_xlpm.spell, 7)="Uvi_Wig", "", ";"),
  ";" &amp; IF(C3116="", B3116, C3116) &amp; IF(M3116="", "", " ("&amp;M3116&amp;")") &amp; CHAR(10) &amp;
  _xlpm.vanillaPrefix &amp; "Keyword = Uvi_Wig_Distr_KYWD|" &amp; B3116 &amp; CHAR(10) &amp;
  _xlpm.vanillaPrefix &amp; "Spell = " &amp; _xlpm.spell &amp; "|" &amp; B3116
  )
)</f>
        <v>;EncWarlockIce02BretonF
;Keyword = Uvi_Wig_Distr_KYWD|EncWarlockIce02BretonF
;Spell = No Spell for Hairstyle|EncWarlockIce02BretonF</v>
      </c>
    </row>
    <row r="3117" ht="12.75" customHeight="1">
      <c r="A3117" s="5" t="s">
        <v>8606</v>
      </c>
      <c r="B3117" s="5" t="s">
        <v>8607</v>
      </c>
      <c r="D3117" s="5" t="s">
        <v>16</v>
      </c>
      <c r="E3117" s="5" t="s">
        <v>233</v>
      </c>
      <c r="F3117" s="5" t="s">
        <v>695</v>
      </c>
      <c r="G3117" s="14" t="str">
        <f t="array" ref="G3117">IF(B3117="", "",
  LET(_xlpm.spell, IFERROR(IF(F3117="", "", INDEX(_xlws.FILTER(Hairstyles!$F:$F, ISNUMBER(SEARCH(F3117, Hairstyles!$B:$B))), 1)), "No Spell for Hairstyle"),
  _xlpm.vanillaPrefix, IF(LEFT(_xlpm.spell, 7)="Uvi_Wig", "", ";"),
  ";" &amp; IF(C3117="", B3117, C3117) &amp; IF(M3117="", "", " ("&amp;M3117&amp;")") &amp; CHAR(10) &amp;
  _xlpm.vanillaPrefix &amp; "Keyword = Uvi_Wig_Distr_KYWD|" &amp; B3117 &amp; CHAR(10) &amp;
  _xlpm.vanillaPrefix &amp; "Spell = " &amp; _xlpm.spell &amp; "|" &amp; B3117
  )
)</f>
        <v>;EncWarlockIce02BretonM
;Keyword = Uvi_Wig_Distr_KYWD|EncWarlockIce02BretonM
;Spell = No Spell for Hairstyle|EncWarlockIce02BretonM</v>
      </c>
    </row>
    <row r="3118" ht="12.75" customHeight="1">
      <c r="A3118" s="5" t="s">
        <v>8608</v>
      </c>
      <c r="B3118" s="5" t="s">
        <v>8609</v>
      </c>
      <c r="D3118" s="5" t="s">
        <v>57</v>
      </c>
      <c r="E3118" s="5" t="s">
        <v>41</v>
      </c>
      <c r="F3118" s="5" t="s">
        <v>2380</v>
      </c>
      <c r="G3118" s="14" t="str">
        <f t="array" ref="G3118">IF(B3118="", "",
  LET(_xlpm.spell, IFERROR(IF(F3118="", "", INDEX(_xlws.FILTER(Hairstyles!$F:$F, ISNUMBER(SEARCH(F3118, Hairstyles!$B:$B))), 1)), "No Spell for Hairstyle"),
  _xlpm.vanillaPrefix, IF(LEFT(_xlpm.spell, 7)="Uvi_Wig", "", ";"),
  ";" &amp; IF(C3118="", B3118, C3118) &amp; IF(M3118="", "", " ("&amp;M3118&amp;")") &amp; CHAR(10) &amp;
  _xlpm.vanillaPrefix &amp; "Keyword = Uvi_Wig_Distr_KYWD|" &amp; B3118 &amp; CHAR(10) &amp;
  _xlpm.vanillaPrefix &amp; "Spell = " &amp; _xlpm.spell &amp; "|" &amp; B3118
  )
)</f>
        <v>;EncWarlockIce02HighElfF
;Keyword = Uvi_Wig_Distr_KYWD|EncWarlockIce02HighElfF
;Spell = No Spell for Hairstyle|EncWarlockIce02HighElfF</v>
      </c>
    </row>
    <row r="3119" ht="12.75" customHeight="1">
      <c r="A3119" s="5" t="s">
        <v>8610</v>
      </c>
      <c r="B3119" s="5" t="s">
        <v>8611</v>
      </c>
      <c r="D3119" s="5" t="s">
        <v>57</v>
      </c>
      <c r="E3119" s="5" t="s">
        <v>233</v>
      </c>
      <c r="F3119" s="5" t="s">
        <v>47</v>
      </c>
      <c r="G3119" s="14" t="str">
        <f t="array" ref="G3119">IF(B3119="", "",
  LET(_xlpm.spell, IFERROR(IF(F3119="", "", INDEX(_xlws.FILTER(Hairstyles!$F:$F, ISNUMBER(SEARCH(F3119, Hairstyles!$B:$B))), 1)), "No Spell for Hairstyle"),
  _xlpm.vanillaPrefix, IF(LEFT(_xlpm.spell, 7)="Uvi_Wig", "", ";"),
  ";" &amp; IF(C3119="", B3119, C3119) &amp; IF(M3119="", "", " ("&amp;M3119&amp;")") &amp; CHAR(10) &amp;
  _xlpm.vanillaPrefix &amp; "Keyword = Uvi_Wig_Distr_KYWD|" &amp; B3119 &amp; CHAR(10) &amp;
  _xlpm.vanillaPrefix &amp; "Spell = " &amp; _xlpm.spell &amp; "|" &amp; B3119
  )
)</f>
        <v>;EncWarlockIce02HighElfM
;Keyword = Uvi_Wig_Distr_KYWD|EncWarlockIce02HighElfM
;Spell = No Spell for Hairstyle|EncWarlockIce02HighElfM</v>
      </c>
    </row>
    <row r="3120" ht="12.75" customHeight="1">
      <c r="A3120" s="5" t="s">
        <v>8612</v>
      </c>
      <c r="B3120" s="5" t="s">
        <v>8613</v>
      </c>
      <c r="D3120" s="5" t="s">
        <v>59</v>
      </c>
      <c r="E3120" s="5" t="s">
        <v>41</v>
      </c>
      <c r="F3120" s="5" t="s">
        <v>1694</v>
      </c>
      <c r="G3120" s="14" t="str">
        <f t="array" ref="G3120">IF(B3120="", "",
  LET(_xlpm.spell, IFERROR(IF(F3120="", "", INDEX(_xlws.FILTER(Hairstyles!$F:$F, ISNUMBER(SEARCH(F3120, Hairstyles!$B:$B))), 1)), "No Spell for Hairstyle"),
  _xlpm.vanillaPrefix, IF(LEFT(_xlpm.spell, 7)="Uvi_Wig", "", ";"),
  ";" &amp; IF(C3120="", B3120, C3120) &amp; IF(M3120="", "", " ("&amp;M3120&amp;")") &amp; CHAR(10) &amp;
  _xlpm.vanillaPrefix &amp; "Keyword = Uvi_Wig_Distr_KYWD|" &amp; B3120 &amp; CHAR(10) &amp;
  _xlpm.vanillaPrefix &amp; "Spell = " &amp; _xlpm.spell &amp; "|" &amp; B3120
  )
)</f>
        <v>;EncWarlockIce02ImperialF
;Keyword = Uvi_Wig_Distr_KYWD|EncWarlockIce02ImperialF
;Spell = No Spell for Hairstyle|EncWarlockIce02ImperialF</v>
      </c>
    </row>
    <row r="3121" ht="12.75" customHeight="1">
      <c r="A3121" s="5" t="s">
        <v>8614</v>
      </c>
      <c r="B3121" s="5" t="s">
        <v>8615</v>
      </c>
      <c r="D3121" s="5" t="s">
        <v>59</v>
      </c>
      <c r="E3121" s="5" t="s">
        <v>233</v>
      </c>
      <c r="F3121" s="5" t="s">
        <v>84</v>
      </c>
      <c r="G3121" s="14" t="str">
        <f t="array" ref="G3121">IF(B3121="", "",
  LET(_xlpm.spell, IFERROR(IF(F3121="", "", INDEX(_xlws.FILTER(Hairstyles!$F:$F, ISNUMBER(SEARCH(F3121, Hairstyles!$B:$B))), 1)), "No Spell for Hairstyle"),
  _xlpm.vanillaPrefix, IF(LEFT(_xlpm.spell, 7)="Uvi_Wig", "", ";"),
  ";" &amp; IF(C3121="", B3121, C3121) &amp; IF(M3121="", "", " ("&amp;M3121&amp;")") &amp; CHAR(10) &amp;
  _xlpm.vanillaPrefix &amp; "Keyword = Uvi_Wig_Distr_KYWD|" &amp; B3121 &amp; CHAR(10) &amp;
  _xlpm.vanillaPrefix &amp; "Spell = " &amp; _xlpm.spell &amp; "|" &amp; B3121
  )
)</f>
        <v>;EncWarlockIce02ImperialM
;Keyword = Uvi_Wig_Distr_KYWD|EncWarlockIce02ImperialM
;Spell = No Spell for Hairstyle|EncWarlockIce02ImperialM</v>
      </c>
    </row>
    <row r="3122" ht="12.75" customHeight="1">
      <c r="A3122" s="5" t="s">
        <v>8616</v>
      </c>
      <c r="B3122" s="5" t="s">
        <v>8617</v>
      </c>
      <c r="D3122" s="5" t="s">
        <v>38</v>
      </c>
      <c r="E3122" s="5" t="s">
        <v>41</v>
      </c>
      <c r="F3122" s="5" t="s">
        <v>1694</v>
      </c>
      <c r="G3122" s="14" t="str">
        <f t="array" ref="G3122">IF(B3122="", "",
  LET(_xlpm.spell, IFERROR(IF(F3122="", "", INDEX(_xlws.FILTER(Hairstyles!$F:$F, ISNUMBER(SEARCH(F3122, Hairstyles!$B:$B))), 1)), "No Spell for Hairstyle"),
  _xlpm.vanillaPrefix, IF(LEFT(_xlpm.spell, 7)="Uvi_Wig", "", ";"),
  ";" &amp; IF(C3122="", B3122, C3122) &amp; IF(M3122="", "", " ("&amp;M3122&amp;")") &amp; CHAR(10) &amp;
  _xlpm.vanillaPrefix &amp; "Keyword = Uvi_Wig_Distr_KYWD|" &amp; B3122 &amp; CHAR(10) &amp;
  _xlpm.vanillaPrefix &amp; "Spell = " &amp; _xlpm.spell &amp; "|" &amp; B3122
  )
)</f>
        <v>;EncWarlockIce02NordF
;Keyword = Uvi_Wig_Distr_KYWD|EncWarlockIce02NordF
;Spell = No Spell for Hairstyle|EncWarlockIce02NordF</v>
      </c>
    </row>
    <row r="3123" ht="12.75" customHeight="1">
      <c r="A3123" s="5" t="s">
        <v>8618</v>
      </c>
      <c r="B3123" s="5" t="s">
        <v>8619</v>
      </c>
      <c r="D3123" s="5" t="s">
        <v>38</v>
      </c>
      <c r="E3123" s="5" t="s">
        <v>233</v>
      </c>
      <c r="F3123" s="5" t="s">
        <v>1566</v>
      </c>
      <c r="G3123" s="14" t="str">
        <f t="array" ref="G3123">IF(B3123="", "",
  LET(_xlpm.spell, IFERROR(IF(F3123="", "", INDEX(_xlws.FILTER(Hairstyles!$F:$F, ISNUMBER(SEARCH(F3123, Hairstyles!$B:$B))), 1)), "No Spell for Hairstyle"),
  _xlpm.vanillaPrefix, IF(LEFT(_xlpm.spell, 7)="Uvi_Wig", "", ";"),
  ";" &amp; IF(C3123="", B3123, C3123) &amp; IF(M3123="", "", " ("&amp;M3123&amp;")") &amp; CHAR(10) &amp;
  _xlpm.vanillaPrefix &amp; "Keyword = Uvi_Wig_Distr_KYWD|" &amp; B3123 &amp; CHAR(10) &amp;
  _xlpm.vanillaPrefix &amp; "Spell = " &amp; _xlpm.spell &amp; "|" &amp; B3123
  )
)</f>
        <v>;EncWarlockIce02NordM
;Keyword = Uvi_Wig_Distr_KYWD|EncWarlockIce02NordM
;Spell = No Spell for Hairstyle|EncWarlockIce02NordM</v>
      </c>
    </row>
    <row r="3124" ht="12.75" customHeight="1">
      <c r="A3124" s="5" t="s">
        <v>8620</v>
      </c>
      <c r="B3124" s="5" t="s">
        <v>8621</v>
      </c>
      <c r="D3124" s="5" t="s">
        <v>57</v>
      </c>
      <c r="E3124" s="5" t="s">
        <v>41</v>
      </c>
      <c r="F3124" s="5" t="s">
        <v>4274</v>
      </c>
      <c r="G3124" s="14" t="str">
        <f t="array" ref="G3124">IF(B3124="", "",
  LET(_xlpm.spell, IFERROR(IF(F3124="", "", INDEX(_xlws.FILTER(Hairstyles!$F:$F, ISNUMBER(SEARCH(F3124, Hairstyles!$B:$B))), 1)), "No Spell for Hairstyle"),
  _xlpm.vanillaPrefix, IF(LEFT(_xlpm.spell, 7)="Uvi_Wig", "", ";"),
  ";" &amp; IF(C3124="", B3124, C3124) &amp; IF(M3124="", "", " ("&amp;M3124&amp;")") &amp; CHAR(10) &amp;
  _xlpm.vanillaPrefix &amp; "Keyword = Uvi_Wig_Distr_KYWD|" &amp; B3124 &amp; CHAR(10) &amp;
  _xlpm.vanillaPrefix &amp; "Spell = " &amp; _xlpm.spell &amp; "|" &amp; B3124
  )
)</f>
        <v>;EncWarlockIce03BossHighElfF
;Keyword = Uvi_Wig_Distr_KYWD|EncWarlockIce03BossHighElfF
;Spell = No Spell for Hairstyle|EncWarlockIce03BossHighElfF</v>
      </c>
    </row>
    <row r="3125" ht="12.75" customHeight="1">
      <c r="A3125" s="5" t="s">
        <v>8622</v>
      </c>
      <c r="B3125" s="5" t="s">
        <v>8623</v>
      </c>
      <c r="D3125" s="5" t="s">
        <v>57</v>
      </c>
      <c r="E3125" s="5" t="s">
        <v>233</v>
      </c>
      <c r="F3125" s="5" t="s">
        <v>2489</v>
      </c>
      <c r="G3125" s="14" t="str">
        <f t="array" ref="G3125">IF(B3125="", "",
  LET(_xlpm.spell, IFERROR(IF(F3125="", "", INDEX(_xlws.FILTER(Hairstyles!$F:$F, ISNUMBER(SEARCH(F3125, Hairstyles!$B:$B))), 1)), "No Spell for Hairstyle"),
  _xlpm.vanillaPrefix, IF(LEFT(_xlpm.spell, 7)="Uvi_Wig", "", ";"),
  ";" &amp; IF(C3125="", B3125, C3125) &amp; IF(M3125="", "", " ("&amp;M3125&amp;")") &amp; CHAR(10) &amp;
  _xlpm.vanillaPrefix &amp; "Keyword = Uvi_Wig_Distr_KYWD|" &amp; B3125 &amp; CHAR(10) &amp;
  _xlpm.vanillaPrefix &amp; "Spell = " &amp; _xlpm.spell &amp; "|" &amp; B3125
  )
)</f>
        <v>;EncWarlockIce03BossHighElfM
;Keyword = Uvi_Wig_Distr_KYWD|EncWarlockIce03BossHighElfM
;Spell = No Spell for Hairstyle|EncWarlockIce03BossHighElfM</v>
      </c>
    </row>
    <row r="3126" ht="12.75" customHeight="1">
      <c r="A3126" s="5" t="s">
        <v>8624</v>
      </c>
      <c r="B3126" s="5" t="s">
        <v>8625</v>
      </c>
      <c r="D3126" s="5" t="s">
        <v>38</v>
      </c>
      <c r="E3126" s="5" t="s">
        <v>41</v>
      </c>
      <c r="F3126" s="5" t="s">
        <v>1822</v>
      </c>
      <c r="G3126" s="14" t="str">
        <f t="array" ref="G3126">IF(B3126="", "",
  LET(_xlpm.spell, IFERROR(IF(F3126="", "", INDEX(_xlws.FILTER(Hairstyles!$F:$F, ISNUMBER(SEARCH(F3126, Hairstyles!$B:$B))), 1)), "No Spell for Hairstyle"),
  _xlpm.vanillaPrefix, IF(LEFT(_xlpm.spell, 7)="Uvi_Wig", "", ";"),
  ";" &amp; IF(C3126="", B3126, C3126) &amp; IF(M3126="", "", " ("&amp;M3126&amp;")") &amp; CHAR(10) &amp;
  _xlpm.vanillaPrefix &amp; "Keyword = Uvi_Wig_Distr_KYWD|" &amp; B3126 &amp; CHAR(10) &amp;
  _xlpm.vanillaPrefix &amp; "Spell = " &amp; _xlpm.spell &amp; "|" &amp; B3126
  )
)</f>
        <v>;EncWarlockIce03BossNordF
;Keyword = Uvi_Wig_Distr_KYWD|EncWarlockIce03BossNordF
;Spell = No Spell for Hairstyle|EncWarlockIce03BossNordF</v>
      </c>
    </row>
    <row r="3127" ht="12.75" customHeight="1">
      <c r="A3127" s="15" t="s">
        <v>8626</v>
      </c>
      <c r="B3127" s="5" t="s">
        <v>8627</v>
      </c>
      <c r="D3127" s="5" t="s">
        <v>38</v>
      </c>
      <c r="E3127" s="5" t="s">
        <v>233</v>
      </c>
      <c r="F3127" s="5" t="s">
        <v>762</v>
      </c>
      <c r="G3127" s="14" t="str">
        <f t="array" ref="G3127">IF(B3127="", "",
  LET(_xlpm.spell, IFERROR(IF(F3127="", "", INDEX(_xlws.FILTER(Hairstyles!$F:$F, ISNUMBER(SEARCH(F3127, Hairstyles!$B:$B))), 1)), "No Spell for Hairstyle"),
  _xlpm.vanillaPrefix, IF(LEFT(_xlpm.spell, 7)="Uvi_Wig", "", ";"),
  ";" &amp; IF(C3127="", B3127, C3127) &amp; IF(M3127="", "", " ("&amp;M3127&amp;")") &amp; CHAR(10) &amp;
  _xlpm.vanillaPrefix &amp; "Keyword = Uvi_Wig_Distr_KYWD|" &amp; B3127 &amp; CHAR(10) &amp;
  _xlpm.vanillaPrefix &amp; "Spell = " &amp; _xlpm.spell &amp; "|" &amp; B3127
  )
)</f>
        <v>;EncWarlockIce03BossNordM
;Keyword = Uvi_Wig_Distr_KYWD|EncWarlockIce03BossNordM
;Spell = No Spell for Hairstyle|EncWarlockIce03BossNordM</v>
      </c>
    </row>
    <row r="3128" ht="12.75" customHeight="1">
      <c r="A3128" s="5" t="s">
        <v>8628</v>
      </c>
      <c r="B3128" s="5" t="s">
        <v>8629</v>
      </c>
      <c r="D3128" s="5" t="s">
        <v>16</v>
      </c>
      <c r="E3128" s="5" t="s">
        <v>41</v>
      </c>
      <c r="F3128" s="5" t="s">
        <v>270</v>
      </c>
      <c r="G3128" s="14" t="str">
        <f t="array" ref="G3128">IF(B3128="", "",
  LET(_xlpm.spell, IFERROR(IF(F3128="", "", INDEX(_xlws.FILTER(Hairstyles!$F:$F, ISNUMBER(SEARCH(F3128, Hairstyles!$B:$B))), 1)), "No Spell for Hairstyle"),
  _xlpm.vanillaPrefix, IF(LEFT(_xlpm.spell, 7)="Uvi_Wig", "", ";"),
  ";" &amp; IF(C3128="", B3128, C3128) &amp; IF(M3128="", "", " ("&amp;M3128&amp;")") &amp; CHAR(10) &amp;
  _xlpm.vanillaPrefix &amp; "Keyword = Uvi_Wig_Distr_KYWD|" &amp; B3128 &amp; CHAR(10) &amp;
  _xlpm.vanillaPrefix &amp; "Spell = " &amp; _xlpm.spell &amp; "|" &amp; B3128
  )
)</f>
        <v>;EncWarlockIce03BretonF
;Keyword = Uvi_Wig_Distr_KYWD|EncWarlockIce03BretonF
;Spell = No Spell for Hairstyle|EncWarlockIce03BretonF</v>
      </c>
    </row>
    <row r="3129" ht="12.75" customHeight="1">
      <c r="A3129" s="5" t="s">
        <v>8630</v>
      </c>
      <c r="B3129" s="5" t="s">
        <v>8631</v>
      </c>
      <c r="D3129" s="5" t="s">
        <v>16</v>
      </c>
      <c r="E3129" s="5" t="s">
        <v>233</v>
      </c>
      <c r="F3129" s="5" t="s">
        <v>424</v>
      </c>
      <c r="G3129" s="14" t="str">
        <f t="array" ref="G3129">IF(B3129="", "",
  LET(_xlpm.spell, IFERROR(IF(F3129="", "", INDEX(_xlws.FILTER(Hairstyles!$F:$F, ISNUMBER(SEARCH(F3129, Hairstyles!$B:$B))), 1)), "No Spell for Hairstyle"),
  _xlpm.vanillaPrefix, IF(LEFT(_xlpm.spell, 7)="Uvi_Wig", "", ";"),
  ";" &amp; IF(C3129="", B3129, C3129) &amp; IF(M3129="", "", " ("&amp;M3129&amp;")") &amp; CHAR(10) &amp;
  _xlpm.vanillaPrefix &amp; "Keyword = Uvi_Wig_Distr_KYWD|" &amp; B3129 &amp; CHAR(10) &amp;
  _xlpm.vanillaPrefix &amp; "Spell = " &amp; _xlpm.spell &amp; "|" &amp; B3129
  )
)</f>
        <v>;EncWarlockIce03BretonM
;Keyword = Uvi_Wig_Distr_KYWD|EncWarlockIce03BretonM
;Spell = No Spell for Hairstyle|EncWarlockIce03BretonM</v>
      </c>
    </row>
    <row r="3130" ht="12.75" customHeight="1">
      <c r="A3130" s="5" t="s">
        <v>8632</v>
      </c>
      <c r="B3130" s="5" t="s">
        <v>8633</v>
      </c>
      <c r="D3130" s="5" t="s">
        <v>57</v>
      </c>
      <c r="E3130" s="5" t="s">
        <v>41</v>
      </c>
      <c r="F3130" s="5" t="s">
        <v>491</v>
      </c>
      <c r="G3130" s="14" t="str">
        <f t="array" ref="G3130">IF(B3130="", "",
  LET(_xlpm.spell, IFERROR(IF(F3130="", "", INDEX(_xlws.FILTER(Hairstyles!$F:$F, ISNUMBER(SEARCH(F3130, Hairstyles!$B:$B))), 1)), "No Spell for Hairstyle"),
  _xlpm.vanillaPrefix, IF(LEFT(_xlpm.spell, 7)="Uvi_Wig", "", ";"),
  ";" &amp; IF(C3130="", B3130, C3130) &amp; IF(M3130="", "", " ("&amp;M3130&amp;")") &amp; CHAR(10) &amp;
  _xlpm.vanillaPrefix &amp; "Keyword = Uvi_Wig_Distr_KYWD|" &amp; B3130 &amp; CHAR(10) &amp;
  _xlpm.vanillaPrefix &amp; "Spell = " &amp; _xlpm.spell &amp; "|" &amp; B3130
  )
)</f>
        <v>;EncWarlockIce03HighElfF
;Keyword = Uvi_Wig_Distr_KYWD|EncWarlockIce03HighElfF
;Spell = No Spell for Hairstyle|EncWarlockIce03HighElfF</v>
      </c>
    </row>
    <row r="3131" ht="12.75" customHeight="1">
      <c r="A3131" s="5" t="s">
        <v>8634</v>
      </c>
      <c r="B3131" s="5" t="s">
        <v>8635</v>
      </c>
      <c r="D3131" s="5" t="s">
        <v>57</v>
      </c>
      <c r="E3131" s="5" t="s">
        <v>233</v>
      </c>
      <c r="F3131" s="5" t="s">
        <v>1787</v>
      </c>
      <c r="G3131" s="14" t="str">
        <f t="array" ref="G3131">IF(B3131="", "",
  LET(_xlpm.spell, IFERROR(IF(F3131="", "", INDEX(_xlws.FILTER(Hairstyles!$F:$F, ISNUMBER(SEARCH(F3131, Hairstyles!$B:$B))), 1)), "No Spell for Hairstyle"),
  _xlpm.vanillaPrefix, IF(LEFT(_xlpm.spell, 7)="Uvi_Wig", "", ";"),
  ";" &amp; IF(C3131="", B3131, C3131) &amp; IF(M3131="", "", " ("&amp;M3131&amp;")") &amp; CHAR(10) &amp;
  _xlpm.vanillaPrefix &amp; "Keyword = Uvi_Wig_Distr_KYWD|" &amp; B3131 &amp; CHAR(10) &amp;
  _xlpm.vanillaPrefix &amp; "Spell = " &amp; _xlpm.spell &amp; "|" &amp; B3131
  )
)</f>
        <v>;EncWarlockIce03HighElfM
;Keyword = Uvi_Wig_Distr_KYWD|EncWarlockIce03HighElfM
;Spell = No Spell for Hairstyle|EncWarlockIce03HighElfM</v>
      </c>
    </row>
    <row r="3132" ht="12.75" customHeight="1">
      <c r="A3132" s="5" t="s">
        <v>8636</v>
      </c>
      <c r="B3132" s="5" t="s">
        <v>8637</v>
      </c>
      <c r="D3132" s="5" t="s">
        <v>59</v>
      </c>
      <c r="E3132" s="5" t="s">
        <v>41</v>
      </c>
      <c r="F3132" s="5" t="s">
        <v>22</v>
      </c>
      <c r="G3132" s="14" t="str">
        <f t="array" ref="G3132">IF(B3132="", "",
  LET(_xlpm.spell, IFERROR(IF(F3132="", "", INDEX(_xlws.FILTER(Hairstyles!$F:$F, ISNUMBER(SEARCH(F3132, Hairstyles!$B:$B))), 1)), "No Spell for Hairstyle"),
  _xlpm.vanillaPrefix, IF(LEFT(_xlpm.spell, 7)="Uvi_Wig", "", ";"),
  ";" &amp; IF(C3132="", B3132, C3132) &amp; IF(M3132="", "", " ("&amp;M3132&amp;")") &amp; CHAR(10) &amp;
  _xlpm.vanillaPrefix &amp; "Keyword = Uvi_Wig_Distr_KYWD|" &amp; B3132 &amp; CHAR(10) &amp;
  _xlpm.vanillaPrefix &amp; "Spell = " &amp; _xlpm.spell &amp; "|" &amp; B3132
  )
)</f>
        <v>;EncWarlockIce03ImperialF
;Keyword = Uvi_Wig_Distr_KYWD|EncWarlockIce03ImperialF
;Spell = No Spell for Hairstyle|EncWarlockIce03ImperialF</v>
      </c>
    </row>
    <row r="3133" ht="12.75" customHeight="1">
      <c r="A3133" s="5" t="s">
        <v>8638</v>
      </c>
      <c r="B3133" s="5" t="s">
        <v>8639</v>
      </c>
      <c r="D3133" s="5" t="s">
        <v>59</v>
      </c>
      <c r="E3133" s="5" t="s">
        <v>233</v>
      </c>
      <c r="F3133" s="5" t="s">
        <v>1622</v>
      </c>
      <c r="G3133" s="14" t="str">
        <f t="array" ref="G3133">IF(B3133="", "",
  LET(_xlpm.spell, IFERROR(IF(F3133="", "", INDEX(_xlws.FILTER(Hairstyles!$F:$F, ISNUMBER(SEARCH(F3133, Hairstyles!$B:$B))), 1)), "No Spell for Hairstyle"),
  _xlpm.vanillaPrefix, IF(LEFT(_xlpm.spell, 7)="Uvi_Wig", "", ";"),
  ";" &amp; IF(C3133="", B3133, C3133) &amp; IF(M3133="", "", " ("&amp;M3133&amp;")") &amp; CHAR(10) &amp;
  _xlpm.vanillaPrefix &amp; "Keyword = Uvi_Wig_Distr_KYWD|" &amp; B3133 &amp; CHAR(10) &amp;
  _xlpm.vanillaPrefix &amp; "Spell = " &amp; _xlpm.spell &amp; "|" &amp; B3133
  )
)</f>
        <v>;EncWarlockIce03ImperialM
;Keyword = Uvi_Wig_Distr_KYWD|EncWarlockIce03ImperialM
;Spell = No Spell for Hairstyle|EncWarlockIce03ImperialM</v>
      </c>
    </row>
    <row r="3134" ht="12.75" customHeight="1">
      <c r="A3134" s="5" t="s">
        <v>8640</v>
      </c>
      <c r="B3134" s="5" t="s">
        <v>8641</v>
      </c>
      <c r="D3134" s="5" t="s">
        <v>38</v>
      </c>
      <c r="E3134" s="5" t="s">
        <v>41</v>
      </c>
      <c r="F3134" s="5" t="s">
        <v>1822</v>
      </c>
      <c r="G3134" s="14" t="str">
        <f t="array" ref="G3134">IF(B3134="", "",
  LET(_xlpm.spell, IFERROR(IF(F3134="", "", INDEX(_xlws.FILTER(Hairstyles!$F:$F, ISNUMBER(SEARCH(F3134, Hairstyles!$B:$B))), 1)), "No Spell for Hairstyle"),
  _xlpm.vanillaPrefix, IF(LEFT(_xlpm.spell, 7)="Uvi_Wig", "", ";"),
  ";" &amp; IF(C3134="", B3134, C3134) &amp; IF(M3134="", "", " ("&amp;M3134&amp;")") &amp; CHAR(10) &amp;
  _xlpm.vanillaPrefix &amp; "Keyword = Uvi_Wig_Distr_KYWD|" &amp; B3134 &amp; CHAR(10) &amp;
  _xlpm.vanillaPrefix &amp; "Spell = " &amp; _xlpm.spell &amp; "|" &amp; B3134
  )
)</f>
        <v>;EncWarlockIce03NordF
;Keyword = Uvi_Wig_Distr_KYWD|EncWarlockIce03NordF
;Spell = No Spell for Hairstyle|EncWarlockIce03NordF</v>
      </c>
    </row>
    <row r="3135" ht="12.75" customHeight="1">
      <c r="A3135" s="5" t="s">
        <v>8642</v>
      </c>
      <c r="B3135" s="5" t="s">
        <v>8643</v>
      </c>
      <c r="D3135" s="5" t="s">
        <v>38</v>
      </c>
      <c r="E3135" s="5" t="s">
        <v>233</v>
      </c>
      <c r="F3135" s="5" t="s">
        <v>1894</v>
      </c>
      <c r="G3135" s="14" t="str">
        <f t="array" ref="G3135">IF(B3135="", "",
  LET(_xlpm.spell, IFERROR(IF(F3135="", "", INDEX(_xlws.FILTER(Hairstyles!$F:$F, ISNUMBER(SEARCH(F3135, Hairstyles!$B:$B))), 1)), "No Spell for Hairstyle"),
  _xlpm.vanillaPrefix, IF(LEFT(_xlpm.spell, 7)="Uvi_Wig", "", ";"),
  ";" &amp; IF(C3135="", B3135, C3135) &amp; IF(M3135="", "", " ("&amp;M3135&amp;")") &amp; CHAR(10) &amp;
  _xlpm.vanillaPrefix &amp; "Keyword = Uvi_Wig_Distr_KYWD|" &amp; B3135 &amp; CHAR(10) &amp;
  _xlpm.vanillaPrefix &amp; "Spell = " &amp; _xlpm.spell &amp; "|" &amp; B3135
  )
)</f>
        <v>;EncWarlockIce03NordM
;Keyword = Uvi_Wig_Distr_KYWD|EncWarlockIce03NordM
;Spell = No Spell for Hairstyle|EncWarlockIce03NordM</v>
      </c>
    </row>
    <row r="3136" ht="12.75" customHeight="1">
      <c r="A3136" s="15" t="s">
        <v>8644</v>
      </c>
      <c r="B3136" s="5" t="s">
        <v>8645</v>
      </c>
      <c r="D3136" s="5" t="s">
        <v>57</v>
      </c>
      <c r="E3136" s="5" t="s">
        <v>41</v>
      </c>
      <c r="F3136" s="5" t="s">
        <v>6747</v>
      </c>
      <c r="G3136" s="14" t="str">
        <f t="array" ref="G3136">IF(B3136="", "",
  LET(_xlpm.spell, IFERROR(IF(F3136="", "", INDEX(_xlws.FILTER(Hairstyles!$F:$F, ISNUMBER(SEARCH(F3136, Hairstyles!$B:$B))), 1)), "No Spell for Hairstyle"),
  _xlpm.vanillaPrefix, IF(LEFT(_xlpm.spell, 7)="Uvi_Wig", "", ";"),
  ";" &amp; IF(C3136="", B3136, C3136) &amp; IF(M3136="", "", " ("&amp;M3136&amp;")") &amp; CHAR(10) &amp;
  _xlpm.vanillaPrefix &amp; "Keyword = Uvi_Wig_Distr_KYWD|" &amp; B3136 &amp; CHAR(10) &amp;
  _xlpm.vanillaPrefix &amp; "Spell = " &amp; _xlpm.spell &amp; "|" &amp; B3136
  )
)</f>
        <v>;EncWarlockIce04BossHighElfF
;Keyword = Uvi_Wig_Distr_KYWD|EncWarlockIce04BossHighElfF
;Spell = No Spell for Hairstyle|EncWarlockIce04BossHighElfF</v>
      </c>
    </row>
    <row r="3137" ht="12.75" customHeight="1">
      <c r="A3137" s="15" t="s">
        <v>8646</v>
      </c>
      <c r="B3137" s="5" t="s">
        <v>8647</v>
      </c>
      <c r="D3137" s="5" t="s">
        <v>57</v>
      </c>
      <c r="E3137" s="5" t="s">
        <v>233</v>
      </c>
      <c r="F3137" s="5" t="s">
        <v>1937</v>
      </c>
      <c r="G3137" s="14" t="str">
        <f t="array" ref="G3137">IF(B3137="", "",
  LET(_xlpm.spell, IFERROR(IF(F3137="", "", INDEX(_xlws.FILTER(Hairstyles!$F:$F, ISNUMBER(SEARCH(F3137, Hairstyles!$B:$B))), 1)), "No Spell for Hairstyle"),
  _xlpm.vanillaPrefix, IF(LEFT(_xlpm.spell, 7)="Uvi_Wig", "", ";"),
  ";" &amp; IF(C3137="", B3137, C3137) &amp; IF(M3137="", "", " ("&amp;M3137&amp;")") &amp; CHAR(10) &amp;
  _xlpm.vanillaPrefix &amp; "Keyword = Uvi_Wig_Distr_KYWD|" &amp; B3137 &amp; CHAR(10) &amp;
  _xlpm.vanillaPrefix &amp; "Spell = " &amp; _xlpm.spell &amp; "|" &amp; B3137
  )
)</f>
        <v>;EncWarlockIce04BossHighElfM
;Keyword = Uvi_Wig_Distr_KYWD|EncWarlockIce04BossHighElfM
;Spell = No Spell for Hairstyle|EncWarlockIce04BossHighElfM</v>
      </c>
    </row>
    <row r="3138" ht="12.75" customHeight="1">
      <c r="A3138" s="15" t="s">
        <v>8648</v>
      </c>
      <c r="B3138" s="5" t="s">
        <v>8649</v>
      </c>
      <c r="D3138" s="5" t="s">
        <v>38</v>
      </c>
      <c r="E3138" s="5" t="s">
        <v>41</v>
      </c>
      <c r="F3138" s="5" t="s">
        <v>69</v>
      </c>
      <c r="G3138" s="14" t="str">
        <f t="array" ref="G3138">IF(B3138="", "",
  LET(_xlpm.spell, IFERROR(IF(F3138="", "", INDEX(_xlws.FILTER(Hairstyles!$F:$F, ISNUMBER(SEARCH(F3138, Hairstyles!$B:$B))), 1)), "No Spell for Hairstyle"),
  _xlpm.vanillaPrefix, IF(LEFT(_xlpm.spell, 7)="Uvi_Wig", "", ";"),
  ";" &amp; IF(C3138="", B3138, C3138) &amp; IF(M3138="", "", " ("&amp;M3138&amp;")") &amp; CHAR(10) &amp;
  _xlpm.vanillaPrefix &amp; "Keyword = Uvi_Wig_Distr_KYWD|" &amp; B3138 &amp; CHAR(10) &amp;
  _xlpm.vanillaPrefix &amp; "Spell = " &amp; _xlpm.spell &amp; "|" &amp; B3138
  )
)</f>
        <v>;EncWarlockIce04BossNordF
;Keyword = Uvi_Wig_Distr_KYWD|EncWarlockIce04BossNordF
;Spell = No Spell for Hairstyle|EncWarlockIce04BossNordF</v>
      </c>
    </row>
    <row r="3139" ht="12.75" customHeight="1">
      <c r="A3139" s="15" t="s">
        <v>8650</v>
      </c>
      <c r="B3139" s="5" t="s">
        <v>8651</v>
      </c>
      <c r="D3139" s="5" t="s">
        <v>38</v>
      </c>
      <c r="E3139" s="5" t="s">
        <v>233</v>
      </c>
      <c r="F3139" s="5" t="s">
        <v>521</v>
      </c>
      <c r="G3139" s="14" t="str">
        <f t="array" ref="G3139">IF(B3139="", "",
  LET(_xlpm.spell, IFERROR(IF(F3139="", "", INDEX(_xlws.FILTER(Hairstyles!$F:$F, ISNUMBER(SEARCH(F3139, Hairstyles!$B:$B))), 1)), "No Spell for Hairstyle"),
  _xlpm.vanillaPrefix, IF(LEFT(_xlpm.spell, 7)="Uvi_Wig", "", ";"),
  ";" &amp; IF(C3139="", B3139, C3139) &amp; IF(M3139="", "", " ("&amp;M3139&amp;")") &amp; CHAR(10) &amp;
  _xlpm.vanillaPrefix &amp; "Keyword = Uvi_Wig_Distr_KYWD|" &amp; B3139 &amp; CHAR(10) &amp;
  _xlpm.vanillaPrefix &amp; "Spell = " &amp; _xlpm.spell &amp; "|" &amp; B3139
  )
)</f>
        <v>;EncWarlockIce04BossNordM
;Keyword = Uvi_Wig_Distr_KYWD|EncWarlockIce04BossNordM
;Spell = No Spell for Hairstyle|EncWarlockIce04BossNordM</v>
      </c>
    </row>
    <row r="3140" ht="12.75" customHeight="1">
      <c r="A3140" s="5" t="s">
        <v>8652</v>
      </c>
      <c r="B3140" s="5" t="s">
        <v>8653</v>
      </c>
      <c r="D3140" s="5" t="s">
        <v>16</v>
      </c>
      <c r="E3140" s="5" t="s">
        <v>41</v>
      </c>
      <c r="F3140" s="5" t="s">
        <v>1063</v>
      </c>
      <c r="G3140" s="14" t="str">
        <f t="array" ref="G3140">IF(B3140="", "",
  LET(_xlpm.spell, IFERROR(IF(F3140="", "", INDEX(_xlws.FILTER(Hairstyles!$F:$F, ISNUMBER(SEARCH(F3140, Hairstyles!$B:$B))), 1)), "No Spell for Hairstyle"),
  _xlpm.vanillaPrefix, IF(LEFT(_xlpm.spell, 7)="Uvi_Wig", "", ";"),
  ";" &amp; IF(C3140="", B3140, C3140) &amp; IF(M3140="", "", " ("&amp;M3140&amp;")") &amp; CHAR(10) &amp;
  _xlpm.vanillaPrefix &amp; "Keyword = Uvi_Wig_Distr_KYWD|" &amp; B3140 &amp; CHAR(10) &amp;
  _xlpm.vanillaPrefix &amp; "Spell = " &amp; _xlpm.spell &amp; "|" &amp; B3140
  )
)</f>
        <v>;EncWarlockIce04BretonF
;Keyword = Uvi_Wig_Distr_KYWD|EncWarlockIce04BretonF
;Spell = No Spell for Hairstyle|EncWarlockIce04BretonF</v>
      </c>
    </row>
    <row r="3141" ht="12.75" customHeight="1">
      <c r="A3141" s="5" t="s">
        <v>8654</v>
      </c>
      <c r="B3141" s="5" t="s">
        <v>8655</v>
      </c>
      <c r="D3141" s="5" t="s">
        <v>16</v>
      </c>
      <c r="E3141" s="5" t="s">
        <v>233</v>
      </c>
      <c r="F3141" s="5" t="s">
        <v>84</v>
      </c>
      <c r="G3141" s="14" t="str">
        <f t="array" ref="G3141">IF(B3141="", "",
  LET(_xlpm.spell, IFERROR(IF(F3141="", "", INDEX(_xlws.FILTER(Hairstyles!$F:$F, ISNUMBER(SEARCH(F3141, Hairstyles!$B:$B))), 1)), "No Spell for Hairstyle"),
  _xlpm.vanillaPrefix, IF(LEFT(_xlpm.spell, 7)="Uvi_Wig", "", ";"),
  ";" &amp; IF(C3141="", B3141, C3141) &amp; IF(M3141="", "", " ("&amp;M3141&amp;")") &amp; CHAR(10) &amp;
  _xlpm.vanillaPrefix &amp; "Keyword = Uvi_Wig_Distr_KYWD|" &amp; B3141 &amp; CHAR(10) &amp;
  _xlpm.vanillaPrefix &amp; "Spell = " &amp; _xlpm.spell &amp; "|" &amp; B3141
  )
)</f>
        <v>;EncWarlockIce04BretonM
;Keyword = Uvi_Wig_Distr_KYWD|EncWarlockIce04BretonM
;Spell = No Spell for Hairstyle|EncWarlockIce04BretonM</v>
      </c>
    </row>
    <row r="3142" ht="12.75" customHeight="1">
      <c r="A3142" s="5" t="s">
        <v>8656</v>
      </c>
      <c r="B3142" s="5" t="s">
        <v>8657</v>
      </c>
      <c r="D3142" s="5" t="s">
        <v>57</v>
      </c>
      <c r="E3142" s="5" t="s">
        <v>41</v>
      </c>
      <c r="F3142" s="5" t="s">
        <v>1732</v>
      </c>
      <c r="G3142" s="14" t="str">
        <f t="array" ref="G3142">IF(B3142="", "",
  LET(_xlpm.spell, IFERROR(IF(F3142="", "", INDEX(_xlws.FILTER(Hairstyles!$F:$F, ISNUMBER(SEARCH(F3142, Hairstyles!$B:$B))), 1)), "No Spell for Hairstyle"),
  _xlpm.vanillaPrefix, IF(LEFT(_xlpm.spell, 7)="Uvi_Wig", "", ";"),
  ";" &amp; IF(C3142="", B3142, C3142) &amp; IF(M3142="", "", " ("&amp;M3142&amp;")") &amp; CHAR(10) &amp;
  _xlpm.vanillaPrefix &amp; "Keyword = Uvi_Wig_Distr_KYWD|" &amp; B3142 &amp; CHAR(10) &amp;
  _xlpm.vanillaPrefix &amp; "Spell = " &amp; _xlpm.spell &amp; "|" &amp; B3142
  )
)</f>
        <v>;EncWarlockIce04HighElfF
;Keyword = Uvi_Wig_Distr_KYWD|EncWarlockIce04HighElfF
;Spell = No Spell for Hairstyle|EncWarlockIce04HighElfF</v>
      </c>
    </row>
    <row r="3143" ht="12.75" customHeight="1">
      <c r="A3143" s="5" t="s">
        <v>8658</v>
      </c>
      <c r="B3143" s="5" t="s">
        <v>8659</v>
      </c>
      <c r="D3143" s="5" t="s">
        <v>57</v>
      </c>
      <c r="E3143" s="5" t="s">
        <v>233</v>
      </c>
      <c r="F3143" s="5" t="s">
        <v>1667</v>
      </c>
      <c r="G3143" s="14" t="str">
        <f t="array" ref="G3143">IF(B3143="", "",
  LET(_xlpm.spell, IFERROR(IF(F3143="", "", INDEX(_xlws.FILTER(Hairstyles!$F:$F, ISNUMBER(SEARCH(F3143, Hairstyles!$B:$B))), 1)), "No Spell for Hairstyle"),
  _xlpm.vanillaPrefix, IF(LEFT(_xlpm.spell, 7)="Uvi_Wig", "", ";"),
  ";" &amp; IF(C3143="", B3143, C3143) &amp; IF(M3143="", "", " ("&amp;M3143&amp;")") &amp; CHAR(10) &amp;
  _xlpm.vanillaPrefix &amp; "Keyword = Uvi_Wig_Distr_KYWD|" &amp; B3143 &amp; CHAR(10) &amp;
  _xlpm.vanillaPrefix &amp; "Spell = " &amp; _xlpm.spell &amp; "|" &amp; B3143
  )
)</f>
        <v>;EncWarlockIce04HighElfM
;Keyword = Uvi_Wig_Distr_KYWD|EncWarlockIce04HighElfM
;Spell = No Spell for Hairstyle|EncWarlockIce04HighElfM</v>
      </c>
    </row>
    <row r="3144" ht="12.75" customHeight="1">
      <c r="A3144" s="5" t="s">
        <v>8660</v>
      </c>
      <c r="B3144" s="5" t="s">
        <v>8661</v>
      </c>
      <c r="D3144" s="5" t="s">
        <v>59</v>
      </c>
      <c r="E3144" s="5" t="s">
        <v>41</v>
      </c>
      <c r="F3144" s="5" t="s">
        <v>4628</v>
      </c>
      <c r="G3144" s="14" t="str">
        <f t="array" ref="G3144">IF(B3144="", "",
  LET(_xlpm.spell, IFERROR(IF(F3144="", "", INDEX(_xlws.FILTER(Hairstyles!$F:$F, ISNUMBER(SEARCH(F3144, Hairstyles!$B:$B))), 1)), "No Spell for Hairstyle"),
  _xlpm.vanillaPrefix, IF(LEFT(_xlpm.spell, 7)="Uvi_Wig", "", ";"),
  ";" &amp; IF(C3144="", B3144, C3144) &amp; IF(M3144="", "", " ("&amp;M3144&amp;")") &amp; CHAR(10) &amp;
  _xlpm.vanillaPrefix &amp; "Keyword = Uvi_Wig_Distr_KYWD|" &amp; B3144 &amp; CHAR(10) &amp;
  _xlpm.vanillaPrefix &amp; "Spell = " &amp; _xlpm.spell &amp; "|" &amp; B3144
  )
)</f>
        <v>;EncWarlockIce04ImperialF
;Keyword = Uvi_Wig_Distr_KYWD|EncWarlockIce04ImperialF
;Spell = No Spell for Hairstyle|EncWarlockIce04ImperialF</v>
      </c>
    </row>
    <row r="3145" ht="12.75" customHeight="1">
      <c r="A3145" s="5" t="s">
        <v>8662</v>
      </c>
      <c r="B3145" s="5" t="s">
        <v>8663</v>
      </c>
      <c r="D3145" s="5" t="s">
        <v>59</v>
      </c>
      <c r="E3145" s="5" t="s">
        <v>233</v>
      </c>
      <c r="F3145" s="5" t="s">
        <v>235</v>
      </c>
      <c r="G3145" s="14" t="str">
        <f t="array" ref="G3145">IF(B3145="", "",
  LET(_xlpm.spell, IFERROR(IF(F3145="", "", INDEX(_xlws.FILTER(Hairstyles!$F:$F, ISNUMBER(SEARCH(F3145, Hairstyles!$B:$B))), 1)), "No Spell for Hairstyle"),
  _xlpm.vanillaPrefix, IF(LEFT(_xlpm.spell, 7)="Uvi_Wig", "", ";"),
  ";" &amp; IF(C3145="", B3145, C3145) &amp; IF(M3145="", "", " ("&amp;M3145&amp;")") &amp; CHAR(10) &amp;
  _xlpm.vanillaPrefix &amp; "Keyword = Uvi_Wig_Distr_KYWD|" &amp; B3145 &amp; CHAR(10) &amp;
  _xlpm.vanillaPrefix &amp; "Spell = " &amp; _xlpm.spell &amp; "|" &amp; B3145
  )
)</f>
        <v>;EncWarlockIce04ImperialM
;Keyword = Uvi_Wig_Distr_KYWD|EncWarlockIce04ImperialM
;Spell = No Spell for Hairstyle|EncWarlockIce04ImperialM</v>
      </c>
    </row>
    <row r="3146" ht="12.75" customHeight="1">
      <c r="A3146" s="5" t="s">
        <v>8664</v>
      </c>
      <c r="B3146" s="5" t="s">
        <v>8665</v>
      </c>
      <c r="D3146" s="5" t="s">
        <v>38</v>
      </c>
      <c r="E3146" s="5" t="s">
        <v>41</v>
      </c>
      <c r="F3146" s="5" t="s">
        <v>4628</v>
      </c>
      <c r="G3146" s="14" t="str">
        <f t="array" ref="G3146">IF(B3146="", "",
  LET(_xlpm.spell, IFERROR(IF(F3146="", "", INDEX(_xlws.FILTER(Hairstyles!$F:$F, ISNUMBER(SEARCH(F3146, Hairstyles!$B:$B))), 1)), "No Spell for Hairstyle"),
  _xlpm.vanillaPrefix, IF(LEFT(_xlpm.spell, 7)="Uvi_Wig", "", ";"),
  ";" &amp; IF(C3146="", B3146, C3146) &amp; IF(M3146="", "", " ("&amp;M3146&amp;")") &amp; CHAR(10) &amp;
  _xlpm.vanillaPrefix &amp; "Keyword = Uvi_Wig_Distr_KYWD|" &amp; B3146 &amp; CHAR(10) &amp;
  _xlpm.vanillaPrefix &amp; "Spell = " &amp; _xlpm.spell &amp; "|" &amp; B3146
  )
)</f>
        <v>;EncWarlockIce04NordF
;Keyword = Uvi_Wig_Distr_KYWD|EncWarlockIce04NordF
;Spell = No Spell for Hairstyle|EncWarlockIce04NordF</v>
      </c>
    </row>
    <row r="3147" ht="12.75" customHeight="1">
      <c r="A3147" s="5" t="s">
        <v>8666</v>
      </c>
      <c r="B3147" s="5" t="s">
        <v>8667</v>
      </c>
      <c r="D3147" s="5" t="s">
        <v>38</v>
      </c>
      <c r="E3147" s="5" t="s">
        <v>233</v>
      </c>
      <c r="F3147" s="5" t="s">
        <v>1622</v>
      </c>
      <c r="G3147" s="14" t="str">
        <f t="array" ref="G3147">IF(B3147="", "",
  LET(_xlpm.spell, IFERROR(IF(F3147="", "", INDEX(_xlws.FILTER(Hairstyles!$F:$F, ISNUMBER(SEARCH(F3147, Hairstyles!$B:$B))), 1)), "No Spell for Hairstyle"),
  _xlpm.vanillaPrefix, IF(LEFT(_xlpm.spell, 7)="Uvi_Wig", "", ";"),
  ";" &amp; IF(C3147="", B3147, C3147) &amp; IF(M3147="", "", " ("&amp;M3147&amp;")") &amp; CHAR(10) &amp;
  _xlpm.vanillaPrefix &amp; "Keyword = Uvi_Wig_Distr_KYWD|" &amp; B3147 &amp; CHAR(10) &amp;
  _xlpm.vanillaPrefix &amp; "Spell = " &amp; _xlpm.spell &amp; "|" &amp; B3147
  )
)</f>
        <v>;EncWarlockIce04NordM
;Keyword = Uvi_Wig_Distr_KYWD|EncWarlockIce04NordM
;Spell = No Spell for Hairstyle|EncWarlockIce04NordM</v>
      </c>
    </row>
    <row r="3148" ht="12.75" customHeight="1">
      <c r="A3148" s="15" t="s">
        <v>8668</v>
      </c>
      <c r="B3148" s="5" t="s">
        <v>8669</v>
      </c>
      <c r="D3148" s="5" t="s">
        <v>57</v>
      </c>
      <c r="E3148" s="5" t="s">
        <v>41</v>
      </c>
      <c r="F3148" s="5" t="s">
        <v>6747</v>
      </c>
      <c r="G3148" s="14" t="str">
        <f t="array" ref="G3148">IF(B3148="", "",
  LET(_xlpm.spell, IFERROR(IF(F3148="", "", INDEX(_xlws.FILTER(Hairstyles!$F:$F, ISNUMBER(SEARCH(F3148, Hairstyles!$B:$B))), 1)), "No Spell for Hairstyle"),
  _xlpm.vanillaPrefix, IF(LEFT(_xlpm.spell, 7)="Uvi_Wig", "", ";"),
  ";" &amp; IF(C3148="", B3148, C3148) &amp; IF(M3148="", "", " ("&amp;M3148&amp;")") &amp; CHAR(10) &amp;
  _xlpm.vanillaPrefix &amp; "Keyword = Uvi_Wig_Distr_KYWD|" &amp; B3148 &amp; CHAR(10) &amp;
  _xlpm.vanillaPrefix &amp; "Spell = " &amp; _xlpm.spell &amp; "|" &amp; B3148
  )
)</f>
        <v>;EncWarlockIce05BossHighElfF
;Keyword = Uvi_Wig_Distr_KYWD|EncWarlockIce05BossHighElfF
;Spell = No Spell for Hairstyle|EncWarlockIce05BossHighElfF</v>
      </c>
    </row>
    <row r="3149" ht="12.75" customHeight="1">
      <c r="A3149" s="15" t="s">
        <v>8670</v>
      </c>
      <c r="B3149" s="5" t="s">
        <v>8671</v>
      </c>
      <c r="D3149" s="5" t="s">
        <v>57</v>
      </c>
      <c r="E3149" s="5" t="s">
        <v>233</v>
      </c>
      <c r="F3149" s="5" t="s">
        <v>2088</v>
      </c>
      <c r="G3149" s="14" t="str">
        <f t="array" ref="G3149">IF(B3149="", "",
  LET(_xlpm.spell, IFERROR(IF(F3149="", "", INDEX(_xlws.FILTER(Hairstyles!$F:$F, ISNUMBER(SEARCH(F3149, Hairstyles!$B:$B))), 1)), "No Spell for Hairstyle"),
  _xlpm.vanillaPrefix, IF(LEFT(_xlpm.spell, 7)="Uvi_Wig", "", ";"),
  ";" &amp; IF(C3149="", B3149, C3149) &amp; IF(M3149="", "", " ("&amp;M3149&amp;")") &amp; CHAR(10) &amp;
  _xlpm.vanillaPrefix &amp; "Keyword = Uvi_Wig_Distr_KYWD|" &amp; B3149 &amp; CHAR(10) &amp;
  _xlpm.vanillaPrefix &amp; "Spell = " &amp; _xlpm.spell &amp; "|" &amp; B3149
  )
)</f>
        <v>;EncWarlockIce05BossHighElfM
;Keyword = Uvi_Wig_Distr_KYWD|EncWarlockIce05BossHighElfM
;Spell = No Spell for Hairstyle|EncWarlockIce05BossHighElfM</v>
      </c>
    </row>
    <row r="3150" ht="12.75" customHeight="1">
      <c r="A3150" s="15" t="s">
        <v>8672</v>
      </c>
      <c r="B3150" s="5" t="s">
        <v>8673</v>
      </c>
      <c r="D3150" s="5" t="s">
        <v>38</v>
      </c>
      <c r="E3150" s="5" t="s">
        <v>41</v>
      </c>
      <c r="F3150" s="5" t="s">
        <v>22</v>
      </c>
      <c r="G3150" s="14" t="str">
        <f t="array" ref="G3150">IF(B3150="", "",
  LET(_xlpm.spell, IFERROR(IF(F3150="", "", INDEX(_xlws.FILTER(Hairstyles!$F:$F, ISNUMBER(SEARCH(F3150, Hairstyles!$B:$B))), 1)), "No Spell for Hairstyle"),
  _xlpm.vanillaPrefix, IF(LEFT(_xlpm.spell, 7)="Uvi_Wig", "", ";"),
  ";" &amp; IF(C3150="", B3150, C3150) &amp; IF(M3150="", "", " ("&amp;M3150&amp;")") &amp; CHAR(10) &amp;
  _xlpm.vanillaPrefix &amp; "Keyword = Uvi_Wig_Distr_KYWD|" &amp; B3150 &amp; CHAR(10) &amp;
  _xlpm.vanillaPrefix &amp; "Spell = " &amp; _xlpm.spell &amp; "|" &amp; B3150
  )
)</f>
        <v>;EncWarlockIce05BossNordF
;Keyword = Uvi_Wig_Distr_KYWD|EncWarlockIce05BossNordF
;Spell = No Spell for Hairstyle|EncWarlockIce05BossNordF</v>
      </c>
    </row>
    <row r="3151" ht="12.75" customHeight="1">
      <c r="A3151" s="15" t="s">
        <v>8674</v>
      </c>
      <c r="B3151" s="5" t="s">
        <v>8675</v>
      </c>
      <c r="D3151" s="5" t="s">
        <v>38</v>
      </c>
      <c r="E3151" s="5" t="s">
        <v>233</v>
      </c>
      <c r="F3151" s="5" t="s">
        <v>2694</v>
      </c>
      <c r="G3151" s="14" t="str">
        <f t="array" ref="G3151">IF(B3151="", "",
  LET(_xlpm.spell, IFERROR(IF(F3151="", "", INDEX(_xlws.FILTER(Hairstyles!$F:$F, ISNUMBER(SEARCH(F3151, Hairstyles!$B:$B))), 1)), "No Spell for Hairstyle"),
  _xlpm.vanillaPrefix, IF(LEFT(_xlpm.spell, 7)="Uvi_Wig", "", ";"),
  ";" &amp; IF(C3151="", B3151, C3151) &amp; IF(M3151="", "", " ("&amp;M3151&amp;")") &amp; CHAR(10) &amp;
  _xlpm.vanillaPrefix &amp; "Keyword = Uvi_Wig_Distr_KYWD|" &amp; B3151 &amp; CHAR(10) &amp;
  _xlpm.vanillaPrefix &amp; "Spell = " &amp; _xlpm.spell &amp; "|" &amp; B3151
  )
)</f>
        <v>;EncWarlockIce05BossNordM
;Keyword = Uvi_Wig_Distr_KYWD|EncWarlockIce05BossNordM
;Spell = No Spell for Hairstyle|EncWarlockIce05BossNordM</v>
      </c>
    </row>
    <row r="3152" ht="12.75" customHeight="1">
      <c r="A3152" s="5" t="s">
        <v>8676</v>
      </c>
      <c r="B3152" s="5" t="s">
        <v>8677</v>
      </c>
      <c r="D3152" s="5" t="s">
        <v>16</v>
      </c>
      <c r="E3152" s="5" t="s">
        <v>41</v>
      </c>
      <c r="F3152" s="5" t="s">
        <v>1759</v>
      </c>
      <c r="G3152" s="14" t="str">
        <f t="array" ref="G3152">IF(B3152="", "",
  LET(_xlpm.spell, IFERROR(IF(F3152="", "", INDEX(_xlws.FILTER(Hairstyles!$F:$F, ISNUMBER(SEARCH(F3152, Hairstyles!$B:$B))), 1)), "No Spell for Hairstyle"),
  _xlpm.vanillaPrefix, IF(LEFT(_xlpm.spell, 7)="Uvi_Wig", "", ";"),
  ";" &amp; IF(C3152="", B3152, C3152) &amp; IF(M3152="", "", " ("&amp;M3152&amp;")") &amp; CHAR(10) &amp;
  _xlpm.vanillaPrefix &amp; "Keyword = Uvi_Wig_Distr_KYWD|" &amp; B3152 &amp; CHAR(10) &amp;
  _xlpm.vanillaPrefix &amp; "Spell = " &amp; _xlpm.spell &amp; "|" &amp; B3152
  )
)</f>
        <v>;EncWarlockIce05BretonF
;Keyword = Uvi_Wig_Distr_KYWD|EncWarlockIce05BretonF
;Spell = No Spell for Hairstyle|EncWarlockIce05BretonF</v>
      </c>
    </row>
    <row r="3153" ht="12.75" customHeight="1">
      <c r="A3153" s="5" t="s">
        <v>8678</v>
      </c>
      <c r="B3153" s="5" t="s">
        <v>8679</v>
      </c>
      <c r="D3153" s="5" t="s">
        <v>16</v>
      </c>
      <c r="E3153" s="5" t="s">
        <v>233</v>
      </c>
      <c r="F3153" s="5" t="s">
        <v>1678</v>
      </c>
      <c r="G3153" s="14" t="str">
        <f t="array" ref="G3153">IF(B3153="", "",
  LET(_xlpm.spell, IFERROR(IF(F3153="", "", INDEX(_xlws.FILTER(Hairstyles!$F:$F, ISNUMBER(SEARCH(F3153, Hairstyles!$B:$B))), 1)), "No Spell for Hairstyle"),
  _xlpm.vanillaPrefix, IF(LEFT(_xlpm.spell, 7)="Uvi_Wig", "", ";"),
  ";" &amp; IF(C3153="", B3153, C3153) &amp; IF(M3153="", "", " ("&amp;M3153&amp;")") &amp; CHAR(10) &amp;
  _xlpm.vanillaPrefix &amp; "Keyword = Uvi_Wig_Distr_KYWD|" &amp; B3153 &amp; CHAR(10) &amp;
  _xlpm.vanillaPrefix &amp; "Spell = " &amp; _xlpm.spell &amp; "|" &amp; B3153
  )
)</f>
        <v>;EncWarlockIce05BretonM
;Keyword = Uvi_Wig_Distr_KYWD|EncWarlockIce05BretonM
;Spell = No Spell for Hairstyle|EncWarlockIce05BretonM</v>
      </c>
    </row>
    <row r="3154" ht="12.75" customHeight="1">
      <c r="A3154" s="5" t="s">
        <v>8680</v>
      </c>
      <c r="B3154" s="5" t="s">
        <v>8681</v>
      </c>
      <c r="D3154" s="5" t="s">
        <v>57</v>
      </c>
      <c r="E3154" s="5" t="s">
        <v>41</v>
      </c>
      <c r="F3154" s="5" t="s">
        <v>48</v>
      </c>
      <c r="G3154" s="14" t="str">
        <f t="array" ref="G3154">IF(B3154="", "",
  LET(_xlpm.spell, IFERROR(IF(F3154="", "", INDEX(_xlws.FILTER(Hairstyles!$F:$F, ISNUMBER(SEARCH(F3154, Hairstyles!$B:$B))), 1)), "No Spell for Hairstyle"),
  _xlpm.vanillaPrefix, IF(LEFT(_xlpm.spell, 7)="Uvi_Wig", "", ";"),
  ";" &amp; IF(C3154="", B3154, C3154) &amp; IF(M3154="", "", " ("&amp;M3154&amp;")") &amp; CHAR(10) &amp;
  _xlpm.vanillaPrefix &amp; "Keyword = Uvi_Wig_Distr_KYWD|" &amp; B3154 &amp; CHAR(10) &amp;
  _xlpm.vanillaPrefix &amp; "Spell = " &amp; _xlpm.spell &amp; "|" &amp; B3154
  )
)</f>
        <v>;EncWarlockIce05HighElfF
;Keyword = Uvi_Wig_Distr_KYWD|EncWarlockIce05HighElfF
;Spell = No Spell for Hairstyle|EncWarlockIce05HighElfF</v>
      </c>
    </row>
    <row r="3155" ht="12.75" customHeight="1">
      <c r="A3155" s="5" t="s">
        <v>8682</v>
      </c>
      <c r="B3155" s="5" t="s">
        <v>8683</v>
      </c>
      <c r="D3155" s="5" t="s">
        <v>57</v>
      </c>
      <c r="E3155" s="5" t="s">
        <v>233</v>
      </c>
      <c r="F3155" s="5" t="s">
        <v>47</v>
      </c>
      <c r="G3155" s="14" t="str">
        <f t="array" ref="G3155">IF(B3155="", "",
  LET(_xlpm.spell, IFERROR(IF(F3155="", "", INDEX(_xlws.FILTER(Hairstyles!$F:$F, ISNUMBER(SEARCH(F3155, Hairstyles!$B:$B))), 1)), "No Spell for Hairstyle"),
  _xlpm.vanillaPrefix, IF(LEFT(_xlpm.spell, 7)="Uvi_Wig", "", ";"),
  ";" &amp; IF(C3155="", B3155, C3155) &amp; IF(M3155="", "", " ("&amp;M3155&amp;")") &amp; CHAR(10) &amp;
  _xlpm.vanillaPrefix &amp; "Keyword = Uvi_Wig_Distr_KYWD|" &amp; B3155 &amp; CHAR(10) &amp;
  _xlpm.vanillaPrefix &amp; "Spell = " &amp; _xlpm.spell &amp; "|" &amp; B3155
  )
)</f>
        <v>;EncWarlockIce05HighElfM
;Keyword = Uvi_Wig_Distr_KYWD|EncWarlockIce05HighElfM
;Spell = No Spell for Hairstyle|EncWarlockIce05HighElfM</v>
      </c>
    </row>
    <row r="3156" ht="12.75" customHeight="1">
      <c r="A3156" s="5" t="s">
        <v>8684</v>
      </c>
      <c r="B3156" s="5" t="s">
        <v>8685</v>
      </c>
      <c r="D3156" s="5" t="s">
        <v>59</v>
      </c>
      <c r="E3156" s="5" t="s">
        <v>41</v>
      </c>
      <c r="F3156" s="5" t="s">
        <v>42</v>
      </c>
      <c r="G3156" s="14" t="str">
        <f t="array" ref="G3156">IF(B3156="", "",
  LET(_xlpm.spell, IFERROR(IF(F3156="", "", INDEX(_xlws.FILTER(Hairstyles!$F:$F, ISNUMBER(SEARCH(F3156, Hairstyles!$B:$B))), 1)), "No Spell for Hairstyle"),
  _xlpm.vanillaPrefix, IF(LEFT(_xlpm.spell, 7)="Uvi_Wig", "", ";"),
  ";" &amp; IF(C3156="", B3156, C3156) &amp; IF(M3156="", "", " ("&amp;M3156&amp;")") &amp; CHAR(10) &amp;
  _xlpm.vanillaPrefix &amp; "Keyword = Uvi_Wig_Distr_KYWD|" &amp; B3156 &amp; CHAR(10) &amp;
  _xlpm.vanillaPrefix &amp; "Spell = " &amp; _xlpm.spell &amp; "|" &amp; B3156
  )
)</f>
        <v>;EncWarlockIce05ImperialF
;Keyword = Uvi_Wig_Distr_KYWD|EncWarlockIce05ImperialF
;Spell = No Spell for Hairstyle|EncWarlockIce05ImperialF</v>
      </c>
    </row>
    <row r="3157" ht="12.75" customHeight="1">
      <c r="A3157" s="5" t="s">
        <v>8686</v>
      </c>
      <c r="B3157" s="5" t="s">
        <v>8687</v>
      </c>
      <c r="D3157" s="5" t="s">
        <v>59</v>
      </c>
      <c r="E3157" s="5" t="s">
        <v>233</v>
      </c>
      <c r="F3157" s="5" t="s">
        <v>19</v>
      </c>
      <c r="G3157" s="14" t="str">
        <f t="array" ref="G3157">IF(B3157="", "",
  LET(_xlpm.spell, IFERROR(IF(F3157="", "", INDEX(_xlws.FILTER(Hairstyles!$F:$F, ISNUMBER(SEARCH(F3157, Hairstyles!$B:$B))), 1)), "No Spell for Hairstyle"),
  _xlpm.vanillaPrefix, IF(LEFT(_xlpm.spell, 7)="Uvi_Wig", "", ";"),
  ";" &amp; IF(C3157="", B3157, C3157) &amp; IF(M3157="", "", " ("&amp;M3157&amp;")") &amp; CHAR(10) &amp;
  _xlpm.vanillaPrefix &amp; "Keyword = Uvi_Wig_Distr_KYWD|" &amp; B3157 &amp; CHAR(10) &amp;
  _xlpm.vanillaPrefix &amp; "Spell = " &amp; _xlpm.spell &amp; "|" &amp; B3157
  )
)</f>
        <v>;EncWarlockIce05ImperialM
;Keyword = Uvi_Wig_Distr_KYWD|EncWarlockIce05ImperialM
;Spell = No Spell for Hairstyle|EncWarlockIce05ImperialM</v>
      </c>
    </row>
    <row r="3158" ht="12.75" customHeight="1">
      <c r="A3158" s="5" t="s">
        <v>8688</v>
      </c>
      <c r="B3158" s="5" t="s">
        <v>8689</v>
      </c>
      <c r="D3158" s="5" t="s">
        <v>38</v>
      </c>
      <c r="E3158" s="5" t="s">
        <v>41</v>
      </c>
      <c r="F3158" s="5" t="s">
        <v>69</v>
      </c>
      <c r="G3158" s="14" t="str">
        <f t="array" ref="G3158">IF(B3158="", "",
  LET(_xlpm.spell, IFERROR(IF(F3158="", "", INDEX(_xlws.FILTER(Hairstyles!$F:$F, ISNUMBER(SEARCH(F3158, Hairstyles!$B:$B))), 1)), "No Spell for Hairstyle"),
  _xlpm.vanillaPrefix, IF(LEFT(_xlpm.spell, 7)="Uvi_Wig", "", ";"),
  ";" &amp; IF(C3158="", B3158, C3158) &amp; IF(M3158="", "", " ("&amp;M3158&amp;")") &amp; CHAR(10) &amp;
  _xlpm.vanillaPrefix &amp; "Keyword = Uvi_Wig_Distr_KYWD|" &amp; B3158 &amp; CHAR(10) &amp;
  _xlpm.vanillaPrefix &amp; "Spell = " &amp; _xlpm.spell &amp; "|" &amp; B3158
  )
)</f>
        <v>;EncWarlockIce05NordF
;Keyword = Uvi_Wig_Distr_KYWD|EncWarlockIce05NordF
;Spell = No Spell for Hairstyle|EncWarlockIce05NordF</v>
      </c>
    </row>
    <row r="3159" ht="12.75" customHeight="1">
      <c r="A3159" s="5" t="s">
        <v>8690</v>
      </c>
      <c r="B3159" s="5" t="s">
        <v>8691</v>
      </c>
      <c r="D3159" s="5" t="s">
        <v>38</v>
      </c>
      <c r="E3159" s="5" t="s">
        <v>233</v>
      </c>
      <c r="F3159" s="5" t="s">
        <v>68</v>
      </c>
      <c r="G3159" s="14" t="str">
        <f t="array" ref="G3159">IF(B3159="", "",
  LET(_xlpm.spell, IFERROR(IF(F3159="", "", INDEX(_xlws.FILTER(Hairstyles!$F:$F, ISNUMBER(SEARCH(F3159, Hairstyles!$B:$B))), 1)), "No Spell for Hairstyle"),
  _xlpm.vanillaPrefix, IF(LEFT(_xlpm.spell, 7)="Uvi_Wig", "", ";"),
  ";" &amp; IF(C3159="", B3159, C3159) &amp; IF(M3159="", "", " ("&amp;M3159&amp;")") &amp; CHAR(10) &amp;
  _xlpm.vanillaPrefix &amp; "Keyword = Uvi_Wig_Distr_KYWD|" &amp; B3159 &amp; CHAR(10) &amp;
  _xlpm.vanillaPrefix &amp; "Spell = " &amp; _xlpm.spell &amp; "|" &amp; B3159
  )
)</f>
        <v>;EncWarlockIce05NordM
;Keyword = Uvi_Wig_Distr_KYWD|EncWarlockIce05NordM
;Spell = No Spell for Hairstyle|EncWarlockIce05NordM</v>
      </c>
    </row>
    <row r="3160" ht="12.75" customHeight="1">
      <c r="A3160" s="15" t="s">
        <v>8692</v>
      </c>
      <c r="B3160" s="5" t="s">
        <v>8693</v>
      </c>
      <c r="D3160" s="5" t="s">
        <v>57</v>
      </c>
      <c r="E3160" s="5" t="s">
        <v>41</v>
      </c>
      <c r="F3160" s="5" t="s">
        <v>2034</v>
      </c>
      <c r="G3160" s="14" t="str">
        <f t="array" ref="G3160">IF(B3160="", "",
  LET(_xlpm.spell, IFERROR(IF(F3160="", "", INDEX(_xlws.FILTER(Hairstyles!$F:$F, ISNUMBER(SEARCH(F3160, Hairstyles!$B:$B))), 1)), "No Spell for Hairstyle"),
  _xlpm.vanillaPrefix, IF(LEFT(_xlpm.spell, 7)="Uvi_Wig", "", ";"),
  ";" &amp; IF(C3160="", B3160, C3160) &amp; IF(M3160="", "", " ("&amp;M3160&amp;")") &amp; CHAR(10) &amp;
  _xlpm.vanillaPrefix &amp; "Keyword = Uvi_Wig_Distr_KYWD|" &amp; B3160 &amp; CHAR(10) &amp;
  _xlpm.vanillaPrefix &amp; "Spell = " &amp; _xlpm.spell &amp; "|" &amp; B3160
  )
)</f>
        <v>;EncWarlockIce06BossHighElfF
;Keyword = Uvi_Wig_Distr_KYWD|EncWarlockIce06BossHighElfF
;Spell = No Spell for Hairstyle|EncWarlockIce06BossHighElfF</v>
      </c>
    </row>
    <row r="3161" ht="12.75" customHeight="1">
      <c r="A3161" s="5" t="s">
        <v>8694</v>
      </c>
      <c r="B3161" s="5" t="s">
        <v>8695</v>
      </c>
      <c r="D3161" s="5" t="s">
        <v>57</v>
      </c>
      <c r="E3161" s="5" t="s">
        <v>233</v>
      </c>
      <c r="F3161" s="5" t="s">
        <v>1684</v>
      </c>
      <c r="G3161" s="14" t="str">
        <f t="array" ref="G3161">IF(B3161="", "",
  LET(_xlpm.spell, IFERROR(IF(F3161="", "", INDEX(_xlws.FILTER(Hairstyles!$F:$F, ISNUMBER(SEARCH(F3161, Hairstyles!$B:$B))), 1)), "No Spell for Hairstyle"),
  _xlpm.vanillaPrefix, IF(LEFT(_xlpm.spell, 7)="Uvi_Wig", "", ";"),
  ";" &amp; IF(C3161="", B3161, C3161) &amp; IF(M3161="", "", " ("&amp;M3161&amp;")") &amp; CHAR(10) &amp;
  _xlpm.vanillaPrefix &amp; "Keyword = Uvi_Wig_Distr_KYWD|" &amp; B3161 &amp; CHAR(10) &amp;
  _xlpm.vanillaPrefix &amp; "Spell = " &amp; _xlpm.spell &amp; "|" &amp; B3161
  )
)</f>
        <v>;EncWarlockIce06BossHighElfM
;Keyword = Uvi_Wig_Distr_KYWD|EncWarlockIce06BossHighElfM
;Spell = No Spell for Hairstyle|EncWarlockIce06BossHighElfM</v>
      </c>
    </row>
    <row r="3162" ht="12.75" customHeight="1">
      <c r="A3162" s="5" t="s">
        <v>8696</v>
      </c>
      <c r="B3162" s="5" t="s">
        <v>8697</v>
      </c>
      <c r="D3162" s="5" t="s">
        <v>38</v>
      </c>
      <c r="E3162" s="5" t="s">
        <v>41</v>
      </c>
      <c r="F3162" s="5" t="s">
        <v>371</v>
      </c>
      <c r="G3162" s="14" t="str">
        <f t="array" ref="G3162">IF(B3162="", "",
  LET(_xlpm.spell, IFERROR(IF(F3162="", "", INDEX(_xlws.FILTER(Hairstyles!$F:$F, ISNUMBER(SEARCH(F3162, Hairstyles!$B:$B))), 1)), "No Spell for Hairstyle"),
  _xlpm.vanillaPrefix, IF(LEFT(_xlpm.spell, 7)="Uvi_Wig", "", ";"),
  ";" &amp; IF(C3162="", B3162, C3162) &amp; IF(M3162="", "", " ("&amp;M3162&amp;")") &amp; CHAR(10) &amp;
  _xlpm.vanillaPrefix &amp; "Keyword = Uvi_Wig_Distr_KYWD|" &amp; B3162 &amp; CHAR(10) &amp;
  _xlpm.vanillaPrefix &amp; "Spell = " &amp; _xlpm.spell &amp; "|" &amp; B3162
  )
)</f>
        <v>;EncWarlockIce06BossNordF
;Keyword = Uvi_Wig_Distr_KYWD|EncWarlockIce06BossNordF
;Spell = No Spell for Hairstyle|EncWarlockIce06BossNordF</v>
      </c>
    </row>
    <row r="3163" ht="12.75" customHeight="1">
      <c r="A3163" s="5" t="s">
        <v>8698</v>
      </c>
      <c r="B3163" s="5" t="s">
        <v>8699</v>
      </c>
      <c r="D3163" s="5" t="s">
        <v>38</v>
      </c>
      <c r="E3163" s="5" t="s">
        <v>233</v>
      </c>
      <c r="F3163" s="5" t="s">
        <v>1700</v>
      </c>
      <c r="G3163" s="14" t="str">
        <f t="array" ref="G3163">IF(B3163="", "",
  LET(_xlpm.spell, IFERROR(IF(F3163="", "", INDEX(_xlws.FILTER(Hairstyles!$F:$F, ISNUMBER(SEARCH(F3163, Hairstyles!$B:$B))), 1)), "No Spell for Hairstyle"),
  _xlpm.vanillaPrefix, IF(LEFT(_xlpm.spell, 7)="Uvi_Wig", "", ";"),
  ";" &amp; IF(C3163="", B3163, C3163) &amp; IF(M3163="", "", " ("&amp;M3163&amp;")") &amp; CHAR(10) &amp;
  _xlpm.vanillaPrefix &amp; "Keyword = Uvi_Wig_Distr_KYWD|" &amp; B3163 &amp; CHAR(10) &amp;
  _xlpm.vanillaPrefix &amp; "Spell = " &amp; _xlpm.spell &amp; "|" &amp; B3163
  )
)</f>
        <v>;EncWarlockIce06BossNordM
;Keyword = Uvi_Wig_Distr_KYWD|EncWarlockIce06BossNordM
;Spell = No Spell for Hairstyle|EncWarlockIce06BossNordM</v>
      </c>
    </row>
    <row r="3164" ht="12.75" customHeight="1">
      <c r="A3164" s="5" t="s">
        <v>8700</v>
      </c>
      <c r="B3164" s="5" t="s">
        <v>8701</v>
      </c>
      <c r="D3164" s="5" t="s">
        <v>16</v>
      </c>
      <c r="E3164" s="5" t="s">
        <v>41</v>
      </c>
      <c r="F3164" s="5" t="s">
        <v>270</v>
      </c>
      <c r="G3164" s="14" t="str">
        <f t="array" ref="G3164">IF(B3164="", "",
  LET(_xlpm.spell, IFERROR(IF(F3164="", "", INDEX(_xlws.FILTER(Hairstyles!$F:$F, ISNUMBER(SEARCH(F3164, Hairstyles!$B:$B))), 1)), "No Spell for Hairstyle"),
  _xlpm.vanillaPrefix, IF(LEFT(_xlpm.spell, 7)="Uvi_Wig", "", ";"),
  ";" &amp; IF(C3164="", B3164, C3164) &amp; IF(M3164="", "", " ("&amp;M3164&amp;")") &amp; CHAR(10) &amp;
  _xlpm.vanillaPrefix &amp; "Keyword = Uvi_Wig_Distr_KYWD|" &amp; B3164 &amp; CHAR(10) &amp;
  _xlpm.vanillaPrefix &amp; "Spell = " &amp; _xlpm.spell &amp; "|" &amp; B3164
  )
)</f>
        <v>;EncWarlockIce06BretonF
;Keyword = Uvi_Wig_Distr_KYWD|EncWarlockIce06BretonF
;Spell = No Spell for Hairstyle|EncWarlockIce06BretonF</v>
      </c>
    </row>
    <row r="3165" ht="12.75" customHeight="1">
      <c r="A3165" s="5" t="s">
        <v>8702</v>
      </c>
      <c r="B3165" s="5" t="s">
        <v>8703</v>
      </c>
      <c r="D3165" s="5" t="s">
        <v>16</v>
      </c>
      <c r="E3165" s="5" t="s">
        <v>233</v>
      </c>
      <c r="F3165" s="5" t="s">
        <v>19</v>
      </c>
      <c r="G3165" s="14" t="str">
        <f t="array" ref="G3165">IF(B3165="", "",
  LET(_xlpm.spell, IFERROR(IF(F3165="", "", INDEX(_xlws.FILTER(Hairstyles!$F:$F, ISNUMBER(SEARCH(F3165, Hairstyles!$B:$B))), 1)), "No Spell for Hairstyle"),
  _xlpm.vanillaPrefix, IF(LEFT(_xlpm.spell, 7)="Uvi_Wig", "", ";"),
  ";" &amp; IF(C3165="", B3165, C3165) &amp; IF(M3165="", "", " ("&amp;M3165&amp;")") &amp; CHAR(10) &amp;
  _xlpm.vanillaPrefix &amp; "Keyword = Uvi_Wig_Distr_KYWD|" &amp; B3165 &amp; CHAR(10) &amp;
  _xlpm.vanillaPrefix &amp; "Spell = " &amp; _xlpm.spell &amp; "|" &amp; B3165
  )
)</f>
        <v>;EncWarlockIce06BretonM
;Keyword = Uvi_Wig_Distr_KYWD|EncWarlockIce06BretonM
;Spell = No Spell for Hairstyle|EncWarlockIce06BretonM</v>
      </c>
    </row>
    <row r="3166" ht="12.75" customHeight="1">
      <c r="A3166" s="5" t="s">
        <v>8704</v>
      </c>
      <c r="B3166" s="5" t="s">
        <v>8705</v>
      </c>
      <c r="D3166" s="5" t="s">
        <v>57</v>
      </c>
      <c r="E3166" s="5" t="s">
        <v>41</v>
      </c>
      <c r="F3166" s="5" t="s">
        <v>48</v>
      </c>
      <c r="G3166" s="14" t="str">
        <f t="array" ref="G3166">IF(B3166="", "",
  LET(_xlpm.spell, IFERROR(IF(F3166="", "", INDEX(_xlws.FILTER(Hairstyles!$F:$F, ISNUMBER(SEARCH(F3166, Hairstyles!$B:$B))), 1)), "No Spell for Hairstyle"),
  _xlpm.vanillaPrefix, IF(LEFT(_xlpm.spell, 7)="Uvi_Wig", "", ";"),
  ";" &amp; IF(C3166="", B3166, C3166) &amp; IF(M3166="", "", " ("&amp;M3166&amp;")") &amp; CHAR(10) &amp;
  _xlpm.vanillaPrefix &amp; "Keyword = Uvi_Wig_Distr_KYWD|" &amp; B3166 &amp; CHAR(10) &amp;
  _xlpm.vanillaPrefix &amp; "Spell = " &amp; _xlpm.spell &amp; "|" &amp; B3166
  )
)</f>
        <v>;EncWarlockIce06HighElfF
;Keyword = Uvi_Wig_Distr_KYWD|EncWarlockIce06HighElfF
;Spell = No Spell for Hairstyle|EncWarlockIce06HighElfF</v>
      </c>
    </row>
    <row r="3167" ht="12.75" customHeight="1">
      <c r="A3167" s="5" t="s">
        <v>8706</v>
      </c>
      <c r="B3167" s="5" t="s">
        <v>8707</v>
      </c>
      <c r="D3167" s="5" t="s">
        <v>57</v>
      </c>
      <c r="E3167" s="5" t="s">
        <v>233</v>
      </c>
      <c r="F3167" s="5" t="s">
        <v>47</v>
      </c>
      <c r="G3167" s="14" t="str">
        <f t="array" ref="G3167">IF(B3167="", "",
  LET(_xlpm.spell, IFERROR(IF(F3167="", "", INDEX(_xlws.FILTER(Hairstyles!$F:$F, ISNUMBER(SEARCH(F3167, Hairstyles!$B:$B))), 1)), "No Spell for Hairstyle"),
  _xlpm.vanillaPrefix, IF(LEFT(_xlpm.spell, 7)="Uvi_Wig", "", ";"),
  ";" &amp; IF(C3167="", B3167, C3167) &amp; IF(M3167="", "", " ("&amp;M3167&amp;")") &amp; CHAR(10) &amp;
  _xlpm.vanillaPrefix &amp; "Keyword = Uvi_Wig_Distr_KYWD|" &amp; B3167 &amp; CHAR(10) &amp;
  _xlpm.vanillaPrefix &amp; "Spell = " &amp; _xlpm.spell &amp; "|" &amp; B3167
  )
)</f>
        <v>;EncWarlockIce06HighElfM
;Keyword = Uvi_Wig_Distr_KYWD|EncWarlockIce06HighElfM
;Spell = No Spell for Hairstyle|EncWarlockIce06HighElfM</v>
      </c>
    </row>
    <row r="3168" ht="12.75" customHeight="1">
      <c r="A3168" s="5" t="s">
        <v>8708</v>
      </c>
      <c r="B3168" s="5" t="s">
        <v>8709</v>
      </c>
      <c r="D3168" s="5" t="s">
        <v>59</v>
      </c>
      <c r="E3168" s="5" t="s">
        <v>41</v>
      </c>
      <c r="F3168" s="5" t="s">
        <v>42</v>
      </c>
      <c r="G3168" s="14" t="str">
        <f t="array" ref="G3168">IF(B3168="", "",
  LET(_xlpm.spell, IFERROR(IF(F3168="", "", INDEX(_xlws.FILTER(Hairstyles!$F:$F, ISNUMBER(SEARCH(F3168, Hairstyles!$B:$B))), 1)), "No Spell for Hairstyle"),
  _xlpm.vanillaPrefix, IF(LEFT(_xlpm.spell, 7)="Uvi_Wig", "", ";"),
  ";" &amp; IF(C3168="", B3168, C3168) &amp; IF(M3168="", "", " ("&amp;M3168&amp;")") &amp; CHAR(10) &amp;
  _xlpm.vanillaPrefix &amp; "Keyword = Uvi_Wig_Distr_KYWD|" &amp; B3168 &amp; CHAR(10) &amp;
  _xlpm.vanillaPrefix &amp; "Spell = " &amp; _xlpm.spell &amp; "|" &amp; B3168
  )
)</f>
        <v>;EncWarlockIce06ImperialF
;Keyword = Uvi_Wig_Distr_KYWD|EncWarlockIce06ImperialF
;Spell = No Spell for Hairstyle|EncWarlockIce06ImperialF</v>
      </c>
    </row>
    <row r="3169" ht="12.75" customHeight="1">
      <c r="A3169" s="5" t="s">
        <v>8710</v>
      </c>
      <c r="B3169" s="5" t="s">
        <v>8711</v>
      </c>
      <c r="D3169" s="5" t="s">
        <v>59</v>
      </c>
      <c r="E3169" s="5" t="s">
        <v>233</v>
      </c>
      <c r="F3169" s="5" t="s">
        <v>19</v>
      </c>
      <c r="G3169" s="14" t="str">
        <f t="array" ref="G3169">IF(B3169="", "",
  LET(_xlpm.spell, IFERROR(IF(F3169="", "", INDEX(_xlws.FILTER(Hairstyles!$F:$F, ISNUMBER(SEARCH(F3169, Hairstyles!$B:$B))), 1)), "No Spell for Hairstyle"),
  _xlpm.vanillaPrefix, IF(LEFT(_xlpm.spell, 7)="Uvi_Wig", "", ";"),
  ";" &amp; IF(C3169="", B3169, C3169) &amp; IF(M3169="", "", " ("&amp;M3169&amp;")") &amp; CHAR(10) &amp;
  _xlpm.vanillaPrefix &amp; "Keyword = Uvi_Wig_Distr_KYWD|" &amp; B3169 &amp; CHAR(10) &amp;
  _xlpm.vanillaPrefix &amp; "Spell = " &amp; _xlpm.spell &amp; "|" &amp; B3169
  )
)</f>
        <v>;EncWarlockIce06ImperialM
;Keyword = Uvi_Wig_Distr_KYWD|EncWarlockIce06ImperialM
;Spell = No Spell for Hairstyle|EncWarlockIce06ImperialM</v>
      </c>
    </row>
    <row r="3170" ht="12.75" customHeight="1">
      <c r="A3170" s="5" t="s">
        <v>8712</v>
      </c>
      <c r="B3170" s="5" t="s">
        <v>8713</v>
      </c>
      <c r="D3170" s="5" t="s">
        <v>38</v>
      </c>
      <c r="E3170" s="5" t="s">
        <v>41</v>
      </c>
      <c r="F3170" s="5" t="s">
        <v>69</v>
      </c>
      <c r="G3170" s="14" t="str">
        <f t="array" ref="G3170">IF(B3170="", "",
  LET(_xlpm.spell, IFERROR(IF(F3170="", "", INDEX(_xlws.FILTER(Hairstyles!$F:$F, ISNUMBER(SEARCH(F3170, Hairstyles!$B:$B))), 1)), "No Spell for Hairstyle"),
  _xlpm.vanillaPrefix, IF(LEFT(_xlpm.spell, 7)="Uvi_Wig", "", ";"),
  ";" &amp; IF(C3170="", B3170, C3170) &amp; IF(M3170="", "", " ("&amp;M3170&amp;")") &amp; CHAR(10) &amp;
  _xlpm.vanillaPrefix &amp; "Keyword = Uvi_Wig_Distr_KYWD|" &amp; B3170 &amp; CHAR(10) &amp;
  _xlpm.vanillaPrefix &amp; "Spell = " &amp; _xlpm.spell &amp; "|" &amp; B3170
  )
)</f>
        <v>;EncWarlockIce06NordF
;Keyword = Uvi_Wig_Distr_KYWD|EncWarlockIce06NordF
;Spell = No Spell for Hairstyle|EncWarlockIce06NordF</v>
      </c>
    </row>
    <row r="3171" ht="12.75" customHeight="1">
      <c r="A3171" s="5" t="s">
        <v>8714</v>
      </c>
      <c r="B3171" s="5" t="s">
        <v>8715</v>
      </c>
      <c r="D3171" s="5" t="s">
        <v>38</v>
      </c>
      <c r="E3171" s="5" t="s">
        <v>233</v>
      </c>
      <c r="F3171" s="5" t="s">
        <v>68</v>
      </c>
      <c r="G3171" s="14" t="str">
        <f t="array" ref="G3171">IF(B3171="", "",
  LET(_xlpm.spell, IFERROR(IF(F3171="", "", INDEX(_xlws.FILTER(Hairstyles!$F:$F, ISNUMBER(SEARCH(F3171, Hairstyles!$B:$B))), 1)), "No Spell for Hairstyle"),
  _xlpm.vanillaPrefix, IF(LEFT(_xlpm.spell, 7)="Uvi_Wig", "", ";"),
  ";" &amp; IF(C3171="", B3171, C3171) &amp; IF(M3171="", "", " ("&amp;M3171&amp;")") &amp; CHAR(10) &amp;
  _xlpm.vanillaPrefix &amp; "Keyword = Uvi_Wig_Distr_KYWD|" &amp; B3171 &amp; CHAR(10) &amp;
  _xlpm.vanillaPrefix &amp; "Spell = " &amp; _xlpm.spell &amp; "|" &amp; B3171
  )
)</f>
        <v>;EncWarlockIce06NordM
;Keyword = Uvi_Wig_Distr_KYWD|EncWarlockIce06NordM
;Spell = No Spell for Hairstyle|EncWarlockIce06NordM</v>
      </c>
    </row>
    <row r="3172" ht="12.75" customHeight="1">
      <c r="A3172" s="5" t="s">
        <v>8716</v>
      </c>
      <c r="B3172" s="5" t="s">
        <v>8717</v>
      </c>
      <c r="D3172" s="5" t="s">
        <v>57</v>
      </c>
      <c r="E3172" s="5" t="s">
        <v>233</v>
      </c>
      <c r="F3172" s="5" t="s">
        <v>1684</v>
      </c>
      <c r="G3172" s="14" t="str">
        <f t="array" ref="G3172">IF(B3172="", "",
  LET(_xlpm.spell, IFERROR(IF(F3172="", "", INDEX(_xlws.FILTER(Hairstyles!$F:$F, ISNUMBER(SEARCH(F3172, Hairstyles!$B:$B))), 1)), "No Spell for Hairstyle"),
  _xlpm.vanillaPrefix, IF(LEFT(_xlpm.spell, 7)="Uvi_Wig", "", ";"),
  ";" &amp; IF(C3172="", B3172, C3172) &amp; IF(M3172="", "", " ("&amp;M3172&amp;")") &amp; CHAR(10) &amp;
  _xlpm.vanillaPrefix &amp; "Keyword = Uvi_Wig_Distr_KYWD|" &amp; B3172 &amp; CHAR(10) &amp;
  _xlpm.vanillaPrefix &amp; "Spell = " &amp; _xlpm.spell &amp; "|" &amp; B3172
  )
)</f>
        <v>;EncWarlockIce07BossHighElfM
;Keyword = Uvi_Wig_Distr_KYWD|EncWarlockIce07BossHighElfM
;Spell = No Spell for Hairstyle|EncWarlockIce07BossHighElfM</v>
      </c>
    </row>
    <row r="3173" ht="12.75" customHeight="1">
      <c r="A3173" s="5" t="s">
        <v>8718</v>
      </c>
      <c r="B3173" s="5" t="s">
        <v>8719</v>
      </c>
      <c r="D3173" s="5" t="s">
        <v>38</v>
      </c>
      <c r="E3173" s="5" t="s">
        <v>41</v>
      </c>
      <c r="F3173" s="5" t="s">
        <v>371</v>
      </c>
      <c r="G3173" s="14" t="str">
        <f t="array" ref="G3173">IF(B3173="", "",
  LET(_xlpm.spell, IFERROR(IF(F3173="", "", INDEX(_xlws.FILTER(Hairstyles!$F:$F, ISNUMBER(SEARCH(F3173, Hairstyles!$B:$B))), 1)), "No Spell for Hairstyle"),
  _xlpm.vanillaPrefix, IF(LEFT(_xlpm.spell, 7)="Uvi_Wig", "", ";"),
  ";" &amp; IF(C3173="", B3173, C3173) &amp; IF(M3173="", "", " ("&amp;M3173&amp;")") &amp; CHAR(10) &amp;
  _xlpm.vanillaPrefix &amp; "Keyword = Uvi_Wig_Distr_KYWD|" &amp; B3173 &amp; CHAR(10) &amp;
  _xlpm.vanillaPrefix &amp; "Spell = " &amp; _xlpm.spell &amp; "|" &amp; B3173
  )
)</f>
        <v>;EncWarlockIce07BossNordF
;Keyword = Uvi_Wig_Distr_KYWD|EncWarlockIce07BossNordF
;Spell = No Spell for Hairstyle|EncWarlockIce07BossNordF</v>
      </c>
    </row>
    <row r="3174" ht="12.75" customHeight="1">
      <c r="A3174" s="5" t="s">
        <v>8720</v>
      </c>
      <c r="B3174" s="5" t="s">
        <v>8721</v>
      </c>
      <c r="D3174" s="5" t="s">
        <v>16</v>
      </c>
      <c r="E3174" s="5" t="s">
        <v>41</v>
      </c>
      <c r="F3174" s="5" t="s">
        <v>270</v>
      </c>
      <c r="G3174" s="14" t="str">
        <f t="array" ref="G3174">IF(B3174="", "",
  LET(_xlpm.spell, IFERROR(IF(F3174="", "", INDEX(_xlws.FILTER(Hairstyles!$F:$F, ISNUMBER(SEARCH(F3174, Hairstyles!$B:$B))), 1)), "No Spell for Hairstyle"),
  _xlpm.vanillaPrefix, IF(LEFT(_xlpm.spell, 7)="Uvi_Wig", "", ";"),
  ";" &amp; IF(C3174="", B3174, C3174) &amp; IF(M3174="", "", " ("&amp;M3174&amp;")") &amp; CHAR(10) &amp;
  _xlpm.vanillaPrefix &amp; "Keyword = Uvi_Wig_Distr_KYWD|" &amp; B3174 &amp; CHAR(10) &amp;
  _xlpm.vanillaPrefix &amp; "Spell = " &amp; _xlpm.spell &amp; "|" &amp; B3174
  )
)</f>
        <v>;EncWarlockIce07BretonF
;Keyword = Uvi_Wig_Distr_KYWD|EncWarlockIce07BretonF
;Spell = No Spell for Hairstyle|EncWarlockIce07BretonF</v>
      </c>
    </row>
    <row r="3175" ht="12.75" customHeight="1">
      <c r="A3175" s="5" t="s">
        <v>8722</v>
      </c>
      <c r="B3175" s="5" t="s">
        <v>8723</v>
      </c>
      <c r="D3175" s="5" t="s">
        <v>57</v>
      </c>
      <c r="E3175" s="5" t="s">
        <v>233</v>
      </c>
      <c r="F3175" s="5" t="s">
        <v>47</v>
      </c>
      <c r="G3175" s="14" t="str">
        <f t="array" ref="G3175">IF(B3175="", "",
  LET(_xlpm.spell, IFERROR(IF(F3175="", "", INDEX(_xlws.FILTER(Hairstyles!$F:$F, ISNUMBER(SEARCH(F3175, Hairstyles!$B:$B))), 1)), "No Spell for Hairstyle"),
  _xlpm.vanillaPrefix, IF(LEFT(_xlpm.spell, 7)="Uvi_Wig", "", ";"),
  ";" &amp; IF(C3175="", B3175, C3175) &amp; IF(M3175="", "", " ("&amp;M3175&amp;")") &amp; CHAR(10) &amp;
  _xlpm.vanillaPrefix &amp; "Keyword = Uvi_Wig_Distr_KYWD|" &amp; B3175 &amp; CHAR(10) &amp;
  _xlpm.vanillaPrefix &amp; "Spell = " &amp; _xlpm.spell &amp; "|" &amp; B3175
  )
)</f>
        <v>;EncWarlockIce07HighElfM
;Keyword = Uvi_Wig_Distr_KYWD|EncWarlockIce07HighElfM
;Spell = No Spell for Hairstyle|EncWarlockIce07HighElfM</v>
      </c>
    </row>
    <row r="3176" ht="12.75" customHeight="1">
      <c r="A3176" s="5" t="s">
        <v>8724</v>
      </c>
      <c r="B3176" s="5" t="s">
        <v>8725</v>
      </c>
      <c r="D3176" s="5" t="s">
        <v>16</v>
      </c>
      <c r="E3176" s="5" t="s">
        <v>41</v>
      </c>
      <c r="F3176" s="5" t="s">
        <v>1557</v>
      </c>
      <c r="G3176" s="14" t="str">
        <f t="array" ref="G3176">IF(B3176="", "",
  LET(_xlpm.spell, IFERROR(IF(F3176="", "", INDEX(_xlws.FILTER(Hairstyles!$F:$F, ISNUMBER(SEARCH(F3176, Hairstyles!$B:$B))), 1)), "No Spell for Hairstyle"),
  _xlpm.vanillaPrefix, IF(LEFT(_xlpm.spell, 7)="Uvi_Wig", "", ";"),
  ";" &amp; IF(C3176="", B3176, C3176) &amp; IF(M3176="", "", " ("&amp;M3176&amp;")") &amp; CHAR(10) &amp;
  _xlpm.vanillaPrefix &amp; "Keyword = Uvi_Wig_Distr_KYWD|" &amp; B3176 &amp; CHAR(10) &amp;
  _xlpm.vanillaPrefix &amp; "Spell = " &amp; _xlpm.spell &amp; "|" &amp; B3176
  )
)</f>
        <v>;EncWarlockNecro01BretonF
;Keyword = Uvi_Wig_Distr_KYWD|EncWarlockNecro01BretonF
;Spell = No Spell for Hairstyle|EncWarlockNecro01BretonF</v>
      </c>
    </row>
    <row r="3177" ht="12.75" customHeight="1">
      <c r="A3177" s="5" t="s">
        <v>8726</v>
      </c>
      <c r="B3177" s="5" t="s">
        <v>8727</v>
      </c>
      <c r="D3177" s="5" t="s">
        <v>16</v>
      </c>
      <c r="E3177" s="5" t="s">
        <v>233</v>
      </c>
      <c r="F3177" s="5" t="s">
        <v>1919</v>
      </c>
      <c r="G3177" s="14" t="str">
        <f t="array" ref="G3177">IF(B3177="", "",
  LET(_xlpm.spell, IFERROR(IF(F3177="", "", INDEX(_xlws.FILTER(Hairstyles!$F:$F, ISNUMBER(SEARCH(F3177, Hairstyles!$B:$B))), 1)), "No Spell for Hairstyle"),
  _xlpm.vanillaPrefix, IF(LEFT(_xlpm.spell, 7)="Uvi_Wig", "", ";"),
  ";" &amp; IF(C3177="", B3177, C3177) &amp; IF(M3177="", "", " ("&amp;M3177&amp;")") &amp; CHAR(10) &amp;
  _xlpm.vanillaPrefix &amp; "Keyword = Uvi_Wig_Distr_KYWD|" &amp; B3177 &amp; CHAR(10) &amp;
  _xlpm.vanillaPrefix &amp; "Spell = " &amp; _xlpm.spell &amp; "|" &amp; B3177
  )
)</f>
        <v>;EncWarlockNecro01BretonM
;Keyword = Uvi_Wig_Distr_KYWD|EncWarlockNecro01BretonM
;Spell = No Spell for Hairstyle|EncWarlockNecro01BretonM</v>
      </c>
    </row>
    <row r="3178" ht="12.75" customHeight="1">
      <c r="A3178" s="5" t="s">
        <v>8728</v>
      </c>
      <c r="B3178" s="5" t="s">
        <v>8729</v>
      </c>
      <c r="D3178" s="5" t="s">
        <v>45</v>
      </c>
      <c r="E3178" s="5" t="s">
        <v>41</v>
      </c>
      <c r="F3178" s="5" t="s">
        <v>4274</v>
      </c>
      <c r="G3178" s="14" t="str">
        <f t="array" ref="G3178">IF(B3178="", "",
  LET(_xlpm.spell, IFERROR(IF(F3178="", "", INDEX(_xlws.FILTER(Hairstyles!$F:$F, ISNUMBER(SEARCH(F3178, Hairstyles!$B:$B))), 1)), "No Spell for Hairstyle"),
  _xlpm.vanillaPrefix, IF(LEFT(_xlpm.spell, 7)="Uvi_Wig", "", ";"),
  ";" &amp; IF(C3178="", B3178, C3178) &amp; IF(M3178="", "", " ("&amp;M3178&amp;")") &amp; CHAR(10) &amp;
  _xlpm.vanillaPrefix &amp; "Keyword = Uvi_Wig_Distr_KYWD|" &amp; B3178 &amp; CHAR(10) &amp;
  _xlpm.vanillaPrefix &amp; "Spell = " &amp; _xlpm.spell &amp; "|" &amp; B3178
  )
)</f>
        <v>;EncWarlockNecro01DarkElfF
;Keyword = Uvi_Wig_Distr_KYWD|EncWarlockNecro01DarkElfF
;Spell = No Spell for Hairstyle|EncWarlockNecro01DarkElfF</v>
      </c>
    </row>
    <row r="3179" ht="12.75" customHeight="1">
      <c r="A3179" s="5" t="s">
        <v>8730</v>
      </c>
      <c r="B3179" s="5" t="s">
        <v>8731</v>
      </c>
      <c r="D3179" s="5" t="s">
        <v>45</v>
      </c>
      <c r="E3179" s="5" t="s">
        <v>233</v>
      </c>
      <c r="F3179" s="5" t="s">
        <v>47</v>
      </c>
      <c r="G3179" s="14" t="str">
        <f t="array" ref="G3179">IF(B3179="", "",
  LET(_xlpm.spell, IFERROR(IF(F3179="", "", INDEX(_xlws.FILTER(Hairstyles!$F:$F, ISNUMBER(SEARCH(F3179, Hairstyles!$B:$B))), 1)), "No Spell for Hairstyle"),
  _xlpm.vanillaPrefix, IF(LEFT(_xlpm.spell, 7)="Uvi_Wig", "", ";"),
  ";" &amp; IF(C3179="", B3179, C3179) &amp; IF(M3179="", "", " ("&amp;M3179&amp;")") &amp; CHAR(10) &amp;
  _xlpm.vanillaPrefix &amp; "Keyword = Uvi_Wig_Distr_KYWD|" &amp; B3179 &amp; CHAR(10) &amp;
  _xlpm.vanillaPrefix &amp; "Spell = " &amp; _xlpm.spell &amp; "|" &amp; B3179
  )
)</f>
        <v>;EncWarlockNecro01DarkElfM
;Keyword = Uvi_Wig_Distr_KYWD|EncWarlockNecro01DarkElfM
;Spell = No Spell for Hairstyle|EncWarlockNecro01DarkElfM</v>
      </c>
    </row>
    <row r="3180" ht="12.75" customHeight="1">
      <c r="A3180" s="5" t="s">
        <v>8732</v>
      </c>
      <c r="B3180" s="5" t="s">
        <v>8733</v>
      </c>
      <c r="D3180" s="5" t="s">
        <v>57</v>
      </c>
      <c r="E3180" s="5" t="s">
        <v>41</v>
      </c>
      <c r="F3180" s="5" t="s">
        <v>512</v>
      </c>
      <c r="G3180" s="14" t="str">
        <f t="array" ref="G3180">IF(B3180="", "",
  LET(_xlpm.spell, IFERROR(IF(F3180="", "", INDEX(_xlws.FILTER(Hairstyles!$F:$F, ISNUMBER(SEARCH(F3180, Hairstyles!$B:$B))), 1)), "No Spell for Hairstyle"),
  _xlpm.vanillaPrefix, IF(LEFT(_xlpm.spell, 7)="Uvi_Wig", "", ";"),
  ";" &amp; IF(C3180="", B3180, C3180) &amp; IF(M3180="", "", " ("&amp;M3180&amp;")") &amp; CHAR(10) &amp;
  _xlpm.vanillaPrefix &amp; "Keyword = Uvi_Wig_Distr_KYWD|" &amp; B3180 &amp; CHAR(10) &amp;
  _xlpm.vanillaPrefix &amp; "Spell = " &amp; _xlpm.spell &amp; "|" &amp; B3180
  )
)</f>
        <v>;EncWarlockNecro01HighElfF
;Keyword = Uvi_Wig_Distr_KYWD|EncWarlockNecro01HighElfF
;Spell = No Spell for Hairstyle|EncWarlockNecro01HighElfF</v>
      </c>
    </row>
    <row r="3181" ht="12.75" customHeight="1">
      <c r="A3181" s="5" t="s">
        <v>8734</v>
      </c>
      <c r="B3181" s="5" t="s">
        <v>8735</v>
      </c>
      <c r="D3181" s="5" t="s">
        <v>57</v>
      </c>
      <c r="E3181" s="5" t="s">
        <v>233</v>
      </c>
      <c r="F3181" s="5" t="s">
        <v>91</v>
      </c>
      <c r="G3181" s="14" t="str">
        <f t="array" ref="G3181">IF(B3181="", "",
  LET(_xlpm.spell, IFERROR(IF(F3181="", "", INDEX(_xlws.FILTER(Hairstyles!$F:$F, ISNUMBER(SEARCH(F3181, Hairstyles!$B:$B))), 1)), "No Spell for Hairstyle"),
  _xlpm.vanillaPrefix, IF(LEFT(_xlpm.spell, 7)="Uvi_Wig", "", ";"),
  ";" &amp; IF(C3181="", B3181, C3181) &amp; IF(M3181="", "", " ("&amp;M3181&amp;")") &amp; CHAR(10) &amp;
  _xlpm.vanillaPrefix &amp; "Keyword = Uvi_Wig_Distr_KYWD|" &amp; B3181 &amp; CHAR(10) &amp;
  _xlpm.vanillaPrefix &amp; "Spell = " &amp; _xlpm.spell &amp; "|" &amp; B3181
  )
)</f>
        <v>;EncWarlockNecro01HighElfM
;Keyword = Uvi_Wig_Distr_KYWD|EncWarlockNecro01HighElfM
;Spell = No Spell for Hairstyle|EncWarlockNecro01HighElfM</v>
      </c>
    </row>
    <row r="3182" ht="12.75" customHeight="1">
      <c r="A3182" s="5" t="s">
        <v>8736</v>
      </c>
      <c r="B3182" s="5" t="s">
        <v>8737</v>
      </c>
      <c r="D3182" s="5" t="s">
        <v>59</v>
      </c>
      <c r="E3182" s="5" t="s">
        <v>41</v>
      </c>
      <c r="F3182" s="5" t="s">
        <v>69</v>
      </c>
      <c r="G3182" s="14" t="str">
        <f t="array" ref="G3182">IF(B3182="", "",
  LET(_xlpm.spell, IFERROR(IF(F3182="", "", INDEX(_xlws.FILTER(Hairstyles!$F:$F, ISNUMBER(SEARCH(F3182, Hairstyles!$B:$B))), 1)), "No Spell for Hairstyle"),
  _xlpm.vanillaPrefix, IF(LEFT(_xlpm.spell, 7)="Uvi_Wig", "", ";"),
  ";" &amp; IF(C3182="", B3182, C3182) &amp; IF(M3182="", "", " ("&amp;M3182&amp;")") &amp; CHAR(10) &amp;
  _xlpm.vanillaPrefix &amp; "Keyword = Uvi_Wig_Distr_KYWD|" &amp; B3182 &amp; CHAR(10) &amp;
  _xlpm.vanillaPrefix &amp; "Spell = " &amp; _xlpm.spell &amp; "|" &amp; B3182
  )
)</f>
        <v>;EncWarlockNecro01ImperialF
;Keyword = Uvi_Wig_Distr_KYWD|EncWarlockNecro01ImperialF
;Spell = No Spell for Hairstyle|EncWarlockNecro01ImperialF</v>
      </c>
    </row>
    <row r="3183" ht="12.75" customHeight="1">
      <c r="A3183" s="5" t="s">
        <v>8738</v>
      </c>
      <c r="B3183" s="5" t="s">
        <v>8739</v>
      </c>
      <c r="D3183" s="5" t="s">
        <v>59</v>
      </c>
      <c r="E3183" s="5" t="s">
        <v>233</v>
      </c>
      <c r="F3183" s="5" t="s">
        <v>84</v>
      </c>
      <c r="G3183" s="14" t="str">
        <f t="array" ref="G3183">IF(B3183="", "",
  LET(_xlpm.spell, IFERROR(IF(F3183="", "", INDEX(_xlws.FILTER(Hairstyles!$F:$F, ISNUMBER(SEARCH(F3183, Hairstyles!$B:$B))), 1)), "No Spell for Hairstyle"),
  _xlpm.vanillaPrefix, IF(LEFT(_xlpm.spell, 7)="Uvi_Wig", "", ";"),
  ";" &amp; IF(C3183="", B3183, C3183) &amp; IF(M3183="", "", " ("&amp;M3183&amp;")") &amp; CHAR(10) &amp;
  _xlpm.vanillaPrefix &amp; "Keyword = Uvi_Wig_Distr_KYWD|" &amp; B3183 &amp; CHAR(10) &amp;
  _xlpm.vanillaPrefix &amp; "Spell = " &amp; _xlpm.spell &amp; "|" &amp; B3183
  )
)</f>
        <v>;EncWarlockNecro01ImperialM
;Keyword = Uvi_Wig_Distr_KYWD|EncWarlockNecro01ImperialM
;Spell = No Spell for Hairstyle|EncWarlockNecro01ImperialM</v>
      </c>
    </row>
    <row r="3184" ht="12.75" customHeight="1">
      <c r="A3184" s="15" t="s">
        <v>8740</v>
      </c>
      <c r="B3184" s="5" t="s">
        <v>8741</v>
      </c>
      <c r="D3184" s="5" t="s">
        <v>16</v>
      </c>
      <c r="E3184" s="5" t="s">
        <v>41</v>
      </c>
      <c r="F3184" s="5" t="s">
        <v>1063</v>
      </c>
      <c r="G3184" s="14" t="str">
        <f t="array" ref="G3184">IF(B3184="", "",
  LET(_xlpm.spell, IFERROR(IF(F3184="", "", INDEX(_xlws.FILTER(Hairstyles!$F:$F, ISNUMBER(SEARCH(F3184, Hairstyles!$B:$B))), 1)), "No Spell for Hairstyle"),
  _xlpm.vanillaPrefix, IF(LEFT(_xlpm.spell, 7)="Uvi_Wig", "", ";"),
  ";" &amp; IF(C3184="", B3184, C3184) &amp; IF(M3184="", "", " ("&amp;M3184&amp;")") &amp; CHAR(10) &amp;
  _xlpm.vanillaPrefix &amp; "Keyword = Uvi_Wig_Distr_KYWD|" &amp; B3184 &amp; CHAR(10) &amp;
  _xlpm.vanillaPrefix &amp; "Spell = " &amp; _xlpm.spell &amp; "|" &amp; B3184
  )
)</f>
        <v>;EncWarlockNecro02BossBretonF
;Keyword = Uvi_Wig_Distr_KYWD|EncWarlockNecro02BossBretonF
;Spell = No Spell for Hairstyle|EncWarlockNecro02BossBretonF</v>
      </c>
    </row>
    <row r="3185" ht="12.75" customHeight="1">
      <c r="A3185" s="15" t="s">
        <v>8742</v>
      </c>
      <c r="B3185" s="5" t="s">
        <v>8743</v>
      </c>
      <c r="D3185" s="5" t="s">
        <v>16</v>
      </c>
      <c r="E3185" s="5" t="s">
        <v>233</v>
      </c>
      <c r="F3185" s="5" t="s">
        <v>40</v>
      </c>
      <c r="G3185" s="14" t="str">
        <f t="array" ref="G3185">IF(B3185="", "",
  LET(_xlpm.spell, IFERROR(IF(F3185="", "", INDEX(_xlws.FILTER(Hairstyles!$F:$F, ISNUMBER(SEARCH(F3185, Hairstyles!$B:$B))), 1)), "No Spell for Hairstyle"),
  _xlpm.vanillaPrefix, IF(LEFT(_xlpm.spell, 7)="Uvi_Wig", "", ";"),
  ";" &amp; IF(C3185="", B3185, C3185) &amp; IF(M3185="", "", " ("&amp;M3185&amp;")") &amp; CHAR(10) &amp;
  _xlpm.vanillaPrefix &amp; "Keyword = Uvi_Wig_Distr_KYWD|" &amp; B3185 &amp; CHAR(10) &amp;
  _xlpm.vanillaPrefix &amp; "Spell = " &amp; _xlpm.spell &amp; "|" &amp; B3185
  )
)</f>
        <v>;EncWarlockNecro02BossBretonM
;Keyword = Uvi_Wig_Distr_KYWD|EncWarlockNecro02BossBretonM
;Spell = No Spell for Hairstyle|EncWarlockNecro02BossBretonM</v>
      </c>
    </row>
    <row r="3186" ht="12.75" customHeight="1">
      <c r="A3186" s="15" t="s">
        <v>8744</v>
      </c>
      <c r="B3186" s="5" t="s">
        <v>8745</v>
      </c>
      <c r="D3186" s="5" t="s">
        <v>57</v>
      </c>
      <c r="E3186" s="5" t="s">
        <v>41</v>
      </c>
      <c r="F3186" s="5" t="s">
        <v>4274</v>
      </c>
      <c r="G3186" s="14" t="str">
        <f t="array" ref="G3186">IF(B3186="", "",
  LET(_xlpm.spell, IFERROR(IF(F3186="", "", INDEX(_xlws.FILTER(Hairstyles!$F:$F, ISNUMBER(SEARCH(F3186, Hairstyles!$B:$B))), 1)), "No Spell for Hairstyle"),
  _xlpm.vanillaPrefix, IF(LEFT(_xlpm.spell, 7)="Uvi_Wig", "", ";"),
  ";" &amp; IF(C3186="", B3186, C3186) &amp; IF(M3186="", "", " ("&amp;M3186&amp;")") &amp; CHAR(10) &amp;
  _xlpm.vanillaPrefix &amp; "Keyword = Uvi_Wig_Distr_KYWD|" &amp; B3186 &amp; CHAR(10) &amp;
  _xlpm.vanillaPrefix &amp; "Spell = " &amp; _xlpm.spell &amp; "|" &amp; B3186
  )
)</f>
        <v>;EncWarlockNecro02BossHighElfF
;Keyword = Uvi_Wig_Distr_KYWD|EncWarlockNecro02BossHighElfF
;Spell = No Spell for Hairstyle|EncWarlockNecro02BossHighElfF</v>
      </c>
    </row>
    <row r="3187" ht="12.75" customHeight="1">
      <c r="A3187" s="15" t="s">
        <v>8746</v>
      </c>
      <c r="B3187" s="5" t="s">
        <v>8747</v>
      </c>
      <c r="D3187" s="5" t="s">
        <v>57</v>
      </c>
      <c r="E3187" s="5" t="s">
        <v>233</v>
      </c>
      <c r="F3187" s="5" t="s">
        <v>2612</v>
      </c>
      <c r="G3187" s="14" t="str">
        <f t="array" ref="G3187">IF(B3187="", "",
  LET(_xlpm.spell, IFERROR(IF(F3187="", "", INDEX(_xlws.FILTER(Hairstyles!$F:$F, ISNUMBER(SEARCH(F3187, Hairstyles!$B:$B))), 1)), "No Spell for Hairstyle"),
  _xlpm.vanillaPrefix, IF(LEFT(_xlpm.spell, 7)="Uvi_Wig", "", ";"),
  ";" &amp; IF(C3187="", B3187, C3187) &amp; IF(M3187="", "", " ("&amp;M3187&amp;")") &amp; CHAR(10) &amp;
  _xlpm.vanillaPrefix &amp; "Keyword = Uvi_Wig_Distr_KYWD|" &amp; B3187 &amp; CHAR(10) &amp;
  _xlpm.vanillaPrefix &amp; "Spell = " &amp; _xlpm.spell &amp; "|" &amp; B3187
  )
)</f>
        <v>;EncWarlockNecro02BossHighElfM
;Keyword = Uvi_Wig_Distr_KYWD|EncWarlockNecro02BossHighElfM
;Spell = No Spell for Hairstyle|EncWarlockNecro02BossHighElfM</v>
      </c>
    </row>
    <row r="3188" ht="12.75" customHeight="1">
      <c r="A3188" s="5" t="s">
        <v>8748</v>
      </c>
      <c r="B3188" s="5" t="s">
        <v>8749</v>
      </c>
      <c r="D3188" s="5" t="s">
        <v>16</v>
      </c>
      <c r="E3188" s="5" t="s">
        <v>41</v>
      </c>
      <c r="F3188" s="5" t="s">
        <v>270</v>
      </c>
      <c r="G3188" s="14" t="str">
        <f t="array" ref="G3188">IF(B3188="", "",
  LET(_xlpm.spell, IFERROR(IF(F3188="", "", INDEX(_xlws.FILTER(Hairstyles!$F:$F, ISNUMBER(SEARCH(F3188, Hairstyles!$B:$B))), 1)), "No Spell for Hairstyle"),
  _xlpm.vanillaPrefix, IF(LEFT(_xlpm.spell, 7)="Uvi_Wig", "", ";"),
  ";" &amp; IF(C3188="", B3188, C3188) &amp; IF(M3188="", "", " ("&amp;M3188&amp;")") &amp; CHAR(10) &amp;
  _xlpm.vanillaPrefix &amp; "Keyword = Uvi_Wig_Distr_KYWD|" &amp; B3188 &amp; CHAR(10) &amp;
  _xlpm.vanillaPrefix &amp; "Spell = " &amp; _xlpm.spell &amp; "|" &amp; B3188
  )
)</f>
        <v>;EncWarlockNecro02BretonF
;Keyword = Uvi_Wig_Distr_KYWD|EncWarlockNecro02BretonF
;Spell = No Spell for Hairstyle|EncWarlockNecro02BretonF</v>
      </c>
    </row>
    <row r="3189" ht="12.75" customHeight="1">
      <c r="A3189" s="5" t="s">
        <v>8750</v>
      </c>
      <c r="B3189" s="5" t="s">
        <v>8751</v>
      </c>
      <c r="D3189" s="5" t="s">
        <v>16</v>
      </c>
      <c r="E3189" s="5" t="s">
        <v>233</v>
      </c>
      <c r="F3189" s="5" t="s">
        <v>346</v>
      </c>
      <c r="G3189" s="14" t="str">
        <f t="array" ref="G3189">IF(B3189="", "",
  LET(_xlpm.spell, IFERROR(IF(F3189="", "", INDEX(_xlws.FILTER(Hairstyles!$F:$F, ISNUMBER(SEARCH(F3189, Hairstyles!$B:$B))), 1)), "No Spell for Hairstyle"),
  _xlpm.vanillaPrefix, IF(LEFT(_xlpm.spell, 7)="Uvi_Wig", "", ";"),
  ";" &amp; IF(C3189="", B3189, C3189) &amp; IF(M3189="", "", " ("&amp;M3189&amp;")") &amp; CHAR(10) &amp;
  _xlpm.vanillaPrefix &amp; "Keyword = Uvi_Wig_Distr_KYWD|" &amp; B3189 &amp; CHAR(10) &amp;
  _xlpm.vanillaPrefix &amp; "Spell = " &amp; _xlpm.spell &amp; "|" &amp; B3189
  )
)</f>
        <v>;EncWarlockNecro02BretonM
;Keyword = Uvi_Wig_Distr_KYWD|EncWarlockNecro02BretonM
;Spell = No Spell for Hairstyle|EncWarlockNecro02BretonM</v>
      </c>
    </row>
    <row r="3190" ht="12.75" customHeight="1">
      <c r="A3190" s="5" t="s">
        <v>8752</v>
      </c>
      <c r="B3190" s="5" t="s">
        <v>8753</v>
      </c>
      <c r="D3190" s="5" t="s">
        <v>45</v>
      </c>
      <c r="E3190" s="5" t="s">
        <v>41</v>
      </c>
      <c r="F3190" s="5" t="s">
        <v>92</v>
      </c>
      <c r="G3190" s="14" t="str">
        <f t="array" ref="G3190">IF(B3190="", "",
  LET(_xlpm.spell, IFERROR(IF(F3190="", "", INDEX(_xlws.FILTER(Hairstyles!$F:$F, ISNUMBER(SEARCH(F3190, Hairstyles!$B:$B))), 1)), "No Spell for Hairstyle"),
  _xlpm.vanillaPrefix, IF(LEFT(_xlpm.spell, 7)="Uvi_Wig", "", ";"),
  ";" &amp; IF(C3190="", B3190, C3190) &amp; IF(M3190="", "", " ("&amp;M3190&amp;")") &amp; CHAR(10) &amp;
  _xlpm.vanillaPrefix &amp; "Keyword = Uvi_Wig_Distr_KYWD|" &amp; B3190 &amp; CHAR(10) &amp;
  _xlpm.vanillaPrefix &amp; "Spell = " &amp; _xlpm.spell &amp; "|" &amp; B3190
  )
)</f>
        <v>;EncWarlockNecro02DarkElfF
;Keyword = Uvi_Wig_Distr_KYWD|EncWarlockNecro02DarkElfF
;Spell = No Spell for Hairstyle|EncWarlockNecro02DarkElfF</v>
      </c>
    </row>
    <row r="3191" ht="12.75" customHeight="1">
      <c r="A3191" s="5" t="s">
        <v>8754</v>
      </c>
      <c r="B3191" s="5" t="s">
        <v>8755</v>
      </c>
      <c r="D3191" s="5" t="s">
        <v>45</v>
      </c>
      <c r="E3191" s="5" t="s">
        <v>233</v>
      </c>
      <c r="F3191" s="5" t="s">
        <v>92</v>
      </c>
      <c r="G3191" s="14" t="str">
        <f t="array" ref="G3191">IF(B3191="", "",
  LET(_xlpm.spell, IFERROR(IF(F3191="", "", INDEX(_xlws.FILTER(Hairstyles!$F:$F, ISNUMBER(SEARCH(F3191, Hairstyles!$B:$B))), 1)), "No Spell for Hairstyle"),
  _xlpm.vanillaPrefix, IF(LEFT(_xlpm.spell, 7)="Uvi_Wig", "", ";"),
  ";" &amp; IF(C3191="", B3191, C3191) &amp; IF(M3191="", "", " ("&amp;M3191&amp;")") &amp; CHAR(10) &amp;
  _xlpm.vanillaPrefix &amp; "Keyword = Uvi_Wig_Distr_KYWD|" &amp; B3191 &amp; CHAR(10) &amp;
  _xlpm.vanillaPrefix &amp; "Spell = " &amp; _xlpm.spell &amp; "|" &amp; B3191
  )
)</f>
        <v>;EncWarlockNecro02DarkElfM
;Keyword = Uvi_Wig_Distr_KYWD|EncWarlockNecro02DarkElfM
;Spell = No Spell for Hairstyle|EncWarlockNecro02DarkElfM</v>
      </c>
    </row>
    <row r="3192" ht="12.75" customHeight="1">
      <c r="A3192" s="5" t="s">
        <v>8756</v>
      </c>
      <c r="B3192" s="5" t="s">
        <v>8757</v>
      </c>
      <c r="D3192" s="5" t="s">
        <v>57</v>
      </c>
      <c r="E3192" s="5" t="s">
        <v>41</v>
      </c>
      <c r="F3192" s="5" t="s">
        <v>1854</v>
      </c>
      <c r="G3192" s="14" t="str">
        <f t="array" ref="G3192">IF(B3192="", "",
  LET(_xlpm.spell, IFERROR(IF(F3192="", "", INDEX(_xlws.FILTER(Hairstyles!$F:$F, ISNUMBER(SEARCH(F3192, Hairstyles!$B:$B))), 1)), "No Spell for Hairstyle"),
  _xlpm.vanillaPrefix, IF(LEFT(_xlpm.spell, 7)="Uvi_Wig", "", ";"),
  ";" &amp; IF(C3192="", B3192, C3192) &amp; IF(M3192="", "", " ("&amp;M3192&amp;")") &amp; CHAR(10) &amp;
  _xlpm.vanillaPrefix &amp; "Keyword = Uvi_Wig_Distr_KYWD|" &amp; B3192 &amp; CHAR(10) &amp;
  _xlpm.vanillaPrefix &amp; "Spell = " &amp; _xlpm.spell &amp; "|" &amp; B3192
  )
)</f>
        <v>;EncWarlockNecro02HighElfF
;Keyword = Uvi_Wig_Distr_KYWD|EncWarlockNecro02HighElfF
;Spell = No Spell for Hairstyle|EncWarlockNecro02HighElfF</v>
      </c>
    </row>
    <row r="3193" ht="12.75" customHeight="1">
      <c r="A3193" s="5" t="s">
        <v>8758</v>
      </c>
      <c r="B3193" s="5" t="s">
        <v>8759</v>
      </c>
      <c r="D3193" s="5" t="s">
        <v>57</v>
      </c>
      <c r="E3193" s="5" t="s">
        <v>233</v>
      </c>
      <c r="F3193" s="5" t="s">
        <v>1684</v>
      </c>
      <c r="G3193" s="14" t="str">
        <f t="array" ref="G3193">IF(B3193="", "",
  LET(_xlpm.spell, IFERROR(IF(F3193="", "", INDEX(_xlws.FILTER(Hairstyles!$F:$F, ISNUMBER(SEARCH(F3193, Hairstyles!$B:$B))), 1)), "No Spell for Hairstyle"),
  _xlpm.vanillaPrefix, IF(LEFT(_xlpm.spell, 7)="Uvi_Wig", "", ";"),
  ";" &amp; IF(C3193="", B3193, C3193) &amp; IF(M3193="", "", " ("&amp;M3193&amp;")") &amp; CHAR(10) &amp;
  _xlpm.vanillaPrefix &amp; "Keyword = Uvi_Wig_Distr_KYWD|" &amp; B3193 &amp; CHAR(10) &amp;
  _xlpm.vanillaPrefix &amp; "Spell = " &amp; _xlpm.spell &amp; "|" &amp; B3193
  )
)</f>
        <v>;EncWarlockNecro02HighElfM
;Keyword = Uvi_Wig_Distr_KYWD|EncWarlockNecro02HighElfM
;Spell = No Spell for Hairstyle|EncWarlockNecro02HighElfM</v>
      </c>
    </row>
    <row r="3194" ht="12.75" customHeight="1">
      <c r="A3194" s="5" t="s">
        <v>8760</v>
      </c>
      <c r="B3194" s="5" t="s">
        <v>8761</v>
      </c>
      <c r="D3194" s="5" t="s">
        <v>59</v>
      </c>
      <c r="E3194" s="5" t="s">
        <v>41</v>
      </c>
      <c r="F3194" s="5" t="s">
        <v>69</v>
      </c>
      <c r="G3194" s="14" t="str">
        <f t="array" ref="G3194">IF(B3194="", "",
  LET(_xlpm.spell, IFERROR(IF(F3194="", "", INDEX(_xlws.FILTER(Hairstyles!$F:$F, ISNUMBER(SEARCH(F3194, Hairstyles!$B:$B))), 1)), "No Spell for Hairstyle"),
  _xlpm.vanillaPrefix, IF(LEFT(_xlpm.spell, 7)="Uvi_Wig", "", ";"),
  ";" &amp; IF(C3194="", B3194, C3194) &amp; IF(M3194="", "", " ("&amp;M3194&amp;")") &amp; CHAR(10) &amp;
  _xlpm.vanillaPrefix &amp; "Keyword = Uvi_Wig_Distr_KYWD|" &amp; B3194 &amp; CHAR(10) &amp;
  _xlpm.vanillaPrefix &amp; "Spell = " &amp; _xlpm.spell &amp; "|" &amp; B3194
  )
)</f>
        <v>;EncWarlockNecro02ImperialF
;Keyword = Uvi_Wig_Distr_KYWD|EncWarlockNecro02ImperialF
;Spell = No Spell for Hairstyle|EncWarlockNecro02ImperialF</v>
      </c>
    </row>
    <row r="3195" ht="12.75" customHeight="1">
      <c r="A3195" s="5" t="s">
        <v>8762</v>
      </c>
      <c r="B3195" s="5" t="s">
        <v>8763</v>
      </c>
      <c r="D3195" s="5" t="s">
        <v>59</v>
      </c>
      <c r="E3195" s="5" t="s">
        <v>233</v>
      </c>
      <c r="F3195" s="5" t="s">
        <v>475</v>
      </c>
      <c r="G3195" s="14" t="str">
        <f t="array" ref="G3195">IF(B3195="", "",
  LET(_xlpm.spell, IFERROR(IF(F3195="", "", INDEX(_xlws.FILTER(Hairstyles!$F:$F, ISNUMBER(SEARCH(F3195, Hairstyles!$B:$B))), 1)), "No Spell for Hairstyle"),
  _xlpm.vanillaPrefix, IF(LEFT(_xlpm.spell, 7)="Uvi_Wig", "", ";"),
  ";" &amp; IF(C3195="", B3195, C3195) &amp; IF(M3195="", "", " ("&amp;M3195&amp;")") &amp; CHAR(10) &amp;
  _xlpm.vanillaPrefix &amp; "Keyword = Uvi_Wig_Distr_KYWD|" &amp; B3195 &amp; CHAR(10) &amp;
  _xlpm.vanillaPrefix &amp; "Spell = " &amp; _xlpm.spell &amp; "|" &amp; B3195
  )
)</f>
        <v>;EncWarlockNecro02ImperialM
;Keyword = Uvi_Wig_Distr_KYWD|EncWarlockNecro02ImperialM
;Spell = No Spell for Hairstyle|EncWarlockNecro02ImperialM</v>
      </c>
    </row>
    <row r="3196" ht="12.75" customHeight="1">
      <c r="A3196" s="15" t="s">
        <v>8764</v>
      </c>
      <c r="B3196" s="5" t="s">
        <v>8765</v>
      </c>
      <c r="D3196" s="5" t="s">
        <v>16</v>
      </c>
      <c r="E3196" s="5" t="s">
        <v>41</v>
      </c>
      <c r="F3196" s="5" t="s">
        <v>270</v>
      </c>
      <c r="G3196" s="14" t="str">
        <f t="array" ref="G3196">IF(B3196="", "",
  LET(_xlpm.spell, IFERROR(IF(F3196="", "", INDEX(_xlws.FILTER(Hairstyles!$F:$F, ISNUMBER(SEARCH(F3196, Hairstyles!$B:$B))), 1)), "No Spell for Hairstyle"),
  _xlpm.vanillaPrefix, IF(LEFT(_xlpm.spell, 7)="Uvi_Wig", "", ";"),
  ";" &amp; IF(C3196="", B3196, C3196) &amp; IF(M3196="", "", " ("&amp;M3196&amp;")") &amp; CHAR(10) &amp;
  _xlpm.vanillaPrefix &amp; "Keyword = Uvi_Wig_Distr_KYWD|" &amp; B3196 &amp; CHAR(10) &amp;
  _xlpm.vanillaPrefix &amp; "Spell = " &amp; _xlpm.spell &amp; "|" &amp; B3196
  )
)</f>
        <v>;EncWarlockNecro03BossBretonF
;Keyword = Uvi_Wig_Distr_KYWD|EncWarlockNecro03BossBretonF
;Spell = No Spell for Hairstyle|EncWarlockNecro03BossBretonF</v>
      </c>
    </row>
    <row r="3197" ht="12.75" customHeight="1">
      <c r="A3197" s="5" t="s">
        <v>8766</v>
      </c>
      <c r="B3197" s="5" t="s">
        <v>8767</v>
      </c>
      <c r="D3197" s="5" t="s">
        <v>16</v>
      </c>
      <c r="E3197" s="5" t="s">
        <v>233</v>
      </c>
      <c r="F3197" s="5" t="s">
        <v>521</v>
      </c>
      <c r="G3197" s="14" t="str">
        <f t="array" ref="G3197">IF(B3197="", "",
  LET(_xlpm.spell, IFERROR(IF(F3197="", "", INDEX(_xlws.FILTER(Hairstyles!$F:$F, ISNUMBER(SEARCH(F3197, Hairstyles!$B:$B))), 1)), "No Spell for Hairstyle"),
  _xlpm.vanillaPrefix, IF(LEFT(_xlpm.spell, 7)="Uvi_Wig", "", ";"),
  ";" &amp; IF(C3197="", B3197, C3197) &amp; IF(M3197="", "", " ("&amp;M3197&amp;")") &amp; CHAR(10) &amp;
  _xlpm.vanillaPrefix &amp; "Keyword = Uvi_Wig_Distr_KYWD|" &amp; B3197 &amp; CHAR(10) &amp;
  _xlpm.vanillaPrefix &amp; "Spell = " &amp; _xlpm.spell &amp; "|" &amp; B3197
  )
)</f>
        <v>;EncWarlockNecro03BossBretonM
;Keyword = Uvi_Wig_Distr_KYWD|EncWarlockNecro03BossBretonM
;Spell = No Spell for Hairstyle|EncWarlockNecro03BossBretonM</v>
      </c>
    </row>
    <row r="3198" ht="12.75" customHeight="1">
      <c r="A3198" s="5" t="s">
        <v>8768</v>
      </c>
      <c r="B3198" s="5" t="s">
        <v>8769</v>
      </c>
      <c r="D3198" s="5" t="s">
        <v>57</v>
      </c>
      <c r="E3198" s="5" t="s">
        <v>41</v>
      </c>
      <c r="F3198" s="5" t="s">
        <v>2373</v>
      </c>
      <c r="G3198" s="14" t="str">
        <f t="array" ref="G3198">IF(B3198="", "",
  LET(_xlpm.spell, IFERROR(IF(F3198="", "", INDEX(_xlws.FILTER(Hairstyles!$F:$F, ISNUMBER(SEARCH(F3198, Hairstyles!$B:$B))), 1)), "No Spell for Hairstyle"),
  _xlpm.vanillaPrefix, IF(LEFT(_xlpm.spell, 7)="Uvi_Wig", "", ";"),
  ";" &amp; IF(C3198="", B3198, C3198) &amp; IF(M3198="", "", " ("&amp;M3198&amp;")") &amp; CHAR(10) &amp;
  _xlpm.vanillaPrefix &amp; "Keyword = Uvi_Wig_Distr_KYWD|" &amp; B3198 &amp; CHAR(10) &amp;
  _xlpm.vanillaPrefix &amp; "Spell = " &amp; _xlpm.spell &amp; "|" &amp; B3198
  )
)</f>
        <v>;EncWarlockNecro03BossHighElfF
;Keyword = Uvi_Wig_Distr_KYWD|EncWarlockNecro03BossHighElfF
;Spell = No Spell for Hairstyle|EncWarlockNecro03BossHighElfF</v>
      </c>
    </row>
    <row r="3199" ht="12.75" customHeight="1">
      <c r="A3199" s="5" t="s">
        <v>8770</v>
      </c>
      <c r="B3199" s="5" t="s">
        <v>8771</v>
      </c>
      <c r="D3199" s="5" t="s">
        <v>57</v>
      </c>
      <c r="E3199" s="5" t="s">
        <v>233</v>
      </c>
      <c r="F3199" s="5" t="s">
        <v>2469</v>
      </c>
      <c r="G3199" s="14" t="str">
        <f t="array" ref="G3199">IF(B3199="", "",
  LET(_xlpm.spell, IFERROR(IF(F3199="", "", INDEX(_xlws.FILTER(Hairstyles!$F:$F, ISNUMBER(SEARCH(F3199, Hairstyles!$B:$B))), 1)), "No Spell for Hairstyle"),
  _xlpm.vanillaPrefix, IF(LEFT(_xlpm.spell, 7)="Uvi_Wig", "", ";"),
  ";" &amp; IF(C3199="", B3199, C3199) &amp; IF(M3199="", "", " ("&amp;M3199&amp;")") &amp; CHAR(10) &amp;
  _xlpm.vanillaPrefix &amp; "Keyword = Uvi_Wig_Distr_KYWD|" &amp; B3199 &amp; CHAR(10) &amp;
  _xlpm.vanillaPrefix &amp; "Spell = " &amp; _xlpm.spell &amp; "|" &amp; B3199
  )
)</f>
        <v>;EncWarlockNecro03BossHighElfM
;Keyword = Uvi_Wig_Distr_KYWD|EncWarlockNecro03BossHighElfM
;Spell = No Spell for Hairstyle|EncWarlockNecro03BossHighElfM</v>
      </c>
    </row>
    <row r="3200" ht="12.75" customHeight="1">
      <c r="A3200" s="5" t="s">
        <v>8772</v>
      </c>
      <c r="B3200" s="5" t="s">
        <v>8773</v>
      </c>
      <c r="D3200" s="5" t="s">
        <v>16</v>
      </c>
      <c r="E3200" s="5" t="s">
        <v>41</v>
      </c>
      <c r="F3200" s="5" t="s">
        <v>1694</v>
      </c>
      <c r="G3200" s="14" t="str">
        <f t="array" ref="G3200">IF(B3200="", "",
  LET(_xlpm.spell, IFERROR(IF(F3200="", "", INDEX(_xlws.FILTER(Hairstyles!$F:$F, ISNUMBER(SEARCH(F3200, Hairstyles!$B:$B))), 1)), "No Spell for Hairstyle"),
  _xlpm.vanillaPrefix, IF(LEFT(_xlpm.spell, 7)="Uvi_Wig", "", ";"),
  ";" &amp; IF(C3200="", B3200, C3200) &amp; IF(M3200="", "", " ("&amp;M3200&amp;")") &amp; CHAR(10) &amp;
  _xlpm.vanillaPrefix &amp; "Keyword = Uvi_Wig_Distr_KYWD|" &amp; B3200 &amp; CHAR(10) &amp;
  _xlpm.vanillaPrefix &amp; "Spell = " &amp; _xlpm.spell &amp; "|" &amp; B3200
  )
)</f>
        <v>;EncWarlockNecro03BretonF
;Keyword = Uvi_Wig_Distr_KYWD|EncWarlockNecro03BretonF
;Spell = No Spell for Hairstyle|EncWarlockNecro03BretonF</v>
      </c>
    </row>
    <row r="3201" ht="12.75" customHeight="1">
      <c r="A3201" s="5" t="s">
        <v>8774</v>
      </c>
      <c r="B3201" s="5" t="s">
        <v>8775</v>
      </c>
      <c r="D3201" s="5" t="s">
        <v>16</v>
      </c>
      <c r="E3201" s="5" t="s">
        <v>233</v>
      </c>
      <c r="F3201" s="5" t="s">
        <v>695</v>
      </c>
      <c r="G3201" s="14" t="str">
        <f t="array" ref="G3201">IF(B3201="", "",
  LET(_xlpm.spell, IFERROR(IF(F3201="", "", INDEX(_xlws.FILTER(Hairstyles!$F:$F, ISNUMBER(SEARCH(F3201, Hairstyles!$B:$B))), 1)), "No Spell for Hairstyle"),
  _xlpm.vanillaPrefix, IF(LEFT(_xlpm.spell, 7)="Uvi_Wig", "", ";"),
  ";" &amp; IF(C3201="", B3201, C3201) &amp; IF(M3201="", "", " ("&amp;M3201&amp;")") &amp; CHAR(10) &amp;
  _xlpm.vanillaPrefix &amp; "Keyword = Uvi_Wig_Distr_KYWD|" &amp; B3201 &amp; CHAR(10) &amp;
  _xlpm.vanillaPrefix &amp; "Spell = " &amp; _xlpm.spell &amp; "|" &amp; B3201
  )
)</f>
        <v>;EncWarlockNecro03BretonM
;Keyword = Uvi_Wig_Distr_KYWD|EncWarlockNecro03BretonM
;Spell = No Spell for Hairstyle|EncWarlockNecro03BretonM</v>
      </c>
    </row>
    <row r="3202" ht="12.75" customHeight="1">
      <c r="A3202" s="5" t="s">
        <v>8776</v>
      </c>
      <c r="B3202" s="5" t="s">
        <v>8777</v>
      </c>
      <c r="D3202" s="5" t="s">
        <v>45</v>
      </c>
      <c r="E3202" s="5" t="s">
        <v>41</v>
      </c>
      <c r="F3202" s="5" t="s">
        <v>2096</v>
      </c>
      <c r="G3202" s="14" t="str">
        <f t="array" ref="G3202">IF(B3202="", "",
  LET(_xlpm.spell, IFERROR(IF(F3202="", "", INDEX(_xlws.FILTER(Hairstyles!$F:$F, ISNUMBER(SEARCH(F3202, Hairstyles!$B:$B))), 1)), "No Spell for Hairstyle"),
  _xlpm.vanillaPrefix, IF(LEFT(_xlpm.spell, 7)="Uvi_Wig", "", ";"),
  ";" &amp; IF(C3202="", B3202, C3202) &amp; IF(M3202="", "", " ("&amp;M3202&amp;")") &amp; CHAR(10) &amp;
  _xlpm.vanillaPrefix &amp; "Keyword = Uvi_Wig_Distr_KYWD|" &amp; B3202 &amp; CHAR(10) &amp;
  _xlpm.vanillaPrefix &amp; "Spell = " &amp; _xlpm.spell &amp; "|" &amp; B3202
  )
)</f>
        <v>;EncWarlockNecro03DarkElfF
;Keyword = Uvi_Wig_Distr_KYWD|EncWarlockNecro03DarkElfF
;Spell = No Spell for Hairstyle|EncWarlockNecro03DarkElfF</v>
      </c>
    </row>
    <row r="3203" ht="12.75" customHeight="1">
      <c r="A3203" s="5" t="s">
        <v>8778</v>
      </c>
      <c r="B3203" s="5" t="s">
        <v>8779</v>
      </c>
      <c r="D3203" s="5" t="s">
        <v>45</v>
      </c>
      <c r="E3203" s="5" t="s">
        <v>233</v>
      </c>
      <c r="F3203" s="5" t="s">
        <v>2612</v>
      </c>
      <c r="G3203" s="14" t="str">
        <f t="array" ref="G3203">IF(B3203="", "",
  LET(_xlpm.spell, IFERROR(IF(F3203="", "", INDEX(_xlws.FILTER(Hairstyles!$F:$F, ISNUMBER(SEARCH(F3203, Hairstyles!$B:$B))), 1)), "No Spell for Hairstyle"),
  _xlpm.vanillaPrefix, IF(LEFT(_xlpm.spell, 7)="Uvi_Wig", "", ";"),
  ";" &amp; IF(C3203="", B3203, C3203) &amp; IF(M3203="", "", " ("&amp;M3203&amp;")") &amp; CHAR(10) &amp;
  _xlpm.vanillaPrefix &amp; "Keyword = Uvi_Wig_Distr_KYWD|" &amp; B3203 &amp; CHAR(10) &amp;
  _xlpm.vanillaPrefix &amp; "Spell = " &amp; _xlpm.spell &amp; "|" &amp; B3203
  )
)</f>
        <v>;EncWarlockNecro03DarkElfM
;Keyword = Uvi_Wig_Distr_KYWD|EncWarlockNecro03DarkElfM
;Spell = No Spell for Hairstyle|EncWarlockNecro03DarkElfM</v>
      </c>
    </row>
    <row r="3204" ht="12.75" customHeight="1">
      <c r="A3204" s="5" t="s">
        <v>8780</v>
      </c>
      <c r="B3204" s="5" t="s">
        <v>8781</v>
      </c>
      <c r="D3204" s="5" t="s">
        <v>57</v>
      </c>
      <c r="E3204" s="5" t="s">
        <v>41</v>
      </c>
      <c r="F3204" s="5" t="s">
        <v>1854</v>
      </c>
      <c r="G3204" s="14" t="str">
        <f t="array" ref="G3204">IF(B3204="", "",
  LET(_xlpm.spell, IFERROR(IF(F3204="", "", INDEX(_xlws.FILTER(Hairstyles!$F:$F, ISNUMBER(SEARCH(F3204, Hairstyles!$B:$B))), 1)), "No Spell for Hairstyle"),
  _xlpm.vanillaPrefix, IF(LEFT(_xlpm.spell, 7)="Uvi_Wig", "", ";"),
  ";" &amp; IF(C3204="", B3204, C3204) &amp; IF(M3204="", "", " ("&amp;M3204&amp;")") &amp; CHAR(10) &amp;
  _xlpm.vanillaPrefix &amp; "Keyword = Uvi_Wig_Distr_KYWD|" &amp; B3204 &amp; CHAR(10) &amp;
  _xlpm.vanillaPrefix &amp; "Spell = " &amp; _xlpm.spell &amp; "|" &amp; B3204
  )
)</f>
        <v>;EncWarlockNecro03HighElfF
;Keyword = Uvi_Wig_Distr_KYWD|EncWarlockNecro03HighElfF
;Spell = No Spell for Hairstyle|EncWarlockNecro03HighElfF</v>
      </c>
    </row>
    <row r="3205" ht="12.75" customHeight="1">
      <c r="A3205" s="5" t="s">
        <v>8782</v>
      </c>
      <c r="B3205" s="5" t="s">
        <v>8783</v>
      </c>
      <c r="D3205" s="5" t="s">
        <v>57</v>
      </c>
      <c r="E3205" s="5" t="s">
        <v>233</v>
      </c>
      <c r="F3205" s="5" t="s">
        <v>1937</v>
      </c>
      <c r="G3205" s="14" t="str">
        <f t="array" ref="G3205">IF(B3205="", "",
  LET(_xlpm.spell, IFERROR(IF(F3205="", "", INDEX(_xlws.FILTER(Hairstyles!$F:$F, ISNUMBER(SEARCH(F3205, Hairstyles!$B:$B))), 1)), "No Spell for Hairstyle"),
  _xlpm.vanillaPrefix, IF(LEFT(_xlpm.spell, 7)="Uvi_Wig", "", ";"),
  ";" &amp; IF(C3205="", B3205, C3205) &amp; IF(M3205="", "", " ("&amp;M3205&amp;")") &amp; CHAR(10) &amp;
  _xlpm.vanillaPrefix &amp; "Keyword = Uvi_Wig_Distr_KYWD|" &amp; B3205 &amp; CHAR(10) &amp;
  _xlpm.vanillaPrefix &amp; "Spell = " &amp; _xlpm.spell &amp; "|" &amp; B3205
  )
)</f>
        <v>;EncWarlockNecro03HighElfM
;Keyword = Uvi_Wig_Distr_KYWD|EncWarlockNecro03HighElfM
;Spell = No Spell for Hairstyle|EncWarlockNecro03HighElfM</v>
      </c>
    </row>
    <row r="3206" ht="12.75" customHeight="1">
      <c r="A3206" s="5" t="s">
        <v>8784</v>
      </c>
      <c r="B3206" s="5" t="s">
        <v>8785</v>
      </c>
      <c r="D3206" s="5" t="s">
        <v>59</v>
      </c>
      <c r="E3206" s="5" t="s">
        <v>41</v>
      </c>
      <c r="F3206" s="5" t="s">
        <v>2118</v>
      </c>
      <c r="G3206" s="14" t="str">
        <f t="array" ref="G3206">IF(B3206="", "",
  LET(_xlpm.spell, IFERROR(IF(F3206="", "", INDEX(_xlws.FILTER(Hairstyles!$F:$F, ISNUMBER(SEARCH(F3206, Hairstyles!$B:$B))), 1)), "No Spell for Hairstyle"),
  _xlpm.vanillaPrefix, IF(LEFT(_xlpm.spell, 7)="Uvi_Wig", "", ";"),
  ";" &amp; IF(C3206="", B3206, C3206) &amp; IF(M3206="", "", " ("&amp;M3206&amp;")") &amp; CHAR(10) &amp;
  _xlpm.vanillaPrefix &amp; "Keyword = Uvi_Wig_Distr_KYWD|" &amp; B3206 &amp; CHAR(10) &amp;
  _xlpm.vanillaPrefix &amp; "Spell = " &amp; _xlpm.spell &amp; "|" &amp; B3206
  )
)</f>
        <v>;EncWarlockNecro03ImperialF
;Keyword = Uvi_Wig_Distr_KYWD|EncWarlockNecro03ImperialF
;Spell = No Spell for Hairstyle|EncWarlockNecro03ImperialF</v>
      </c>
    </row>
    <row r="3207" ht="12.75" customHeight="1">
      <c r="A3207" s="5" t="s">
        <v>8786</v>
      </c>
      <c r="B3207" s="5" t="s">
        <v>8787</v>
      </c>
      <c r="D3207" s="5" t="s">
        <v>59</v>
      </c>
      <c r="E3207" s="5" t="s">
        <v>233</v>
      </c>
      <c r="F3207" s="5" t="s">
        <v>68</v>
      </c>
      <c r="G3207" s="14" t="str">
        <f t="array" ref="G3207">IF(B3207="", "",
  LET(_xlpm.spell, IFERROR(IF(F3207="", "", INDEX(_xlws.FILTER(Hairstyles!$F:$F, ISNUMBER(SEARCH(F3207, Hairstyles!$B:$B))), 1)), "No Spell for Hairstyle"),
  _xlpm.vanillaPrefix, IF(LEFT(_xlpm.spell, 7)="Uvi_Wig", "", ";"),
  ";" &amp; IF(C3207="", B3207, C3207) &amp; IF(M3207="", "", " ("&amp;M3207&amp;")") &amp; CHAR(10) &amp;
  _xlpm.vanillaPrefix &amp; "Keyword = Uvi_Wig_Distr_KYWD|" &amp; B3207 &amp; CHAR(10) &amp;
  _xlpm.vanillaPrefix &amp; "Spell = " &amp; _xlpm.spell &amp; "|" &amp; B3207
  )
)</f>
        <v>;EncWarlockNecro03ImperialM
;Keyword = Uvi_Wig_Distr_KYWD|EncWarlockNecro03ImperialM
;Spell = No Spell for Hairstyle|EncWarlockNecro03ImperialM</v>
      </c>
    </row>
    <row r="3208" ht="12.75" customHeight="1">
      <c r="A3208" s="5" t="s">
        <v>8788</v>
      </c>
      <c r="B3208" s="5" t="s">
        <v>8789</v>
      </c>
      <c r="D3208" s="5" t="s">
        <v>16</v>
      </c>
      <c r="E3208" s="5" t="s">
        <v>41</v>
      </c>
      <c r="F3208" s="5" t="s">
        <v>371</v>
      </c>
      <c r="G3208" s="14" t="str">
        <f t="array" ref="G3208">IF(B3208="", "",
  LET(_xlpm.spell, IFERROR(IF(F3208="", "", INDEX(_xlws.FILTER(Hairstyles!$F:$F, ISNUMBER(SEARCH(F3208, Hairstyles!$B:$B))), 1)), "No Spell for Hairstyle"),
  _xlpm.vanillaPrefix, IF(LEFT(_xlpm.spell, 7)="Uvi_Wig", "", ";"),
  ";" &amp; IF(C3208="", B3208, C3208) &amp; IF(M3208="", "", " ("&amp;M3208&amp;")") &amp; CHAR(10) &amp;
  _xlpm.vanillaPrefix &amp; "Keyword = Uvi_Wig_Distr_KYWD|" &amp; B3208 &amp; CHAR(10) &amp;
  _xlpm.vanillaPrefix &amp; "Spell = " &amp; _xlpm.spell &amp; "|" &amp; B3208
  )
)</f>
        <v>;EncWarlockNecro04BossBretonF
;Keyword = Uvi_Wig_Distr_KYWD|EncWarlockNecro04BossBretonF
;Spell = No Spell for Hairstyle|EncWarlockNecro04BossBretonF</v>
      </c>
    </row>
    <row r="3209" ht="12.75" customHeight="1">
      <c r="A3209" s="5" t="s">
        <v>8790</v>
      </c>
      <c r="B3209" s="5" t="s">
        <v>8791</v>
      </c>
      <c r="D3209" s="5" t="s">
        <v>16</v>
      </c>
      <c r="E3209" s="5" t="s">
        <v>233</v>
      </c>
      <c r="F3209" s="5" t="s">
        <v>1894</v>
      </c>
      <c r="G3209" s="14" t="str">
        <f t="array" ref="G3209">IF(B3209="", "",
  LET(_xlpm.spell, IFERROR(IF(F3209="", "", INDEX(_xlws.FILTER(Hairstyles!$F:$F, ISNUMBER(SEARCH(F3209, Hairstyles!$B:$B))), 1)), "No Spell for Hairstyle"),
  _xlpm.vanillaPrefix, IF(LEFT(_xlpm.spell, 7)="Uvi_Wig", "", ";"),
  ";" &amp; IF(C3209="", B3209, C3209) &amp; IF(M3209="", "", " ("&amp;M3209&amp;")") &amp; CHAR(10) &amp;
  _xlpm.vanillaPrefix &amp; "Keyword = Uvi_Wig_Distr_KYWD|" &amp; B3209 &amp; CHAR(10) &amp;
  _xlpm.vanillaPrefix &amp; "Spell = " &amp; _xlpm.spell &amp; "|" &amp; B3209
  )
)</f>
        <v>;EncWarlockNecro04BossBretonM
;Keyword = Uvi_Wig_Distr_KYWD|EncWarlockNecro04BossBretonM
;Spell = No Spell for Hairstyle|EncWarlockNecro04BossBretonM</v>
      </c>
    </row>
    <row r="3210" ht="12.75" customHeight="1">
      <c r="A3210" s="5" t="s">
        <v>8792</v>
      </c>
      <c r="B3210" s="5" t="s">
        <v>8793</v>
      </c>
      <c r="D3210" s="5" t="s">
        <v>57</v>
      </c>
      <c r="E3210" s="5" t="s">
        <v>41</v>
      </c>
      <c r="F3210" s="5" t="s">
        <v>2245</v>
      </c>
      <c r="G3210" s="14" t="str">
        <f t="array" ref="G3210">IF(B3210="", "",
  LET(_xlpm.spell, IFERROR(IF(F3210="", "", INDEX(_xlws.FILTER(Hairstyles!$F:$F, ISNUMBER(SEARCH(F3210, Hairstyles!$B:$B))), 1)), "No Spell for Hairstyle"),
  _xlpm.vanillaPrefix, IF(LEFT(_xlpm.spell, 7)="Uvi_Wig", "", ";"),
  ";" &amp; IF(C3210="", B3210, C3210) &amp; IF(M3210="", "", " ("&amp;M3210&amp;")") &amp; CHAR(10) &amp;
  _xlpm.vanillaPrefix &amp; "Keyword = Uvi_Wig_Distr_KYWD|" &amp; B3210 &amp; CHAR(10) &amp;
  _xlpm.vanillaPrefix &amp; "Spell = " &amp; _xlpm.spell &amp; "|" &amp; B3210
  )
)</f>
        <v>;EncWarlockNecro04BossHighElfF
;Keyword = Uvi_Wig_Distr_KYWD|EncWarlockNecro04BossHighElfF
;Spell = No Spell for Hairstyle|EncWarlockNecro04BossHighElfF</v>
      </c>
    </row>
    <row r="3211" ht="12.75" customHeight="1">
      <c r="A3211" s="15" t="s">
        <v>8794</v>
      </c>
      <c r="B3211" s="5" t="s">
        <v>8795</v>
      </c>
      <c r="D3211" s="5" t="s">
        <v>57</v>
      </c>
      <c r="E3211" s="5" t="s">
        <v>233</v>
      </c>
      <c r="F3211" s="5" t="s">
        <v>91</v>
      </c>
      <c r="G3211" s="14" t="str">
        <f t="array" ref="G3211">IF(B3211="", "",
  LET(_xlpm.spell, IFERROR(IF(F3211="", "", INDEX(_xlws.FILTER(Hairstyles!$F:$F, ISNUMBER(SEARCH(F3211, Hairstyles!$B:$B))), 1)), "No Spell for Hairstyle"),
  _xlpm.vanillaPrefix, IF(LEFT(_xlpm.spell, 7)="Uvi_Wig", "", ";"),
  ";" &amp; IF(C3211="", B3211, C3211) &amp; IF(M3211="", "", " ("&amp;M3211&amp;")") &amp; CHAR(10) &amp;
  _xlpm.vanillaPrefix &amp; "Keyword = Uvi_Wig_Distr_KYWD|" &amp; B3211 &amp; CHAR(10) &amp;
  _xlpm.vanillaPrefix &amp; "Spell = " &amp; _xlpm.spell &amp; "|" &amp; B3211
  )
)</f>
        <v>;EncWarlockNecro04BossHighElfM
;Keyword = Uvi_Wig_Distr_KYWD|EncWarlockNecro04BossHighElfM
;Spell = No Spell for Hairstyle|EncWarlockNecro04BossHighElfM</v>
      </c>
    </row>
    <row r="3212" ht="12.75" customHeight="1">
      <c r="A3212" s="5" t="s">
        <v>8796</v>
      </c>
      <c r="B3212" s="5" t="s">
        <v>8797</v>
      </c>
      <c r="D3212" s="5" t="s">
        <v>16</v>
      </c>
      <c r="E3212" s="5" t="s">
        <v>41</v>
      </c>
      <c r="F3212" s="5" t="s">
        <v>1596</v>
      </c>
      <c r="G3212" s="14" t="str">
        <f t="array" ref="G3212">IF(B3212="", "",
  LET(_xlpm.spell, IFERROR(IF(F3212="", "", INDEX(_xlws.FILTER(Hairstyles!$F:$F, ISNUMBER(SEARCH(F3212, Hairstyles!$B:$B))), 1)), "No Spell for Hairstyle"),
  _xlpm.vanillaPrefix, IF(LEFT(_xlpm.spell, 7)="Uvi_Wig", "", ";"),
  ";" &amp; IF(C3212="", B3212, C3212) &amp; IF(M3212="", "", " ("&amp;M3212&amp;")") &amp; CHAR(10) &amp;
  _xlpm.vanillaPrefix &amp; "Keyword = Uvi_Wig_Distr_KYWD|" &amp; B3212 &amp; CHAR(10) &amp;
  _xlpm.vanillaPrefix &amp; "Spell = " &amp; _xlpm.spell &amp; "|" &amp; B3212
  )
)</f>
        <v>;EncWarlockNecro04BretonF
;Keyword = Uvi_Wig_Distr_KYWD|EncWarlockNecro04BretonF
;Spell = No Spell for Hairstyle|EncWarlockNecro04BretonF</v>
      </c>
    </row>
    <row r="3213" ht="12.75" customHeight="1">
      <c r="A3213" s="5" t="s">
        <v>8798</v>
      </c>
      <c r="B3213" s="5" t="s">
        <v>8799</v>
      </c>
      <c r="D3213" s="5" t="s">
        <v>16</v>
      </c>
      <c r="E3213" s="5" t="s">
        <v>233</v>
      </c>
      <c r="F3213" s="5" t="s">
        <v>1700</v>
      </c>
      <c r="G3213" s="14" t="str">
        <f t="array" ref="G3213">IF(B3213="", "",
  LET(_xlpm.spell, IFERROR(IF(F3213="", "", INDEX(_xlws.FILTER(Hairstyles!$F:$F, ISNUMBER(SEARCH(F3213, Hairstyles!$B:$B))), 1)), "No Spell for Hairstyle"),
  _xlpm.vanillaPrefix, IF(LEFT(_xlpm.spell, 7)="Uvi_Wig", "", ";"),
  ";" &amp; IF(C3213="", B3213, C3213) &amp; IF(M3213="", "", " ("&amp;M3213&amp;")") &amp; CHAR(10) &amp;
  _xlpm.vanillaPrefix &amp; "Keyword = Uvi_Wig_Distr_KYWD|" &amp; B3213 &amp; CHAR(10) &amp;
  _xlpm.vanillaPrefix &amp; "Spell = " &amp; _xlpm.spell &amp; "|" &amp; B3213
  )
)</f>
        <v>;EncWarlockNecro04BretonM
;Keyword = Uvi_Wig_Distr_KYWD|EncWarlockNecro04BretonM
;Spell = No Spell for Hairstyle|EncWarlockNecro04BretonM</v>
      </c>
    </row>
    <row r="3214" ht="12.75" customHeight="1">
      <c r="A3214" s="5" t="s">
        <v>8800</v>
      </c>
      <c r="B3214" s="5" t="s">
        <v>8801</v>
      </c>
      <c r="D3214" s="5" t="s">
        <v>45</v>
      </c>
      <c r="E3214" s="5" t="s">
        <v>41</v>
      </c>
      <c r="F3214" s="5" t="s">
        <v>2096</v>
      </c>
      <c r="G3214" s="14" t="str">
        <f t="array" ref="G3214">IF(B3214="", "",
  LET(_xlpm.spell, IFERROR(IF(F3214="", "", INDEX(_xlws.FILTER(Hairstyles!$F:$F, ISNUMBER(SEARCH(F3214, Hairstyles!$B:$B))), 1)), "No Spell for Hairstyle"),
  _xlpm.vanillaPrefix, IF(LEFT(_xlpm.spell, 7)="Uvi_Wig", "", ";"),
  ";" &amp; IF(C3214="", B3214, C3214) &amp; IF(M3214="", "", " ("&amp;M3214&amp;")") &amp; CHAR(10) &amp;
  _xlpm.vanillaPrefix &amp; "Keyword = Uvi_Wig_Distr_KYWD|" &amp; B3214 &amp; CHAR(10) &amp;
  _xlpm.vanillaPrefix &amp; "Spell = " &amp; _xlpm.spell &amp; "|" &amp; B3214
  )
)</f>
        <v>;EncWarlockNecro04DarkElfF
;Keyword = Uvi_Wig_Distr_KYWD|EncWarlockNecro04DarkElfF
;Spell = No Spell for Hairstyle|EncWarlockNecro04DarkElfF</v>
      </c>
    </row>
    <row r="3215" ht="12.75" customHeight="1">
      <c r="A3215" s="5" t="s">
        <v>8802</v>
      </c>
      <c r="B3215" s="5" t="s">
        <v>8803</v>
      </c>
      <c r="D3215" s="5" t="s">
        <v>45</v>
      </c>
      <c r="E3215" s="5" t="s">
        <v>233</v>
      </c>
      <c r="F3215" s="5" t="s">
        <v>47</v>
      </c>
      <c r="G3215" s="14" t="str">
        <f t="array" ref="G3215">IF(B3215="", "",
  LET(_xlpm.spell, IFERROR(IF(F3215="", "", INDEX(_xlws.FILTER(Hairstyles!$F:$F, ISNUMBER(SEARCH(F3215, Hairstyles!$B:$B))), 1)), "No Spell for Hairstyle"),
  _xlpm.vanillaPrefix, IF(LEFT(_xlpm.spell, 7)="Uvi_Wig", "", ";"),
  ";" &amp; IF(C3215="", B3215, C3215) &amp; IF(M3215="", "", " ("&amp;M3215&amp;")") &amp; CHAR(10) &amp;
  _xlpm.vanillaPrefix &amp; "Keyword = Uvi_Wig_Distr_KYWD|" &amp; B3215 &amp; CHAR(10) &amp;
  _xlpm.vanillaPrefix &amp; "Spell = " &amp; _xlpm.spell &amp; "|" &amp; B3215
  )
)</f>
        <v>;EncWarlockNecro04DarkElfM
;Keyword = Uvi_Wig_Distr_KYWD|EncWarlockNecro04DarkElfM
;Spell = No Spell for Hairstyle|EncWarlockNecro04DarkElfM</v>
      </c>
    </row>
    <row r="3216" ht="12.75" customHeight="1">
      <c r="A3216" s="5" t="s">
        <v>8804</v>
      </c>
      <c r="B3216" s="5" t="s">
        <v>8805</v>
      </c>
      <c r="D3216" s="5" t="s">
        <v>57</v>
      </c>
      <c r="E3216" s="5" t="s">
        <v>41</v>
      </c>
      <c r="F3216" s="5" t="s">
        <v>2577</v>
      </c>
      <c r="G3216" s="14" t="str">
        <f t="array" ref="G3216">IF(B3216="", "",
  LET(_xlpm.spell, IFERROR(IF(F3216="", "", INDEX(_xlws.FILTER(Hairstyles!$F:$F, ISNUMBER(SEARCH(F3216, Hairstyles!$B:$B))), 1)), "No Spell for Hairstyle"),
  _xlpm.vanillaPrefix, IF(LEFT(_xlpm.spell, 7)="Uvi_Wig", "", ";"),
  ";" &amp; IF(C3216="", B3216, C3216) &amp; IF(M3216="", "", " ("&amp;M3216&amp;")") &amp; CHAR(10) &amp;
  _xlpm.vanillaPrefix &amp; "Keyword = Uvi_Wig_Distr_KYWD|" &amp; B3216 &amp; CHAR(10) &amp;
  _xlpm.vanillaPrefix &amp; "Spell = " &amp; _xlpm.spell &amp; "|" &amp; B3216
  )
)</f>
        <v>;EncWarlockNecro04HighElfF
;Keyword = Uvi_Wig_Distr_KYWD|EncWarlockNecro04HighElfF
;Spell = No Spell for Hairstyle|EncWarlockNecro04HighElfF</v>
      </c>
    </row>
    <row r="3217" ht="12.75" customHeight="1">
      <c r="A3217" s="5" t="s">
        <v>8806</v>
      </c>
      <c r="B3217" s="5" t="s">
        <v>8807</v>
      </c>
      <c r="D3217" s="5" t="s">
        <v>57</v>
      </c>
      <c r="E3217" s="5" t="s">
        <v>233</v>
      </c>
      <c r="F3217" s="5" t="s">
        <v>1937</v>
      </c>
      <c r="G3217" s="14" t="str">
        <f t="array" ref="G3217">IF(B3217="", "",
  LET(_xlpm.spell, IFERROR(IF(F3217="", "", INDEX(_xlws.FILTER(Hairstyles!$F:$F, ISNUMBER(SEARCH(F3217, Hairstyles!$B:$B))), 1)), "No Spell for Hairstyle"),
  _xlpm.vanillaPrefix, IF(LEFT(_xlpm.spell, 7)="Uvi_Wig", "", ";"),
  ";" &amp; IF(C3217="", B3217, C3217) &amp; IF(M3217="", "", " ("&amp;M3217&amp;")") &amp; CHAR(10) &amp;
  _xlpm.vanillaPrefix &amp; "Keyword = Uvi_Wig_Distr_KYWD|" &amp; B3217 &amp; CHAR(10) &amp;
  _xlpm.vanillaPrefix &amp; "Spell = " &amp; _xlpm.spell &amp; "|" &amp; B3217
  )
)</f>
        <v>;EncWarlockNecro04HighElfM
;Keyword = Uvi_Wig_Distr_KYWD|EncWarlockNecro04HighElfM
;Spell = No Spell for Hairstyle|EncWarlockNecro04HighElfM</v>
      </c>
    </row>
    <row r="3218" ht="12.75" customHeight="1">
      <c r="A3218" s="5" t="s">
        <v>8808</v>
      </c>
      <c r="B3218" s="5" t="s">
        <v>8809</v>
      </c>
      <c r="D3218" s="5" t="s">
        <v>59</v>
      </c>
      <c r="E3218" s="5" t="s">
        <v>41</v>
      </c>
      <c r="F3218" s="5" t="s">
        <v>343</v>
      </c>
      <c r="G3218" s="14" t="str">
        <f t="array" ref="G3218">IF(B3218="", "",
  LET(_xlpm.spell, IFERROR(IF(F3218="", "", INDEX(_xlws.FILTER(Hairstyles!$F:$F, ISNUMBER(SEARCH(F3218, Hairstyles!$B:$B))), 1)), "No Spell for Hairstyle"),
  _xlpm.vanillaPrefix, IF(LEFT(_xlpm.spell, 7)="Uvi_Wig", "", ";"),
  ";" &amp; IF(C3218="", B3218, C3218) &amp; IF(M3218="", "", " ("&amp;M3218&amp;")") &amp; CHAR(10) &amp;
  _xlpm.vanillaPrefix &amp; "Keyword = Uvi_Wig_Distr_KYWD|" &amp; B3218 &amp; CHAR(10) &amp;
  _xlpm.vanillaPrefix &amp; "Spell = " &amp; _xlpm.spell &amp; "|" &amp; B3218
  )
)</f>
        <v>;EncWarlockNecro04ImperialF
;Keyword = Uvi_Wig_Distr_KYWD|EncWarlockNecro04ImperialF
;Spell = No Spell for Hairstyle|EncWarlockNecro04ImperialF</v>
      </c>
    </row>
    <row r="3219" ht="12.75" customHeight="1">
      <c r="A3219" s="5" t="s">
        <v>8810</v>
      </c>
      <c r="B3219" s="5" t="s">
        <v>8811</v>
      </c>
      <c r="D3219" s="5" t="s">
        <v>59</v>
      </c>
      <c r="E3219" s="5" t="s">
        <v>233</v>
      </c>
      <c r="F3219" s="5" t="s">
        <v>68</v>
      </c>
      <c r="G3219" s="14" t="str">
        <f t="array" ref="G3219">IF(B3219="", "",
  LET(_xlpm.spell, IFERROR(IF(F3219="", "", INDEX(_xlws.FILTER(Hairstyles!$F:$F, ISNUMBER(SEARCH(F3219, Hairstyles!$B:$B))), 1)), "No Spell for Hairstyle"),
  _xlpm.vanillaPrefix, IF(LEFT(_xlpm.spell, 7)="Uvi_Wig", "", ";"),
  ";" &amp; IF(C3219="", B3219, C3219) &amp; IF(M3219="", "", " ("&amp;M3219&amp;")") &amp; CHAR(10) &amp;
  _xlpm.vanillaPrefix &amp; "Keyword = Uvi_Wig_Distr_KYWD|" &amp; B3219 &amp; CHAR(10) &amp;
  _xlpm.vanillaPrefix &amp; "Spell = " &amp; _xlpm.spell &amp; "|" &amp; B3219
  )
)</f>
        <v>;EncWarlockNecro04ImperialM
;Keyword = Uvi_Wig_Distr_KYWD|EncWarlockNecro04ImperialM
;Spell = No Spell for Hairstyle|EncWarlockNecro04ImperialM</v>
      </c>
    </row>
    <row r="3220" ht="12.75" customHeight="1">
      <c r="A3220" s="15" t="s">
        <v>8812</v>
      </c>
      <c r="B3220" s="5" t="s">
        <v>8813</v>
      </c>
      <c r="D3220" s="5" t="s">
        <v>16</v>
      </c>
      <c r="E3220" s="5" t="s">
        <v>41</v>
      </c>
      <c r="F3220" s="5" t="s">
        <v>371</v>
      </c>
      <c r="G3220" s="14" t="str">
        <f t="array" ref="G3220">IF(B3220="", "",
  LET(_xlpm.spell, IFERROR(IF(F3220="", "", INDEX(_xlws.FILTER(Hairstyles!$F:$F, ISNUMBER(SEARCH(F3220, Hairstyles!$B:$B))), 1)), "No Spell for Hairstyle"),
  _xlpm.vanillaPrefix, IF(LEFT(_xlpm.spell, 7)="Uvi_Wig", "", ";"),
  ";" &amp; IF(C3220="", B3220, C3220) &amp; IF(M3220="", "", " ("&amp;M3220&amp;")") &amp; CHAR(10) &amp;
  _xlpm.vanillaPrefix &amp; "Keyword = Uvi_Wig_Distr_KYWD|" &amp; B3220 &amp; CHAR(10) &amp;
  _xlpm.vanillaPrefix &amp; "Spell = " &amp; _xlpm.spell &amp; "|" &amp; B3220
  )
)</f>
        <v>;EncWarlockNecro05BossBretonF
;Keyword = Uvi_Wig_Distr_KYWD|EncWarlockNecro05BossBretonF
;Spell = No Spell for Hairstyle|EncWarlockNecro05BossBretonF</v>
      </c>
    </row>
    <row r="3221" ht="12.75" customHeight="1">
      <c r="A3221" s="15" t="s">
        <v>8814</v>
      </c>
      <c r="B3221" s="5" t="s">
        <v>8815</v>
      </c>
      <c r="D3221" s="5" t="s">
        <v>16</v>
      </c>
      <c r="E3221" s="5" t="s">
        <v>233</v>
      </c>
      <c r="F3221" s="5" t="s">
        <v>1906</v>
      </c>
      <c r="G3221" s="14" t="str">
        <f t="array" ref="G3221">IF(B3221="", "",
  LET(_xlpm.spell, IFERROR(IF(F3221="", "", INDEX(_xlws.FILTER(Hairstyles!$F:$F, ISNUMBER(SEARCH(F3221, Hairstyles!$B:$B))), 1)), "No Spell for Hairstyle"),
  _xlpm.vanillaPrefix, IF(LEFT(_xlpm.spell, 7)="Uvi_Wig", "", ";"),
  ";" &amp; IF(C3221="", B3221, C3221) &amp; IF(M3221="", "", " ("&amp;M3221&amp;")") &amp; CHAR(10) &amp;
  _xlpm.vanillaPrefix &amp; "Keyword = Uvi_Wig_Distr_KYWD|" &amp; B3221 &amp; CHAR(10) &amp;
  _xlpm.vanillaPrefix &amp; "Spell = " &amp; _xlpm.spell &amp; "|" &amp; B3221
  )
)</f>
        <v>;EncWarlockNecro05BossBretonM
;Keyword = Uvi_Wig_Distr_KYWD|EncWarlockNecro05BossBretonM
;Spell = No Spell for Hairstyle|EncWarlockNecro05BossBretonM</v>
      </c>
    </row>
    <row r="3222" ht="12.75" customHeight="1">
      <c r="A3222" s="15" t="s">
        <v>8816</v>
      </c>
      <c r="B3222" s="5" t="s">
        <v>8817</v>
      </c>
      <c r="D3222" s="5" t="s">
        <v>57</v>
      </c>
      <c r="E3222" s="5" t="s">
        <v>41</v>
      </c>
      <c r="F3222" s="5" t="s">
        <v>1691</v>
      </c>
      <c r="G3222" s="14" t="str">
        <f t="array" ref="G3222">IF(B3222="", "",
  LET(_xlpm.spell, IFERROR(IF(F3222="", "", INDEX(_xlws.FILTER(Hairstyles!$F:$F, ISNUMBER(SEARCH(F3222, Hairstyles!$B:$B))), 1)), "No Spell for Hairstyle"),
  _xlpm.vanillaPrefix, IF(LEFT(_xlpm.spell, 7)="Uvi_Wig", "", ";"),
  ";" &amp; IF(C3222="", B3222, C3222) &amp; IF(M3222="", "", " ("&amp;M3222&amp;")") &amp; CHAR(10) &amp;
  _xlpm.vanillaPrefix &amp; "Keyword = Uvi_Wig_Distr_KYWD|" &amp; B3222 &amp; CHAR(10) &amp;
  _xlpm.vanillaPrefix &amp; "Spell = " &amp; _xlpm.spell &amp; "|" &amp; B3222
  )
)</f>
        <v>;EncWarlockNecro05BossHighElfF
;Keyword = Uvi_Wig_Distr_KYWD|EncWarlockNecro05BossHighElfF
;Spell = No Spell for Hairstyle|EncWarlockNecro05BossHighElfF</v>
      </c>
    </row>
    <row r="3223" ht="12.75" customHeight="1">
      <c r="A3223" s="15" t="s">
        <v>8818</v>
      </c>
      <c r="B3223" s="5" t="s">
        <v>8819</v>
      </c>
      <c r="D3223" s="5" t="s">
        <v>57</v>
      </c>
      <c r="E3223" s="5" t="s">
        <v>233</v>
      </c>
      <c r="F3223" s="5" t="s">
        <v>1937</v>
      </c>
      <c r="G3223" s="14" t="str">
        <f t="array" ref="G3223">IF(B3223="", "",
  LET(_xlpm.spell, IFERROR(IF(F3223="", "", INDEX(_xlws.FILTER(Hairstyles!$F:$F, ISNUMBER(SEARCH(F3223, Hairstyles!$B:$B))), 1)), "No Spell for Hairstyle"),
  _xlpm.vanillaPrefix, IF(LEFT(_xlpm.spell, 7)="Uvi_Wig", "", ";"),
  ";" &amp; IF(C3223="", B3223, C3223) &amp; IF(M3223="", "", " ("&amp;M3223&amp;")") &amp; CHAR(10) &amp;
  _xlpm.vanillaPrefix &amp; "Keyword = Uvi_Wig_Distr_KYWD|" &amp; B3223 &amp; CHAR(10) &amp;
  _xlpm.vanillaPrefix &amp; "Spell = " &amp; _xlpm.spell &amp; "|" &amp; B3223
  )
)</f>
        <v>;EncWarlockNecro05BossHighElfM
;Keyword = Uvi_Wig_Distr_KYWD|EncWarlockNecro05BossHighElfM
;Spell = No Spell for Hairstyle|EncWarlockNecro05BossHighElfM</v>
      </c>
    </row>
    <row r="3224" ht="12.75" customHeight="1">
      <c r="A3224" s="5" t="s">
        <v>8820</v>
      </c>
      <c r="B3224" s="5" t="s">
        <v>8821</v>
      </c>
      <c r="D3224" s="5" t="s">
        <v>16</v>
      </c>
      <c r="E3224" s="5" t="s">
        <v>41</v>
      </c>
      <c r="F3224" s="5" t="s">
        <v>905</v>
      </c>
      <c r="G3224" s="14" t="str">
        <f t="array" ref="G3224">IF(B3224="", "",
  LET(_xlpm.spell, IFERROR(IF(F3224="", "", INDEX(_xlws.FILTER(Hairstyles!$F:$F, ISNUMBER(SEARCH(F3224, Hairstyles!$B:$B))), 1)), "No Spell for Hairstyle"),
  _xlpm.vanillaPrefix, IF(LEFT(_xlpm.spell, 7)="Uvi_Wig", "", ";"),
  ";" &amp; IF(C3224="", B3224, C3224) &amp; IF(M3224="", "", " ("&amp;M3224&amp;")") &amp; CHAR(10) &amp;
  _xlpm.vanillaPrefix &amp; "Keyword = Uvi_Wig_Distr_KYWD|" &amp; B3224 &amp; CHAR(10) &amp;
  _xlpm.vanillaPrefix &amp; "Spell = " &amp; _xlpm.spell &amp; "|" &amp; B3224
  )
)</f>
        <v>;EncWarlockNecro05BretonF
;Keyword = Uvi_Wig_Distr_KYWD|EncWarlockNecro05BretonF
;Spell = No Spell for Hairstyle|EncWarlockNecro05BretonF</v>
      </c>
    </row>
    <row r="3225" ht="12.75" customHeight="1">
      <c r="A3225" s="5" t="s">
        <v>8822</v>
      </c>
      <c r="B3225" s="5" t="s">
        <v>8823</v>
      </c>
      <c r="D3225" s="5" t="s">
        <v>16</v>
      </c>
      <c r="E3225" s="5" t="s">
        <v>233</v>
      </c>
      <c r="F3225" s="5" t="s">
        <v>19</v>
      </c>
      <c r="G3225" s="14" t="str">
        <f t="array" ref="G3225">IF(B3225="", "",
  LET(_xlpm.spell, IFERROR(IF(F3225="", "", INDEX(_xlws.FILTER(Hairstyles!$F:$F, ISNUMBER(SEARCH(F3225, Hairstyles!$B:$B))), 1)), "No Spell for Hairstyle"),
  _xlpm.vanillaPrefix, IF(LEFT(_xlpm.spell, 7)="Uvi_Wig", "", ";"),
  ";" &amp; IF(C3225="", B3225, C3225) &amp; IF(M3225="", "", " ("&amp;M3225&amp;")") &amp; CHAR(10) &amp;
  _xlpm.vanillaPrefix &amp; "Keyword = Uvi_Wig_Distr_KYWD|" &amp; B3225 &amp; CHAR(10) &amp;
  _xlpm.vanillaPrefix &amp; "Spell = " &amp; _xlpm.spell &amp; "|" &amp; B3225
  )
)</f>
        <v>;EncWarlockNecro05BretonM
;Keyword = Uvi_Wig_Distr_KYWD|EncWarlockNecro05BretonM
;Spell = No Spell for Hairstyle|EncWarlockNecro05BretonM</v>
      </c>
    </row>
    <row r="3226" ht="12.75" customHeight="1">
      <c r="A3226" s="5" t="s">
        <v>8824</v>
      </c>
      <c r="B3226" s="5" t="s">
        <v>8825</v>
      </c>
      <c r="D3226" s="5" t="s">
        <v>45</v>
      </c>
      <c r="E3226" s="5" t="s">
        <v>41</v>
      </c>
      <c r="F3226" s="5" t="s">
        <v>1854</v>
      </c>
      <c r="G3226" s="14" t="str">
        <f t="array" ref="G3226">IF(B3226="", "",
  LET(_xlpm.spell, IFERROR(IF(F3226="", "", INDEX(_xlws.FILTER(Hairstyles!$F:$F, ISNUMBER(SEARCH(F3226, Hairstyles!$B:$B))), 1)), "No Spell for Hairstyle"),
  _xlpm.vanillaPrefix, IF(LEFT(_xlpm.spell, 7)="Uvi_Wig", "", ";"),
  ";" &amp; IF(C3226="", B3226, C3226) &amp; IF(M3226="", "", " ("&amp;M3226&amp;")") &amp; CHAR(10) &amp;
  _xlpm.vanillaPrefix &amp; "Keyword = Uvi_Wig_Distr_KYWD|" &amp; B3226 &amp; CHAR(10) &amp;
  _xlpm.vanillaPrefix &amp; "Spell = " &amp; _xlpm.spell &amp; "|" &amp; B3226
  )
)</f>
        <v>;EncWarlockNecro05DarkElfF
;Keyword = Uvi_Wig_Distr_KYWD|EncWarlockNecro05DarkElfF
;Spell = No Spell for Hairstyle|EncWarlockNecro05DarkElfF</v>
      </c>
    </row>
    <row r="3227" ht="12.75" customHeight="1">
      <c r="A3227" s="5" t="s">
        <v>8826</v>
      </c>
      <c r="B3227" s="5" t="s">
        <v>8827</v>
      </c>
      <c r="D3227" s="5" t="s">
        <v>45</v>
      </c>
      <c r="E3227" s="5" t="s">
        <v>233</v>
      </c>
      <c r="F3227" s="5" t="s">
        <v>47</v>
      </c>
      <c r="G3227" s="14" t="str">
        <f t="array" ref="G3227">IF(B3227="", "",
  LET(_xlpm.spell, IFERROR(IF(F3227="", "", INDEX(_xlws.FILTER(Hairstyles!$F:$F, ISNUMBER(SEARCH(F3227, Hairstyles!$B:$B))), 1)), "No Spell for Hairstyle"),
  _xlpm.vanillaPrefix, IF(LEFT(_xlpm.spell, 7)="Uvi_Wig", "", ";"),
  ";" &amp; IF(C3227="", B3227, C3227) &amp; IF(M3227="", "", " ("&amp;M3227&amp;")") &amp; CHAR(10) &amp;
  _xlpm.vanillaPrefix &amp; "Keyword = Uvi_Wig_Distr_KYWD|" &amp; B3227 &amp; CHAR(10) &amp;
  _xlpm.vanillaPrefix &amp; "Spell = " &amp; _xlpm.spell &amp; "|" &amp; B3227
  )
)</f>
        <v>;EncWarlockNecro05DarkElfM
;Keyword = Uvi_Wig_Distr_KYWD|EncWarlockNecro05DarkElfM
;Spell = No Spell for Hairstyle|EncWarlockNecro05DarkElfM</v>
      </c>
    </row>
    <row r="3228" ht="12.75" customHeight="1">
      <c r="A3228" s="5" t="s">
        <v>8828</v>
      </c>
      <c r="B3228" s="5" t="s">
        <v>8829</v>
      </c>
      <c r="D3228" s="5" t="s">
        <v>57</v>
      </c>
      <c r="E3228" s="5" t="s">
        <v>41</v>
      </c>
      <c r="F3228" s="5" t="s">
        <v>4274</v>
      </c>
      <c r="G3228" s="14" t="str">
        <f t="array" ref="G3228">IF(B3228="", "",
  LET(_xlpm.spell, IFERROR(IF(F3228="", "", INDEX(_xlws.FILTER(Hairstyles!$F:$F, ISNUMBER(SEARCH(F3228, Hairstyles!$B:$B))), 1)), "No Spell for Hairstyle"),
  _xlpm.vanillaPrefix, IF(LEFT(_xlpm.spell, 7)="Uvi_Wig", "", ";"),
  ";" &amp; IF(C3228="", B3228, C3228) &amp; IF(M3228="", "", " ("&amp;M3228&amp;")") &amp; CHAR(10) &amp;
  _xlpm.vanillaPrefix &amp; "Keyword = Uvi_Wig_Distr_KYWD|" &amp; B3228 &amp; CHAR(10) &amp;
  _xlpm.vanillaPrefix &amp; "Spell = " &amp; _xlpm.spell &amp; "|" &amp; B3228
  )
)</f>
        <v>;EncWarlockNecro05HighElfF
;Keyword = Uvi_Wig_Distr_KYWD|EncWarlockNecro05HighElfF
;Spell = No Spell for Hairstyle|EncWarlockNecro05HighElfF</v>
      </c>
    </row>
    <row r="3229" ht="12.75" customHeight="1">
      <c r="A3229" s="5" t="s">
        <v>8830</v>
      </c>
      <c r="B3229" s="5" t="s">
        <v>8831</v>
      </c>
      <c r="D3229" s="5" t="s">
        <v>57</v>
      </c>
      <c r="E3229" s="5" t="s">
        <v>233</v>
      </c>
      <c r="F3229" s="5" t="s">
        <v>1684</v>
      </c>
      <c r="G3229" s="14" t="str">
        <f t="array" ref="G3229">IF(B3229="", "",
  LET(_xlpm.spell, IFERROR(IF(F3229="", "", INDEX(_xlws.FILTER(Hairstyles!$F:$F, ISNUMBER(SEARCH(F3229, Hairstyles!$B:$B))), 1)), "No Spell for Hairstyle"),
  _xlpm.vanillaPrefix, IF(LEFT(_xlpm.spell, 7)="Uvi_Wig", "", ";"),
  ";" &amp; IF(C3229="", B3229, C3229) &amp; IF(M3229="", "", " ("&amp;M3229&amp;")") &amp; CHAR(10) &amp;
  _xlpm.vanillaPrefix &amp; "Keyword = Uvi_Wig_Distr_KYWD|" &amp; B3229 &amp; CHAR(10) &amp;
  _xlpm.vanillaPrefix &amp; "Spell = " &amp; _xlpm.spell &amp; "|" &amp; B3229
  )
)</f>
        <v>;EncWarlockNecro05HighElfM
;Keyword = Uvi_Wig_Distr_KYWD|EncWarlockNecro05HighElfM
;Spell = No Spell for Hairstyle|EncWarlockNecro05HighElfM</v>
      </c>
    </row>
    <row r="3230" ht="12.75" customHeight="1">
      <c r="A3230" s="5" t="s">
        <v>8832</v>
      </c>
      <c r="B3230" s="5" t="s">
        <v>8833</v>
      </c>
      <c r="D3230" s="5" t="s">
        <v>59</v>
      </c>
      <c r="E3230" s="5" t="s">
        <v>41</v>
      </c>
      <c r="F3230" s="5" t="s">
        <v>1759</v>
      </c>
      <c r="G3230" s="14" t="str">
        <f t="array" ref="G3230">IF(B3230="", "",
  LET(_xlpm.spell, IFERROR(IF(F3230="", "", INDEX(_xlws.FILTER(Hairstyles!$F:$F, ISNUMBER(SEARCH(F3230, Hairstyles!$B:$B))), 1)), "No Spell for Hairstyle"),
  _xlpm.vanillaPrefix, IF(LEFT(_xlpm.spell, 7)="Uvi_Wig", "", ";"),
  ";" &amp; IF(C3230="", B3230, C3230) &amp; IF(M3230="", "", " ("&amp;M3230&amp;")") &amp; CHAR(10) &amp;
  _xlpm.vanillaPrefix &amp; "Keyword = Uvi_Wig_Distr_KYWD|" &amp; B3230 &amp; CHAR(10) &amp;
  _xlpm.vanillaPrefix &amp; "Spell = " &amp; _xlpm.spell &amp; "|" &amp; B3230
  )
)</f>
        <v>;EncWarlockNecro05ImperialF
;Keyword = Uvi_Wig_Distr_KYWD|EncWarlockNecro05ImperialF
;Spell = No Spell for Hairstyle|EncWarlockNecro05ImperialF</v>
      </c>
    </row>
    <row r="3231" ht="12.75" customHeight="1">
      <c r="A3231" s="5" t="s">
        <v>8834</v>
      </c>
      <c r="B3231" s="5" t="s">
        <v>8835</v>
      </c>
      <c r="D3231" s="5" t="s">
        <v>59</v>
      </c>
      <c r="E3231" s="5" t="s">
        <v>233</v>
      </c>
      <c r="F3231" s="5" t="s">
        <v>215</v>
      </c>
      <c r="G3231" s="14" t="str">
        <f t="array" ref="G3231">IF(B3231="", "",
  LET(_xlpm.spell, IFERROR(IF(F3231="", "", INDEX(_xlws.FILTER(Hairstyles!$F:$F, ISNUMBER(SEARCH(F3231, Hairstyles!$B:$B))), 1)), "No Spell for Hairstyle"),
  _xlpm.vanillaPrefix, IF(LEFT(_xlpm.spell, 7)="Uvi_Wig", "", ";"),
  ";" &amp; IF(C3231="", B3231, C3231) &amp; IF(M3231="", "", " ("&amp;M3231&amp;")") &amp; CHAR(10) &amp;
  _xlpm.vanillaPrefix &amp; "Keyword = Uvi_Wig_Distr_KYWD|" &amp; B3231 &amp; CHAR(10) &amp;
  _xlpm.vanillaPrefix &amp; "Spell = " &amp; _xlpm.spell &amp; "|" &amp; B3231
  )
)</f>
        <v>;EncWarlockNecro05ImperialM
;Keyword = Uvi_Wig_Distr_KYWD|EncWarlockNecro05ImperialM
;Spell = No Spell for Hairstyle|EncWarlockNecro05ImperialM</v>
      </c>
    </row>
    <row r="3232" ht="12.75" customHeight="1">
      <c r="A3232" s="15" t="s">
        <v>8836</v>
      </c>
      <c r="B3232" s="5" t="s">
        <v>8837</v>
      </c>
      <c r="D3232" s="5" t="s">
        <v>16</v>
      </c>
      <c r="E3232" s="5" t="s">
        <v>41</v>
      </c>
      <c r="F3232" s="5" t="s">
        <v>1694</v>
      </c>
      <c r="G3232" s="14" t="str">
        <f t="array" ref="G3232">IF(B3232="", "",
  LET(_xlpm.spell, IFERROR(IF(F3232="", "", INDEX(_xlws.FILTER(Hairstyles!$F:$F, ISNUMBER(SEARCH(F3232, Hairstyles!$B:$B))), 1)), "No Spell for Hairstyle"),
  _xlpm.vanillaPrefix, IF(LEFT(_xlpm.spell, 7)="Uvi_Wig", "", ";"),
  ";" &amp; IF(C3232="", B3232, C3232) &amp; IF(M3232="", "", " ("&amp;M3232&amp;")") &amp; CHAR(10) &amp;
  _xlpm.vanillaPrefix &amp; "Keyword = Uvi_Wig_Distr_KYWD|" &amp; B3232 &amp; CHAR(10) &amp;
  _xlpm.vanillaPrefix &amp; "Spell = " &amp; _xlpm.spell &amp; "|" &amp; B3232
  )
)</f>
        <v>;EncWarlockNecro06BossBretonF
;Keyword = Uvi_Wig_Distr_KYWD|EncWarlockNecro06BossBretonF
;Spell = No Spell for Hairstyle|EncWarlockNecro06BossBretonF</v>
      </c>
    </row>
    <row r="3233" ht="12.75" customHeight="1">
      <c r="A3233" s="15" t="s">
        <v>8838</v>
      </c>
      <c r="B3233" s="5" t="s">
        <v>8839</v>
      </c>
      <c r="D3233" s="5" t="s">
        <v>16</v>
      </c>
      <c r="E3233" s="5" t="s">
        <v>233</v>
      </c>
      <c r="F3233" s="5" t="s">
        <v>1553</v>
      </c>
      <c r="G3233" s="14" t="str">
        <f t="array" ref="G3233">IF(B3233="", "",
  LET(_xlpm.spell, IFERROR(IF(F3233="", "", INDEX(_xlws.FILTER(Hairstyles!$F:$F, ISNUMBER(SEARCH(F3233, Hairstyles!$B:$B))), 1)), "No Spell for Hairstyle"),
  _xlpm.vanillaPrefix, IF(LEFT(_xlpm.spell, 7)="Uvi_Wig", "", ";"),
  ";" &amp; IF(C3233="", B3233, C3233) &amp; IF(M3233="", "", " ("&amp;M3233&amp;")") &amp; CHAR(10) &amp;
  _xlpm.vanillaPrefix &amp; "Keyword = Uvi_Wig_Distr_KYWD|" &amp; B3233 &amp; CHAR(10) &amp;
  _xlpm.vanillaPrefix &amp; "Spell = " &amp; _xlpm.spell &amp; "|" &amp; B3233
  )
)</f>
        <v>;EncWarlockNecro06BossBretonM
;Keyword = Uvi_Wig_Distr_KYWD|EncWarlockNecro06BossBretonM
;Spell = No Spell for Hairstyle|EncWarlockNecro06BossBretonM</v>
      </c>
    </row>
    <row r="3234" ht="12.75" customHeight="1">
      <c r="A3234" s="15" t="s">
        <v>8840</v>
      </c>
      <c r="B3234" s="5" t="s">
        <v>8841</v>
      </c>
      <c r="D3234" s="5" t="s">
        <v>57</v>
      </c>
      <c r="E3234" s="5" t="s">
        <v>41</v>
      </c>
      <c r="F3234" s="5" t="s">
        <v>2096</v>
      </c>
      <c r="G3234" s="14" t="str">
        <f t="array" ref="G3234">IF(B3234="", "",
  LET(_xlpm.spell, IFERROR(IF(F3234="", "", INDEX(_xlws.FILTER(Hairstyles!$F:$F, ISNUMBER(SEARCH(F3234, Hairstyles!$B:$B))), 1)), "No Spell for Hairstyle"),
  _xlpm.vanillaPrefix, IF(LEFT(_xlpm.spell, 7)="Uvi_Wig", "", ";"),
  ";" &amp; IF(C3234="", B3234, C3234) &amp; IF(M3234="", "", " ("&amp;M3234&amp;")") &amp; CHAR(10) &amp;
  _xlpm.vanillaPrefix &amp; "Keyword = Uvi_Wig_Distr_KYWD|" &amp; B3234 &amp; CHAR(10) &amp;
  _xlpm.vanillaPrefix &amp; "Spell = " &amp; _xlpm.spell &amp; "|" &amp; B3234
  )
)</f>
        <v>;EncWarlockNecro06BossHighElfF
;Keyword = Uvi_Wig_Distr_KYWD|EncWarlockNecro06BossHighElfF
;Spell = No Spell for Hairstyle|EncWarlockNecro06BossHighElfF</v>
      </c>
    </row>
    <row r="3235" ht="12.75" customHeight="1">
      <c r="A3235" s="15" t="s">
        <v>8842</v>
      </c>
      <c r="B3235" s="5" t="s">
        <v>8843</v>
      </c>
      <c r="D3235" s="5" t="s">
        <v>57</v>
      </c>
      <c r="E3235" s="5" t="s">
        <v>233</v>
      </c>
      <c r="F3235" s="5" t="s">
        <v>543</v>
      </c>
      <c r="G3235" s="14" t="str">
        <f t="array" ref="G3235">IF(B3235="", "",
  LET(_xlpm.spell, IFERROR(IF(F3235="", "", INDEX(_xlws.FILTER(Hairstyles!$F:$F, ISNUMBER(SEARCH(F3235, Hairstyles!$B:$B))), 1)), "No Spell for Hairstyle"),
  _xlpm.vanillaPrefix, IF(LEFT(_xlpm.spell, 7)="Uvi_Wig", "", ";"),
  ";" &amp; IF(C3235="", B3235, C3235) &amp; IF(M3235="", "", " ("&amp;M3235&amp;")") &amp; CHAR(10) &amp;
  _xlpm.vanillaPrefix &amp; "Keyword = Uvi_Wig_Distr_KYWD|" &amp; B3235 &amp; CHAR(10) &amp;
  _xlpm.vanillaPrefix &amp; "Spell = " &amp; _xlpm.spell &amp; "|" &amp; B3235
  )
)</f>
        <v>;EncWarlockNecro06BossHighElfM
;Keyword = Uvi_Wig_Distr_KYWD|EncWarlockNecro06BossHighElfM
;Spell = No Spell for Hairstyle|EncWarlockNecro06BossHighElfM</v>
      </c>
    </row>
    <row r="3236" ht="12.75" customHeight="1">
      <c r="A3236" s="5" t="s">
        <v>8844</v>
      </c>
      <c r="B3236" s="5" t="s">
        <v>8845</v>
      </c>
      <c r="D3236" s="5" t="s">
        <v>16</v>
      </c>
      <c r="E3236" s="5" t="s">
        <v>41</v>
      </c>
      <c r="F3236" s="5" t="s">
        <v>42</v>
      </c>
      <c r="G3236" s="14" t="str">
        <f t="array" ref="G3236">IF(B3236="", "",
  LET(_xlpm.spell, IFERROR(IF(F3236="", "", INDEX(_xlws.FILTER(Hairstyles!$F:$F, ISNUMBER(SEARCH(F3236, Hairstyles!$B:$B))), 1)), "No Spell for Hairstyle"),
  _xlpm.vanillaPrefix, IF(LEFT(_xlpm.spell, 7)="Uvi_Wig", "", ";"),
  ";" &amp; IF(C3236="", B3236, C3236) &amp; IF(M3236="", "", " ("&amp;M3236&amp;")") &amp; CHAR(10) &amp;
  _xlpm.vanillaPrefix &amp; "Keyword = Uvi_Wig_Distr_KYWD|" &amp; B3236 &amp; CHAR(10) &amp;
  _xlpm.vanillaPrefix &amp; "Spell = " &amp; _xlpm.spell &amp; "|" &amp; B3236
  )
)</f>
        <v>;EncWarlockNecro06BretonF
;Keyword = Uvi_Wig_Distr_KYWD|EncWarlockNecro06BretonF
;Spell = No Spell for Hairstyle|EncWarlockNecro06BretonF</v>
      </c>
    </row>
    <row r="3237" ht="12.75" customHeight="1">
      <c r="A3237" s="5" t="s">
        <v>8846</v>
      </c>
      <c r="B3237" s="5" t="s">
        <v>8847</v>
      </c>
      <c r="D3237" s="5" t="s">
        <v>16</v>
      </c>
      <c r="E3237" s="5" t="s">
        <v>233</v>
      </c>
      <c r="F3237" s="5" t="s">
        <v>19</v>
      </c>
      <c r="G3237" s="14" t="str">
        <f t="array" ref="G3237">IF(B3237="", "",
  LET(_xlpm.spell, IFERROR(IF(F3237="", "", INDEX(_xlws.FILTER(Hairstyles!$F:$F, ISNUMBER(SEARCH(F3237, Hairstyles!$B:$B))), 1)), "No Spell for Hairstyle"),
  _xlpm.vanillaPrefix, IF(LEFT(_xlpm.spell, 7)="Uvi_Wig", "", ";"),
  ";" &amp; IF(C3237="", B3237, C3237) &amp; IF(M3237="", "", " ("&amp;M3237&amp;")") &amp; CHAR(10) &amp;
  _xlpm.vanillaPrefix &amp; "Keyword = Uvi_Wig_Distr_KYWD|" &amp; B3237 &amp; CHAR(10) &amp;
  _xlpm.vanillaPrefix &amp; "Spell = " &amp; _xlpm.spell &amp; "|" &amp; B3237
  )
)</f>
        <v>;EncWarlockNecro06BretonM
;Keyword = Uvi_Wig_Distr_KYWD|EncWarlockNecro06BretonM
;Spell = No Spell for Hairstyle|EncWarlockNecro06BretonM</v>
      </c>
    </row>
    <row r="3238" ht="12.75" customHeight="1">
      <c r="A3238" s="5" t="s">
        <v>8848</v>
      </c>
      <c r="B3238" s="5" t="s">
        <v>8849</v>
      </c>
      <c r="D3238" s="5" t="s">
        <v>45</v>
      </c>
      <c r="E3238" s="5" t="s">
        <v>41</v>
      </c>
      <c r="F3238" s="5" t="s">
        <v>491</v>
      </c>
      <c r="G3238" s="14" t="str">
        <f t="array" ref="G3238">IF(B3238="", "",
  LET(_xlpm.spell, IFERROR(IF(F3238="", "", INDEX(_xlws.FILTER(Hairstyles!$F:$F, ISNUMBER(SEARCH(F3238, Hairstyles!$B:$B))), 1)), "No Spell for Hairstyle"),
  _xlpm.vanillaPrefix, IF(LEFT(_xlpm.spell, 7)="Uvi_Wig", "", ";"),
  ";" &amp; IF(C3238="", B3238, C3238) &amp; IF(M3238="", "", " ("&amp;M3238&amp;")") &amp; CHAR(10) &amp;
  _xlpm.vanillaPrefix &amp; "Keyword = Uvi_Wig_Distr_KYWD|" &amp; B3238 &amp; CHAR(10) &amp;
  _xlpm.vanillaPrefix &amp; "Spell = " &amp; _xlpm.spell &amp; "|" &amp; B3238
  )
)</f>
        <v>;EncWarlockNecro06DarkElfF
;Keyword = Uvi_Wig_Distr_KYWD|EncWarlockNecro06DarkElfF
;Spell = No Spell for Hairstyle|EncWarlockNecro06DarkElfF</v>
      </c>
    </row>
    <row r="3239" ht="12.75" customHeight="1">
      <c r="A3239" s="5" t="s">
        <v>8850</v>
      </c>
      <c r="B3239" s="5" t="s">
        <v>8851</v>
      </c>
      <c r="D3239" s="5" t="s">
        <v>45</v>
      </c>
      <c r="E3239" s="5" t="s">
        <v>233</v>
      </c>
      <c r="F3239" s="5" t="s">
        <v>2469</v>
      </c>
      <c r="G3239" s="14" t="str">
        <f t="array" ref="G3239">IF(B3239="", "",
  LET(_xlpm.spell, IFERROR(IF(F3239="", "", INDEX(_xlws.FILTER(Hairstyles!$F:$F, ISNUMBER(SEARCH(F3239, Hairstyles!$B:$B))), 1)), "No Spell for Hairstyle"),
  _xlpm.vanillaPrefix, IF(LEFT(_xlpm.spell, 7)="Uvi_Wig", "", ";"),
  ";" &amp; IF(C3239="", B3239, C3239) &amp; IF(M3239="", "", " ("&amp;M3239&amp;")") &amp; CHAR(10) &amp;
  _xlpm.vanillaPrefix &amp; "Keyword = Uvi_Wig_Distr_KYWD|" &amp; B3239 &amp; CHAR(10) &amp;
  _xlpm.vanillaPrefix &amp; "Spell = " &amp; _xlpm.spell &amp; "|" &amp; B3239
  )
)</f>
        <v>;EncWarlockNecro06DarkElfM
;Keyword = Uvi_Wig_Distr_KYWD|EncWarlockNecro06DarkElfM
;Spell = No Spell for Hairstyle|EncWarlockNecro06DarkElfM</v>
      </c>
    </row>
    <row r="3240" ht="12.75" customHeight="1">
      <c r="A3240" s="5" t="s">
        <v>8852</v>
      </c>
      <c r="B3240" s="5" t="s">
        <v>8853</v>
      </c>
      <c r="D3240" s="5" t="s">
        <v>57</v>
      </c>
      <c r="E3240" s="5" t="s">
        <v>41</v>
      </c>
      <c r="F3240" s="5" t="s">
        <v>2380</v>
      </c>
      <c r="G3240" s="14" t="str">
        <f t="array" ref="G3240">IF(B3240="", "",
  LET(_xlpm.spell, IFERROR(IF(F3240="", "", INDEX(_xlws.FILTER(Hairstyles!$F:$F, ISNUMBER(SEARCH(F3240, Hairstyles!$B:$B))), 1)), "No Spell for Hairstyle"),
  _xlpm.vanillaPrefix, IF(LEFT(_xlpm.spell, 7)="Uvi_Wig", "", ";"),
  ";" &amp; IF(C3240="", B3240, C3240) &amp; IF(M3240="", "", " ("&amp;M3240&amp;")") &amp; CHAR(10) &amp;
  _xlpm.vanillaPrefix &amp; "Keyword = Uvi_Wig_Distr_KYWD|" &amp; B3240 &amp; CHAR(10) &amp;
  _xlpm.vanillaPrefix &amp; "Spell = " &amp; _xlpm.spell &amp; "|" &amp; B3240
  )
)</f>
        <v>;EncWarlockNecro06HighElfF
;Keyword = Uvi_Wig_Distr_KYWD|EncWarlockNecro06HighElfF
;Spell = No Spell for Hairstyle|EncWarlockNecro06HighElfF</v>
      </c>
    </row>
    <row r="3241" ht="12.75" customHeight="1">
      <c r="A3241" s="5" t="s">
        <v>8854</v>
      </c>
      <c r="B3241" s="5" t="s">
        <v>8855</v>
      </c>
      <c r="D3241" s="5" t="s">
        <v>57</v>
      </c>
      <c r="E3241" s="5" t="s">
        <v>233</v>
      </c>
      <c r="F3241" s="5" t="s">
        <v>1667</v>
      </c>
      <c r="G3241" s="14" t="str">
        <f t="array" ref="G3241">IF(B3241="", "",
  LET(_xlpm.spell, IFERROR(IF(F3241="", "", INDEX(_xlws.FILTER(Hairstyles!$F:$F, ISNUMBER(SEARCH(F3241, Hairstyles!$B:$B))), 1)), "No Spell for Hairstyle"),
  _xlpm.vanillaPrefix, IF(LEFT(_xlpm.spell, 7)="Uvi_Wig", "", ";"),
  ";" &amp; IF(C3241="", B3241, C3241) &amp; IF(M3241="", "", " ("&amp;M3241&amp;")") &amp; CHAR(10) &amp;
  _xlpm.vanillaPrefix &amp; "Keyword = Uvi_Wig_Distr_KYWD|" &amp; B3241 &amp; CHAR(10) &amp;
  _xlpm.vanillaPrefix &amp; "Spell = " &amp; _xlpm.spell &amp; "|" &amp; B3241
  )
)</f>
        <v>;EncWarlockNecro06HighElfM
;Keyword = Uvi_Wig_Distr_KYWD|EncWarlockNecro06HighElfM
;Spell = No Spell for Hairstyle|EncWarlockNecro06HighElfM</v>
      </c>
    </row>
    <row r="3242" ht="12.75" customHeight="1">
      <c r="A3242" s="5" t="s">
        <v>8856</v>
      </c>
      <c r="B3242" s="5" t="s">
        <v>8857</v>
      </c>
      <c r="D3242" s="5" t="s">
        <v>59</v>
      </c>
      <c r="E3242" s="5" t="s">
        <v>41</v>
      </c>
      <c r="F3242" s="5" t="s">
        <v>42</v>
      </c>
      <c r="G3242" s="14" t="str">
        <f t="array" ref="G3242">IF(B3242="", "",
  LET(_xlpm.spell, IFERROR(IF(F3242="", "", INDEX(_xlws.FILTER(Hairstyles!$F:$F, ISNUMBER(SEARCH(F3242, Hairstyles!$B:$B))), 1)), "No Spell for Hairstyle"),
  _xlpm.vanillaPrefix, IF(LEFT(_xlpm.spell, 7)="Uvi_Wig", "", ";"),
  ";" &amp; IF(C3242="", B3242, C3242) &amp; IF(M3242="", "", " ("&amp;M3242&amp;")") &amp; CHAR(10) &amp;
  _xlpm.vanillaPrefix &amp; "Keyword = Uvi_Wig_Distr_KYWD|" &amp; B3242 &amp; CHAR(10) &amp;
  _xlpm.vanillaPrefix &amp; "Spell = " &amp; _xlpm.spell &amp; "|" &amp; B3242
  )
)</f>
        <v>;EncWarlockNecro06ImperialF
;Keyword = Uvi_Wig_Distr_KYWD|EncWarlockNecro06ImperialF
;Spell = No Spell for Hairstyle|EncWarlockNecro06ImperialF</v>
      </c>
    </row>
    <row r="3243" ht="12.75" customHeight="1">
      <c r="A3243" s="5" t="s">
        <v>8858</v>
      </c>
      <c r="B3243" s="5" t="s">
        <v>8859</v>
      </c>
      <c r="D3243" s="5" t="s">
        <v>59</v>
      </c>
      <c r="E3243" s="5" t="s">
        <v>233</v>
      </c>
      <c r="F3243" s="5" t="s">
        <v>1088</v>
      </c>
      <c r="G3243" s="14" t="str">
        <f t="array" ref="G3243">IF(B3243="", "",
  LET(_xlpm.spell, IFERROR(IF(F3243="", "", INDEX(_xlws.FILTER(Hairstyles!$F:$F, ISNUMBER(SEARCH(F3243, Hairstyles!$B:$B))), 1)), "No Spell for Hairstyle"),
  _xlpm.vanillaPrefix, IF(LEFT(_xlpm.spell, 7)="Uvi_Wig", "", ";"),
  ";" &amp; IF(C3243="", B3243, C3243) &amp; IF(M3243="", "", " ("&amp;M3243&amp;")") &amp; CHAR(10) &amp;
  _xlpm.vanillaPrefix &amp; "Keyword = Uvi_Wig_Distr_KYWD|" &amp; B3243 &amp; CHAR(10) &amp;
  _xlpm.vanillaPrefix &amp; "Spell = " &amp; _xlpm.spell &amp; "|" &amp; B3243
  )
)</f>
        <v>;EncWarlockNecro06ImperialM
;Keyword = Uvi_Wig_Distr_KYWD|EncWarlockNecro06ImperialM
;Spell = No Spell for Hairstyle|EncWarlockNecro06ImperialM</v>
      </c>
    </row>
    <row r="3244" ht="12.75" customHeight="1">
      <c r="A3244" s="5" t="s">
        <v>8860</v>
      </c>
      <c r="B3244" s="5" t="s">
        <v>8861</v>
      </c>
      <c r="D3244" s="5" t="s">
        <v>16</v>
      </c>
      <c r="E3244" s="5" t="s">
        <v>41</v>
      </c>
      <c r="F3244" s="5" t="s">
        <v>1694</v>
      </c>
      <c r="G3244" s="14" t="str">
        <f t="array" ref="G3244">IF(B3244="", "",
  LET(_xlpm.spell, IFERROR(IF(F3244="", "", INDEX(_xlws.FILTER(Hairstyles!$F:$F, ISNUMBER(SEARCH(F3244, Hairstyles!$B:$B))), 1)), "No Spell for Hairstyle"),
  _xlpm.vanillaPrefix, IF(LEFT(_xlpm.spell, 7)="Uvi_Wig", "", ";"),
  ";" &amp; IF(C3244="", B3244, C3244) &amp; IF(M3244="", "", " ("&amp;M3244&amp;")") &amp; CHAR(10) &amp;
  _xlpm.vanillaPrefix &amp; "Keyword = Uvi_Wig_Distr_KYWD|" &amp; B3244 &amp; CHAR(10) &amp;
  _xlpm.vanillaPrefix &amp; "Spell = " &amp; _xlpm.spell &amp; "|" &amp; B3244
  )
)</f>
        <v>;EncWarlockNecro07BossBretonF
;Keyword = Uvi_Wig_Distr_KYWD|EncWarlockNecro07BossBretonF
;Spell = No Spell for Hairstyle|EncWarlockNecro07BossBretonF</v>
      </c>
    </row>
    <row r="3245" ht="12.75" customHeight="1">
      <c r="A3245" s="5" t="s">
        <v>8862</v>
      </c>
      <c r="B3245" s="5" t="s">
        <v>8863</v>
      </c>
      <c r="D3245" s="5" t="s">
        <v>57</v>
      </c>
      <c r="E3245" s="5" t="s">
        <v>233</v>
      </c>
      <c r="F3245" s="5" t="s">
        <v>543</v>
      </c>
      <c r="G3245" s="14" t="str">
        <f t="array" ref="G3245">IF(B3245="", "",
  LET(_xlpm.spell, IFERROR(IF(F3245="", "", INDEX(_xlws.FILTER(Hairstyles!$F:$F, ISNUMBER(SEARCH(F3245, Hairstyles!$B:$B))), 1)), "No Spell for Hairstyle"),
  _xlpm.vanillaPrefix, IF(LEFT(_xlpm.spell, 7)="Uvi_Wig", "", ";"),
  ";" &amp; IF(C3245="", B3245, C3245) &amp; IF(M3245="", "", " ("&amp;M3245&amp;")") &amp; CHAR(10) &amp;
  _xlpm.vanillaPrefix &amp; "Keyword = Uvi_Wig_Distr_KYWD|" &amp; B3245 &amp; CHAR(10) &amp;
  _xlpm.vanillaPrefix &amp; "Spell = " &amp; _xlpm.spell &amp; "|" &amp; B3245
  )
)</f>
        <v>;EncWarlockNecro07BossHighElfM
;Keyword = Uvi_Wig_Distr_KYWD|EncWarlockNecro07BossHighElfM
;Spell = No Spell for Hairstyle|EncWarlockNecro07BossHighElfM</v>
      </c>
    </row>
    <row r="3246" ht="12.75" customHeight="1">
      <c r="A3246" s="5" t="s">
        <v>8864</v>
      </c>
      <c r="B3246" s="5" t="s">
        <v>8865</v>
      </c>
      <c r="D3246" s="5" t="s">
        <v>16</v>
      </c>
      <c r="E3246" s="5" t="s">
        <v>41</v>
      </c>
      <c r="F3246" s="5" t="s">
        <v>42</v>
      </c>
      <c r="G3246" s="14" t="str">
        <f t="array" ref="G3246">IF(B3246="", "",
  LET(_xlpm.spell, IFERROR(IF(F3246="", "", INDEX(_xlws.FILTER(Hairstyles!$F:$F, ISNUMBER(SEARCH(F3246, Hairstyles!$B:$B))), 1)), "No Spell for Hairstyle"),
  _xlpm.vanillaPrefix, IF(LEFT(_xlpm.spell, 7)="Uvi_Wig", "", ";"),
  ";" &amp; IF(C3246="", B3246, C3246) &amp; IF(M3246="", "", " ("&amp;M3246&amp;")") &amp; CHAR(10) &amp;
  _xlpm.vanillaPrefix &amp; "Keyword = Uvi_Wig_Distr_KYWD|" &amp; B3246 &amp; CHAR(10) &amp;
  _xlpm.vanillaPrefix &amp; "Spell = " &amp; _xlpm.spell &amp; "|" &amp; B3246
  )
)</f>
        <v>;EncWarlockNecro07BretonF
;Keyword = Uvi_Wig_Distr_KYWD|EncWarlockNecro07BretonF
;Spell = No Spell for Hairstyle|EncWarlockNecro07BretonF</v>
      </c>
    </row>
    <row r="3247" ht="12.75" customHeight="1">
      <c r="A3247" s="5" t="s">
        <v>8866</v>
      </c>
      <c r="B3247" s="5" t="s">
        <v>8867</v>
      </c>
      <c r="D3247" s="5" t="s">
        <v>57</v>
      </c>
      <c r="E3247" s="5" t="s">
        <v>233</v>
      </c>
      <c r="F3247" s="5" t="s">
        <v>1667</v>
      </c>
      <c r="G3247" s="14" t="str">
        <f t="array" ref="G3247">IF(B3247="", "",
  LET(_xlpm.spell, IFERROR(IF(F3247="", "", INDEX(_xlws.FILTER(Hairstyles!$F:$F, ISNUMBER(SEARCH(F3247, Hairstyles!$B:$B))), 1)), "No Spell for Hairstyle"),
  _xlpm.vanillaPrefix, IF(LEFT(_xlpm.spell, 7)="Uvi_Wig", "", ";"),
  ";" &amp; IF(C3247="", B3247, C3247) &amp; IF(M3247="", "", " ("&amp;M3247&amp;")") &amp; CHAR(10) &amp;
  _xlpm.vanillaPrefix &amp; "Keyword = Uvi_Wig_Distr_KYWD|" &amp; B3247 &amp; CHAR(10) &amp;
  _xlpm.vanillaPrefix &amp; "Spell = " &amp; _xlpm.spell &amp; "|" &amp; B3247
  )
)</f>
        <v>;EncWarlockNecro07HighElfM
;Keyword = Uvi_Wig_Distr_KYWD|EncWarlockNecro07HighElfM
;Spell = No Spell for Hairstyle|EncWarlockNecro07HighElfM</v>
      </c>
    </row>
    <row r="3248" ht="12.75" customHeight="1">
      <c r="A3248" s="5" t="s">
        <v>8868</v>
      </c>
      <c r="B3248" s="5" t="s">
        <v>8869</v>
      </c>
      <c r="D3248" s="5" t="s">
        <v>16</v>
      </c>
      <c r="E3248" s="5" t="s">
        <v>41</v>
      </c>
      <c r="F3248" s="5" t="s">
        <v>42</v>
      </c>
      <c r="G3248" s="14" t="str">
        <f t="array" ref="G3248">IF(B3248="", "",
  LET(_xlpm.spell, IFERROR(IF(F3248="", "", INDEX(_xlws.FILTER(Hairstyles!$F:$F, ISNUMBER(SEARCH(F3248, Hairstyles!$B:$B))), 1)), "No Spell for Hairstyle"),
  _xlpm.vanillaPrefix, IF(LEFT(_xlpm.spell, 7)="Uvi_Wig", "", ";"),
  ";" &amp; IF(C3248="", B3248, C3248) &amp; IF(M3248="", "", " ("&amp;M3248&amp;")") &amp; CHAR(10) &amp;
  _xlpm.vanillaPrefix &amp; "Keyword = Uvi_Wig_Distr_KYWD|" &amp; B3248 &amp; CHAR(10) &amp;
  _xlpm.vanillaPrefix &amp; "Spell = " &amp; _xlpm.spell &amp; "|" &amp; B3248
  )
)</f>
        <v>;EncWarlockStorm01BretonF
;Keyword = Uvi_Wig_Distr_KYWD|EncWarlockStorm01BretonF
;Spell = No Spell for Hairstyle|EncWarlockStorm01BretonF</v>
      </c>
    </row>
    <row r="3249" ht="12.75" customHeight="1">
      <c r="A3249" s="5" t="s">
        <v>8870</v>
      </c>
      <c r="B3249" s="5" t="s">
        <v>8871</v>
      </c>
      <c r="D3249" s="5" t="s">
        <v>16</v>
      </c>
      <c r="E3249" s="5" t="s">
        <v>233</v>
      </c>
      <c r="F3249" s="5" t="s">
        <v>234</v>
      </c>
      <c r="G3249" s="14" t="str">
        <f t="array" ref="G3249">IF(B3249="", "",
  LET(_xlpm.spell, IFERROR(IF(F3249="", "", INDEX(_xlws.FILTER(Hairstyles!$F:$F, ISNUMBER(SEARCH(F3249, Hairstyles!$B:$B))), 1)), "No Spell for Hairstyle"),
  _xlpm.vanillaPrefix, IF(LEFT(_xlpm.spell, 7)="Uvi_Wig", "", ";"),
  ";" &amp; IF(C3249="", B3249, C3249) &amp; IF(M3249="", "", " ("&amp;M3249&amp;")") &amp; CHAR(10) &amp;
  _xlpm.vanillaPrefix &amp; "Keyword = Uvi_Wig_Distr_KYWD|" &amp; B3249 &amp; CHAR(10) &amp;
  _xlpm.vanillaPrefix &amp; "Spell = " &amp; _xlpm.spell &amp; "|" &amp; B3249
  )
)</f>
        <v>;EncWarlockStorm01BretonM
;Keyword = Uvi_Wig_Distr_KYWD|EncWarlockStorm01BretonM
;Spell = No Spell for Hairstyle|EncWarlockStorm01BretonM</v>
      </c>
    </row>
    <row r="3250" ht="12.75" customHeight="1">
      <c r="A3250" s="5" t="s">
        <v>8872</v>
      </c>
      <c r="B3250" s="5" t="s">
        <v>8873</v>
      </c>
      <c r="D3250" s="5" t="s">
        <v>45</v>
      </c>
      <c r="E3250" s="5" t="s">
        <v>41</v>
      </c>
      <c r="F3250" s="5" t="s">
        <v>2034</v>
      </c>
      <c r="G3250" s="14" t="str">
        <f t="array" ref="G3250">IF(B3250="", "",
  LET(_xlpm.spell, IFERROR(IF(F3250="", "", INDEX(_xlws.FILTER(Hairstyles!$F:$F, ISNUMBER(SEARCH(F3250, Hairstyles!$B:$B))), 1)), "No Spell for Hairstyle"),
  _xlpm.vanillaPrefix, IF(LEFT(_xlpm.spell, 7)="Uvi_Wig", "", ";"),
  ";" &amp; IF(C3250="", B3250, C3250) &amp; IF(M3250="", "", " ("&amp;M3250&amp;")") &amp; CHAR(10) &amp;
  _xlpm.vanillaPrefix &amp; "Keyword = Uvi_Wig_Distr_KYWD|" &amp; B3250 &amp; CHAR(10) &amp;
  _xlpm.vanillaPrefix &amp; "Spell = " &amp; _xlpm.spell &amp; "|" &amp; B3250
  )
)</f>
        <v>;EncWarlockStorm01DarkElfF
;Keyword = Uvi_Wig_Distr_KYWD|EncWarlockStorm01DarkElfF
;Spell = No Spell for Hairstyle|EncWarlockStorm01DarkElfF</v>
      </c>
    </row>
    <row r="3251" ht="12.75" customHeight="1">
      <c r="A3251" s="5" t="s">
        <v>8874</v>
      </c>
      <c r="B3251" s="5" t="s">
        <v>8875</v>
      </c>
      <c r="D3251" s="5" t="s">
        <v>45</v>
      </c>
      <c r="E3251" s="5" t="s">
        <v>233</v>
      </c>
      <c r="F3251" s="5" t="s">
        <v>543</v>
      </c>
      <c r="G3251" s="14" t="str">
        <f t="array" ref="G3251">IF(B3251="", "",
  LET(_xlpm.spell, IFERROR(IF(F3251="", "", INDEX(_xlws.FILTER(Hairstyles!$F:$F, ISNUMBER(SEARCH(F3251, Hairstyles!$B:$B))), 1)), "No Spell for Hairstyle"),
  _xlpm.vanillaPrefix, IF(LEFT(_xlpm.spell, 7)="Uvi_Wig", "", ";"),
  ";" &amp; IF(C3251="", B3251, C3251) &amp; IF(M3251="", "", " ("&amp;M3251&amp;")") &amp; CHAR(10) &amp;
  _xlpm.vanillaPrefix &amp; "Keyword = Uvi_Wig_Distr_KYWD|" &amp; B3251 &amp; CHAR(10) &amp;
  _xlpm.vanillaPrefix &amp; "Spell = " &amp; _xlpm.spell &amp; "|" &amp; B3251
  )
)</f>
        <v>;EncWarlockStorm01DarkElfM
;Keyword = Uvi_Wig_Distr_KYWD|EncWarlockStorm01DarkElfM
;Spell = No Spell for Hairstyle|EncWarlockStorm01DarkElfM</v>
      </c>
    </row>
    <row r="3252" ht="12.75" customHeight="1">
      <c r="A3252" s="5" t="s">
        <v>8876</v>
      </c>
      <c r="B3252" s="5" t="s">
        <v>8877</v>
      </c>
      <c r="D3252" s="5" t="s">
        <v>57</v>
      </c>
      <c r="E3252" s="5" t="s">
        <v>41</v>
      </c>
      <c r="F3252" s="5" t="s">
        <v>1854</v>
      </c>
      <c r="G3252" s="14" t="str">
        <f t="array" ref="G3252">IF(B3252="", "",
  LET(_xlpm.spell, IFERROR(IF(F3252="", "", INDEX(_xlws.FILTER(Hairstyles!$F:$F, ISNUMBER(SEARCH(F3252, Hairstyles!$B:$B))), 1)), "No Spell for Hairstyle"),
  _xlpm.vanillaPrefix, IF(LEFT(_xlpm.spell, 7)="Uvi_Wig", "", ";"),
  ";" &amp; IF(C3252="", B3252, C3252) &amp; IF(M3252="", "", " ("&amp;M3252&amp;")") &amp; CHAR(10) &amp;
  _xlpm.vanillaPrefix &amp; "Keyword = Uvi_Wig_Distr_KYWD|" &amp; B3252 &amp; CHAR(10) &amp;
  _xlpm.vanillaPrefix &amp; "Spell = " &amp; _xlpm.spell &amp; "|" &amp; B3252
  )
)</f>
        <v>;EncWarlockStorm01HighElfF
;Keyword = Uvi_Wig_Distr_KYWD|EncWarlockStorm01HighElfF
;Spell = No Spell for Hairstyle|EncWarlockStorm01HighElfF</v>
      </c>
    </row>
    <row r="3253" ht="12.75" customHeight="1">
      <c r="A3253" s="5" t="s">
        <v>8878</v>
      </c>
      <c r="B3253" s="5" t="s">
        <v>8879</v>
      </c>
      <c r="D3253" s="5" t="s">
        <v>57</v>
      </c>
      <c r="E3253" s="5" t="s">
        <v>233</v>
      </c>
      <c r="F3253" s="5" t="s">
        <v>47</v>
      </c>
      <c r="G3253" s="14" t="str">
        <f t="array" ref="G3253">IF(B3253="", "",
  LET(_xlpm.spell, IFERROR(IF(F3253="", "", INDEX(_xlws.FILTER(Hairstyles!$F:$F, ISNUMBER(SEARCH(F3253, Hairstyles!$B:$B))), 1)), "No Spell for Hairstyle"),
  _xlpm.vanillaPrefix, IF(LEFT(_xlpm.spell, 7)="Uvi_Wig", "", ";"),
  ";" &amp; IF(C3253="", B3253, C3253) &amp; IF(M3253="", "", " ("&amp;M3253&amp;")") &amp; CHAR(10) &amp;
  _xlpm.vanillaPrefix &amp; "Keyword = Uvi_Wig_Distr_KYWD|" &amp; B3253 &amp; CHAR(10) &amp;
  _xlpm.vanillaPrefix &amp; "Spell = " &amp; _xlpm.spell &amp; "|" &amp; B3253
  )
)</f>
        <v>;EncWarlockStorm01HighElfM
;Keyword = Uvi_Wig_Distr_KYWD|EncWarlockStorm01HighElfM
;Spell = No Spell for Hairstyle|EncWarlockStorm01HighElfM</v>
      </c>
    </row>
    <row r="3254" ht="12.75" customHeight="1">
      <c r="A3254" s="5" t="s">
        <v>8880</v>
      </c>
      <c r="B3254" s="5" t="s">
        <v>8881</v>
      </c>
      <c r="D3254" s="5" t="s">
        <v>59</v>
      </c>
      <c r="E3254" s="5" t="s">
        <v>41</v>
      </c>
      <c r="F3254" s="5" t="s">
        <v>371</v>
      </c>
      <c r="G3254" s="14" t="str">
        <f t="array" ref="G3254">IF(B3254="", "",
  LET(_xlpm.spell, IFERROR(IF(F3254="", "", INDEX(_xlws.FILTER(Hairstyles!$F:$F, ISNUMBER(SEARCH(F3254, Hairstyles!$B:$B))), 1)), "No Spell for Hairstyle"),
  _xlpm.vanillaPrefix, IF(LEFT(_xlpm.spell, 7)="Uvi_Wig", "", ";"),
  ";" &amp; IF(C3254="", B3254, C3254) &amp; IF(M3254="", "", " ("&amp;M3254&amp;")") &amp; CHAR(10) &amp;
  _xlpm.vanillaPrefix &amp; "Keyword = Uvi_Wig_Distr_KYWD|" &amp; B3254 &amp; CHAR(10) &amp;
  _xlpm.vanillaPrefix &amp; "Spell = " &amp; _xlpm.spell &amp; "|" &amp; B3254
  )
)</f>
        <v>;EncWarlockStorm01ImperialF
;Keyword = Uvi_Wig_Distr_KYWD|EncWarlockStorm01ImperialF
;Spell = No Spell for Hairstyle|EncWarlockStorm01ImperialF</v>
      </c>
    </row>
    <row r="3255" ht="12.75" customHeight="1">
      <c r="A3255" s="5" t="s">
        <v>8882</v>
      </c>
      <c r="B3255" s="5" t="s">
        <v>8883</v>
      </c>
      <c r="D3255" s="5" t="s">
        <v>59</v>
      </c>
      <c r="E3255" s="5" t="s">
        <v>233</v>
      </c>
      <c r="F3255" s="5" t="s">
        <v>224</v>
      </c>
      <c r="G3255" s="14" t="str">
        <f t="array" ref="G3255">IF(B3255="", "",
  LET(_xlpm.spell, IFERROR(IF(F3255="", "", INDEX(_xlws.FILTER(Hairstyles!$F:$F, ISNUMBER(SEARCH(F3255, Hairstyles!$B:$B))), 1)), "No Spell for Hairstyle"),
  _xlpm.vanillaPrefix, IF(LEFT(_xlpm.spell, 7)="Uvi_Wig", "", ";"),
  ";" &amp; IF(C3255="", B3255, C3255) &amp; IF(M3255="", "", " ("&amp;M3255&amp;")") &amp; CHAR(10) &amp;
  _xlpm.vanillaPrefix &amp; "Keyword = Uvi_Wig_Distr_KYWD|" &amp; B3255 &amp; CHAR(10) &amp;
  _xlpm.vanillaPrefix &amp; "Spell = " &amp; _xlpm.spell &amp; "|" &amp; B3255
  )
)</f>
        <v>;EncWarlockStorm01ImperialM
;Keyword = Uvi_Wig_Distr_KYWD|EncWarlockStorm01ImperialM
;Spell = No Spell for Hairstyle|EncWarlockStorm01ImperialM</v>
      </c>
    </row>
    <row r="3256" ht="12.75" customHeight="1">
      <c r="A3256" s="15" t="s">
        <v>8884</v>
      </c>
      <c r="B3256" s="5" t="s">
        <v>8885</v>
      </c>
      <c r="D3256" s="5" t="s">
        <v>16</v>
      </c>
      <c r="E3256" s="5" t="s">
        <v>41</v>
      </c>
      <c r="F3256" s="5" t="s">
        <v>44</v>
      </c>
      <c r="G3256" s="14" t="str">
        <f t="array" ref="G3256">IF(B3256="", "",
  LET(_xlpm.spell, IFERROR(IF(F3256="", "", INDEX(_xlws.FILTER(Hairstyles!$F:$F, ISNUMBER(SEARCH(F3256, Hairstyles!$B:$B))), 1)), "No Spell for Hairstyle"),
  _xlpm.vanillaPrefix, IF(LEFT(_xlpm.spell, 7)="Uvi_Wig", "", ";"),
  ";" &amp; IF(C3256="", B3256, C3256) &amp; IF(M3256="", "", " ("&amp;M3256&amp;")") &amp; CHAR(10) &amp;
  _xlpm.vanillaPrefix &amp; "Keyword = Uvi_Wig_Distr_KYWD|" &amp; B3256 &amp; CHAR(10) &amp;
  _xlpm.vanillaPrefix &amp; "Spell = " &amp; _xlpm.spell &amp; "|" &amp; B3256
  )
)</f>
        <v>;EncWarlockStorm02BossBretonF
;Keyword = Uvi_Wig_Distr_KYWD|EncWarlockStorm02BossBretonF
;Spell = No Spell for Hairstyle|EncWarlockStorm02BossBretonF</v>
      </c>
    </row>
    <row r="3257" ht="12.75" customHeight="1">
      <c r="A3257" s="15" t="s">
        <v>8886</v>
      </c>
      <c r="B3257" s="5" t="s">
        <v>8887</v>
      </c>
      <c r="D3257" s="5" t="s">
        <v>16</v>
      </c>
      <c r="E3257" s="5" t="s">
        <v>233</v>
      </c>
      <c r="F3257" s="5" t="s">
        <v>234</v>
      </c>
      <c r="G3257" s="14" t="str">
        <f t="array" ref="G3257">IF(B3257="", "",
  LET(_xlpm.spell, IFERROR(IF(F3257="", "", INDEX(_xlws.FILTER(Hairstyles!$F:$F, ISNUMBER(SEARCH(F3257, Hairstyles!$B:$B))), 1)), "No Spell for Hairstyle"),
  _xlpm.vanillaPrefix, IF(LEFT(_xlpm.spell, 7)="Uvi_Wig", "", ";"),
  ";" &amp; IF(C3257="", B3257, C3257) &amp; IF(M3257="", "", " ("&amp;M3257&amp;")") &amp; CHAR(10) &amp;
  _xlpm.vanillaPrefix &amp; "Keyword = Uvi_Wig_Distr_KYWD|" &amp; B3257 &amp; CHAR(10) &amp;
  _xlpm.vanillaPrefix &amp; "Spell = " &amp; _xlpm.spell &amp; "|" &amp; B3257
  )
)</f>
        <v>;EncWarlockStorm02BossBretonM
;Keyword = Uvi_Wig_Distr_KYWD|EncWarlockStorm02BossBretonM
;Spell = No Spell for Hairstyle|EncWarlockStorm02BossBretonM</v>
      </c>
    </row>
    <row r="3258" ht="12.75" customHeight="1">
      <c r="A3258" s="15" t="s">
        <v>8888</v>
      </c>
      <c r="B3258" s="5" t="s">
        <v>8889</v>
      </c>
      <c r="D3258" s="5" t="s">
        <v>57</v>
      </c>
      <c r="E3258" s="5" t="s">
        <v>41</v>
      </c>
      <c r="F3258" s="5" t="s">
        <v>2096</v>
      </c>
      <c r="G3258" s="14" t="str">
        <f t="array" ref="G3258">IF(B3258="", "",
  LET(_xlpm.spell, IFERROR(IF(F3258="", "", INDEX(_xlws.FILTER(Hairstyles!$F:$F, ISNUMBER(SEARCH(F3258, Hairstyles!$B:$B))), 1)), "No Spell for Hairstyle"),
  _xlpm.vanillaPrefix, IF(LEFT(_xlpm.spell, 7)="Uvi_Wig", "", ";"),
  ";" &amp; IF(C3258="", B3258, C3258) &amp; IF(M3258="", "", " ("&amp;M3258&amp;")") &amp; CHAR(10) &amp;
  _xlpm.vanillaPrefix &amp; "Keyword = Uvi_Wig_Distr_KYWD|" &amp; B3258 &amp; CHAR(10) &amp;
  _xlpm.vanillaPrefix &amp; "Spell = " &amp; _xlpm.spell &amp; "|" &amp; B3258
  )
)</f>
        <v>;EncWarlockStorm02BossHighElfF
;Keyword = Uvi_Wig_Distr_KYWD|EncWarlockStorm02BossHighElfF
;Spell = No Spell for Hairstyle|EncWarlockStorm02BossHighElfF</v>
      </c>
    </row>
    <row r="3259" ht="12.75" customHeight="1">
      <c r="A3259" s="15" t="s">
        <v>8890</v>
      </c>
      <c r="B3259" s="5" t="s">
        <v>8891</v>
      </c>
      <c r="D3259" s="5" t="s">
        <v>57</v>
      </c>
      <c r="E3259" s="5" t="s">
        <v>233</v>
      </c>
      <c r="F3259" s="5" t="s">
        <v>1541</v>
      </c>
      <c r="G3259" s="14" t="str">
        <f t="array" ref="G3259">IF(B3259="", "",
  LET(_xlpm.spell, IFERROR(IF(F3259="", "", INDEX(_xlws.FILTER(Hairstyles!$F:$F, ISNUMBER(SEARCH(F3259, Hairstyles!$B:$B))), 1)), "No Spell for Hairstyle"),
  _xlpm.vanillaPrefix, IF(LEFT(_xlpm.spell, 7)="Uvi_Wig", "", ";"),
  ";" &amp; IF(C3259="", B3259, C3259) &amp; IF(M3259="", "", " ("&amp;M3259&amp;")") &amp; CHAR(10) &amp;
  _xlpm.vanillaPrefix &amp; "Keyword = Uvi_Wig_Distr_KYWD|" &amp; B3259 &amp; CHAR(10) &amp;
  _xlpm.vanillaPrefix &amp; "Spell = " &amp; _xlpm.spell &amp; "|" &amp; B3259
  )
)</f>
        <v>;EncWarlockStorm02BossHighElfM
;Keyword = Uvi_Wig_Distr_KYWD|EncWarlockStorm02BossHighElfM
;Spell = No Spell for Hairstyle|EncWarlockStorm02BossHighElfM</v>
      </c>
    </row>
    <row r="3260" ht="12.75" customHeight="1">
      <c r="A3260" s="5" t="s">
        <v>8892</v>
      </c>
      <c r="B3260" s="5" t="s">
        <v>8893</v>
      </c>
      <c r="D3260" s="5" t="s">
        <v>16</v>
      </c>
      <c r="E3260" s="5" t="s">
        <v>41</v>
      </c>
      <c r="F3260" s="5" t="s">
        <v>22</v>
      </c>
      <c r="G3260" s="14" t="str">
        <f t="array" ref="G3260">IF(B3260="", "",
  LET(_xlpm.spell, IFERROR(IF(F3260="", "", INDEX(_xlws.FILTER(Hairstyles!$F:$F, ISNUMBER(SEARCH(F3260, Hairstyles!$B:$B))), 1)), "No Spell for Hairstyle"),
  _xlpm.vanillaPrefix, IF(LEFT(_xlpm.spell, 7)="Uvi_Wig", "", ";"),
  ";" &amp; IF(C3260="", B3260, C3260) &amp; IF(M3260="", "", " ("&amp;M3260&amp;")") &amp; CHAR(10) &amp;
  _xlpm.vanillaPrefix &amp; "Keyword = Uvi_Wig_Distr_KYWD|" &amp; B3260 &amp; CHAR(10) &amp;
  _xlpm.vanillaPrefix &amp; "Spell = " &amp; _xlpm.spell &amp; "|" &amp; B3260
  )
)</f>
        <v>;EncWarlockStorm02BretonF
;Keyword = Uvi_Wig_Distr_KYWD|EncWarlockStorm02BretonF
;Spell = No Spell for Hairstyle|EncWarlockStorm02BretonF</v>
      </c>
    </row>
    <row r="3261" ht="12.75" customHeight="1">
      <c r="A3261" s="5" t="s">
        <v>8894</v>
      </c>
      <c r="B3261" s="5" t="s">
        <v>8895</v>
      </c>
      <c r="D3261" s="5" t="s">
        <v>16</v>
      </c>
      <c r="E3261" s="5" t="s">
        <v>233</v>
      </c>
      <c r="F3261" s="5" t="s">
        <v>234</v>
      </c>
      <c r="G3261" s="14" t="str">
        <f t="array" ref="G3261">IF(B3261="", "",
  LET(_xlpm.spell, IFERROR(IF(F3261="", "", INDEX(_xlws.FILTER(Hairstyles!$F:$F, ISNUMBER(SEARCH(F3261, Hairstyles!$B:$B))), 1)), "No Spell for Hairstyle"),
  _xlpm.vanillaPrefix, IF(LEFT(_xlpm.spell, 7)="Uvi_Wig", "", ";"),
  ";" &amp; IF(C3261="", B3261, C3261) &amp; IF(M3261="", "", " ("&amp;M3261&amp;")") &amp; CHAR(10) &amp;
  _xlpm.vanillaPrefix &amp; "Keyword = Uvi_Wig_Distr_KYWD|" &amp; B3261 &amp; CHAR(10) &amp;
  _xlpm.vanillaPrefix &amp; "Spell = " &amp; _xlpm.spell &amp; "|" &amp; B3261
  )
)</f>
        <v>;EncWarlockStorm02BretonM
;Keyword = Uvi_Wig_Distr_KYWD|EncWarlockStorm02BretonM
;Spell = No Spell for Hairstyle|EncWarlockStorm02BretonM</v>
      </c>
    </row>
    <row r="3262" ht="12.75" customHeight="1">
      <c r="A3262" s="5" t="s">
        <v>8896</v>
      </c>
      <c r="B3262" s="5" t="s">
        <v>8897</v>
      </c>
      <c r="D3262" s="5" t="s">
        <v>45</v>
      </c>
      <c r="E3262" s="5" t="s">
        <v>41</v>
      </c>
      <c r="F3262" s="5" t="s">
        <v>512</v>
      </c>
      <c r="G3262" s="14" t="str">
        <f t="array" ref="G3262">IF(B3262="", "",
  LET(_xlpm.spell, IFERROR(IF(F3262="", "", INDEX(_xlws.FILTER(Hairstyles!$F:$F, ISNUMBER(SEARCH(F3262, Hairstyles!$B:$B))), 1)), "No Spell for Hairstyle"),
  _xlpm.vanillaPrefix, IF(LEFT(_xlpm.spell, 7)="Uvi_Wig", "", ";"),
  ";" &amp; IF(C3262="", B3262, C3262) &amp; IF(M3262="", "", " ("&amp;M3262&amp;")") &amp; CHAR(10) &amp;
  _xlpm.vanillaPrefix &amp; "Keyword = Uvi_Wig_Distr_KYWD|" &amp; B3262 &amp; CHAR(10) &amp;
  _xlpm.vanillaPrefix &amp; "Spell = " &amp; _xlpm.spell &amp; "|" &amp; B3262
  )
)</f>
        <v>;EncWarlockStorm02DarkElfF
;Keyword = Uvi_Wig_Distr_KYWD|EncWarlockStorm02DarkElfF
;Spell = No Spell for Hairstyle|EncWarlockStorm02DarkElfF</v>
      </c>
    </row>
    <row r="3263" ht="12.75" customHeight="1">
      <c r="A3263" s="5" t="s">
        <v>8898</v>
      </c>
      <c r="B3263" s="5" t="s">
        <v>8899</v>
      </c>
      <c r="D3263" s="5" t="s">
        <v>45</v>
      </c>
      <c r="E3263" s="5" t="s">
        <v>233</v>
      </c>
      <c r="F3263" s="5" t="s">
        <v>91</v>
      </c>
      <c r="G3263" s="14" t="str">
        <f t="array" ref="G3263">IF(B3263="", "",
  LET(_xlpm.spell, IFERROR(IF(F3263="", "", INDEX(_xlws.FILTER(Hairstyles!$F:$F, ISNUMBER(SEARCH(F3263, Hairstyles!$B:$B))), 1)), "No Spell for Hairstyle"),
  _xlpm.vanillaPrefix, IF(LEFT(_xlpm.spell, 7)="Uvi_Wig", "", ";"),
  ";" &amp; IF(C3263="", B3263, C3263) &amp; IF(M3263="", "", " ("&amp;M3263&amp;")") &amp; CHAR(10) &amp;
  _xlpm.vanillaPrefix &amp; "Keyword = Uvi_Wig_Distr_KYWD|" &amp; B3263 &amp; CHAR(10) &amp;
  _xlpm.vanillaPrefix &amp; "Spell = " &amp; _xlpm.spell &amp; "|" &amp; B3263
  )
)</f>
        <v>;EncWarlockStorm02DarkElfM
;Keyword = Uvi_Wig_Distr_KYWD|EncWarlockStorm02DarkElfM
;Spell = No Spell for Hairstyle|EncWarlockStorm02DarkElfM</v>
      </c>
    </row>
    <row r="3264" ht="12.75" customHeight="1">
      <c r="A3264" s="5" t="s">
        <v>8900</v>
      </c>
      <c r="B3264" s="5" t="s">
        <v>8901</v>
      </c>
      <c r="D3264" s="5" t="s">
        <v>57</v>
      </c>
      <c r="E3264" s="5" t="s">
        <v>41</v>
      </c>
      <c r="F3264" s="5" t="s">
        <v>48</v>
      </c>
      <c r="G3264" s="14" t="str">
        <f t="array" ref="G3264">IF(B3264="", "",
  LET(_xlpm.spell, IFERROR(IF(F3264="", "", INDEX(_xlws.FILTER(Hairstyles!$F:$F, ISNUMBER(SEARCH(F3264, Hairstyles!$B:$B))), 1)), "No Spell for Hairstyle"),
  _xlpm.vanillaPrefix, IF(LEFT(_xlpm.spell, 7)="Uvi_Wig", "", ";"),
  ";" &amp; IF(C3264="", B3264, C3264) &amp; IF(M3264="", "", " ("&amp;M3264&amp;")") &amp; CHAR(10) &amp;
  _xlpm.vanillaPrefix &amp; "Keyword = Uvi_Wig_Distr_KYWD|" &amp; B3264 &amp; CHAR(10) &amp;
  _xlpm.vanillaPrefix &amp; "Spell = " &amp; _xlpm.spell &amp; "|" &amp; B3264
  )
)</f>
        <v>;EncWarlockStorm02HighElfF
;Keyword = Uvi_Wig_Distr_KYWD|EncWarlockStorm02HighElfF
;Spell = No Spell for Hairstyle|EncWarlockStorm02HighElfF</v>
      </c>
    </row>
    <row r="3265" ht="12.75" customHeight="1">
      <c r="A3265" s="5" t="s">
        <v>8902</v>
      </c>
      <c r="B3265" s="5" t="s">
        <v>8903</v>
      </c>
      <c r="D3265" s="5" t="s">
        <v>57</v>
      </c>
      <c r="E3265" s="5" t="s">
        <v>233</v>
      </c>
      <c r="F3265" s="5" t="s">
        <v>1541</v>
      </c>
      <c r="G3265" s="14" t="str">
        <f t="array" ref="G3265">IF(B3265="", "",
  LET(_xlpm.spell, IFERROR(IF(F3265="", "", INDEX(_xlws.FILTER(Hairstyles!$F:$F, ISNUMBER(SEARCH(F3265, Hairstyles!$B:$B))), 1)), "No Spell for Hairstyle"),
  _xlpm.vanillaPrefix, IF(LEFT(_xlpm.spell, 7)="Uvi_Wig", "", ";"),
  ";" &amp; IF(C3265="", B3265, C3265) &amp; IF(M3265="", "", " ("&amp;M3265&amp;")") &amp; CHAR(10) &amp;
  _xlpm.vanillaPrefix &amp; "Keyword = Uvi_Wig_Distr_KYWD|" &amp; B3265 &amp; CHAR(10) &amp;
  _xlpm.vanillaPrefix &amp; "Spell = " &amp; _xlpm.spell &amp; "|" &amp; B3265
  )
)</f>
        <v>;EncWarlockStorm02HighElfM
;Keyword = Uvi_Wig_Distr_KYWD|EncWarlockStorm02HighElfM
;Spell = No Spell for Hairstyle|EncWarlockStorm02HighElfM</v>
      </c>
    </row>
    <row r="3266" ht="12.75" customHeight="1">
      <c r="A3266" s="5" t="s">
        <v>8904</v>
      </c>
      <c r="B3266" s="5" t="s">
        <v>8905</v>
      </c>
      <c r="D3266" s="5" t="s">
        <v>59</v>
      </c>
      <c r="E3266" s="5" t="s">
        <v>41</v>
      </c>
      <c r="F3266" s="5" t="s">
        <v>42</v>
      </c>
      <c r="G3266" s="14" t="str">
        <f t="array" ref="G3266">IF(B3266="", "",
  LET(_xlpm.spell, IFERROR(IF(F3266="", "", INDEX(_xlws.FILTER(Hairstyles!$F:$F, ISNUMBER(SEARCH(F3266, Hairstyles!$B:$B))), 1)), "No Spell for Hairstyle"),
  _xlpm.vanillaPrefix, IF(LEFT(_xlpm.spell, 7)="Uvi_Wig", "", ";"),
  ";" &amp; IF(C3266="", B3266, C3266) &amp; IF(M3266="", "", " ("&amp;M3266&amp;")") &amp; CHAR(10) &amp;
  _xlpm.vanillaPrefix &amp; "Keyword = Uvi_Wig_Distr_KYWD|" &amp; B3266 &amp; CHAR(10) &amp;
  _xlpm.vanillaPrefix &amp; "Spell = " &amp; _xlpm.spell &amp; "|" &amp; B3266
  )
)</f>
        <v>;EncWarlockStorm02ImperialF
;Keyword = Uvi_Wig_Distr_KYWD|EncWarlockStorm02ImperialF
;Spell = No Spell for Hairstyle|EncWarlockStorm02ImperialF</v>
      </c>
    </row>
    <row r="3267" ht="12.75" customHeight="1">
      <c r="A3267" s="5" t="s">
        <v>8906</v>
      </c>
      <c r="B3267" s="5" t="s">
        <v>8907</v>
      </c>
      <c r="D3267" s="5" t="s">
        <v>59</v>
      </c>
      <c r="E3267" s="5" t="s">
        <v>233</v>
      </c>
      <c r="F3267" s="5" t="s">
        <v>1088</v>
      </c>
      <c r="G3267" s="14" t="str">
        <f t="array" ref="G3267">IF(B3267="", "",
  LET(_xlpm.spell, IFERROR(IF(F3267="", "", INDEX(_xlws.FILTER(Hairstyles!$F:$F, ISNUMBER(SEARCH(F3267, Hairstyles!$B:$B))), 1)), "No Spell for Hairstyle"),
  _xlpm.vanillaPrefix, IF(LEFT(_xlpm.spell, 7)="Uvi_Wig", "", ";"),
  ";" &amp; IF(C3267="", B3267, C3267) &amp; IF(M3267="", "", " ("&amp;M3267&amp;")") &amp; CHAR(10) &amp;
  _xlpm.vanillaPrefix &amp; "Keyword = Uvi_Wig_Distr_KYWD|" &amp; B3267 &amp; CHAR(10) &amp;
  _xlpm.vanillaPrefix &amp; "Spell = " &amp; _xlpm.spell &amp; "|" &amp; B3267
  )
)</f>
        <v>;EncWarlockStorm02ImperialM
;Keyword = Uvi_Wig_Distr_KYWD|EncWarlockStorm02ImperialM
;Spell = No Spell for Hairstyle|EncWarlockStorm02ImperialM</v>
      </c>
    </row>
    <row r="3268" ht="12.75" customHeight="1">
      <c r="A3268" s="15" t="s">
        <v>8908</v>
      </c>
      <c r="B3268" s="5" t="s">
        <v>8909</v>
      </c>
      <c r="D3268" s="5" t="s">
        <v>16</v>
      </c>
      <c r="E3268" s="5" t="s">
        <v>41</v>
      </c>
      <c r="F3268" s="5" t="s">
        <v>22</v>
      </c>
      <c r="G3268" s="14" t="str">
        <f t="array" ref="G3268">IF(B3268="", "",
  LET(_xlpm.spell, IFERROR(IF(F3268="", "", INDEX(_xlws.FILTER(Hairstyles!$F:$F, ISNUMBER(SEARCH(F3268, Hairstyles!$B:$B))), 1)), "No Spell for Hairstyle"),
  _xlpm.vanillaPrefix, IF(LEFT(_xlpm.spell, 7)="Uvi_Wig", "", ";"),
  ";" &amp; IF(C3268="", B3268, C3268) &amp; IF(M3268="", "", " ("&amp;M3268&amp;")") &amp; CHAR(10) &amp;
  _xlpm.vanillaPrefix &amp; "Keyword = Uvi_Wig_Distr_KYWD|" &amp; B3268 &amp; CHAR(10) &amp;
  _xlpm.vanillaPrefix &amp; "Spell = " &amp; _xlpm.spell &amp; "|" &amp; B3268
  )
)</f>
        <v>;EncWarlockStorm03BossBretonF
;Keyword = Uvi_Wig_Distr_KYWD|EncWarlockStorm03BossBretonF
;Spell = No Spell for Hairstyle|EncWarlockStorm03BossBretonF</v>
      </c>
    </row>
    <row r="3269" ht="12.75" customHeight="1">
      <c r="A3269" s="15" t="s">
        <v>8910</v>
      </c>
      <c r="B3269" s="5" t="s">
        <v>8911</v>
      </c>
      <c r="D3269" s="5" t="s">
        <v>16</v>
      </c>
      <c r="E3269" s="5" t="s">
        <v>233</v>
      </c>
      <c r="F3269" s="5" t="s">
        <v>1700</v>
      </c>
      <c r="G3269" s="14" t="str">
        <f t="array" ref="G3269">IF(B3269="", "",
  LET(_xlpm.spell, IFERROR(IF(F3269="", "", INDEX(_xlws.FILTER(Hairstyles!$F:$F, ISNUMBER(SEARCH(F3269, Hairstyles!$B:$B))), 1)), "No Spell for Hairstyle"),
  _xlpm.vanillaPrefix, IF(LEFT(_xlpm.spell, 7)="Uvi_Wig", "", ";"),
  ";" &amp; IF(C3269="", B3269, C3269) &amp; IF(M3269="", "", " ("&amp;M3269&amp;")") &amp; CHAR(10) &amp;
  _xlpm.vanillaPrefix &amp; "Keyword = Uvi_Wig_Distr_KYWD|" &amp; B3269 &amp; CHAR(10) &amp;
  _xlpm.vanillaPrefix &amp; "Spell = " &amp; _xlpm.spell &amp; "|" &amp; B3269
  )
)</f>
        <v>;EncWarlockStorm03BossBretonM
;Keyword = Uvi_Wig_Distr_KYWD|EncWarlockStorm03BossBretonM
;Spell = No Spell for Hairstyle|EncWarlockStorm03BossBretonM</v>
      </c>
    </row>
    <row r="3270" ht="12.75" customHeight="1">
      <c r="A3270" s="15" t="s">
        <v>8912</v>
      </c>
      <c r="B3270" s="5" t="s">
        <v>8913</v>
      </c>
      <c r="D3270" s="5" t="s">
        <v>57</v>
      </c>
      <c r="E3270" s="5" t="s">
        <v>41</v>
      </c>
      <c r="F3270" s="5" t="s">
        <v>2577</v>
      </c>
      <c r="G3270" s="14" t="str">
        <f t="array" ref="G3270">IF(B3270="", "",
  LET(_xlpm.spell, IFERROR(IF(F3270="", "", INDEX(_xlws.FILTER(Hairstyles!$F:$F, ISNUMBER(SEARCH(F3270, Hairstyles!$B:$B))), 1)), "No Spell for Hairstyle"),
  _xlpm.vanillaPrefix, IF(LEFT(_xlpm.spell, 7)="Uvi_Wig", "", ";"),
  ";" &amp; IF(C3270="", B3270, C3270) &amp; IF(M3270="", "", " ("&amp;M3270&amp;")") &amp; CHAR(10) &amp;
  _xlpm.vanillaPrefix &amp; "Keyword = Uvi_Wig_Distr_KYWD|" &amp; B3270 &amp; CHAR(10) &amp;
  _xlpm.vanillaPrefix &amp; "Spell = " &amp; _xlpm.spell &amp; "|" &amp; B3270
  )
)</f>
        <v>;EncWarlockStorm03BossHighElfF
;Keyword = Uvi_Wig_Distr_KYWD|EncWarlockStorm03BossHighElfF
;Spell = No Spell for Hairstyle|EncWarlockStorm03BossHighElfF</v>
      </c>
    </row>
    <row r="3271" ht="12.75" customHeight="1">
      <c r="A3271" s="15" t="s">
        <v>8914</v>
      </c>
      <c r="B3271" s="5" t="s">
        <v>8915</v>
      </c>
      <c r="D3271" s="5" t="s">
        <v>57</v>
      </c>
      <c r="E3271" s="5" t="s">
        <v>233</v>
      </c>
      <c r="F3271" s="5" t="s">
        <v>525</v>
      </c>
      <c r="G3271" s="14" t="str">
        <f t="array" ref="G3271">IF(B3271="", "",
  LET(_xlpm.spell, IFERROR(IF(F3271="", "", INDEX(_xlws.FILTER(Hairstyles!$F:$F, ISNUMBER(SEARCH(F3271, Hairstyles!$B:$B))), 1)), "No Spell for Hairstyle"),
  _xlpm.vanillaPrefix, IF(LEFT(_xlpm.spell, 7)="Uvi_Wig", "", ";"),
  ";" &amp; IF(C3271="", B3271, C3271) &amp; IF(M3271="", "", " ("&amp;M3271&amp;")") &amp; CHAR(10) &amp;
  _xlpm.vanillaPrefix &amp; "Keyword = Uvi_Wig_Distr_KYWD|" &amp; B3271 &amp; CHAR(10) &amp;
  _xlpm.vanillaPrefix &amp; "Spell = " &amp; _xlpm.spell &amp; "|" &amp; B3271
  )
)</f>
        <v>;EncWarlockStorm03BossHighElfM
;Keyword = Uvi_Wig_Distr_KYWD|EncWarlockStorm03BossHighElfM
;Spell = No Spell for Hairstyle|EncWarlockStorm03BossHighElfM</v>
      </c>
    </row>
    <row r="3272" ht="12.75" customHeight="1">
      <c r="A3272" s="5" t="s">
        <v>8916</v>
      </c>
      <c r="B3272" s="5" t="s">
        <v>8917</v>
      </c>
      <c r="D3272" s="5" t="s">
        <v>16</v>
      </c>
      <c r="E3272" s="5" t="s">
        <v>41</v>
      </c>
      <c r="F3272" s="5" t="s">
        <v>343</v>
      </c>
      <c r="G3272" s="14" t="str">
        <f t="array" ref="G3272">IF(B3272="", "",
  LET(_xlpm.spell, IFERROR(IF(F3272="", "", INDEX(_xlws.FILTER(Hairstyles!$F:$F, ISNUMBER(SEARCH(F3272, Hairstyles!$B:$B))), 1)), "No Spell for Hairstyle"),
  _xlpm.vanillaPrefix, IF(LEFT(_xlpm.spell, 7)="Uvi_Wig", "", ";"),
  ";" &amp; IF(C3272="", B3272, C3272) &amp; IF(M3272="", "", " ("&amp;M3272&amp;")") &amp; CHAR(10) &amp;
  _xlpm.vanillaPrefix &amp; "Keyword = Uvi_Wig_Distr_KYWD|" &amp; B3272 &amp; CHAR(10) &amp;
  _xlpm.vanillaPrefix &amp; "Spell = " &amp; _xlpm.spell &amp; "|" &amp; B3272
  )
)</f>
        <v>;EncWarlockStorm03BretonF
;Keyword = Uvi_Wig_Distr_KYWD|EncWarlockStorm03BretonF
;Spell = No Spell for Hairstyle|EncWarlockStorm03BretonF</v>
      </c>
    </row>
    <row r="3273" ht="12.75" customHeight="1">
      <c r="A3273" s="5" t="s">
        <v>8918</v>
      </c>
      <c r="B3273" s="5" t="s">
        <v>8919</v>
      </c>
      <c r="D3273" s="5" t="s">
        <v>16</v>
      </c>
      <c r="E3273" s="5" t="s">
        <v>233</v>
      </c>
      <c r="F3273" s="5" t="s">
        <v>218</v>
      </c>
      <c r="G3273" s="14" t="str">
        <f t="array" ref="G3273">IF(B3273="", "",
  LET(_xlpm.spell, IFERROR(IF(F3273="", "", INDEX(_xlws.FILTER(Hairstyles!$F:$F, ISNUMBER(SEARCH(F3273, Hairstyles!$B:$B))), 1)), "No Spell for Hairstyle"),
  _xlpm.vanillaPrefix, IF(LEFT(_xlpm.spell, 7)="Uvi_Wig", "", ";"),
  ";" &amp; IF(C3273="", B3273, C3273) &amp; IF(M3273="", "", " ("&amp;M3273&amp;")") &amp; CHAR(10) &amp;
  _xlpm.vanillaPrefix &amp; "Keyword = Uvi_Wig_Distr_KYWD|" &amp; B3273 &amp; CHAR(10) &amp;
  _xlpm.vanillaPrefix &amp; "Spell = " &amp; _xlpm.spell &amp; "|" &amp; B3273
  )
)</f>
        <v>;EncWarlockStorm03BretonM
;Keyword = Uvi_Wig_Distr_KYWD|EncWarlockStorm03BretonM
;Spell = No Spell for Hairstyle|EncWarlockStorm03BretonM</v>
      </c>
    </row>
    <row r="3274" ht="12.75" customHeight="1">
      <c r="A3274" s="5" t="s">
        <v>8920</v>
      </c>
      <c r="B3274" s="5" t="s">
        <v>8921</v>
      </c>
      <c r="D3274" s="5" t="s">
        <v>45</v>
      </c>
      <c r="E3274" s="5" t="s">
        <v>41</v>
      </c>
      <c r="F3274" s="5" t="s">
        <v>6747</v>
      </c>
      <c r="G3274" s="14" t="str">
        <f t="array" ref="G3274">IF(B3274="", "",
  LET(_xlpm.spell, IFERROR(IF(F3274="", "", INDEX(_xlws.FILTER(Hairstyles!$F:$F, ISNUMBER(SEARCH(F3274, Hairstyles!$B:$B))), 1)), "No Spell for Hairstyle"),
  _xlpm.vanillaPrefix, IF(LEFT(_xlpm.spell, 7)="Uvi_Wig", "", ";"),
  ";" &amp; IF(C3274="", B3274, C3274) &amp; IF(M3274="", "", " ("&amp;M3274&amp;")") &amp; CHAR(10) &amp;
  _xlpm.vanillaPrefix &amp; "Keyword = Uvi_Wig_Distr_KYWD|" &amp; B3274 &amp; CHAR(10) &amp;
  _xlpm.vanillaPrefix &amp; "Spell = " &amp; _xlpm.spell &amp; "|" &amp; B3274
  )
)</f>
        <v>;EncWarlockStorm03DarkElfF
;Keyword = Uvi_Wig_Distr_KYWD|EncWarlockStorm03DarkElfF
;Spell = No Spell for Hairstyle|EncWarlockStorm03DarkElfF</v>
      </c>
    </row>
    <row r="3275" ht="12.75" customHeight="1">
      <c r="A3275" s="5" t="s">
        <v>8922</v>
      </c>
      <c r="B3275" s="5" t="s">
        <v>8923</v>
      </c>
      <c r="D3275" s="5" t="s">
        <v>45</v>
      </c>
      <c r="E3275" s="5" t="s">
        <v>233</v>
      </c>
      <c r="F3275" s="5" t="s">
        <v>534</v>
      </c>
      <c r="G3275" s="14" t="str">
        <f t="array" ref="G3275">IF(B3275="", "",
  LET(_xlpm.spell, IFERROR(IF(F3275="", "", INDEX(_xlws.FILTER(Hairstyles!$F:$F, ISNUMBER(SEARCH(F3275, Hairstyles!$B:$B))), 1)), "No Spell for Hairstyle"),
  _xlpm.vanillaPrefix, IF(LEFT(_xlpm.spell, 7)="Uvi_Wig", "", ";"),
  ";" &amp; IF(C3275="", B3275, C3275) &amp; IF(M3275="", "", " ("&amp;M3275&amp;")") &amp; CHAR(10) &amp;
  _xlpm.vanillaPrefix &amp; "Keyword = Uvi_Wig_Distr_KYWD|" &amp; B3275 &amp; CHAR(10) &amp;
  _xlpm.vanillaPrefix &amp; "Spell = " &amp; _xlpm.spell &amp; "|" &amp; B3275
  )
)</f>
        <v>;EncWarlockStorm03DarkElfM
;Keyword = Uvi_Wig_Distr_KYWD|EncWarlockStorm03DarkElfM
;Spell = No Spell for Hairstyle|EncWarlockStorm03DarkElfM</v>
      </c>
    </row>
    <row r="3276" ht="12.75" customHeight="1">
      <c r="A3276" s="5" t="s">
        <v>8924</v>
      </c>
      <c r="B3276" s="5" t="s">
        <v>8925</v>
      </c>
      <c r="D3276" s="5" t="s">
        <v>57</v>
      </c>
      <c r="E3276" s="5" t="s">
        <v>41</v>
      </c>
      <c r="F3276" s="5" t="s">
        <v>2373</v>
      </c>
      <c r="G3276" s="14" t="str">
        <f t="array" ref="G3276">IF(B3276="", "",
  LET(_xlpm.spell, IFERROR(IF(F3276="", "", INDEX(_xlws.FILTER(Hairstyles!$F:$F, ISNUMBER(SEARCH(F3276, Hairstyles!$B:$B))), 1)), "No Spell for Hairstyle"),
  _xlpm.vanillaPrefix, IF(LEFT(_xlpm.spell, 7)="Uvi_Wig", "", ";"),
  ";" &amp; IF(C3276="", B3276, C3276) &amp; IF(M3276="", "", " ("&amp;M3276&amp;")") &amp; CHAR(10) &amp;
  _xlpm.vanillaPrefix &amp; "Keyword = Uvi_Wig_Distr_KYWD|" &amp; B3276 &amp; CHAR(10) &amp;
  _xlpm.vanillaPrefix &amp; "Spell = " &amp; _xlpm.spell &amp; "|" &amp; B3276
  )
)</f>
        <v>;EncWarlockStorm03HighElfF
;Keyword = Uvi_Wig_Distr_KYWD|EncWarlockStorm03HighElfF
;Spell = No Spell for Hairstyle|EncWarlockStorm03HighElfF</v>
      </c>
    </row>
    <row r="3277" ht="12.75" customHeight="1">
      <c r="A3277" s="5" t="s">
        <v>8926</v>
      </c>
      <c r="B3277" s="5" t="s">
        <v>8927</v>
      </c>
      <c r="D3277" s="5" t="s">
        <v>57</v>
      </c>
      <c r="E3277" s="5" t="s">
        <v>233</v>
      </c>
      <c r="F3277" s="5" t="s">
        <v>543</v>
      </c>
      <c r="G3277" s="14" t="str">
        <f t="array" ref="G3277">IF(B3277="", "",
  LET(_xlpm.spell, IFERROR(IF(F3277="", "", INDEX(_xlws.FILTER(Hairstyles!$F:$F, ISNUMBER(SEARCH(F3277, Hairstyles!$B:$B))), 1)), "No Spell for Hairstyle"),
  _xlpm.vanillaPrefix, IF(LEFT(_xlpm.spell, 7)="Uvi_Wig", "", ";"),
  ";" &amp; IF(C3277="", B3277, C3277) &amp; IF(M3277="", "", " ("&amp;M3277&amp;")") &amp; CHAR(10) &amp;
  _xlpm.vanillaPrefix &amp; "Keyword = Uvi_Wig_Distr_KYWD|" &amp; B3277 &amp; CHAR(10) &amp;
  _xlpm.vanillaPrefix &amp; "Spell = " &amp; _xlpm.spell &amp; "|" &amp; B3277
  )
)</f>
        <v>;EncWarlockStorm03HighElfM
;Keyword = Uvi_Wig_Distr_KYWD|EncWarlockStorm03HighElfM
;Spell = No Spell for Hairstyle|EncWarlockStorm03HighElfM</v>
      </c>
    </row>
    <row r="3278" ht="12.75" customHeight="1">
      <c r="A3278" s="5" t="s">
        <v>8928</v>
      </c>
      <c r="B3278" s="5" t="s">
        <v>8929</v>
      </c>
      <c r="D3278" s="5" t="s">
        <v>59</v>
      </c>
      <c r="E3278" s="5" t="s">
        <v>41</v>
      </c>
      <c r="F3278" s="5" t="s">
        <v>1996</v>
      </c>
      <c r="G3278" s="14" t="str">
        <f t="array" ref="G3278">IF(B3278="", "",
  LET(_xlpm.spell, IFERROR(IF(F3278="", "", INDEX(_xlws.FILTER(Hairstyles!$F:$F, ISNUMBER(SEARCH(F3278, Hairstyles!$B:$B))), 1)), "No Spell for Hairstyle"),
  _xlpm.vanillaPrefix, IF(LEFT(_xlpm.spell, 7)="Uvi_Wig", "", ";"),
  ";" &amp; IF(C3278="", B3278, C3278) &amp; IF(M3278="", "", " ("&amp;M3278&amp;")") &amp; CHAR(10) &amp;
  _xlpm.vanillaPrefix &amp; "Keyword = Uvi_Wig_Distr_KYWD|" &amp; B3278 &amp; CHAR(10) &amp;
  _xlpm.vanillaPrefix &amp; "Spell = " &amp; _xlpm.spell &amp; "|" &amp; B3278
  )
)</f>
        <v>;EncWarlockStorm03ImperialF
;Keyword = Uvi_Wig_Distr_KYWD|EncWarlockStorm03ImperialF
;Spell = No Spell for Hairstyle|EncWarlockStorm03ImperialF</v>
      </c>
    </row>
    <row r="3279" ht="12.75" customHeight="1">
      <c r="A3279" s="5" t="s">
        <v>8930</v>
      </c>
      <c r="B3279" s="5" t="s">
        <v>8931</v>
      </c>
      <c r="D3279" s="5" t="s">
        <v>59</v>
      </c>
      <c r="E3279" s="5" t="s">
        <v>233</v>
      </c>
      <c r="F3279" s="5" t="s">
        <v>224</v>
      </c>
      <c r="G3279" s="14" t="str">
        <f t="array" ref="G3279">IF(B3279="", "",
  LET(_xlpm.spell, IFERROR(IF(F3279="", "", INDEX(_xlws.FILTER(Hairstyles!$F:$F, ISNUMBER(SEARCH(F3279, Hairstyles!$B:$B))), 1)), "No Spell for Hairstyle"),
  _xlpm.vanillaPrefix, IF(LEFT(_xlpm.spell, 7)="Uvi_Wig", "", ";"),
  ";" &amp; IF(C3279="", B3279, C3279) &amp; IF(M3279="", "", " ("&amp;M3279&amp;")") &amp; CHAR(10) &amp;
  _xlpm.vanillaPrefix &amp; "Keyword = Uvi_Wig_Distr_KYWD|" &amp; B3279 &amp; CHAR(10) &amp;
  _xlpm.vanillaPrefix &amp; "Spell = " &amp; _xlpm.spell &amp; "|" &amp; B3279
  )
)</f>
        <v>;EncWarlockStorm03ImperialM
;Keyword = Uvi_Wig_Distr_KYWD|EncWarlockStorm03ImperialM
;Spell = No Spell for Hairstyle|EncWarlockStorm03ImperialM</v>
      </c>
    </row>
    <row r="3280" ht="12.75" customHeight="1">
      <c r="A3280" s="15" t="s">
        <v>8932</v>
      </c>
      <c r="B3280" s="5" t="s">
        <v>8933</v>
      </c>
      <c r="D3280" s="5" t="s">
        <v>16</v>
      </c>
      <c r="E3280" s="5" t="s">
        <v>41</v>
      </c>
      <c r="F3280" s="5" t="s">
        <v>69</v>
      </c>
      <c r="G3280" s="14" t="str">
        <f t="array" ref="G3280">IF(B3280="", "",
  LET(_xlpm.spell, IFERROR(IF(F3280="", "", INDEX(_xlws.FILTER(Hairstyles!$F:$F, ISNUMBER(SEARCH(F3280, Hairstyles!$B:$B))), 1)), "No Spell for Hairstyle"),
  _xlpm.vanillaPrefix, IF(LEFT(_xlpm.spell, 7)="Uvi_Wig", "", ";"),
  ";" &amp; IF(C3280="", B3280, C3280) &amp; IF(M3280="", "", " ("&amp;M3280&amp;")") &amp; CHAR(10) &amp;
  _xlpm.vanillaPrefix &amp; "Keyword = Uvi_Wig_Distr_KYWD|" &amp; B3280 &amp; CHAR(10) &amp;
  _xlpm.vanillaPrefix &amp; "Spell = " &amp; _xlpm.spell &amp; "|" &amp; B3280
  )
)</f>
        <v>;EncWarlockStorm04BossBretonF
;Keyword = Uvi_Wig_Distr_KYWD|EncWarlockStorm04BossBretonF
;Spell = No Spell for Hairstyle|EncWarlockStorm04BossBretonF</v>
      </c>
    </row>
    <row r="3281" ht="12.75" customHeight="1">
      <c r="A3281" s="5" t="s">
        <v>8934</v>
      </c>
      <c r="B3281" s="5" t="s">
        <v>8935</v>
      </c>
      <c r="D3281" s="5" t="s">
        <v>16</v>
      </c>
      <c r="E3281" s="5" t="s">
        <v>233</v>
      </c>
      <c r="F3281" s="5" t="s">
        <v>19</v>
      </c>
      <c r="G3281" s="14" t="str">
        <f t="array" ref="G3281">IF(B3281="", "",
  LET(_xlpm.spell, IFERROR(IF(F3281="", "", INDEX(_xlws.FILTER(Hairstyles!$F:$F, ISNUMBER(SEARCH(F3281, Hairstyles!$B:$B))), 1)), "No Spell for Hairstyle"),
  _xlpm.vanillaPrefix, IF(LEFT(_xlpm.spell, 7)="Uvi_Wig", "", ";"),
  ";" &amp; IF(C3281="", B3281, C3281) &amp; IF(M3281="", "", " ("&amp;M3281&amp;")") &amp; CHAR(10) &amp;
  _xlpm.vanillaPrefix &amp; "Keyword = Uvi_Wig_Distr_KYWD|" &amp; B3281 &amp; CHAR(10) &amp;
  _xlpm.vanillaPrefix &amp; "Spell = " &amp; _xlpm.spell &amp; "|" &amp; B3281
  )
)</f>
        <v>;EncWarlockStorm04BossBretonM
;Keyword = Uvi_Wig_Distr_KYWD|EncWarlockStorm04BossBretonM
;Spell = No Spell for Hairstyle|EncWarlockStorm04BossBretonM</v>
      </c>
    </row>
    <row r="3282" ht="12.75" customHeight="1">
      <c r="A3282" s="5" t="s">
        <v>8936</v>
      </c>
      <c r="B3282" s="5" t="s">
        <v>8937</v>
      </c>
      <c r="D3282" s="5" t="s">
        <v>57</v>
      </c>
      <c r="E3282" s="5" t="s">
        <v>41</v>
      </c>
      <c r="F3282" s="5" t="s">
        <v>2577</v>
      </c>
      <c r="G3282" s="14" t="str">
        <f t="array" ref="G3282">IF(B3282="", "",
  LET(_xlpm.spell, IFERROR(IF(F3282="", "", INDEX(_xlws.FILTER(Hairstyles!$F:$F, ISNUMBER(SEARCH(F3282, Hairstyles!$B:$B))), 1)), "No Spell for Hairstyle"),
  _xlpm.vanillaPrefix, IF(LEFT(_xlpm.spell, 7)="Uvi_Wig", "", ";"),
  ";" &amp; IF(C3282="", B3282, C3282) &amp; IF(M3282="", "", " ("&amp;M3282&amp;")") &amp; CHAR(10) &amp;
  _xlpm.vanillaPrefix &amp; "Keyword = Uvi_Wig_Distr_KYWD|" &amp; B3282 &amp; CHAR(10) &amp;
  _xlpm.vanillaPrefix &amp; "Spell = " &amp; _xlpm.spell &amp; "|" &amp; B3282
  )
)</f>
        <v>;EncWarlockStorm04BossHighElfF
;Keyword = Uvi_Wig_Distr_KYWD|EncWarlockStorm04BossHighElfF
;Spell = No Spell for Hairstyle|EncWarlockStorm04BossHighElfF</v>
      </c>
    </row>
    <row r="3283" ht="12.75" customHeight="1">
      <c r="A3283" s="5" t="s">
        <v>8938</v>
      </c>
      <c r="B3283" s="5" t="s">
        <v>8939</v>
      </c>
      <c r="D3283" s="5" t="s">
        <v>57</v>
      </c>
      <c r="E3283" s="5" t="s">
        <v>233</v>
      </c>
      <c r="F3283" s="5" t="s">
        <v>1667</v>
      </c>
      <c r="G3283" s="14" t="str">
        <f t="array" ref="G3283">IF(B3283="", "",
  LET(_xlpm.spell, IFERROR(IF(F3283="", "", INDEX(_xlws.FILTER(Hairstyles!$F:$F, ISNUMBER(SEARCH(F3283, Hairstyles!$B:$B))), 1)), "No Spell for Hairstyle"),
  _xlpm.vanillaPrefix, IF(LEFT(_xlpm.spell, 7)="Uvi_Wig", "", ";"),
  ";" &amp; IF(C3283="", B3283, C3283) &amp; IF(M3283="", "", " ("&amp;M3283&amp;")") &amp; CHAR(10) &amp;
  _xlpm.vanillaPrefix &amp; "Keyword = Uvi_Wig_Distr_KYWD|" &amp; B3283 &amp; CHAR(10) &amp;
  _xlpm.vanillaPrefix &amp; "Spell = " &amp; _xlpm.spell &amp; "|" &amp; B3283
  )
)</f>
        <v>;EncWarlockStorm04BossHighElfM
;Keyword = Uvi_Wig_Distr_KYWD|EncWarlockStorm04BossHighElfM
;Spell = No Spell for Hairstyle|EncWarlockStorm04BossHighElfM</v>
      </c>
    </row>
    <row r="3284" ht="12.75" customHeight="1">
      <c r="A3284" s="5" t="s">
        <v>8940</v>
      </c>
      <c r="B3284" s="5" t="s">
        <v>8941</v>
      </c>
      <c r="D3284" s="5" t="s">
        <v>16</v>
      </c>
      <c r="E3284" s="5" t="s">
        <v>41</v>
      </c>
      <c r="F3284" s="5" t="s">
        <v>22</v>
      </c>
      <c r="G3284" s="14" t="str">
        <f t="array" ref="G3284">IF(B3284="", "",
  LET(_xlpm.spell, IFERROR(IF(F3284="", "", INDEX(_xlws.FILTER(Hairstyles!$F:$F, ISNUMBER(SEARCH(F3284, Hairstyles!$B:$B))), 1)), "No Spell for Hairstyle"),
  _xlpm.vanillaPrefix, IF(LEFT(_xlpm.spell, 7)="Uvi_Wig", "", ";"),
  ";" &amp; IF(C3284="", B3284, C3284) &amp; IF(M3284="", "", " ("&amp;M3284&amp;")") &amp; CHAR(10) &amp;
  _xlpm.vanillaPrefix &amp; "Keyword = Uvi_Wig_Distr_KYWD|" &amp; B3284 &amp; CHAR(10) &amp;
  _xlpm.vanillaPrefix &amp; "Spell = " &amp; _xlpm.spell &amp; "|" &amp; B3284
  )
)</f>
        <v>;EncWarlockStorm04BretonF
;Keyword = Uvi_Wig_Distr_KYWD|EncWarlockStorm04BretonF
;Spell = No Spell for Hairstyle|EncWarlockStorm04BretonF</v>
      </c>
    </row>
    <row r="3285" ht="12.75" customHeight="1">
      <c r="A3285" s="5" t="s">
        <v>8942</v>
      </c>
      <c r="B3285" s="5" t="s">
        <v>8943</v>
      </c>
      <c r="D3285" s="5" t="s">
        <v>16</v>
      </c>
      <c r="E3285" s="5" t="s">
        <v>233</v>
      </c>
      <c r="F3285" s="5" t="s">
        <v>19</v>
      </c>
      <c r="G3285" s="14" t="str">
        <f t="array" ref="G3285">IF(B3285="", "",
  LET(_xlpm.spell, IFERROR(IF(F3285="", "", INDEX(_xlws.FILTER(Hairstyles!$F:$F, ISNUMBER(SEARCH(F3285, Hairstyles!$B:$B))), 1)), "No Spell for Hairstyle"),
  _xlpm.vanillaPrefix, IF(LEFT(_xlpm.spell, 7)="Uvi_Wig", "", ";"),
  ";" &amp; IF(C3285="", B3285, C3285) &amp; IF(M3285="", "", " ("&amp;M3285&amp;")") &amp; CHAR(10) &amp;
  _xlpm.vanillaPrefix &amp; "Keyword = Uvi_Wig_Distr_KYWD|" &amp; B3285 &amp; CHAR(10) &amp;
  _xlpm.vanillaPrefix &amp; "Spell = " &amp; _xlpm.spell &amp; "|" &amp; B3285
  )
)</f>
        <v>;EncWarlockStorm04BretonM
;Keyword = Uvi_Wig_Distr_KYWD|EncWarlockStorm04BretonM
;Spell = No Spell for Hairstyle|EncWarlockStorm04BretonM</v>
      </c>
    </row>
    <row r="3286" ht="12.75" customHeight="1">
      <c r="A3286" s="5" t="s">
        <v>8944</v>
      </c>
      <c r="B3286" s="5" t="s">
        <v>8945</v>
      </c>
      <c r="D3286" s="5" t="s">
        <v>45</v>
      </c>
      <c r="E3286" s="5" t="s">
        <v>41</v>
      </c>
      <c r="F3286" s="5" t="s">
        <v>48</v>
      </c>
      <c r="G3286" s="14" t="str">
        <f t="array" ref="G3286">IF(B3286="", "",
  LET(_xlpm.spell, IFERROR(IF(F3286="", "", INDEX(_xlws.FILTER(Hairstyles!$F:$F, ISNUMBER(SEARCH(F3286, Hairstyles!$B:$B))), 1)), "No Spell for Hairstyle"),
  _xlpm.vanillaPrefix, IF(LEFT(_xlpm.spell, 7)="Uvi_Wig", "", ";"),
  ";" &amp; IF(C3286="", B3286, C3286) &amp; IF(M3286="", "", " ("&amp;M3286&amp;")") &amp; CHAR(10) &amp;
  _xlpm.vanillaPrefix &amp; "Keyword = Uvi_Wig_Distr_KYWD|" &amp; B3286 &amp; CHAR(10) &amp;
  _xlpm.vanillaPrefix &amp; "Spell = " &amp; _xlpm.spell &amp; "|" &amp; B3286
  )
)</f>
        <v>;EncWarlockStorm04DarkElfF
;Keyword = Uvi_Wig_Distr_KYWD|EncWarlockStorm04DarkElfF
;Spell = No Spell for Hairstyle|EncWarlockStorm04DarkElfF</v>
      </c>
    </row>
    <row r="3287" ht="12.75" customHeight="1">
      <c r="A3287" s="5" t="s">
        <v>8946</v>
      </c>
      <c r="B3287" s="5" t="s">
        <v>8947</v>
      </c>
      <c r="D3287" s="5" t="s">
        <v>45</v>
      </c>
      <c r="E3287" s="5" t="s">
        <v>233</v>
      </c>
      <c r="F3287" s="5" t="s">
        <v>47</v>
      </c>
      <c r="G3287" s="14" t="str">
        <f t="array" ref="G3287">IF(B3287="", "",
  LET(_xlpm.spell, IFERROR(IF(F3287="", "", INDEX(_xlws.FILTER(Hairstyles!$F:$F, ISNUMBER(SEARCH(F3287, Hairstyles!$B:$B))), 1)), "No Spell for Hairstyle"),
  _xlpm.vanillaPrefix, IF(LEFT(_xlpm.spell, 7)="Uvi_Wig", "", ";"),
  ";" &amp; IF(C3287="", B3287, C3287) &amp; IF(M3287="", "", " ("&amp;M3287&amp;")") &amp; CHAR(10) &amp;
  _xlpm.vanillaPrefix &amp; "Keyword = Uvi_Wig_Distr_KYWD|" &amp; B3287 &amp; CHAR(10) &amp;
  _xlpm.vanillaPrefix &amp; "Spell = " &amp; _xlpm.spell &amp; "|" &amp; B3287
  )
)</f>
        <v>;EncWarlockStorm04DarkElfM
;Keyword = Uvi_Wig_Distr_KYWD|EncWarlockStorm04DarkElfM
;Spell = No Spell for Hairstyle|EncWarlockStorm04DarkElfM</v>
      </c>
    </row>
    <row r="3288" ht="12.75" customHeight="1">
      <c r="A3288" s="5" t="s">
        <v>8948</v>
      </c>
      <c r="B3288" s="5" t="s">
        <v>8949</v>
      </c>
      <c r="D3288" s="5" t="s">
        <v>57</v>
      </c>
      <c r="E3288" s="5" t="s">
        <v>41</v>
      </c>
      <c r="F3288" s="5" t="s">
        <v>48</v>
      </c>
      <c r="G3288" s="14" t="str">
        <f t="array" ref="G3288">IF(B3288="", "",
  LET(_xlpm.spell, IFERROR(IF(F3288="", "", INDEX(_xlws.FILTER(Hairstyles!$F:$F, ISNUMBER(SEARCH(F3288, Hairstyles!$B:$B))), 1)), "No Spell for Hairstyle"),
  _xlpm.vanillaPrefix, IF(LEFT(_xlpm.spell, 7)="Uvi_Wig", "", ";"),
  ";" &amp; IF(C3288="", B3288, C3288) &amp; IF(M3288="", "", " ("&amp;M3288&amp;")") &amp; CHAR(10) &amp;
  _xlpm.vanillaPrefix &amp; "Keyword = Uvi_Wig_Distr_KYWD|" &amp; B3288 &amp; CHAR(10) &amp;
  _xlpm.vanillaPrefix &amp; "Spell = " &amp; _xlpm.spell &amp; "|" &amp; B3288
  )
)</f>
        <v>;EncWarlockStorm04HighElfF
;Keyword = Uvi_Wig_Distr_KYWD|EncWarlockStorm04HighElfF
;Spell = No Spell for Hairstyle|EncWarlockStorm04HighElfF</v>
      </c>
    </row>
    <row r="3289" ht="12.75" customHeight="1">
      <c r="A3289" s="5" t="s">
        <v>8950</v>
      </c>
      <c r="B3289" s="5" t="s">
        <v>8951</v>
      </c>
      <c r="D3289" s="5" t="s">
        <v>57</v>
      </c>
      <c r="E3289" s="5" t="s">
        <v>233</v>
      </c>
      <c r="F3289" s="5" t="s">
        <v>47</v>
      </c>
      <c r="G3289" s="14" t="str">
        <f t="array" ref="G3289">IF(B3289="", "",
  LET(_xlpm.spell, IFERROR(IF(F3289="", "", INDEX(_xlws.FILTER(Hairstyles!$F:$F, ISNUMBER(SEARCH(F3289, Hairstyles!$B:$B))), 1)), "No Spell for Hairstyle"),
  _xlpm.vanillaPrefix, IF(LEFT(_xlpm.spell, 7)="Uvi_Wig", "", ";"),
  ";" &amp; IF(C3289="", B3289, C3289) &amp; IF(M3289="", "", " ("&amp;M3289&amp;")") &amp; CHAR(10) &amp;
  _xlpm.vanillaPrefix &amp; "Keyword = Uvi_Wig_Distr_KYWD|" &amp; B3289 &amp; CHAR(10) &amp;
  _xlpm.vanillaPrefix &amp; "Spell = " &amp; _xlpm.spell &amp; "|" &amp; B3289
  )
)</f>
        <v>;EncWarlockStorm04HighElfM
;Keyword = Uvi_Wig_Distr_KYWD|EncWarlockStorm04HighElfM
;Spell = No Spell for Hairstyle|EncWarlockStorm04HighElfM</v>
      </c>
    </row>
    <row r="3290" ht="12.75" customHeight="1">
      <c r="A3290" s="5" t="s">
        <v>8952</v>
      </c>
      <c r="B3290" s="5" t="s">
        <v>8953</v>
      </c>
      <c r="D3290" s="5" t="s">
        <v>59</v>
      </c>
      <c r="E3290" s="5" t="s">
        <v>41</v>
      </c>
      <c r="F3290" s="5" t="s">
        <v>42</v>
      </c>
      <c r="G3290" s="14" t="str">
        <f t="array" ref="G3290">IF(B3290="", "",
  LET(_xlpm.spell, IFERROR(IF(F3290="", "", INDEX(_xlws.FILTER(Hairstyles!$F:$F, ISNUMBER(SEARCH(F3290, Hairstyles!$B:$B))), 1)), "No Spell for Hairstyle"),
  _xlpm.vanillaPrefix, IF(LEFT(_xlpm.spell, 7)="Uvi_Wig", "", ";"),
  ";" &amp; IF(C3290="", B3290, C3290) &amp; IF(M3290="", "", " ("&amp;M3290&amp;")") &amp; CHAR(10) &amp;
  _xlpm.vanillaPrefix &amp; "Keyword = Uvi_Wig_Distr_KYWD|" &amp; B3290 &amp; CHAR(10) &amp;
  _xlpm.vanillaPrefix &amp; "Spell = " &amp; _xlpm.spell &amp; "|" &amp; B3290
  )
)</f>
        <v>;EncWarlockStorm04ImperialF
;Keyword = Uvi_Wig_Distr_KYWD|EncWarlockStorm04ImperialF
;Spell = No Spell for Hairstyle|EncWarlockStorm04ImperialF</v>
      </c>
    </row>
    <row r="3291" ht="12.75" customHeight="1">
      <c r="A3291" s="5" t="s">
        <v>8954</v>
      </c>
      <c r="B3291" s="5" t="s">
        <v>8955</v>
      </c>
      <c r="D3291" s="5" t="s">
        <v>59</v>
      </c>
      <c r="E3291" s="5" t="s">
        <v>233</v>
      </c>
      <c r="F3291" s="5" t="s">
        <v>19</v>
      </c>
      <c r="G3291" s="14" t="str">
        <f t="array" ref="G3291">IF(B3291="", "",
  LET(_xlpm.spell, IFERROR(IF(F3291="", "", INDEX(_xlws.FILTER(Hairstyles!$F:$F, ISNUMBER(SEARCH(F3291, Hairstyles!$B:$B))), 1)), "No Spell for Hairstyle"),
  _xlpm.vanillaPrefix, IF(LEFT(_xlpm.spell, 7)="Uvi_Wig", "", ";"),
  ";" &amp; IF(C3291="", B3291, C3291) &amp; IF(M3291="", "", " ("&amp;M3291&amp;")") &amp; CHAR(10) &amp;
  _xlpm.vanillaPrefix &amp; "Keyword = Uvi_Wig_Distr_KYWD|" &amp; B3291 &amp; CHAR(10) &amp;
  _xlpm.vanillaPrefix &amp; "Spell = " &amp; _xlpm.spell &amp; "|" &amp; B3291
  )
)</f>
        <v>;EncWarlockStorm04ImperialM
;Keyword = Uvi_Wig_Distr_KYWD|EncWarlockStorm04ImperialM
;Spell = No Spell for Hairstyle|EncWarlockStorm04ImperialM</v>
      </c>
    </row>
    <row r="3292" ht="12.75" customHeight="1">
      <c r="A3292" s="5" t="s">
        <v>8956</v>
      </c>
      <c r="B3292" s="5" t="s">
        <v>8957</v>
      </c>
      <c r="D3292" s="5" t="s">
        <v>16</v>
      </c>
      <c r="E3292" s="5" t="s">
        <v>41</v>
      </c>
      <c r="F3292" s="5" t="s">
        <v>42</v>
      </c>
      <c r="G3292" s="14" t="str">
        <f t="array" ref="G3292">IF(B3292="", "",
  LET(_xlpm.spell, IFERROR(IF(F3292="", "", INDEX(_xlws.FILTER(Hairstyles!$F:$F, ISNUMBER(SEARCH(F3292, Hairstyles!$B:$B))), 1)), "No Spell for Hairstyle"),
  _xlpm.vanillaPrefix, IF(LEFT(_xlpm.spell, 7)="Uvi_Wig", "", ";"),
  ";" &amp; IF(C3292="", B3292, C3292) &amp; IF(M3292="", "", " ("&amp;M3292&amp;")") &amp; CHAR(10) &amp;
  _xlpm.vanillaPrefix &amp; "Keyword = Uvi_Wig_Distr_KYWD|" &amp; B3292 &amp; CHAR(10) &amp;
  _xlpm.vanillaPrefix &amp; "Spell = " &amp; _xlpm.spell &amp; "|" &amp; B3292
  )
)</f>
        <v>;EncWarlockStorm05BossBretonF
;Keyword = Uvi_Wig_Distr_KYWD|EncWarlockStorm05BossBretonF
;Spell = No Spell for Hairstyle|EncWarlockStorm05BossBretonF</v>
      </c>
    </row>
    <row r="3293" ht="12.75" customHeight="1">
      <c r="A3293" s="5" t="s">
        <v>8958</v>
      </c>
      <c r="B3293" s="5" t="s">
        <v>8959</v>
      </c>
      <c r="D3293" s="5" t="s">
        <v>16</v>
      </c>
      <c r="E3293" s="5" t="s">
        <v>233</v>
      </c>
      <c r="F3293" s="5" t="s">
        <v>19</v>
      </c>
      <c r="G3293" s="14" t="str">
        <f t="array" ref="G3293">IF(B3293="", "",
  LET(_xlpm.spell, IFERROR(IF(F3293="", "", INDEX(_xlws.FILTER(Hairstyles!$F:$F, ISNUMBER(SEARCH(F3293, Hairstyles!$B:$B))), 1)), "No Spell for Hairstyle"),
  _xlpm.vanillaPrefix, IF(LEFT(_xlpm.spell, 7)="Uvi_Wig", "", ";"),
  ";" &amp; IF(C3293="", B3293, C3293) &amp; IF(M3293="", "", " ("&amp;M3293&amp;")") &amp; CHAR(10) &amp;
  _xlpm.vanillaPrefix &amp; "Keyword = Uvi_Wig_Distr_KYWD|" &amp; B3293 &amp; CHAR(10) &amp;
  _xlpm.vanillaPrefix &amp; "Spell = " &amp; _xlpm.spell &amp; "|" &amp; B3293
  )
)</f>
        <v>;EncWarlockStorm05BossBretonM
;Keyword = Uvi_Wig_Distr_KYWD|EncWarlockStorm05BossBretonM
;Spell = No Spell for Hairstyle|EncWarlockStorm05BossBretonM</v>
      </c>
    </row>
    <row r="3294" ht="12.75" customHeight="1">
      <c r="A3294" s="5" t="s">
        <v>8960</v>
      </c>
      <c r="B3294" s="5" t="s">
        <v>8961</v>
      </c>
      <c r="D3294" s="5" t="s">
        <v>57</v>
      </c>
      <c r="E3294" s="5" t="s">
        <v>41</v>
      </c>
      <c r="F3294" s="5" t="s">
        <v>491</v>
      </c>
      <c r="G3294" s="14" t="str">
        <f t="array" ref="G3294">IF(B3294="", "",
  LET(_xlpm.spell, IFERROR(IF(F3294="", "", INDEX(_xlws.FILTER(Hairstyles!$F:$F, ISNUMBER(SEARCH(F3294, Hairstyles!$B:$B))), 1)), "No Spell for Hairstyle"),
  _xlpm.vanillaPrefix, IF(LEFT(_xlpm.spell, 7)="Uvi_Wig", "", ";"),
  ";" &amp; IF(C3294="", B3294, C3294) &amp; IF(M3294="", "", " ("&amp;M3294&amp;")") &amp; CHAR(10) &amp;
  _xlpm.vanillaPrefix &amp; "Keyword = Uvi_Wig_Distr_KYWD|" &amp; B3294 &amp; CHAR(10) &amp;
  _xlpm.vanillaPrefix &amp; "Spell = " &amp; _xlpm.spell &amp; "|" &amp; B3294
  )
)</f>
        <v>;EncWarlockStorm05BossHighElfF
;Keyword = Uvi_Wig_Distr_KYWD|EncWarlockStorm05BossHighElfF
;Spell = No Spell for Hairstyle|EncWarlockStorm05BossHighElfF</v>
      </c>
    </row>
    <row r="3295" ht="12.75" customHeight="1">
      <c r="A3295" s="15" t="s">
        <v>8962</v>
      </c>
      <c r="B3295" s="5" t="s">
        <v>8963</v>
      </c>
      <c r="D3295" s="5" t="s">
        <v>57</v>
      </c>
      <c r="E3295" s="5" t="s">
        <v>233</v>
      </c>
      <c r="F3295" s="5" t="s">
        <v>534</v>
      </c>
      <c r="G3295" s="14" t="str">
        <f t="array" ref="G3295">IF(B3295="", "",
  LET(_xlpm.spell, IFERROR(IF(F3295="", "", INDEX(_xlws.FILTER(Hairstyles!$F:$F, ISNUMBER(SEARCH(F3295, Hairstyles!$B:$B))), 1)), "No Spell for Hairstyle"),
  _xlpm.vanillaPrefix, IF(LEFT(_xlpm.spell, 7)="Uvi_Wig", "", ";"),
  ";" &amp; IF(C3295="", B3295, C3295) &amp; IF(M3295="", "", " ("&amp;M3295&amp;")") &amp; CHAR(10) &amp;
  _xlpm.vanillaPrefix &amp; "Keyword = Uvi_Wig_Distr_KYWD|" &amp; B3295 &amp; CHAR(10) &amp;
  _xlpm.vanillaPrefix &amp; "Spell = " &amp; _xlpm.spell &amp; "|" &amp; B3295
  )
)</f>
        <v>;EncWarlockStorm05BossHighElfM
;Keyword = Uvi_Wig_Distr_KYWD|EncWarlockStorm05BossHighElfM
;Spell = No Spell for Hairstyle|EncWarlockStorm05BossHighElfM</v>
      </c>
    </row>
    <row r="3296" ht="12.75" customHeight="1">
      <c r="A3296" s="5" t="s">
        <v>8964</v>
      </c>
      <c r="B3296" s="5" t="s">
        <v>8965</v>
      </c>
      <c r="D3296" s="5" t="s">
        <v>16</v>
      </c>
      <c r="E3296" s="5" t="s">
        <v>41</v>
      </c>
      <c r="F3296" s="5" t="s">
        <v>42</v>
      </c>
      <c r="G3296" s="14" t="str">
        <f t="array" ref="G3296">IF(B3296="", "",
  LET(_xlpm.spell, IFERROR(IF(F3296="", "", INDEX(_xlws.FILTER(Hairstyles!$F:$F, ISNUMBER(SEARCH(F3296, Hairstyles!$B:$B))), 1)), "No Spell for Hairstyle"),
  _xlpm.vanillaPrefix, IF(LEFT(_xlpm.spell, 7)="Uvi_Wig", "", ";"),
  ";" &amp; IF(C3296="", B3296, C3296) &amp; IF(M3296="", "", " ("&amp;M3296&amp;")") &amp; CHAR(10) &amp;
  _xlpm.vanillaPrefix &amp; "Keyword = Uvi_Wig_Distr_KYWD|" &amp; B3296 &amp; CHAR(10) &amp;
  _xlpm.vanillaPrefix &amp; "Spell = " &amp; _xlpm.spell &amp; "|" &amp; B3296
  )
)</f>
        <v>;EncWarlockStorm05BretonF
;Keyword = Uvi_Wig_Distr_KYWD|EncWarlockStorm05BretonF
;Spell = No Spell for Hairstyle|EncWarlockStorm05BretonF</v>
      </c>
    </row>
    <row r="3297" ht="12.75" customHeight="1">
      <c r="A3297" s="5" t="s">
        <v>8966</v>
      </c>
      <c r="B3297" s="5" t="s">
        <v>8967</v>
      </c>
      <c r="D3297" s="5" t="s">
        <v>16</v>
      </c>
      <c r="E3297" s="5" t="s">
        <v>233</v>
      </c>
      <c r="F3297" s="5" t="s">
        <v>1566</v>
      </c>
      <c r="G3297" s="14" t="str">
        <f t="array" ref="G3297">IF(B3297="", "",
  LET(_xlpm.spell, IFERROR(IF(F3297="", "", INDEX(_xlws.FILTER(Hairstyles!$F:$F, ISNUMBER(SEARCH(F3297, Hairstyles!$B:$B))), 1)), "No Spell for Hairstyle"),
  _xlpm.vanillaPrefix, IF(LEFT(_xlpm.spell, 7)="Uvi_Wig", "", ";"),
  ";" &amp; IF(C3297="", B3297, C3297) &amp; IF(M3297="", "", " ("&amp;M3297&amp;")") &amp; CHAR(10) &amp;
  _xlpm.vanillaPrefix &amp; "Keyword = Uvi_Wig_Distr_KYWD|" &amp; B3297 &amp; CHAR(10) &amp;
  _xlpm.vanillaPrefix &amp; "Spell = " &amp; _xlpm.spell &amp; "|" &amp; B3297
  )
)</f>
        <v>;EncWarlockStorm05BretonM
;Keyword = Uvi_Wig_Distr_KYWD|EncWarlockStorm05BretonM
;Spell = No Spell for Hairstyle|EncWarlockStorm05BretonM</v>
      </c>
    </row>
    <row r="3298" ht="12.75" customHeight="1">
      <c r="A3298" s="5" t="s">
        <v>8968</v>
      </c>
      <c r="B3298" s="5" t="s">
        <v>8969</v>
      </c>
      <c r="D3298" s="5" t="s">
        <v>45</v>
      </c>
      <c r="E3298" s="5" t="s">
        <v>41</v>
      </c>
      <c r="F3298" s="5" t="s">
        <v>48</v>
      </c>
      <c r="G3298" s="14" t="str">
        <f t="array" ref="G3298">IF(B3298="", "",
  LET(_xlpm.spell, IFERROR(IF(F3298="", "", INDEX(_xlws.FILTER(Hairstyles!$F:$F, ISNUMBER(SEARCH(F3298, Hairstyles!$B:$B))), 1)), "No Spell for Hairstyle"),
  _xlpm.vanillaPrefix, IF(LEFT(_xlpm.spell, 7)="Uvi_Wig", "", ";"),
  ";" &amp; IF(C3298="", B3298, C3298) &amp; IF(M3298="", "", " ("&amp;M3298&amp;")") &amp; CHAR(10) &amp;
  _xlpm.vanillaPrefix &amp; "Keyword = Uvi_Wig_Distr_KYWD|" &amp; B3298 &amp; CHAR(10) &amp;
  _xlpm.vanillaPrefix &amp; "Spell = " &amp; _xlpm.spell &amp; "|" &amp; B3298
  )
)</f>
        <v>;EncWarlockStorm05DarkElfF
;Keyword = Uvi_Wig_Distr_KYWD|EncWarlockStorm05DarkElfF
;Spell = No Spell for Hairstyle|EncWarlockStorm05DarkElfF</v>
      </c>
    </row>
    <row r="3299" ht="12.75" customHeight="1">
      <c r="A3299" s="5" t="s">
        <v>8970</v>
      </c>
      <c r="B3299" s="5" t="s">
        <v>8971</v>
      </c>
      <c r="D3299" s="5" t="s">
        <v>45</v>
      </c>
      <c r="E3299" s="5" t="s">
        <v>233</v>
      </c>
      <c r="F3299" s="5" t="s">
        <v>47</v>
      </c>
      <c r="G3299" s="14" t="str">
        <f t="array" ref="G3299">IF(B3299="", "",
  LET(_xlpm.spell, IFERROR(IF(F3299="", "", INDEX(_xlws.FILTER(Hairstyles!$F:$F, ISNUMBER(SEARCH(F3299, Hairstyles!$B:$B))), 1)), "No Spell for Hairstyle"),
  _xlpm.vanillaPrefix, IF(LEFT(_xlpm.spell, 7)="Uvi_Wig", "", ";"),
  ";" &amp; IF(C3299="", B3299, C3299) &amp; IF(M3299="", "", " ("&amp;M3299&amp;")") &amp; CHAR(10) &amp;
  _xlpm.vanillaPrefix &amp; "Keyword = Uvi_Wig_Distr_KYWD|" &amp; B3299 &amp; CHAR(10) &amp;
  _xlpm.vanillaPrefix &amp; "Spell = " &amp; _xlpm.spell &amp; "|" &amp; B3299
  )
)</f>
        <v>;EncWarlockStorm05DarkElfM
;Keyword = Uvi_Wig_Distr_KYWD|EncWarlockStorm05DarkElfM
;Spell = No Spell for Hairstyle|EncWarlockStorm05DarkElfM</v>
      </c>
    </row>
    <row r="3300" ht="12.75" customHeight="1">
      <c r="A3300" s="5" t="s">
        <v>8972</v>
      </c>
      <c r="B3300" s="5" t="s">
        <v>8973</v>
      </c>
      <c r="D3300" s="5" t="s">
        <v>57</v>
      </c>
      <c r="E3300" s="5" t="s">
        <v>41</v>
      </c>
      <c r="F3300" s="5" t="s">
        <v>491</v>
      </c>
      <c r="G3300" s="14" t="str">
        <f t="array" ref="G3300">IF(B3300="", "",
  LET(_xlpm.spell, IFERROR(IF(F3300="", "", INDEX(_xlws.FILTER(Hairstyles!$F:$F, ISNUMBER(SEARCH(F3300, Hairstyles!$B:$B))), 1)), "No Spell for Hairstyle"),
  _xlpm.vanillaPrefix, IF(LEFT(_xlpm.spell, 7)="Uvi_Wig", "", ";"),
  ";" &amp; IF(C3300="", B3300, C3300) &amp; IF(M3300="", "", " ("&amp;M3300&amp;")") &amp; CHAR(10) &amp;
  _xlpm.vanillaPrefix &amp; "Keyword = Uvi_Wig_Distr_KYWD|" &amp; B3300 &amp; CHAR(10) &amp;
  _xlpm.vanillaPrefix &amp; "Spell = " &amp; _xlpm.spell &amp; "|" &amp; B3300
  )
)</f>
        <v>;EncWarlockStorm05HighElfF
;Keyword = Uvi_Wig_Distr_KYWD|EncWarlockStorm05HighElfF
;Spell = No Spell for Hairstyle|EncWarlockStorm05HighElfF</v>
      </c>
    </row>
    <row r="3301" ht="12.75" customHeight="1">
      <c r="A3301" s="5" t="s">
        <v>8974</v>
      </c>
      <c r="B3301" s="5" t="s">
        <v>8975</v>
      </c>
      <c r="D3301" s="5" t="s">
        <v>57</v>
      </c>
      <c r="E3301" s="5" t="s">
        <v>233</v>
      </c>
      <c r="F3301" s="5" t="s">
        <v>47</v>
      </c>
      <c r="G3301" s="14" t="str">
        <f t="array" ref="G3301">IF(B3301="", "",
  LET(_xlpm.spell, IFERROR(IF(F3301="", "", INDEX(_xlws.FILTER(Hairstyles!$F:$F, ISNUMBER(SEARCH(F3301, Hairstyles!$B:$B))), 1)), "No Spell for Hairstyle"),
  _xlpm.vanillaPrefix, IF(LEFT(_xlpm.spell, 7)="Uvi_Wig", "", ";"),
  ";" &amp; IF(C3301="", B3301, C3301) &amp; IF(M3301="", "", " ("&amp;M3301&amp;")") &amp; CHAR(10) &amp;
  _xlpm.vanillaPrefix &amp; "Keyword = Uvi_Wig_Distr_KYWD|" &amp; B3301 &amp; CHAR(10) &amp;
  _xlpm.vanillaPrefix &amp; "Spell = " &amp; _xlpm.spell &amp; "|" &amp; B3301
  )
)</f>
        <v>;EncWarlockStorm05HighElfM
;Keyword = Uvi_Wig_Distr_KYWD|EncWarlockStorm05HighElfM
;Spell = No Spell for Hairstyle|EncWarlockStorm05HighElfM</v>
      </c>
    </row>
    <row r="3302" ht="12.75" customHeight="1">
      <c r="A3302" s="5" t="s">
        <v>8976</v>
      </c>
      <c r="B3302" s="5" t="s">
        <v>8977</v>
      </c>
      <c r="D3302" s="5" t="s">
        <v>59</v>
      </c>
      <c r="E3302" s="5" t="s">
        <v>41</v>
      </c>
      <c r="F3302" s="5" t="s">
        <v>42</v>
      </c>
      <c r="G3302" s="14" t="str">
        <f t="array" ref="G3302">IF(B3302="", "",
  LET(_xlpm.spell, IFERROR(IF(F3302="", "", INDEX(_xlws.FILTER(Hairstyles!$F:$F, ISNUMBER(SEARCH(F3302, Hairstyles!$B:$B))), 1)), "No Spell for Hairstyle"),
  _xlpm.vanillaPrefix, IF(LEFT(_xlpm.spell, 7)="Uvi_Wig", "", ";"),
  ";" &amp; IF(C3302="", B3302, C3302) &amp; IF(M3302="", "", " ("&amp;M3302&amp;")") &amp; CHAR(10) &amp;
  _xlpm.vanillaPrefix &amp; "Keyword = Uvi_Wig_Distr_KYWD|" &amp; B3302 &amp; CHAR(10) &amp;
  _xlpm.vanillaPrefix &amp; "Spell = " &amp; _xlpm.spell &amp; "|" &amp; B3302
  )
)</f>
        <v>;EncWarlockStorm05ImperialF
;Keyword = Uvi_Wig_Distr_KYWD|EncWarlockStorm05ImperialF
;Spell = No Spell for Hairstyle|EncWarlockStorm05ImperialF</v>
      </c>
    </row>
    <row r="3303" ht="12.75" customHeight="1">
      <c r="A3303" s="5" t="s">
        <v>8978</v>
      </c>
      <c r="B3303" s="5" t="s">
        <v>8979</v>
      </c>
      <c r="D3303" s="5" t="s">
        <v>59</v>
      </c>
      <c r="E3303" s="5" t="s">
        <v>233</v>
      </c>
      <c r="F3303" s="5" t="s">
        <v>1566</v>
      </c>
      <c r="G3303" s="14" t="str">
        <f t="array" ref="G3303">IF(B3303="", "",
  LET(_xlpm.spell, IFERROR(IF(F3303="", "", INDEX(_xlws.FILTER(Hairstyles!$F:$F, ISNUMBER(SEARCH(F3303, Hairstyles!$B:$B))), 1)), "No Spell for Hairstyle"),
  _xlpm.vanillaPrefix, IF(LEFT(_xlpm.spell, 7)="Uvi_Wig", "", ";"),
  ";" &amp; IF(C3303="", B3303, C3303) &amp; IF(M3303="", "", " ("&amp;M3303&amp;")") &amp; CHAR(10) &amp;
  _xlpm.vanillaPrefix &amp; "Keyword = Uvi_Wig_Distr_KYWD|" &amp; B3303 &amp; CHAR(10) &amp;
  _xlpm.vanillaPrefix &amp; "Spell = " &amp; _xlpm.spell &amp; "|" &amp; B3303
  )
)</f>
        <v>;EncWarlockStorm05ImperialM
;Keyword = Uvi_Wig_Distr_KYWD|EncWarlockStorm05ImperialM
;Spell = No Spell for Hairstyle|EncWarlockStorm05ImperialM</v>
      </c>
    </row>
    <row r="3304" ht="12.75" customHeight="1">
      <c r="A3304" s="15" t="s">
        <v>8980</v>
      </c>
      <c r="B3304" s="5" t="s">
        <v>8981</v>
      </c>
      <c r="D3304" s="5" t="s">
        <v>16</v>
      </c>
      <c r="E3304" s="5" t="s">
        <v>41</v>
      </c>
      <c r="F3304" s="5" t="s">
        <v>1694</v>
      </c>
      <c r="G3304" s="14" t="str">
        <f t="array" ref="G3304">IF(B3304="", "",
  LET(_xlpm.spell, IFERROR(IF(F3304="", "", INDEX(_xlws.FILTER(Hairstyles!$F:$F, ISNUMBER(SEARCH(F3304, Hairstyles!$B:$B))), 1)), "No Spell for Hairstyle"),
  _xlpm.vanillaPrefix, IF(LEFT(_xlpm.spell, 7)="Uvi_Wig", "", ";"),
  ";" &amp; IF(C3304="", B3304, C3304) &amp; IF(M3304="", "", " ("&amp;M3304&amp;")") &amp; CHAR(10) &amp;
  _xlpm.vanillaPrefix &amp; "Keyword = Uvi_Wig_Distr_KYWD|" &amp; B3304 &amp; CHAR(10) &amp;
  _xlpm.vanillaPrefix &amp; "Spell = " &amp; _xlpm.spell &amp; "|" &amp; B3304
  )
)</f>
        <v>;EncWarlockStorm06BossBretonF
;Keyword = Uvi_Wig_Distr_KYWD|EncWarlockStorm06BossBretonF
;Spell = No Spell for Hairstyle|EncWarlockStorm06BossBretonF</v>
      </c>
    </row>
    <row r="3305" ht="12.75" customHeight="1">
      <c r="A3305" s="15" t="s">
        <v>8982</v>
      </c>
      <c r="B3305" s="5" t="s">
        <v>8983</v>
      </c>
      <c r="D3305" s="5" t="s">
        <v>16</v>
      </c>
      <c r="E3305" s="5" t="s">
        <v>233</v>
      </c>
      <c r="F3305" s="5" t="s">
        <v>234</v>
      </c>
      <c r="G3305" s="14" t="str">
        <f t="array" ref="G3305">IF(B3305="", "",
  LET(_xlpm.spell, IFERROR(IF(F3305="", "", INDEX(_xlws.FILTER(Hairstyles!$F:$F, ISNUMBER(SEARCH(F3305, Hairstyles!$B:$B))), 1)), "No Spell for Hairstyle"),
  _xlpm.vanillaPrefix, IF(LEFT(_xlpm.spell, 7)="Uvi_Wig", "", ";"),
  ";" &amp; IF(C3305="", B3305, C3305) &amp; IF(M3305="", "", " ("&amp;M3305&amp;")") &amp; CHAR(10) &amp;
  _xlpm.vanillaPrefix &amp; "Keyword = Uvi_Wig_Distr_KYWD|" &amp; B3305 &amp; CHAR(10) &amp;
  _xlpm.vanillaPrefix &amp; "Spell = " &amp; _xlpm.spell &amp; "|" &amp; B3305
  )
)</f>
        <v>;EncWarlockStorm06BossBretonM
;Keyword = Uvi_Wig_Distr_KYWD|EncWarlockStorm06BossBretonM
;Spell = No Spell for Hairstyle|EncWarlockStorm06BossBretonM</v>
      </c>
    </row>
    <row r="3306" ht="12.75" customHeight="1">
      <c r="A3306" s="15" t="s">
        <v>8984</v>
      </c>
      <c r="B3306" s="5" t="s">
        <v>8985</v>
      </c>
      <c r="D3306" s="5" t="s">
        <v>57</v>
      </c>
      <c r="E3306" s="5" t="s">
        <v>41</v>
      </c>
      <c r="F3306" s="5" t="s">
        <v>4274</v>
      </c>
      <c r="G3306" s="14" t="str">
        <f t="array" ref="G3306">IF(B3306="", "",
  LET(_xlpm.spell, IFERROR(IF(F3306="", "", INDEX(_xlws.FILTER(Hairstyles!$F:$F, ISNUMBER(SEARCH(F3306, Hairstyles!$B:$B))), 1)), "No Spell for Hairstyle"),
  _xlpm.vanillaPrefix, IF(LEFT(_xlpm.spell, 7)="Uvi_Wig", "", ";"),
  ";" &amp; IF(C3306="", B3306, C3306) &amp; IF(M3306="", "", " ("&amp;M3306&amp;")") &amp; CHAR(10) &amp;
  _xlpm.vanillaPrefix &amp; "Keyword = Uvi_Wig_Distr_KYWD|" &amp; B3306 &amp; CHAR(10) &amp;
  _xlpm.vanillaPrefix &amp; "Spell = " &amp; _xlpm.spell &amp; "|" &amp; B3306
  )
)</f>
        <v>;EncWarlockStorm06BossHighElfF
;Keyword = Uvi_Wig_Distr_KYWD|EncWarlockStorm06BossHighElfF
;Spell = No Spell for Hairstyle|EncWarlockStorm06BossHighElfF</v>
      </c>
    </row>
    <row r="3307" ht="12.75" customHeight="1">
      <c r="A3307" s="15" t="s">
        <v>8986</v>
      </c>
      <c r="B3307" s="5" t="s">
        <v>8987</v>
      </c>
      <c r="D3307" s="5" t="s">
        <v>57</v>
      </c>
      <c r="E3307" s="5" t="s">
        <v>233</v>
      </c>
      <c r="F3307" s="5" t="s">
        <v>1684</v>
      </c>
      <c r="G3307" s="14" t="str">
        <f t="array" ref="G3307">IF(B3307="", "",
  LET(_xlpm.spell, IFERROR(IF(F3307="", "", INDEX(_xlws.FILTER(Hairstyles!$F:$F, ISNUMBER(SEARCH(F3307, Hairstyles!$B:$B))), 1)), "No Spell for Hairstyle"),
  _xlpm.vanillaPrefix, IF(LEFT(_xlpm.spell, 7)="Uvi_Wig", "", ";"),
  ";" &amp; IF(C3307="", B3307, C3307) &amp; IF(M3307="", "", " ("&amp;M3307&amp;")") &amp; CHAR(10) &amp;
  _xlpm.vanillaPrefix &amp; "Keyword = Uvi_Wig_Distr_KYWD|" &amp; B3307 &amp; CHAR(10) &amp;
  _xlpm.vanillaPrefix &amp; "Spell = " &amp; _xlpm.spell &amp; "|" &amp; B3307
  )
)</f>
        <v>;EncWarlockStorm06BossHighElfM
;Keyword = Uvi_Wig_Distr_KYWD|EncWarlockStorm06BossHighElfM
;Spell = No Spell for Hairstyle|EncWarlockStorm06BossHighElfM</v>
      </c>
    </row>
    <row r="3308" ht="12.75" customHeight="1">
      <c r="A3308" s="5" t="s">
        <v>8988</v>
      </c>
      <c r="B3308" s="5" t="s">
        <v>8989</v>
      </c>
      <c r="D3308" s="5" t="s">
        <v>16</v>
      </c>
      <c r="E3308" s="5" t="s">
        <v>41</v>
      </c>
      <c r="F3308" s="5" t="s">
        <v>42</v>
      </c>
      <c r="G3308" s="14" t="str">
        <f t="array" ref="G3308">IF(B3308="", "",
  LET(_xlpm.spell, IFERROR(IF(F3308="", "", INDEX(_xlws.FILTER(Hairstyles!$F:$F, ISNUMBER(SEARCH(F3308, Hairstyles!$B:$B))), 1)), "No Spell for Hairstyle"),
  _xlpm.vanillaPrefix, IF(LEFT(_xlpm.spell, 7)="Uvi_Wig", "", ";"),
  ";" &amp; IF(C3308="", B3308, C3308) &amp; IF(M3308="", "", " ("&amp;M3308&amp;")") &amp; CHAR(10) &amp;
  _xlpm.vanillaPrefix &amp; "Keyword = Uvi_Wig_Distr_KYWD|" &amp; B3308 &amp; CHAR(10) &amp;
  _xlpm.vanillaPrefix &amp; "Spell = " &amp; _xlpm.spell &amp; "|" &amp; B3308
  )
)</f>
        <v>;EncWarlockStorm06BretonF
;Keyword = Uvi_Wig_Distr_KYWD|EncWarlockStorm06BretonF
;Spell = No Spell for Hairstyle|EncWarlockStorm06BretonF</v>
      </c>
    </row>
    <row r="3309" ht="12.75" customHeight="1">
      <c r="A3309" s="5" t="s">
        <v>8990</v>
      </c>
      <c r="B3309" s="5" t="s">
        <v>8991</v>
      </c>
      <c r="D3309" s="5" t="s">
        <v>16</v>
      </c>
      <c r="E3309" s="5" t="s">
        <v>233</v>
      </c>
      <c r="F3309" s="5" t="s">
        <v>762</v>
      </c>
      <c r="G3309" s="14" t="str">
        <f t="array" ref="G3309">IF(B3309="", "",
  LET(_xlpm.spell, IFERROR(IF(F3309="", "", INDEX(_xlws.FILTER(Hairstyles!$F:$F, ISNUMBER(SEARCH(F3309, Hairstyles!$B:$B))), 1)), "No Spell for Hairstyle"),
  _xlpm.vanillaPrefix, IF(LEFT(_xlpm.spell, 7)="Uvi_Wig", "", ";"),
  ";" &amp; IF(C3309="", B3309, C3309) &amp; IF(M3309="", "", " ("&amp;M3309&amp;")") &amp; CHAR(10) &amp;
  _xlpm.vanillaPrefix &amp; "Keyword = Uvi_Wig_Distr_KYWD|" &amp; B3309 &amp; CHAR(10) &amp;
  _xlpm.vanillaPrefix &amp; "Spell = " &amp; _xlpm.spell &amp; "|" &amp; B3309
  )
)</f>
        <v>;EncWarlockStorm06BretonM
;Keyword = Uvi_Wig_Distr_KYWD|EncWarlockStorm06BretonM
;Spell = No Spell for Hairstyle|EncWarlockStorm06BretonM</v>
      </c>
    </row>
    <row r="3310" ht="12.75" customHeight="1">
      <c r="A3310" s="5" t="s">
        <v>8992</v>
      </c>
      <c r="B3310" s="5" t="s">
        <v>8993</v>
      </c>
      <c r="D3310" s="5" t="s">
        <v>45</v>
      </c>
      <c r="E3310" s="5" t="s">
        <v>41</v>
      </c>
      <c r="F3310" s="5" t="s">
        <v>491</v>
      </c>
      <c r="G3310" s="14" t="str">
        <f t="array" ref="G3310">IF(B3310="", "",
  LET(_xlpm.spell, IFERROR(IF(F3310="", "", INDEX(_xlws.FILTER(Hairstyles!$F:$F, ISNUMBER(SEARCH(F3310, Hairstyles!$B:$B))), 1)), "No Spell for Hairstyle"),
  _xlpm.vanillaPrefix, IF(LEFT(_xlpm.spell, 7)="Uvi_Wig", "", ";"),
  ";" &amp; IF(C3310="", B3310, C3310) &amp; IF(M3310="", "", " ("&amp;M3310&amp;")") &amp; CHAR(10) &amp;
  _xlpm.vanillaPrefix &amp; "Keyword = Uvi_Wig_Distr_KYWD|" &amp; B3310 &amp; CHAR(10) &amp;
  _xlpm.vanillaPrefix &amp; "Spell = " &amp; _xlpm.spell &amp; "|" &amp; B3310
  )
)</f>
        <v>;EncWarlockStorm06DarkElfF
;Keyword = Uvi_Wig_Distr_KYWD|EncWarlockStorm06DarkElfF
;Spell = No Spell for Hairstyle|EncWarlockStorm06DarkElfF</v>
      </c>
    </row>
    <row r="3311" ht="12.75" customHeight="1">
      <c r="A3311" s="5" t="s">
        <v>8994</v>
      </c>
      <c r="B3311" s="5" t="s">
        <v>8995</v>
      </c>
      <c r="D3311" s="5" t="s">
        <v>45</v>
      </c>
      <c r="E3311" s="5" t="s">
        <v>233</v>
      </c>
      <c r="F3311" s="5" t="s">
        <v>1787</v>
      </c>
      <c r="G3311" s="14" t="str">
        <f t="array" ref="G3311">IF(B3311="", "",
  LET(_xlpm.spell, IFERROR(IF(F3311="", "", INDEX(_xlws.FILTER(Hairstyles!$F:$F, ISNUMBER(SEARCH(F3311, Hairstyles!$B:$B))), 1)), "No Spell for Hairstyle"),
  _xlpm.vanillaPrefix, IF(LEFT(_xlpm.spell, 7)="Uvi_Wig", "", ";"),
  ";" &amp; IF(C3311="", B3311, C3311) &amp; IF(M3311="", "", " ("&amp;M3311&amp;")") &amp; CHAR(10) &amp;
  _xlpm.vanillaPrefix &amp; "Keyword = Uvi_Wig_Distr_KYWD|" &amp; B3311 &amp; CHAR(10) &amp;
  _xlpm.vanillaPrefix &amp; "Spell = " &amp; _xlpm.spell &amp; "|" &amp; B3311
  )
)</f>
        <v>;EncWarlockStorm06DarkElfM
;Keyword = Uvi_Wig_Distr_KYWD|EncWarlockStorm06DarkElfM
;Spell = No Spell for Hairstyle|EncWarlockStorm06DarkElfM</v>
      </c>
    </row>
    <row r="3312" ht="12.75" customHeight="1">
      <c r="A3312" s="5" t="s">
        <v>8996</v>
      </c>
      <c r="B3312" s="5" t="s">
        <v>8997</v>
      </c>
      <c r="D3312" s="5" t="s">
        <v>57</v>
      </c>
      <c r="E3312" s="5" t="s">
        <v>41</v>
      </c>
      <c r="F3312" s="5" t="s">
        <v>2577</v>
      </c>
      <c r="G3312" s="14" t="str">
        <f t="array" ref="G3312">IF(B3312="", "",
  LET(_xlpm.spell, IFERROR(IF(F3312="", "", INDEX(_xlws.FILTER(Hairstyles!$F:$F, ISNUMBER(SEARCH(F3312, Hairstyles!$B:$B))), 1)), "No Spell for Hairstyle"),
  _xlpm.vanillaPrefix, IF(LEFT(_xlpm.spell, 7)="Uvi_Wig", "", ";"),
  ";" &amp; IF(C3312="", B3312, C3312) &amp; IF(M3312="", "", " ("&amp;M3312&amp;")") &amp; CHAR(10) &amp;
  _xlpm.vanillaPrefix &amp; "Keyword = Uvi_Wig_Distr_KYWD|" &amp; B3312 &amp; CHAR(10) &amp;
  _xlpm.vanillaPrefix &amp; "Spell = " &amp; _xlpm.spell &amp; "|" &amp; B3312
  )
)</f>
        <v>;EncWarlockStorm06HighElfF
;Keyword = Uvi_Wig_Distr_KYWD|EncWarlockStorm06HighElfF
;Spell = No Spell for Hairstyle|EncWarlockStorm06HighElfF</v>
      </c>
    </row>
    <row r="3313" ht="12.75" customHeight="1">
      <c r="A3313" s="5" t="s">
        <v>8998</v>
      </c>
      <c r="B3313" s="5" t="s">
        <v>8999</v>
      </c>
      <c r="D3313" s="5" t="s">
        <v>57</v>
      </c>
      <c r="E3313" s="5" t="s">
        <v>233</v>
      </c>
      <c r="F3313" s="5" t="s">
        <v>47</v>
      </c>
      <c r="G3313" s="14" t="str">
        <f t="array" ref="G3313">IF(B3313="", "",
  LET(_xlpm.spell, IFERROR(IF(F3313="", "", INDEX(_xlws.FILTER(Hairstyles!$F:$F, ISNUMBER(SEARCH(F3313, Hairstyles!$B:$B))), 1)), "No Spell for Hairstyle"),
  _xlpm.vanillaPrefix, IF(LEFT(_xlpm.spell, 7)="Uvi_Wig", "", ";"),
  ";" &amp; IF(C3313="", B3313, C3313) &amp; IF(M3313="", "", " ("&amp;M3313&amp;")") &amp; CHAR(10) &amp;
  _xlpm.vanillaPrefix &amp; "Keyword = Uvi_Wig_Distr_KYWD|" &amp; B3313 &amp; CHAR(10) &amp;
  _xlpm.vanillaPrefix &amp; "Spell = " &amp; _xlpm.spell &amp; "|" &amp; B3313
  )
)</f>
        <v>;EncWarlockStorm06HighElfM
;Keyword = Uvi_Wig_Distr_KYWD|EncWarlockStorm06HighElfM
;Spell = No Spell for Hairstyle|EncWarlockStorm06HighElfM</v>
      </c>
    </row>
    <row r="3314" ht="12.75" customHeight="1">
      <c r="A3314" s="5" t="s">
        <v>9000</v>
      </c>
      <c r="B3314" s="5" t="s">
        <v>9001</v>
      </c>
      <c r="D3314" s="5" t="s">
        <v>59</v>
      </c>
      <c r="E3314" s="5" t="s">
        <v>41</v>
      </c>
      <c r="F3314" s="5" t="s">
        <v>1694</v>
      </c>
      <c r="G3314" s="14" t="str">
        <f t="array" ref="G3314">IF(B3314="", "",
  LET(_xlpm.spell, IFERROR(IF(F3314="", "", INDEX(_xlws.FILTER(Hairstyles!$F:$F, ISNUMBER(SEARCH(F3314, Hairstyles!$B:$B))), 1)), "No Spell for Hairstyle"),
  _xlpm.vanillaPrefix, IF(LEFT(_xlpm.spell, 7)="Uvi_Wig", "", ";"),
  ";" &amp; IF(C3314="", B3314, C3314) &amp; IF(M3314="", "", " ("&amp;M3314&amp;")") &amp; CHAR(10) &amp;
  _xlpm.vanillaPrefix &amp; "Keyword = Uvi_Wig_Distr_KYWD|" &amp; B3314 &amp; CHAR(10) &amp;
  _xlpm.vanillaPrefix &amp; "Spell = " &amp; _xlpm.spell &amp; "|" &amp; B3314
  )
)</f>
        <v>;EncWarlockStorm06ImperialF
;Keyword = Uvi_Wig_Distr_KYWD|EncWarlockStorm06ImperialF
;Spell = No Spell for Hairstyle|EncWarlockStorm06ImperialF</v>
      </c>
    </row>
    <row r="3315" ht="12.75" customHeight="1">
      <c r="A3315" s="5" t="s">
        <v>9002</v>
      </c>
      <c r="B3315" s="5" t="s">
        <v>9003</v>
      </c>
      <c r="D3315" s="5" t="s">
        <v>59</v>
      </c>
      <c r="E3315" s="5" t="s">
        <v>233</v>
      </c>
      <c r="F3315" s="5" t="s">
        <v>695</v>
      </c>
      <c r="G3315" s="14" t="str">
        <f t="array" ref="G3315">IF(B3315="", "",
  LET(_xlpm.spell, IFERROR(IF(F3315="", "", INDEX(_xlws.FILTER(Hairstyles!$F:$F, ISNUMBER(SEARCH(F3315, Hairstyles!$B:$B))), 1)), "No Spell for Hairstyle"),
  _xlpm.vanillaPrefix, IF(LEFT(_xlpm.spell, 7)="Uvi_Wig", "", ";"),
  ";" &amp; IF(C3315="", B3315, C3315) &amp; IF(M3315="", "", " ("&amp;M3315&amp;")") &amp; CHAR(10) &amp;
  _xlpm.vanillaPrefix &amp; "Keyword = Uvi_Wig_Distr_KYWD|" &amp; B3315 &amp; CHAR(10) &amp;
  _xlpm.vanillaPrefix &amp; "Spell = " &amp; _xlpm.spell &amp; "|" &amp; B3315
  )
)</f>
        <v>;EncWarlockStorm06ImperialM
;Keyword = Uvi_Wig_Distr_KYWD|EncWarlockStorm06ImperialM
;Spell = No Spell for Hairstyle|EncWarlockStorm06ImperialM</v>
      </c>
    </row>
    <row r="3316" ht="12.75" customHeight="1">
      <c r="A3316" s="5" t="s">
        <v>9004</v>
      </c>
      <c r="B3316" s="5" t="s">
        <v>9005</v>
      </c>
      <c r="D3316" s="5" t="s">
        <v>16</v>
      </c>
      <c r="E3316" s="5" t="s">
        <v>41</v>
      </c>
      <c r="F3316" s="5" t="s">
        <v>1694</v>
      </c>
      <c r="G3316" s="14" t="str">
        <f t="array" ref="G3316">IF(B3316="", "",
  LET(_xlpm.spell, IFERROR(IF(F3316="", "", INDEX(_xlws.FILTER(Hairstyles!$F:$F, ISNUMBER(SEARCH(F3316, Hairstyles!$B:$B))), 1)), "No Spell for Hairstyle"),
  _xlpm.vanillaPrefix, IF(LEFT(_xlpm.spell, 7)="Uvi_Wig", "", ";"),
  ";" &amp; IF(C3316="", B3316, C3316) &amp; IF(M3316="", "", " ("&amp;M3316&amp;")") &amp; CHAR(10) &amp;
  _xlpm.vanillaPrefix &amp; "Keyword = Uvi_Wig_Distr_KYWD|" &amp; B3316 &amp; CHAR(10) &amp;
  _xlpm.vanillaPrefix &amp; "Spell = " &amp; _xlpm.spell &amp; "|" &amp; B3316
  )
)</f>
        <v>;EncWarlockStorm07BossBretonF
;Keyword = Uvi_Wig_Distr_KYWD|EncWarlockStorm07BossBretonF
;Spell = No Spell for Hairstyle|EncWarlockStorm07BossBretonF</v>
      </c>
    </row>
    <row r="3317" ht="12.75" customHeight="1">
      <c r="A3317" s="5" t="s">
        <v>9006</v>
      </c>
      <c r="B3317" s="5" t="s">
        <v>9007</v>
      </c>
      <c r="D3317" s="5" t="s">
        <v>57</v>
      </c>
      <c r="E3317" s="5" t="s">
        <v>233</v>
      </c>
      <c r="F3317" s="5" t="s">
        <v>1684</v>
      </c>
      <c r="G3317" s="14" t="str">
        <f t="array" ref="G3317">IF(B3317="", "",
  LET(_xlpm.spell, IFERROR(IF(F3317="", "", INDEX(_xlws.FILTER(Hairstyles!$F:$F, ISNUMBER(SEARCH(F3317, Hairstyles!$B:$B))), 1)), "No Spell for Hairstyle"),
  _xlpm.vanillaPrefix, IF(LEFT(_xlpm.spell, 7)="Uvi_Wig", "", ";"),
  ";" &amp; IF(C3317="", B3317, C3317) &amp; IF(M3317="", "", " ("&amp;M3317&amp;")") &amp; CHAR(10) &amp;
  _xlpm.vanillaPrefix &amp; "Keyword = Uvi_Wig_Distr_KYWD|" &amp; B3317 &amp; CHAR(10) &amp;
  _xlpm.vanillaPrefix &amp; "Spell = " &amp; _xlpm.spell &amp; "|" &amp; B3317
  )
)</f>
        <v>;EncWarlockStorm07BossHighElfM
;Keyword = Uvi_Wig_Distr_KYWD|EncWarlockStorm07BossHighElfM
;Spell = No Spell for Hairstyle|EncWarlockStorm07BossHighElfM</v>
      </c>
    </row>
    <row r="3318" ht="12.75" customHeight="1">
      <c r="A3318" s="5" t="s">
        <v>9008</v>
      </c>
      <c r="B3318" s="5" t="s">
        <v>9009</v>
      </c>
      <c r="D3318" s="5" t="s">
        <v>16</v>
      </c>
      <c r="E3318" s="5" t="s">
        <v>41</v>
      </c>
      <c r="F3318" s="5" t="s">
        <v>42</v>
      </c>
      <c r="G3318" s="14" t="str">
        <f t="array" ref="G3318">IF(B3318="", "",
  LET(_xlpm.spell, IFERROR(IF(F3318="", "", INDEX(_xlws.FILTER(Hairstyles!$F:$F, ISNUMBER(SEARCH(F3318, Hairstyles!$B:$B))), 1)), "No Spell for Hairstyle"),
  _xlpm.vanillaPrefix, IF(LEFT(_xlpm.spell, 7)="Uvi_Wig", "", ";"),
  ";" &amp; IF(C3318="", B3318, C3318) &amp; IF(M3318="", "", " ("&amp;M3318&amp;")") &amp; CHAR(10) &amp;
  _xlpm.vanillaPrefix &amp; "Keyword = Uvi_Wig_Distr_KYWD|" &amp; B3318 &amp; CHAR(10) &amp;
  _xlpm.vanillaPrefix &amp; "Spell = " &amp; _xlpm.spell &amp; "|" &amp; B3318
  )
)</f>
        <v>;EncWarlockStorm07BretonF
;Keyword = Uvi_Wig_Distr_KYWD|EncWarlockStorm07BretonF
;Spell = No Spell for Hairstyle|EncWarlockStorm07BretonF</v>
      </c>
    </row>
    <row r="3319" ht="12.75" customHeight="1">
      <c r="A3319" s="5" t="s">
        <v>9010</v>
      </c>
      <c r="B3319" s="5" t="s">
        <v>9011</v>
      </c>
      <c r="D3319" s="5" t="s">
        <v>57</v>
      </c>
      <c r="E3319" s="5" t="s">
        <v>233</v>
      </c>
      <c r="F3319" s="5" t="s">
        <v>47</v>
      </c>
      <c r="G3319" s="14" t="str">
        <f t="array" ref="G3319">IF(B3319="", "",
  LET(_xlpm.spell, IFERROR(IF(F3319="", "", INDEX(_xlws.FILTER(Hairstyles!$F:$F, ISNUMBER(SEARCH(F3319, Hairstyles!$B:$B))), 1)), "No Spell for Hairstyle"),
  _xlpm.vanillaPrefix, IF(LEFT(_xlpm.spell, 7)="Uvi_Wig", "", ";"),
  ";" &amp; IF(C3319="", B3319, C3319) &amp; IF(M3319="", "", " ("&amp;M3319&amp;")") &amp; CHAR(10) &amp;
  _xlpm.vanillaPrefix &amp; "Keyword = Uvi_Wig_Distr_KYWD|" &amp; B3319 &amp; CHAR(10) &amp;
  _xlpm.vanillaPrefix &amp; "Spell = " &amp; _xlpm.spell &amp; "|" &amp; B3319
  )
)</f>
        <v>;EncWarlockStorm07HighElfM
;Keyword = Uvi_Wig_Distr_KYWD|EncWarlockStorm07HighElfM
;Spell = No Spell for Hairstyle|EncWarlockStorm07HighElfM</v>
      </c>
    </row>
    <row r="3320" ht="12.75" customHeight="1">
      <c r="A3320" s="5" t="s">
        <v>9012</v>
      </c>
      <c r="B3320" s="5" t="s">
        <v>9013</v>
      </c>
      <c r="D3320" s="5" t="s">
        <v>16</v>
      </c>
      <c r="E3320" s="5" t="s">
        <v>41</v>
      </c>
      <c r="F3320" s="5" t="s">
        <v>1694</v>
      </c>
      <c r="G3320" s="14" t="str">
        <f t="array" ref="G3320">IF(B3320="", "",
  LET(_xlpm.spell, IFERROR(IF(F3320="", "", INDEX(_xlws.FILTER(Hairstyles!$F:$F, ISNUMBER(SEARCH(F3320, Hairstyles!$B:$B))), 1)), "No Spell for Hairstyle"),
  _xlpm.vanillaPrefix, IF(LEFT(_xlpm.spell, 7)="Uvi_Wig", "", ";"),
  ";" &amp; IF(C3320="", B3320, C3320) &amp; IF(M3320="", "", " ("&amp;M3320&amp;")") &amp; CHAR(10) &amp;
  _xlpm.vanillaPrefix &amp; "Keyword = Uvi_Wig_Distr_KYWD|" &amp; B3320 &amp; CHAR(10) &amp;
  _xlpm.vanillaPrefix &amp; "Spell = " &amp; _xlpm.spell &amp; "|" &amp; B3320
  )
)</f>
        <v>;EncWitchFire01BretonF
;Keyword = Uvi_Wig_Distr_KYWD|EncWitchFire01BretonF
;Spell = No Spell for Hairstyle|EncWitchFire01BretonF</v>
      </c>
    </row>
    <row r="3321" ht="12.75" customHeight="1">
      <c r="A3321" s="5" t="s">
        <v>9014</v>
      </c>
      <c r="B3321" s="5" t="s">
        <v>9015</v>
      </c>
      <c r="D3321" s="5" t="s">
        <v>45</v>
      </c>
      <c r="E3321" s="5" t="s">
        <v>41</v>
      </c>
      <c r="F3321" s="5" t="s">
        <v>2034</v>
      </c>
      <c r="G3321" s="14" t="str">
        <f t="array" ref="G3321">IF(B3321="", "",
  LET(_xlpm.spell, IFERROR(IF(F3321="", "", INDEX(_xlws.FILTER(Hairstyles!$F:$F, ISNUMBER(SEARCH(F3321, Hairstyles!$B:$B))), 1)), "No Spell for Hairstyle"),
  _xlpm.vanillaPrefix, IF(LEFT(_xlpm.spell, 7)="Uvi_Wig", "", ";"),
  ";" &amp; IF(C3321="", B3321, C3321) &amp; IF(M3321="", "", " ("&amp;M3321&amp;")") &amp; CHAR(10) &amp;
  _xlpm.vanillaPrefix &amp; "Keyword = Uvi_Wig_Distr_KYWD|" &amp; B3321 &amp; CHAR(10) &amp;
  _xlpm.vanillaPrefix &amp; "Spell = " &amp; _xlpm.spell &amp; "|" &amp; B3321
  )
)</f>
        <v>;EncWitchFire01DarkElfF
;Keyword = Uvi_Wig_Distr_KYWD|EncWitchFire01DarkElfF
;Spell = No Spell for Hairstyle|EncWitchFire01DarkElfF</v>
      </c>
    </row>
    <row r="3322" ht="12.75" customHeight="1">
      <c r="A3322" s="5" t="s">
        <v>9016</v>
      </c>
      <c r="B3322" s="5" t="s">
        <v>9017</v>
      </c>
      <c r="D3322" s="5" t="s">
        <v>57</v>
      </c>
      <c r="E3322" s="5" t="s">
        <v>41</v>
      </c>
      <c r="F3322" s="5" t="s">
        <v>4274</v>
      </c>
      <c r="G3322" s="14" t="str">
        <f t="array" ref="G3322">IF(B3322="", "",
  LET(_xlpm.spell, IFERROR(IF(F3322="", "", INDEX(_xlws.FILTER(Hairstyles!$F:$F, ISNUMBER(SEARCH(F3322, Hairstyles!$B:$B))), 1)), "No Spell for Hairstyle"),
  _xlpm.vanillaPrefix, IF(LEFT(_xlpm.spell, 7)="Uvi_Wig", "", ";"),
  ";" &amp; IF(C3322="", B3322, C3322) &amp; IF(M3322="", "", " ("&amp;M3322&amp;")") &amp; CHAR(10) &amp;
  _xlpm.vanillaPrefix &amp; "Keyword = Uvi_Wig_Distr_KYWD|" &amp; B3322 &amp; CHAR(10) &amp;
  _xlpm.vanillaPrefix &amp; "Spell = " &amp; _xlpm.spell &amp; "|" &amp; B3322
  )
)</f>
        <v>;EncWitchFire01HighElfF
;Keyword = Uvi_Wig_Distr_KYWD|EncWitchFire01HighElfF
;Spell = No Spell for Hairstyle|EncWitchFire01HighElfF</v>
      </c>
    </row>
    <row r="3323" ht="12.75" customHeight="1">
      <c r="A3323" s="5" t="s">
        <v>9018</v>
      </c>
      <c r="B3323" s="5" t="s">
        <v>9019</v>
      </c>
      <c r="D3323" s="5" t="s">
        <v>59</v>
      </c>
      <c r="E3323" s="5" t="s">
        <v>41</v>
      </c>
      <c r="F3323" s="5" t="s">
        <v>44</v>
      </c>
      <c r="G3323" s="14" t="str">
        <f t="array" ref="G3323">IF(B3323="", "",
  LET(_xlpm.spell, IFERROR(IF(F3323="", "", INDEX(_xlws.FILTER(Hairstyles!$F:$F, ISNUMBER(SEARCH(F3323, Hairstyles!$B:$B))), 1)), "No Spell for Hairstyle"),
  _xlpm.vanillaPrefix, IF(LEFT(_xlpm.spell, 7)="Uvi_Wig", "", ";"),
  ";" &amp; IF(C3323="", B3323, C3323) &amp; IF(M3323="", "", " ("&amp;M3323&amp;")") &amp; CHAR(10) &amp;
  _xlpm.vanillaPrefix &amp; "Keyword = Uvi_Wig_Distr_KYWD|" &amp; B3323 &amp; CHAR(10) &amp;
  _xlpm.vanillaPrefix &amp; "Spell = " &amp; _xlpm.spell &amp; "|" &amp; B3323
  )
)</f>
        <v>;EncWitchFire01ImperialF
;Keyword = Uvi_Wig_Distr_KYWD|EncWitchFire01ImperialF
;Spell = No Spell for Hairstyle|EncWitchFire01ImperialF</v>
      </c>
    </row>
    <row r="3324" ht="12.75" customHeight="1">
      <c r="A3324" s="5" t="s">
        <v>9020</v>
      </c>
      <c r="B3324" s="5" t="s">
        <v>9021</v>
      </c>
      <c r="D3324" s="5" t="s">
        <v>16</v>
      </c>
      <c r="E3324" s="5" t="s">
        <v>41</v>
      </c>
      <c r="F3324" s="5" t="s">
        <v>2912</v>
      </c>
      <c r="G3324" s="14" t="str">
        <f t="array" ref="G3324">IF(B3324="", "",
  LET(_xlpm.spell, IFERROR(IF(F3324="", "", INDEX(_xlws.FILTER(Hairstyles!$F:$F, ISNUMBER(SEARCH(F3324, Hairstyles!$B:$B))), 1)), "No Spell for Hairstyle"),
  _xlpm.vanillaPrefix, IF(LEFT(_xlpm.spell, 7)="Uvi_Wig", "", ";"),
  ";" &amp; IF(C3324="", B3324, C3324) &amp; IF(M3324="", "", " ("&amp;M3324&amp;")") &amp; CHAR(10) &amp;
  _xlpm.vanillaPrefix &amp; "Keyword = Uvi_Wig_Distr_KYWD|" &amp; B3324 &amp; CHAR(10) &amp;
  _xlpm.vanillaPrefix &amp; "Spell = " &amp; _xlpm.spell &amp; "|" &amp; B3324
  )
)</f>
        <v>;EncWitchFire02BretonF
;Keyword = Uvi_Wig_Distr_KYWD|EncWitchFire02BretonF
;Spell = No Spell for Hairstyle|EncWitchFire02BretonF</v>
      </c>
    </row>
    <row r="3325" ht="12.75" customHeight="1">
      <c r="A3325" s="5" t="s">
        <v>9022</v>
      </c>
      <c r="B3325" s="5" t="s">
        <v>9023</v>
      </c>
      <c r="D3325" s="5" t="s">
        <v>45</v>
      </c>
      <c r="E3325" s="5" t="s">
        <v>41</v>
      </c>
      <c r="F3325" s="5" t="s">
        <v>491</v>
      </c>
      <c r="G3325" s="14" t="str">
        <f t="array" ref="G3325">IF(B3325="", "",
  LET(_xlpm.spell, IFERROR(IF(F3325="", "", INDEX(_xlws.FILTER(Hairstyles!$F:$F, ISNUMBER(SEARCH(F3325, Hairstyles!$B:$B))), 1)), "No Spell for Hairstyle"),
  _xlpm.vanillaPrefix, IF(LEFT(_xlpm.spell, 7)="Uvi_Wig", "", ";"),
  ";" &amp; IF(C3325="", B3325, C3325) &amp; IF(M3325="", "", " ("&amp;M3325&amp;")") &amp; CHAR(10) &amp;
  _xlpm.vanillaPrefix &amp; "Keyword = Uvi_Wig_Distr_KYWD|" &amp; B3325 &amp; CHAR(10) &amp;
  _xlpm.vanillaPrefix &amp; "Spell = " &amp; _xlpm.spell &amp; "|" &amp; B3325
  )
)</f>
        <v>;EncWitchFire02DarkElfF
;Keyword = Uvi_Wig_Distr_KYWD|EncWitchFire02DarkElfF
;Spell = No Spell for Hairstyle|EncWitchFire02DarkElfF</v>
      </c>
    </row>
    <row r="3326" ht="12.75" customHeight="1">
      <c r="A3326" s="5" t="s">
        <v>9024</v>
      </c>
      <c r="B3326" s="5" t="s">
        <v>9025</v>
      </c>
      <c r="D3326" s="5" t="s">
        <v>57</v>
      </c>
      <c r="E3326" s="5" t="s">
        <v>41</v>
      </c>
      <c r="F3326" s="5" t="s">
        <v>512</v>
      </c>
      <c r="G3326" s="14" t="str">
        <f t="array" ref="G3326">IF(B3326="", "",
  LET(_xlpm.spell, IFERROR(IF(F3326="", "", INDEX(_xlws.FILTER(Hairstyles!$F:$F, ISNUMBER(SEARCH(F3326, Hairstyles!$B:$B))), 1)), "No Spell for Hairstyle"),
  _xlpm.vanillaPrefix, IF(LEFT(_xlpm.spell, 7)="Uvi_Wig", "", ";"),
  ";" &amp; IF(C3326="", B3326, C3326) &amp; IF(M3326="", "", " ("&amp;M3326&amp;")") &amp; CHAR(10) &amp;
  _xlpm.vanillaPrefix &amp; "Keyword = Uvi_Wig_Distr_KYWD|" &amp; B3326 &amp; CHAR(10) &amp;
  _xlpm.vanillaPrefix &amp; "Spell = " &amp; _xlpm.spell &amp; "|" &amp; B3326
  )
)</f>
        <v>;EncWitchFire02HighElfF
;Keyword = Uvi_Wig_Distr_KYWD|EncWitchFire02HighElfF
;Spell = No Spell for Hairstyle|EncWitchFire02HighElfF</v>
      </c>
    </row>
    <row r="3327" ht="12.75" customHeight="1">
      <c r="A3327" s="5" t="s">
        <v>9026</v>
      </c>
      <c r="B3327" s="5" t="s">
        <v>9027</v>
      </c>
      <c r="D3327" s="5" t="s">
        <v>59</v>
      </c>
      <c r="E3327" s="5" t="s">
        <v>41</v>
      </c>
      <c r="F3327" s="5" t="s">
        <v>44</v>
      </c>
      <c r="G3327" s="14" t="str">
        <f t="array" ref="G3327">IF(B3327="", "",
  LET(_xlpm.spell, IFERROR(IF(F3327="", "", INDEX(_xlws.FILTER(Hairstyles!$F:$F, ISNUMBER(SEARCH(F3327, Hairstyles!$B:$B))), 1)), "No Spell for Hairstyle"),
  _xlpm.vanillaPrefix, IF(LEFT(_xlpm.spell, 7)="Uvi_Wig", "", ";"),
  ";" &amp; IF(C3327="", B3327, C3327) &amp; IF(M3327="", "", " ("&amp;M3327&amp;")") &amp; CHAR(10) &amp;
  _xlpm.vanillaPrefix &amp; "Keyword = Uvi_Wig_Distr_KYWD|" &amp; B3327 &amp; CHAR(10) &amp;
  _xlpm.vanillaPrefix &amp; "Spell = " &amp; _xlpm.spell &amp; "|" &amp; B3327
  )
)</f>
        <v>;EncWitchFire02ImperialF
;Keyword = Uvi_Wig_Distr_KYWD|EncWitchFire02ImperialF
;Spell = No Spell for Hairstyle|EncWitchFire02ImperialF</v>
      </c>
    </row>
    <row r="3328" ht="12.75" customHeight="1">
      <c r="A3328" s="5" t="s">
        <v>9028</v>
      </c>
      <c r="B3328" s="5" t="s">
        <v>9029</v>
      </c>
      <c r="D3328" s="5" t="s">
        <v>16</v>
      </c>
      <c r="E3328" s="5" t="s">
        <v>41</v>
      </c>
      <c r="F3328" s="5" t="s">
        <v>69</v>
      </c>
      <c r="G3328" s="14" t="str">
        <f t="array" ref="G3328">IF(B3328="", "",
  LET(_xlpm.spell, IFERROR(IF(F3328="", "", INDEX(_xlws.FILTER(Hairstyles!$F:$F, ISNUMBER(SEARCH(F3328, Hairstyles!$B:$B))), 1)), "No Spell for Hairstyle"),
  _xlpm.vanillaPrefix, IF(LEFT(_xlpm.spell, 7)="Uvi_Wig", "", ";"),
  ";" &amp; IF(C3328="", B3328, C3328) &amp; IF(M3328="", "", " ("&amp;M3328&amp;")") &amp; CHAR(10) &amp;
  _xlpm.vanillaPrefix &amp; "Keyword = Uvi_Wig_Distr_KYWD|" &amp; B3328 &amp; CHAR(10) &amp;
  _xlpm.vanillaPrefix &amp; "Spell = " &amp; _xlpm.spell &amp; "|" &amp; B3328
  )
)</f>
        <v>;EncWitchIce01BretonF
;Keyword = Uvi_Wig_Distr_KYWD|EncWitchIce01BretonF
;Spell = No Spell for Hairstyle|EncWitchIce01BretonF</v>
      </c>
    </row>
    <row r="3329" ht="12.75" customHeight="1">
      <c r="A3329" s="5" t="s">
        <v>9030</v>
      </c>
      <c r="B3329" s="5" t="s">
        <v>9031</v>
      </c>
      <c r="D3329" s="5" t="s">
        <v>57</v>
      </c>
      <c r="E3329" s="5" t="s">
        <v>41</v>
      </c>
      <c r="F3329" s="5" t="s">
        <v>1854</v>
      </c>
      <c r="G3329" s="14" t="str">
        <f t="array" ref="G3329">IF(B3329="", "",
  LET(_xlpm.spell, IFERROR(IF(F3329="", "", INDEX(_xlws.FILTER(Hairstyles!$F:$F, ISNUMBER(SEARCH(F3329, Hairstyles!$B:$B))), 1)), "No Spell for Hairstyle"),
  _xlpm.vanillaPrefix, IF(LEFT(_xlpm.spell, 7)="Uvi_Wig", "", ";"),
  ";" &amp; IF(C3329="", B3329, C3329) &amp; IF(M3329="", "", " ("&amp;M3329&amp;")") &amp; CHAR(10) &amp;
  _xlpm.vanillaPrefix &amp; "Keyword = Uvi_Wig_Distr_KYWD|" &amp; B3329 &amp; CHAR(10) &amp;
  _xlpm.vanillaPrefix &amp; "Spell = " &amp; _xlpm.spell &amp; "|" &amp; B3329
  )
)</f>
        <v>;EncWitchIce01HighElfF
;Keyword = Uvi_Wig_Distr_KYWD|EncWitchIce01HighElfF
;Spell = No Spell for Hairstyle|EncWitchIce01HighElfF</v>
      </c>
    </row>
    <row r="3330" ht="12.75" customHeight="1">
      <c r="A3330" s="5" t="s">
        <v>9032</v>
      </c>
      <c r="B3330" s="5" t="s">
        <v>9033</v>
      </c>
      <c r="D3330" s="5" t="s">
        <v>59</v>
      </c>
      <c r="E3330" s="5" t="s">
        <v>41</v>
      </c>
      <c r="F3330" s="5" t="s">
        <v>44</v>
      </c>
      <c r="G3330" s="14" t="str">
        <f t="array" ref="G3330">IF(B3330="", "",
  LET(_xlpm.spell, IFERROR(IF(F3330="", "", INDEX(_xlws.FILTER(Hairstyles!$F:$F, ISNUMBER(SEARCH(F3330, Hairstyles!$B:$B))), 1)), "No Spell for Hairstyle"),
  _xlpm.vanillaPrefix, IF(LEFT(_xlpm.spell, 7)="Uvi_Wig", "", ";"),
  ";" &amp; IF(C3330="", B3330, C3330) &amp; IF(M3330="", "", " ("&amp;M3330&amp;")") &amp; CHAR(10) &amp;
  _xlpm.vanillaPrefix &amp; "Keyword = Uvi_Wig_Distr_KYWD|" &amp; B3330 &amp; CHAR(10) &amp;
  _xlpm.vanillaPrefix &amp; "Spell = " &amp; _xlpm.spell &amp; "|" &amp; B3330
  )
)</f>
        <v>;EncWitchIce01ImperialF
;Keyword = Uvi_Wig_Distr_KYWD|EncWitchIce01ImperialF
;Spell = No Spell for Hairstyle|EncWitchIce01ImperialF</v>
      </c>
    </row>
    <row r="3331" ht="12.75" customHeight="1">
      <c r="A3331" s="5" t="s">
        <v>9034</v>
      </c>
      <c r="B3331" s="5" t="s">
        <v>9035</v>
      </c>
      <c r="D3331" s="5" t="s">
        <v>38</v>
      </c>
      <c r="E3331" s="5" t="s">
        <v>41</v>
      </c>
      <c r="F3331" s="5" t="s">
        <v>905</v>
      </c>
      <c r="G3331" s="14" t="str">
        <f t="array" ref="G3331">IF(B3331="", "",
  LET(_xlpm.spell, IFERROR(IF(F3331="", "", INDEX(_xlws.FILTER(Hairstyles!$F:$F, ISNUMBER(SEARCH(F3331, Hairstyles!$B:$B))), 1)), "No Spell for Hairstyle"),
  _xlpm.vanillaPrefix, IF(LEFT(_xlpm.spell, 7)="Uvi_Wig", "", ";"),
  ";" &amp; IF(C3331="", B3331, C3331) &amp; IF(M3331="", "", " ("&amp;M3331&amp;")") &amp; CHAR(10) &amp;
  _xlpm.vanillaPrefix &amp; "Keyword = Uvi_Wig_Distr_KYWD|" &amp; B3331 &amp; CHAR(10) &amp;
  _xlpm.vanillaPrefix &amp; "Spell = " &amp; _xlpm.spell &amp; "|" &amp; B3331
  )
)</f>
        <v>;EncWitchIce01NordF
;Keyword = Uvi_Wig_Distr_KYWD|EncWitchIce01NordF
;Spell = No Spell for Hairstyle|EncWitchIce01NordF</v>
      </c>
    </row>
    <row r="3332" ht="12.75" customHeight="1">
      <c r="A3332" s="5" t="s">
        <v>9036</v>
      </c>
      <c r="B3332" s="5" t="s">
        <v>9037</v>
      </c>
      <c r="D3332" s="5" t="s">
        <v>16</v>
      </c>
      <c r="E3332" s="5" t="s">
        <v>41</v>
      </c>
      <c r="F3332" s="5" t="s">
        <v>44</v>
      </c>
      <c r="G3332" s="14" t="str">
        <f t="array" ref="G3332">IF(B3332="", "",
  LET(_xlpm.spell, IFERROR(IF(F3332="", "", INDEX(_xlws.FILTER(Hairstyles!$F:$F, ISNUMBER(SEARCH(F3332, Hairstyles!$B:$B))), 1)), "No Spell for Hairstyle"),
  _xlpm.vanillaPrefix, IF(LEFT(_xlpm.spell, 7)="Uvi_Wig", "", ";"),
  ";" &amp; IF(C3332="", B3332, C3332) &amp; IF(M3332="", "", " ("&amp;M3332&amp;")") &amp; CHAR(10) &amp;
  _xlpm.vanillaPrefix &amp; "Keyword = Uvi_Wig_Distr_KYWD|" &amp; B3332 &amp; CHAR(10) &amp;
  _xlpm.vanillaPrefix &amp; "Spell = " &amp; _xlpm.spell &amp; "|" &amp; B3332
  )
)</f>
        <v>;EncWitchIce02BretonF
;Keyword = Uvi_Wig_Distr_KYWD|EncWitchIce02BretonF
;Spell = No Spell for Hairstyle|EncWitchIce02BretonF</v>
      </c>
    </row>
    <row r="3333" ht="12.75" customHeight="1">
      <c r="A3333" s="5" t="s">
        <v>9038</v>
      </c>
      <c r="B3333" s="5" t="s">
        <v>9039</v>
      </c>
      <c r="D3333" s="5" t="s">
        <v>57</v>
      </c>
      <c r="E3333" s="5" t="s">
        <v>41</v>
      </c>
      <c r="F3333" s="5" t="s">
        <v>512</v>
      </c>
      <c r="G3333" s="14" t="str">
        <f t="array" ref="G3333">IF(B3333="", "",
  LET(_xlpm.spell, IFERROR(IF(F3333="", "", INDEX(_xlws.FILTER(Hairstyles!$F:$F, ISNUMBER(SEARCH(F3333, Hairstyles!$B:$B))), 1)), "No Spell for Hairstyle"),
  _xlpm.vanillaPrefix, IF(LEFT(_xlpm.spell, 7)="Uvi_Wig", "", ";"),
  ";" &amp; IF(C3333="", B3333, C3333) &amp; IF(M3333="", "", " ("&amp;M3333&amp;")") &amp; CHAR(10) &amp;
  _xlpm.vanillaPrefix &amp; "Keyword = Uvi_Wig_Distr_KYWD|" &amp; B3333 &amp; CHAR(10) &amp;
  _xlpm.vanillaPrefix &amp; "Spell = " &amp; _xlpm.spell &amp; "|" &amp; B3333
  )
)</f>
        <v>;EncWitchIce02HighElfF
;Keyword = Uvi_Wig_Distr_KYWD|EncWitchIce02HighElfF
;Spell = No Spell for Hairstyle|EncWitchIce02HighElfF</v>
      </c>
    </row>
    <row r="3334" ht="12.75" customHeight="1">
      <c r="A3334" s="5" t="s">
        <v>9040</v>
      </c>
      <c r="B3334" s="5" t="s">
        <v>9041</v>
      </c>
      <c r="D3334" s="5" t="s">
        <v>59</v>
      </c>
      <c r="E3334" s="5" t="s">
        <v>41</v>
      </c>
      <c r="F3334" s="5" t="s">
        <v>1063</v>
      </c>
      <c r="G3334" s="14" t="str">
        <f t="array" ref="G3334">IF(B3334="", "",
  LET(_xlpm.spell, IFERROR(IF(F3334="", "", INDEX(_xlws.FILTER(Hairstyles!$F:$F, ISNUMBER(SEARCH(F3334, Hairstyles!$B:$B))), 1)), "No Spell for Hairstyle"),
  _xlpm.vanillaPrefix, IF(LEFT(_xlpm.spell, 7)="Uvi_Wig", "", ";"),
  ";" &amp; IF(C3334="", B3334, C3334) &amp; IF(M3334="", "", " ("&amp;M3334&amp;")") &amp; CHAR(10) &amp;
  _xlpm.vanillaPrefix &amp; "Keyword = Uvi_Wig_Distr_KYWD|" &amp; B3334 &amp; CHAR(10) &amp;
  _xlpm.vanillaPrefix &amp; "Spell = " &amp; _xlpm.spell &amp; "|" &amp; B3334
  )
)</f>
        <v>;EncWitchIce02ImperialF
;Keyword = Uvi_Wig_Distr_KYWD|EncWitchIce02ImperialF
;Spell = No Spell for Hairstyle|EncWitchIce02ImperialF</v>
      </c>
    </row>
    <row r="3335" ht="12.75" customHeight="1">
      <c r="A3335" s="5" t="s">
        <v>9042</v>
      </c>
      <c r="B3335" s="5" t="s">
        <v>9043</v>
      </c>
      <c r="D3335" s="5" t="s">
        <v>38</v>
      </c>
      <c r="E3335" s="5" t="s">
        <v>41</v>
      </c>
      <c r="F3335" s="5" t="s">
        <v>371</v>
      </c>
      <c r="G3335" s="14" t="str">
        <f t="array" ref="G3335">IF(B3335="", "",
  LET(_xlpm.spell, IFERROR(IF(F3335="", "", INDEX(_xlws.FILTER(Hairstyles!$F:$F, ISNUMBER(SEARCH(F3335, Hairstyles!$B:$B))), 1)), "No Spell for Hairstyle"),
  _xlpm.vanillaPrefix, IF(LEFT(_xlpm.spell, 7)="Uvi_Wig", "", ";"),
  ";" &amp; IF(C3335="", B3335, C3335) &amp; IF(M3335="", "", " ("&amp;M3335&amp;")") &amp; CHAR(10) &amp;
  _xlpm.vanillaPrefix &amp; "Keyword = Uvi_Wig_Distr_KYWD|" &amp; B3335 &amp; CHAR(10) &amp;
  _xlpm.vanillaPrefix &amp; "Spell = " &amp; _xlpm.spell &amp; "|" &amp; B3335
  )
)</f>
        <v>;EncWitchIce02NordF
;Keyword = Uvi_Wig_Distr_KYWD|EncWitchIce02NordF
;Spell = No Spell for Hairstyle|EncWitchIce02NordF</v>
      </c>
    </row>
    <row r="3336" ht="12.75" customHeight="1">
      <c r="A3336" s="5" t="s">
        <v>9044</v>
      </c>
      <c r="B3336" s="5" t="s">
        <v>9045</v>
      </c>
      <c r="D3336" s="5" t="s">
        <v>16</v>
      </c>
      <c r="E3336" s="5" t="s">
        <v>41</v>
      </c>
      <c r="F3336" s="5" t="s">
        <v>1041</v>
      </c>
      <c r="G3336" s="14" t="str">
        <f t="array" ref="G3336">IF(B3336="", "",
  LET(_xlpm.spell, IFERROR(IF(F3336="", "", INDEX(_xlws.FILTER(Hairstyles!$F:$F, ISNUMBER(SEARCH(F3336, Hairstyles!$B:$B))), 1)), "No Spell for Hairstyle"),
  _xlpm.vanillaPrefix, IF(LEFT(_xlpm.spell, 7)="Uvi_Wig", "", ";"),
  ";" &amp; IF(C3336="", B3336, C3336) &amp; IF(M3336="", "", " ("&amp;M3336&amp;")") &amp; CHAR(10) &amp;
  _xlpm.vanillaPrefix &amp; "Keyword = Uvi_Wig_Distr_KYWD|" &amp; B3336 &amp; CHAR(10) &amp;
  _xlpm.vanillaPrefix &amp; "Spell = " &amp; _xlpm.spell &amp; "|" &amp; B3336
  )
)</f>
        <v>;EncWitchStorm01BretonF
;Keyword = Uvi_Wig_Distr_KYWD|EncWitchStorm01BretonF
;Spell = No Spell for Hairstyle|EncWitchStorm01BretonF</v>
      </c>
    </row>
    <row r="3337" ht="12.75" customHeight="1">
      <c r="A3337" s="5" t="s">
        <v>9046</v>
      </c>
      <c r="B3337" s="5" t="s">
        <v>9047</v>
      </c>
      <c r="D3337" s="5" t="s">
        <v>45</v>
      </c>
      <c r="E3337" s="5" t="s">
        <v>41</v>
      </c>
      <c r="F3337" s="5" t="s">
        <v>48</v>
      </c>
      <c r="G3337" s="14" t="str">
        <f t="array" ref="G3337">IF(B3337="", "",
  LET(_xlpm.spell, IFERROR(IF(F3337="", "", INDEX(_xlws.FILTER(Hairstyles!$F:$F, ISNUMBER(SEARCH(F3337, Hairstyles!$B:$B))), 1)), "No Spell for Hairstyle"),
  _xlpm.vanillaPrefix, IF(LEFT(_xlpm.spell, 7)="Uvi_Wig", "", ";"),
  ";" &amp; IF(C3337="", B3337, C3337) &amp; IF(M3337="", "", " ("&amp;M3337&amp;")") &amp; CHAR(10) &amp;
  _xlpm.vanillaPrefix &amp; "Keyword = Uvi_Wig_Distr_KYWD|" &amp; B3337 &amp; CHAR(10) &amp;
  _xlpm.vanillaPrefix &amp; "Spell = " &amp; _xlpm.spell &amp; "|" &amp; B3337
  )
)</f>
        <v>;EncWitchStorm01DarkElfF
;Keyword = Uvi_Wig_Distr_KYWD|EncWitchStorm01DarkElfF
;Spell = No Spell for Hairstyle|EncWitchStorm01DarkElfF</v>
      </c>
    </row>
    <row r="3338" ht="12.75" customHeight="1">
      <c r="A3338" s="5" t="s">
        <v>9048</v>
      </c>
      <c r="B3338" s="5" t="s">
        <v>9049</v>
      </c>
      <c r="D3338" s="5" t="s">
        <v>57</v>
      </c>
      <c r="E3338" s="5" t="s">
        <v>41</v>
      </c>
      <c r="F3338" s="5" t="s">
        <v>512</v>
      </c>
      <c r="G3338" s="14" t="str">
        <f t="array" ref="G3338">IF(B3338="", "",
  LET(_xlpm.spell, IFERROR(IF(F3338="", "", INDEX(_xlws.FILTER(Hairstyles!$F:$F, ISNUMBER(SEARCH(F3338, Hairstyles!$B:$B))), 1)), "No Spell for Hairstyle"),
  _xlpm.vanillaPrefix, IF(LEFT(_xlpm.spell, 7)="Uvi_Wig", "", ";"),
  ";" &amp; IF(C3338="", B3338, C3338) &amp; IF(M3338="", "", " ("&amp;M3338&amp;")") &amp; CHAR(10) &amp;
  _xlpm.vanillaPrefix &amp; "Keyword = Uvi_Wig_Distr_KYWD|" &amp; B3338 &amp; CHAR(10) &amp;
  _xlpm.vanillaPrefix &amp; "Spell = " &amp; _xlpm.spell &amp; "|" &amp; B3338
  )
)</f>
        <v>;EncWitchStorm01HighElfF
;Keyword = Uvi_Wig_Distr_KYWD|EncWitchStorm01HighElfF
;Spell = No Spell for Hairstyle|EncWitchStorm01HighElfF</v>
      </c>
    </row>
    <row r="3339" ht="12.75" customHeight="1">
      <c r="A3339" s="5" t="s">
        <v>9050</v>
      </c>
      <c r="B3339" s="5" t="s">
        <v>9051</v>
      </c>
      <c r="D3339" s="5" t="s">
        <v>59</v>
      </c>
      <c r="E3339" s="5" t="s">
        <v>41</v>
      </c>
      <c r="F3339" s="5" t="s">
        <v>371</v>
      </c>
      <c r="G3339" s="14" t="str">
        <f t="array" ref="G3339">IF(B3339="", "",
  LET(_xlpm.spell, IFERROR(IF(F3339="", "", INDEX(_xlws.FILTER(Hairstyles!$F:$F, ISNUMBER(SEARCH(F3339, Hairstyles!$B:$B))), 1)), "No Spell for Hairstyle"),
  _xlpm.vanillaPrefix, IF(LEFT(_xlpm.spell, 7)="Uvi_Wig", "", ";"),
  ";" &amp; IF(C3339="", B3339, C3339) &amp; IF(M3339="", "", " ("&amp;M3339&amp;")") &amp; CHAR(10) &amp;
  _xlpm.vanillaPrefix &amp; "Keyword = Uvi_Wig_Distr_KYWD|" &amp; B3339 &amp; CHAR(10) &amp;
  _xlpm.vanillaPrefix &amp; "Spell = " &amp; _xlpm.spell &amp; "|" &amp; B3339
  )
)</f>
        <v>;EncWitchStorm01ImperialF
;Keyword = Uvi_Wig_Distr_KYWD|EncWitchStorm01ImperialF
;Spell = No Spell for Hairstyle|EncWitchStorm01ImperialF</v>
      </c>
    </row>
    <row r="3340" ht="12.75" customHeight="1">
      <c r="A3340" s="5" t="s">
        <v>9052</v>
      </c>
      <c r="B3340" s="5" t="s">
        <v>9053</v>
      </c>
      <c r="D3340" s="5" t="s">
        <v>16</v>
      </c>
      <c r="E3340" s="5" t="s">
        <v>41</v>
      </c>
      <c r="F3340" s="5" t="s">
        <v>1596</v>
      </c>
      <c r="G3340" s="14" t="str">
        <f t="array" ref="G3340">IF(B3340="", "",
  LET(_xlpm.spell, IFERROR(IF(F3340="", "", INDEX(_xlws.FILTER(Hairstyles!$F:$F, ISNUMBER(SEARCH(F3340, Hairstyles!$B:$B))), 1)), "No Spell for Hairstyle"),
  _xlpm.vanillaPrefix, IF(LEFT(_xlpm.spell, 7)="Uvi_Wig", "", ";"),
  ";" &amp; IF(C3340="", B3340, C3340) &amp; IF(M3340="", "", " ("&amp;M3340&amp;")") &amp; CHAR(10) &amp;
  _xlpm.vanillaPrefix &amp; "Keyword = Uvi_Wig_Distr_KYWD|" &amp; B3340 &amp; CHAR(10) &amp;
  _xlpm.vanillaPrefix &amp; "Spell = " &amp; _xlpm.spell &amp; "|" &amp; B3340
  )
)</f>
        <v>;EncWitchStorm02BretonF
;Keyword = Uvi_Wig_Distr_KYWD|EncWitchStorm02BretonF
;Spell = No Spell for Hairstyle|EncWitchStorm02BretonF</v>
      </c>
    </row>
    <row r="3341" ht="12.75" customHeight="1">
      <c r="A3341" s="5" t="s">
        <v>9054</v>
      </c>
      <c r="B3341" s="5" t="s">
        <v>9055</v>
      </c>
      <c r="D3341" s="5" t="s">
        <v>45</v>
      </c>
      <c r="E3341" s="5" t="s">
        <v>41</v>
      </c>
      <c r="F3341" s="5" t="s">
        <v>4274</v>
      </c>
      <c r="G3341" s="14" t="str">
        <f t="array" ref="G3341">IF(B3341="", "",
  LET(_xlpm.spell, IFERROR(IF(F3341="", "", INDEX(_xlws.FILTER(Hairstyles!$F:$F, ISNUMBER(SEARCH(F3341, Hairstyles!$B:$B))), 1)), "No Spell for Hairstyle"),
  _xlpm.vanillaPrefix, IF(LEFT(_xlpm.spell, 7)="Uvi_Wig", "", ";"),
  ";" &amp; IF(C3341="", B3341, C3341) &amp; IF(M3341="", "", " ("&amp;M3341&amp;")") &amp; CHAR(10) &amp;
  _xlpm.vanillaPrefix &amp; "Keyword = Uvi_Wig_Distr_KYWD|" &amp; B3341 &amp; CHAR(10) &amp;
  _xlpm.vanillaPrefix &amp; "Spell = " &amp; _xlpm.spell &amp; "|" &amp; B3341
  )
)</f>
        <v>;EncWitchStorm02DarkElfF
;Keyword = Uvi_Wig_Distr_KYWD|EncWitchStorm02DarkElfF
;Spell = No Spell for Hairstyle|EncWitchStorm02DarkElfF</v>
      </c>
    </row>
    <row r="3342" ht="12.75" customHeight="1">
      <c r="A3342" s="5" t="s">
        <v>9056</v>
      </c>
      <c r="B3342" s="5" t="s">
        <v>9057</v>
      </c>
      <c r="D3342" s="5" t="s">
        <v>57</v>
      </c>
      <c r="E3342" s="5" t="s">
        <v>41</v>
      </c>
      <c r="F3342" s="5" t="s">
        <v>2373</v>
      </c>
      <c r="G3342" s="14" t="str">
        <f t="array" ref="G3342">IF(B3342="", "",
  LET(_xlpm.spell, IFERROR(IF(F3342="", "", INDEX(_xlws.FILTER(Hairstyles!$F:$F, ISNUMBER(SEARCH(F3342, Hairstyles!$B:$B))), 1)), "No Spell for Hairstyle"),
  _xlpm.vanillaPrefix, IF(LEFT(_xlpm.spell, 7)="Uvi_Wig", "", ";"),
  ";" &amp; IF(C3342="", B3342, C3342) &amp; IF(M3342="", "", " ("&amp;M3342&amp;")") &amp; CHAR(10) &amp;
  _xlpm.vanillaPrefix &amp; "Keyword = Uvi_Wig_Distr_KYWD|" &amp; B3342 &amp; CHAR(10) &amp;
  _xlpm.vanillaPrefix &amp; "Spell = " &amp; _xlpm.spell &amp; "|" &amp; B3342
  )
)</f>
        <v>;EncWitchStorm02HighElfF
;Keyword = Uvi_Wig_Distr_KYWD|EncWitchStorm02HighElfF
;Spell = No Spell for Hairstyle|EncWitchStorm02HighElfF</v>
      </c>
    </row>
    <row r="3343" ht="12.75" customHeight="1">
      <c r="A3343" s="5" t="s">
        <v>9058</v>
      </c>
      <c r="B3343" s="5" t="s">
        <v>9059</v>
      </c>
      <c r="D3343" s="5" t="s">
        <v>59</v>
      </c>
      <c r="E3343" s="5" t="s">
        <v>41</v>
      </c>
      <c r="F3343" s="5" t="s">
        <v>862</v>
      </c>
      <c r="G3343" s="14" t="str">
        <f t="array" ref="G3343">IF(B3343="", "",
  LET(_xlpm.spell, IFERROR(IF(F3343="", "", INDEX(_xlws.FILTER(Hairstyles!$F:$F, ISNUMBER(SEARCH(F3343, Hairstyles!$B:$B))), 1)), "No Spell for Hairstyle"),
  _xlpm.vanillaPrefix, IF(LEFT(_xlpm.spell, 7)="Uvi_Wig", "", ";"),
  ";" &amp; IF(C3343="", B3343, C3343) &amp; IF(M3343="", "", " ("&amp;M3343&amp;")") &amp; CHAR(10) &amp;
  _xlpm.vanillaPrefix &amp; "Keyword = Uvi_Wig_Distr_KYWD|" &amp; B3343 &amp; CHAR(10) &amp;
  _xlpm.vanillaPrefix &amp; "Spell = " &amp; _xlpm.spell &amp; "|" &amp; B3343
  )
)</f>
        <v>;EncWitchStorm02ImperialF
;Keyword = Uvi_Wig_Distr_KYWD|EncWitchStorm02ImperialF
;Spell = No Spell for Hairstyle|EncWitchStorm02ImperialF</v>
      </c>
    </row>
    <row r="3344" ht="12.75" customHeight="1">
      <c r="A3344" s="15" t="s">
        <v>9060</v>
      </c>
      <c r="B3344" s="5" t="s">
        <v>9061</v>
      </c>
      <c r="D3344" s="5" t="s">
        <v>10</v>
      </c>
      <c r="E3344" s="5" t="s">
        <v>41</v>
      </c>
      <c r="F3344" s="5" t="s">
        <v>2867</v>
      </c>
      <c r="G3344" s="14" t="str">
        <f t="array" ref="G3344">IF(B3344="", "",
  LET(_xlpm.spell, IFERROR(IF(F3344="", "", INDEX(_xlws.FILTER(Hairstyles!$F:$F, ISNUMBER(SEARCH(F3344, Hairstyles!$B:$B))), 1)), "No Spell for Hairstyle"),
  _xlpm.vanillaPrefix, IF(LEFT(_xlpm.spell, 7)="Uvi_Wig", "", ";"),
  ";" &amp; IF(C3344="", B3344, C3344) &amp; IF(M3344="", "", " ("&amp;M3344&amp;")") &amp; CHAR(10) &amp;
  _xlpm.vanillaPrefix &amp; "Keyword = Uvi_Wig_Distr_KYWD|" &amp; B3344 &amp; CHAR(10) &amp;
  _xlpm.vanillaPrefix &amp; "Spell = " &amp; _xlpm.spell &amp; "|" &amp; B3344
  )
)</f>
        <v>;FromDeepestFathomsVision
;Keyword = Uvi_Wig_Distr_KYWD|FromDeepestFathomsVision
;Spell = No Spell for Hairstyle|FromDeepestFathomsVision</v>
      </c>
    </row>
    <row r="3345" ht="12.75" customHeight="1">
      <c r="A3345" s="5" t="s">
        <v>9062</v>
      </c>
      <c r="B3345" s="5" t="s">
        <v>9063</v>
      </c>
      <c r="D3345" s="5" t="s">
        <v>38</v>
      </c>
      <c r="E3345" s="5" t="s">
        <v>233</v>
      </c>
      <c r="F3345" s="5" t="s">
        <v>234</v>
      </c>
      <c r="G3345" s="14" t="str">
        <f t="array" ref="G3345">IF(B3345="", "",
  LET(_xlpm.spell, IFERROR(IF(F3345="", "", INDEX(_xlws.FILTER(Hairstyles!$F:$F, ISNUMBER(SEARCH(F3345, Hairstyles!$B:$B))), 1)), "No Spell for Hairstyle"),
  _xlpm.vanillaPrefix, IF(LEFT(_xlpm.spell, 7)="Uvi_Wig", "", ";"),
  ";" &amp; IF(C3345="", B3345, C3345) &amp; IF(M3345="", "", " ("&amp;M3345&amp;")") &amp; CHAR(10) &amp;
  _xlpm.vanillaPrefix &amp; "Keyword = Uvi_Wig_Distr_KYWD|" &amp; B3345 &amp; CHAR(10) &amp;
  _xlpm.vanillaPrefix &amp; "Spell = " &amp; _xlpm.spell &amp; "|" &amp; B3345
  )
)</f>
        <v>;GuardRiftenGateImpNorthStartup
;Keyword = Uvi_Wig_Distr_KYWD|GuardRiftenGateImpNorthStartup
;Spell = No Spell for Hairstyle|GuardRiftenGateImpNorthStartup</v>
      </c>
    </row>
    <row r="3346" ht="12.75" customHeight="1">
      <c r="A3346" s="5" t="s">
        <v>9064</v>
      </c>
      <c r="B3346" s="5" t="s">
        <v>9065</v>
      </c>
      <c r="D3346" s="5" t="s">
        <v>38</v>
      </c>
      <c r="E3346" s="5" t="s">
        <v>233</v>
      </c>
      <c r="F3346" s="5" t="s">
        <v>19</v>
      </c>
      <c r="G3346" s="14" t="str">
        <f t="array" ref="G3346">IF(B3346="", "",
  LET(_xlpm.spell, IFERROR(IF(F3346="", "", INDEX(_xlws.FILTER(Hairstyles!$F:$F, ISNUMBER(SEARCH(F3346, Hairstyles!$B:$B))), 1)), "No Spell for Hairstyle"),
  _xlpm.vanillaPrefix, IF(LEFT(_xlpm.spell, 7)="Uvi_Wig", "", ";"),
  ";" &amp; IF(C3346="", B3346, C3346) &amp; IF(M3346="", "", " ("&amp;M3346&amp;")") &amp; CHAR(10) &amp;
  _xlpm.vanillaPrefix &amp; "Keyword = Uvi_Wig_Distr_KYWD|" &amp; B3346 &amp; CHAR(10) &amp;
  _xlpm.vanillaPrefix &amp; "Spell = " &amp; _xlpm.spell &amp; "|" &amp; B3346
  )
)</f>
        <v>;GuardRiftenGateImpSouthStartup
;Keyword = Uvi_Wig_Distr_KYWD|GuardRiftenGateImpSouthStartup
;Spell = No Spell for Hairstyle|GuardRiftenGateImpSouthStartup</v>
      </c>
    </row>
    <row r="3347" ht="12.75" customHeight="1">
      <c r="A3347" s="5" t="s">
        <v>9066</v>
      </c>
      <c r="B3347" s="5" t="s">
        <v>9067</v>
      </c>
      <c r="D3347" s="5" t="s">
        <v>38</v>
      </c>
      <c r="E3347" s="5" t="s">
        <v>233</v>
      </c>
      <c r="F3347" s="5" t="s">
        <v>521</v>
      </c>
      <c r="G3347" s="14" t="str">
        <f t="array" ref="G3347">IF(B3347="", "",
  LET(_xlpm.spell, IFERROR(IF(F3347="", "", INDEX(_xlws.FILTER(Hairstyles!$F:$F, ISNUMBER(SEARCH(F3347, Hairstyles!$B:$B))), 1)), "No Spell for Hairstyle"),
  _xlpm.vanillaPrefix, IF(LEFT(_xlpm.spell, 7)="Uvi_Wig", "", ";"),
  ";" &amp; IF(C3347="", B3347, C3347) &amp; IF(M3347="", "", " ("&amp;M3347&amp;")") &amp; CHAR(10) &amp;
  _xlpm.vanillaPrefix &amp; "Keyword = Uvi_Wig_Distr_KYWD|" &amp; B3347 &amp; CHAR(10) &amp;
  _xlpm.vanillaPrefix &amp; "Spell = " &amp; _xlpm.spell &amp; "|" &amp; B3347
  )
)</f>
        <v>;GuardRiftenGateImpWestStartup
;Keyword = Uvi_Wig_Distr_KYWD|GuardRiftenGateImpWestStartup
;Spell = No Spell for Hairstyle|GuardRiftenGateImpWestStartup</v>
      </c>
    </row>
    <row r="3348" ht="12.75" customHeight="1">
      <c r="A3348" s="5" t="s">
        <v>9068</v>
      </c>
      <c r="B3348" s="5" t="s">
        <v>9069</v>
      </c>
      <c r="D3348" s="5" t="s">
        <v>38</v>
      </c>
      <c r="E3348" s="5" t="s">
        <v>233</v>
      </c>
      <c r="F3348" s="5" t="s">
        <v>84</v>
      </c>
      <c r="G3348" s="14" t="str">
        <f t="array" ref="G3348">IF(B3348="", "",
  LET(_xlpm.spell, IFERROR(IF(F3348="", "", INDEX(_xlws.FILTER(Hairstyles!$F:$F, ISNUMBER(SEARCH(F3348, Hairstyles!$B:$B))), 1)), "No Spell for Hairstyle"),
  _xlpm.vanillaPrefix, IF(LEFT(_xlpm.spell, 7)="Uvi_Wig", "", ";"),
  ";" &amp; IF(C3348="", B3348, C3348) &amp; IF(M3348="", "", " ("&amp;M3348&amp;")") &amp; CHAR(10) &amp;
  _xlpm.vanillaPrefix &amp; "Keyword = Uvi_Wig_Distr_KYWD|" &amp; B3348 &amp; CHAR(10) &amp;
  _xlpm.vanillaPrefix &amp; "Spell = " &amp; _xlpm.spell &amp; "|" &amp; B3348
  )
)</f>
        <v>;GuardRiftenGateNorthStartup
;Keyword = Uvi_Wig_Distr_KYWD|GuardRiftenGateNorthStartup
;Spell = No Spell for Hairstyle|GuardRiftenGateNorthStartup</v>
      </c>
    </row>
    <row r="3349" ht="12.75" customHeight="1">
      <c r="A3349" s="5" t="s">
        <v>9070</v>
      </c>
      <c r="B3349" s="5" t="s">
        <v>9071</v>
      </c>
      <c r="D3349" s="5" t="s">
        <v>38</v>
      </c>
      <c r="E3349" s="5" t="s">
        <v>233</v>
      </c>
      <c r="F3349" s="5" t="s">
        <v>424</v>
      </c>
      <c r="G3349" s="14" t="str">
        <f t="array" ref="G3349">IF(B3349="", "",
  LET(_xlpm.spell, IFERROR(IF(F3349="", "", INDEX(_xlws.FILTER(Hairstyles!$F:$F, ISNUMBER(SEARCH(F3349, Hairstyles!$B:$B))), 1)), "No Spell for Hairstyle"),
  _xlpm.vanillaPrefix, IF(LEFT(_xlpm.spell, 7)="Uvi_Wig", "", ";"),
  ";" &amp; IF(C3349="", B3349, C3349) &amp; IF(M3349="", "", " ("&amp;M3349&amp;")") &amp; CHAR(10) &amp;
  _xlpm.vanillaPrefix &amp; "Keyword = Uvi_Wig_Distr_KYWD|" &amp; B3349 &amp; CHAR(10) &amp;
  _xlpm.vanillaPrefix &amp; "Spell = " &amp; _xlpm.spell &amp; "|" &amp; B3349
  )
)</f>
        <v>;GuardRiftenGateSouthStartup
;Keyword = Uvi_Wig_Distr_KYWD|GuardRiftenGateSouthStartup
;Spell = No Spell for Hairstyle|GuardRiftenGateSouthStartup</v>
      </c>
    </row>
    <row r="3350" ht="12.75" customHeight="1">
      <c r="A3350" s="5" t="s">
        <v>9072</v>
      </c>
      <c r="B3350" s="5" t="s">
        <v>9073</v>
      </c>
      <c r="D3350" s="5" t="s">
        <v>38</v>
      </c>
      <c r="E3350" s="5" t="s">
        <v>233</v>
      </c>
      <c r="F3350" s="5" t="s">
        <v>1906</v>
      </c>
      <c r="G3350" s="14" t="str">
        <f t="array" ref="G3350">IF(B3350="", "",
  LET(_xlpm.spell, IFERROR(IF(F3350="", "", INDEX(_xlws.FILTER(Hairstyles!$F:$F, ISNUMBER(SEARCH(F3350, Hairstyles!$B:$B))), 1)), "No Spell for Hairstyle"),
  _xlpm.vanillaPrefix, IF(LEFT(_xlpm.spell, 7)="Uvi_Wig", "", ";"),
  ";" &amp; IF(C3350="", B3350, C3350) &amp; IF(M3350="", "", " ("&amp;M3350&amp;")") &amp; CHAR(10) &amp;
  _xlpm.vanillaPrefix &amp; "Keyword = Uvi_Wig_Distr_KYWD|" &amp; B3350 &amp; CHAR(10) &amp;
  _xlpm.vanillaPrefix &amp; "Spell = " &amp; _xlpm.spell &amp; "|" &amp; B3350
  )
)</f>
        <v>;GuardRiftenGateWestStartup
;Keyword = Uvi_Wig_Distr_KYWD|GuardRiftenGateWestStartup
;Spell = No Spell for Hairstyle|GuardRiftenGateWestStartup</v>
      </c>
    </row>
    <row r="3351" ht="12.75" customHeight="1">
      <c r="A3351" s="5" t="s">
        <v>9074</v>
      </c>
      <c r="B3351" s="5" t="s">
        <v>9075</v>
      </c>
      <c r="D3351" s="5" t="s">
        <v>38</v>
      </c>
      <c r="E3351" s="5" t="s">
        <v>233</v>
      </c>
      <c r="F3351" s="5" t="s">
        <v>19</v>
      </c>
      <c r="G3351" s="14" t="str">
        <f t="array" ref="G3351">IF(B3351="", "",
  LET(_xlpm.spell, IFERROR(IF(F3351="", "", INDEX(_xlws.FILTER(Hairstyles!$F:$F, ISNUMBER(SEARCH(F3351, Hairstyles!$B:$B))), 1)), "No Spell for Hairstyle"),
  _xlpm.vanillaPrefix, IF(LEFT(_xlpm.spell, 7)="Uvi_Wig", "", ";"),
  ";" &amp; IF(C3351="", B3351, C3351) &amp; IF(M3351="", "", " ("&amp;M3351&amp;")") &amp; CHAR(10) &amp;
  _xlpm.vanillaPrefix &amp; "Keyword = Uvi_Wig_Distr_KYWD|" &amp; B3351 &amp; CHAR(10) &amp;
  _xlpm.vanillaPrefix &amp; "Spell = " &amp; _xlpm.spell &amp; "|" &amp; B3351
  )
)</f>
        <v>;GuardRiverwoodImperial02
;Keyword = Uvi_Wig_Distr_KYWD|GuardRiverwoodImperial02
;Spell = No Spell for Hairstyle|GuardRiverwoodImperial02</v>
      </c>
    </row>
    <row r="3352" ht="12.75" customHeight="1">
      <c r="A3352" s="5" t="s">
        <v>9076</v>
      </c>
      <c r="B3352" s="5" t="s">
        <v>9077</v>
      </c>
      <c r="D3352" s="5" t="s">
        <v>38</v>
      </c>
      <c r="E3352" s="5" t="s">
        <v>233</v>
      </c>
      <c r="F3352" s="5" t="s">
        <v>68</v>
      </c>
      <c r="G3352" s="14" t="str">
        <f t="array" ref="G3352">IF(B3352="", "",
  LET(_xlpm.spell, IFERROR(IF(F3352="", "", INDEX(_xlws.FILTER(Hairstyles!$F:$F, ISNUMBER(SEARCH(F3352, Hairstyles!$B:$B))), 1)), "No Spell for Hairstyle"),
  _xlpm.vanillaPrefix, IF(LEFT(_xlpm.spell, 7)="Uvi_Wig", "", ";"),
  ";" &amp; IF(C3352="", B3352, C3352) &amp; IF(M3352="", "", " ("&amp;M3352&amp;")") &amp; CHAR(10) &amp;
  _xlpm.vanillaPrefix &amp; "Keyword = Uvi_Wig_Distr_KYWD|" &amp; B3352 &amp; CHAR(10) &amp;
  _xlpm.vanillaPrefix &amp; "Spell = " &amp; _xlpm.spell &amp; "|" &amp; B3352
  )
)</f>
        <v>;GuardSolitudeImperialDayMaleGuard
;Keyword = Uvi_Wig_Distr_KYWD|GuardSolitudeImperialDayMaleGuard
;Spell = No Spell for Hairstyle|GuardSolitudeImperialDayMaleGuard</v>
      </c>
    </row>
    <row r="3353" ht="12.75" customHeight="1">
      <c r="A3353" s="5" t="s">
        <v>9078</v>
      </c>
      <c r="B3353" s="5" t="s">
        <v>9079</v>
      </c>
      <c r="D3353" s="5" t="s">
        <v>38</v>
      </c>
      <c r="E3353" s="5" t="s">
        <v>233</v>
      </c>
      <c r="F3353" s="5" t="s">
        <v>68</v>
      </c>
      <c r="G3353" s="14" t="str">
        <f t="array" ref="G3353">IF(B3353="", "",
  LET(_xlpm.spell, IFERROR(IF(F3353="", "", INDEX(_xlws.FILTER(Hairstyles!$F:$F, ISNUMBER(SEARCH(F3353, Hairstyles!$B:$B))), 1)), "No Spell for Hairstyle"),
  _xlpm.vanillaPrefix, IF(LEFT(_xlpm.spell, 7)="Uvi_Wig", "", ";"),
  ";" &amp; IF(C3353="", B3353, C3353) &amp; IF(M3353="", "", " ("&amp;M3353&amp;")") &amp; CHAR(10) &amp;
  _xlpm.vanillaPrefix &amp; "Keyword = Uvi_Wig_Distr_KYWD|" &amp; B3353 &amp; CHAR(10) &amp;
  _xlpm.vanillaPrefix &amp; "Spell = " &amp; _xlpm.spell &amp; "|" &amp; B3353
  )
)</f>
        <v>;GuardSolitudeImperialTrainingBow
;Keyword = Uvi_Wig_Distr_KYWD|GuardSolitudeImperialTrainingBow
;Spell = No Spell for Hairstyle|GuardSolitudeImperialTrainingBow</v>
      </c>
    </row>
    <row r="3354" ht="12.75" customHeight="1">
      <c r="A3354" s="5" t="s">
        <v>9080</v>
      </c>
      <c r="B3354" s="5" t="s">
        <v>9081</v>
      </c>
      <c r="D3354" s="5" t="s">
        <v>59</v>
      </c>
      <c r="E3354" s="5" t="s">
        <v>233</v>
      </c>
      <c r="F3354" s="5" t="s">
        <v>1622</v>
      </c>
      <c r="G3354" s="14" t="str">
        <f t="array" ref="G3354">IF(B3354="", "",
  LET(_xlpm.spell, IFERROR(IF(F3354="", "", INDEX(_xlws.FILTER(Hairstyles!$F:$F, ISNUMBER(SEARCH(F3354, Hairstyles!$B:$B))), 1)), "No Spell for Hairstyle"),
  _xlpm.vanillaPrefix, IF(LEFT(_xlpm.spell, 7)="Uvi_Wig", "", ";"),
  ";" &amp; IF(C3354="", B3354, C3354) &amp; IF(M3354="", "", " ("&amp;M3354&amp;")") &amp; CHAR(10) &amp;
  _xlpm.vanillaPrefix &amp; "Keyword = Uvi_Wig_Distr_KYWD|" &amp; B3354 &amp; CHAR(10) &amp;
  _xlpm.vanillaPrefix &amp; "Spell = " &amp; _xlpm.spell &amp; "|" &amp; B3354
  )
)</f>
        <v>;GuardSolitudeImperialWarroom
;Keyword = Uvi_Wig_Distr_KYWD|GuardSolitudeImperialWarroom
;Spell = No Spell for Hairstyle|GuardSolitudeImperialWarroom</v>
      </c>
    </row>
    <row r="3355" ht="12.75" customHeight="1">
      <c r="A3355" s="5" t="s">
        <v>9082</v>
      </c>
      <c r="B3355" s="5" t="s">
        <v>9083</v>
      </c>
      <c r="D3355" s="5" t="s">
        <v>38</v>
      </c>
      <c r="E3355" s="5" t="s">
        <v>233</v>
      </c>
      <c r="F3355" s="5" t="s">
        <v>68</v>
      </c>
      <c r="G3355" s="14" t="str">
        <f t="array" ref="G3355">IF(B3355="", "",
  LET(_xlpm.spell, IFERROR(IF(F3355="", "", INDEX(_xlws.FILTER(Hairstyles!$F:$F, ISNUMBER(SEARCH(F3355, Hairstyles!$B:$B))), 1)), "No Spell for Hairstyle"),
  _xlpm.vanillaPrefix, IF(LEFT(_xlpm.spell, 7)="Uvi_Wig", "", ";"),
  ";" &amp; IF(C3355="", B3355, C3355) &amp; IF(M3355="", "", " ("&amp;M3355&amp;")") &amp; CHAR(10) &amp;
  _xlpm.vanillaPrefix &amp; "Keyword = Uvi_Wig_Distr_KYWD|" &amp; B3355 &amp; CHAR(10) &amp;
  _xlpm.vanillaPrefix &amp; "Spell = " &amp; _xlpm.spell &amp; "|" &amp; B3355
  )
)</f>
        <v>;GuardSolitudeSonsTrainingBow
;Keyword = Uvi_Wig_Distr_KYWD|GuardSolitudeSonsTrainingBow
;Spell = No Spell for Hairstyle|GuardSolitudeSonsTrainingBow</v>
      </c>
    </row>
    <row r="3356" ht="12.75" customHeight="1">
      <c r="A3356" s="5" t="s">
        <v>9084</v>
      </c>
      <c r="B3356" s="5" t="s">
        <v>9085</v>
      </c>
      <c r="D3356" s="5" t="s">
        <v>59</v>
      </c>
      <c r="E3356" s="5" t="s">
        <v>233</v>
      </c>
      <c r="F3356" s="5" t="s">
        <v>19</v>
      </c>
      <c r="G3356" s="14" t="str">
        <f t="array" ref="G3356">IF(B3356="", "",
  LET(_xlpm.spell, IFERROR(IF(F3356="", "", INDEX(_xlws.FILTER(Hairstyles!$F:$F, ISNUMBER(SEARCH(F3356, Hairstyles!$B:$B))), 1)), "No Spell for Hairstyle"),
  _xlpm.vanillaPrefix, IF(LEFT(_xlpm.spell, 7)="Uvi_Wig", "", ";"),
  ";" &amp; IF(C3356="", B3356, C3356) &amp; IF(M3356="", "", " ("&amp;M3356&amp;")") &amp; CHAR(10) &amp;
  _xlpm.vanillaPrefix &amp; "Keyword = Uvi_Wig_Distr_KYWD|" &amp; B3356 &amp; CHAR(10) &amp;
  _xlpm.vanillaPrefix &amp; "Spell = " &amp; _xlpm.spell &amp; "|" &amp; B3356
  )
)</f>
        <v>;GuardWhiterunImperialGate
;Keyword = Uvi_Wig_Distr_KYWD|GuardWhiterunImperialGate
;Spell = No Spell for Hairstyle|GuardWhiterunImperialGate</v>
      </c>
    </row>
    <row r="3357" ht="12.75" customHeight="1">
      <c r="A3357" s="5" t="s">
        <v>9086</v>
      </c>
      <c r="B3357" s="5" t="s">
        <v>9087</v>
      </c>
      <c r="D3357" s="5" t="s">
        <v>38</v>
      </c>
      <c r="E3357" s="5" t="s">
        <v>233</v>
      </c>
      <c r="F3357" s="5" t="s">
        <v>1622</v>
      </c>
      <c r="G3357" s="14" t="str">
        <f t="array" ref="G3357">IF(B3357="", "",
  LET(_xlpm.spell, IFERROR(IF(F3357="", "", INDEX(_xlws.FILTER(Hairstyles!$F:$F, ISNUMBER(SEARCH(F3357, Hairstyles!$B:$B))), 1)), "No Spell for Hairstyle"),
  _xlpm.vanillaPrefix, IF(LEFT(_xlpm.spell, 7)="Uvi_Wig", "", ";"),
  ";" &amp; IF(C3357="", B3357, C3357) &amp; IF(M3357="", "", " ("&amp;M3357&amp;")") &amp; CHAR(10) &amp;
  _xlpm.vanillaPrefix &amp; "Keyword = Uvi_Wig_Distr_KYWD|" &amp; B3357 &amp; CHAR(10) &amp;
  _xlpm.vanillaPrefix &amp; "Spell = " &amp; _xlpm.spell &amp; "|" &amp; B3357
  )
)</f>
        <v>;GuardWhiterunImperialGate2
;Keyword = Uvi_Wig_Distr_KYWD|GuardWhiterunImperialGate2
;Spell = No Spell for Hairstyle|GuardWhiterunImperialGate2</v>
      </c>
    </row>
    <row r="3358" ht="12.75" customHeight="1">
      <c r="A3358" s="5" t="s">
        <v>9088</v>
      </c>
      <c r="B3358" s="5" t="s">
        <v>9089</v>
      </c>
      <c r="D3358" s="5" t="s">
        <v>59</v>
      </c>
      <c r="E3358" s="5" t="s">
        <v>233</v>
      </c>
      <c r="F3358" s="5" t="s">
        <v>1906</v>
      </c>
      <c r="G3358" s="14" t="str">
        <f t="array" ref="G3358">IF(B3358="", "",
  LET(_xlpm.spell, IFERROR(IF(F3358="", "", INDEX(_xlws.FILTER(Hairstyles!$F:$F, ISNUMBER(SEARCH(F3358, Hairstyles!$B:$B))), 1)), "No Spell for Hairstyle"),
  _xlpm.vanillaPrefix, IF(LEFT(_xlpm.spell, 7)="Uvi_Wig", "", ";"),
  ";" &amp; IF(C3358="", B3358, C3358) &amp; IF(M3358="", "", " ("&amp;M3358&amp;")") &amp; CHAR(10) &amp;
  _xlpm.vanillaPrefix &amp; "Keyword = Uvi_Wig_Distr_KYWD|" &amp; B3358 &amp; CHAR(10) &amp;
  _xlpm.vanillaPrefix &amp; "Spell = " &amp; _xlpm.spell &amp; "|" &amp; B3358
  )
)</f>
        <v>;GuardWhiterunSonsGate
;Keyword = Uvi_Wig_Distr_KYWD|GuardWhiterunSonsGate
;Spell = No Spell for Hairstyle|GuardWhiterunSonsGate</v>
      </c>
    </row>
    <row r="3359" ht="12.75" customHeight="1">
      <c r="A3359" s="5" t="s">
        <v>9090</v>
      </c>
      <c r="B3359" s="5" t="s">
        <v>9091</v>
      </c>
      <c r="D3359" s="5" t="s">
        <v>38</v>
      </c>
      <c r="E3359" s="5" t="s">
        <v>233</v>
      </c>
      <c r="F3359" s="5" t="s">
        <v>19</v>
      </c>
      <c r="G3359" s="14" t="str">
        <f t="array" ref="G3359">IF(B3359="", "",
  LET(_xlpm.spell, IFERROR(IF(F3359="", "", INDEX(_xlws.FILTER(Hairstyles!$F:$F, ISNUMBER(SEARCH(F3359, Hairstyles!$B:$B))), 1)), "No Spell for Hairstyle"),
  _xlpm.vanillaPrefix, IF(LEFT(_xlpm.spell, 7)="Uvi_Wig", "", ";"),
  ";" &amp; IF(C3359="", B3359, C3359) &amp; IF(M3359="", "", " ("&amp;M3359&amp;")") &amp; CHAR(10) &amp;
  _xlpm.vanillaPrefix &amp; "Keyword = Uvi_Wig_Distr_KYWD|" &amp; B3359 &amp; CHAR(10) &amp;
  _xlpm.vanillaPrefix &amp; "Spell = " &amp; _xlpm.spell &amp; "|" &amp; B3359
  )
)</f>
        <v>;GuardWindhelmSonsGateDocks
;Keyword = Uvi_Wig_Distr_KYWD|GuardWindhelmSonsGateDocks
;Spell = No Spell for Hairstyle|GuardWindhelmSonsGateDocks</v>
      </c>
    </row>
    <row r="3360" ht="12.75" customHeight="1">
      <c r="A3360" s="5" t="s">
        <v>9092</v>
      </c>
      <c r="B3360" s="5" t="s">
        <v>9093</v>
      </c>
      <c r="D3360" s="5" t="s">
        <v>38</v>
      </c>
      <c r="E3360" s="5" t="s">
        <v>233</v>
      </c>
      <c r="F3360" s="5" t="s">
        <v>235</v>
      </c>
      <c r="G3360" s="14" t="str">
        <f t="array" ref="G3360">IF(B3360="", "",
  LET(_xlpm.spell, IFERROR(IF(F3360="", "", INDEX(_xlws.FILTER(Hairstyles!$F:$F, ISNUMBER(SEARCH(F3360, Hairstyles!$B:$B))), 1)), "No Spell for Hairstyle"),
  _xlpm.vanillaPrefix, IF(LEFT(_xlpm.spell, 7)="Uvi_Wig", "", ";"),
  ";" &amp; IF(C3360="", B3360, C3360) &amp; IF(M3360="", "", " ("&amp;M3360&amp;")") &amp; CHAR(10) &amp;
  _xlpm.vanillaPrefix &amp; "Keyword = Uvi_Wig_Distr_KYWD|" &amp; B3360 &amp; CHAR(10) &amp;
  _xlpm.vanillaPrefix &amp; "Spell = " &amp; _xlpm.spell &amp; "|" &amp; B3360
  )
)</f>
        <v>;GuardWindhelmSonsGateMain
;Keyword = Uvi_Wig_Distr_KYWD|GuardWindhelmSonsGateMain
;Spell = No Spell for Hairstyle|GuardWindhelmSonsGateMain</v>
      </c>
    </row>
    <row r="3361" ht="12.75" customHeight="1">
      <c r="A3361" s="5" t="s">
        <v>9094</v>
      </c>
      <c r="B3361" s="5" t="s">
        <v>9095</v>
      </c>
      <c r="D3361" s="5" t="s">
        <v>38</v>
      </c>
      <c r="E3361" s="5" t="s">
        <v>233</v>
      </c>
      <c r="F3361" s="5" t="s">
        <v>234</v>
      </c>
      <c r="G3361" s="14" t="str">
        <f t="array" ref="G3361">IF(B3361="", "",
  LET(_xlpm.spell, IFERROR(IF(F3361="", "", INDEX(_xlws.FILTER(Hairstyles!$F:$F, ISNUMBER(SEARCH(F3361, Hairstyles!$B:$B))), 1)), "No Spell for Hairstyle"),
  _xlpm.vanillaPrefix, IF(LEFT(_xlpm.spell, 7)="Uvi_Wig", "", ";"),
  ";" &amp; IF(C3361="", B3361, C3361) &amp; IF(M3361="", "", " ("&amp;M3361&amp;")") &amp; CHAR(10) &amp;
  _xlpm.vanillaPrefix &amp; "Keyword = Uvi_Wig_Distr_KYWD|" &amp; B3361 &amp; CHAR(10) &amp;
  _xlpm.vanillaPrefix &amp; "Spell = " &amp; _xlpm.spell &amp; "|" &amp; B3361
  )
)</f>
        <v>;GuardWindhelmSonsWarroom
;Keyword = Uvi_Wig_Distr_KYWD|GuardWindhelmSonsWarroom
;Spell = No Spell for Hairstyle|GuardWindhelmSonsWarroom</v>
      </c>
    </row>
    <row r="3362" ht="12.75" customHeight="1">
      <c r="A3362" s="5" t="s">
        <v>9096</v>
      </c>
      <c r="B3362" s="5" t="s">
        <v>9097</v>
      </c>
      <c r="D3362" s="5" t="s">
        <v>38</v>
      </c>
      <c r="E3362" s="5" t="s">
        <v>233</v>
      </c>
      <c r="F3362" s="5" t="s">
        <v>68</v>
      </c>
      <c r="G3362" s="14" t="str">
        <f t="array" ref="G3362">IF(B3362="", "",
  LET(_xlpm.spell, IFERROR(IF(F3362="", "", INDEX(_xlws.FILTER(Hairstyles!$F:$F, ISNUMBER(SEARCH(F3362, Hairstyles!$B:$B))), 1)), "No Spell for Hairstyle"),
  _xlpm.vanillaPrefix, IF(LEFT(_xlpm.spell, 7)="Uvi_Wig", "", ";"),
  ";" &amp; IF(C3362="", B3362, C3362) &amp; IF(M3362="", "", " ("&amp;M3362&amp;")") &amp; CHAR(10) &amp;
  _xlpm.vanillaPrefix &amp; "Keyword = Uvi_Wig_Distr_KYWD|" &amp; B3362 &amp; CHAR(10) &amp;
  _xlpm.vanillaPrefix &amp; "Spell = " &amp; _xlpm.spell &amp; "|" &amp; B3362
  )
)</f>
        <v>;LvlFalkreathHoldGuardImperialVoiceTypeMaleGuard
;Keyword = Uvi_Wig_Distr_KYWD|LvlFalkreathHoldGuardImperialVoiceTypeMaleGuard
;Spell = No Spell for Hairstyle|LvlFalkreathHoldGuardImperialVoiceTypeMaleGuard</v>
      </c>
    </row>
    <row r="3363" ht="12.75" customHeight="1">
      <c r="A3363" s="5" t="s">
        <v>9098</v>
      </c>
      <c r="B3363" s="5" t="s">
        <v>9099</v>
      </c>
      <c r="D3363" s="5" t="s">
        <v>45</v>
      </c>
      <c r="E3363" s="5" t="s">
        <v>41</v>
      </c>
      <c r="F3363" s="5" t="s">
        <v>1732</v>
      </c>
      <c r="G3363" s="14" t="str">
        <f t="array" ref="G3363">IF(B3363="", "",
  LET(_xlpm.spell, IFERROR(IF(F3363="", "", INDEX(_xlws.FILTER(Hairstyles!$F:$F, ISNUMBER(SEARCH(F3363, Hairstyles!$B:$B))), 1)), "No Spell for Hairstyle"),
  _xlpm.vanillaPrefix, IF(LEFT(_xlpm.spell, 7)="Uvi_Wig", "", ";"),
  ";" &amp; IF(C3363="", B3363, C3363) &amp; IF(M3363="", "", " ("&amp;M3363&amp;")") &amp; CHAR(10) &amp;
  _xlpm.vanillaPrefix &amp; "Keyword = Uvi_Wig_Distr_KYWD|" &amp; B3363 &amp; CHAR(10) &amp;
  _xlpm.vanillaPrefix &amp; "Spell = " &amp; _xlpm.spell &amp; "|" &amp; B3363
  )
)</f>
        <v>;LvlWarlockElementalAmbushCondescendingF
;Keyword = Uvi_Wig_Distr_KYWD|LvlWarlockElementalAmbushCondescendingF
;Spell = No Spell for Hairstyle|LvlWarlockElementalAmbushCondescendingF</v>
      </c>
    </row>
    <row r="3364" ht="12.75" customHeight="1">
      <c r="A3364" s="5" t="s">
        <v>9100</v>
      </c>
      <c r="B3364" s="5" t="s">
        <v>9101</v>
      </c>
      <c r="D3364" s="5" t="s">
        <v>45</v>
      </c>
      <c r="E3364" s="5" t="s">
        <v>233</v>
      </c>
      <c r="F3364" s="5" t="s">
        <v>525</v>
      </c>
      <c r="G3364" s="14" t="str">
        <f t="array" ref="G3364">IF(B3364="", "",
  LET(_xlpm.spell, IFERROR(IF(F3364="", "", INDEX(_xlws.FILTER(Hairstyles!$F:$F, ISNUMBER(SEARCH(F3364, Hairstyles!$B:$B))), 1)), "No Spell for Hairstyle"),
  _xlpm.vanillaPrefix, IF(LEFT(_xlpm.spell, 7)="Uvi_Wig", "", ";"),
  ";" &amp; IF(C3364="", B3364, C3364) &amp; IF(M3364="", "", " ("&amp;M3364&amp;")") &amp; CHAR(10) &amp;
  _xlpm.vanillaPrefix &amp; "Keyword = Uvi_Wig_Distr_KYWD|" &amp; B3364 &amp; CHAR(10) &amp;
  _xlpm.vanillaPrefix &amp; "Spell = " &amp; _xlpm.spell &amp; "|" &amp; B3364
  )
)</f>
        <v>;LvlWarlockNecroAmbushDarkElfM
;Keyword = Uvi_Wig_Distr_KYWD|LvlWarlockNecroAmbushDarkElfM
;Spell = No Spell for Hairstyle|LvlWarlockNecroAmbushDarkElfM</v>
      </c>
    </row>
    <row r="3365" ht="12.75" customHeight="1">
      <c r="A3365" s="5" t="s">
        <v>9102</v>
      </c>
      <c r="B3365" s="5" t="s">
        <v>9103</v>
      </c>
      <c r="D3365" s="5" t="s">
        <v>57</v>
      </c>
      <c r="E3365" s="5" t="s">
        <v>41</v>
      </c>
      <c r="F3365" s="5" t="s">
        <v>491</v>
      </c>
      <c r="G3365" s="14" t="str">
        <f t="array" ref="G3365">IF(B3365="", "",
  LET(_xlpm.spell, IFERROR(IF(F3365="", "", INDEX(_xlws.FILTER(Hairstyles!$F:$F, ISNUMBER(SEARCH(F3365, Hairstyles!$B:$B))), 1)), "No Spell for Hairstyle"),
  _xlpm.vanillaPrefix, IF(LEFT(_xlpm.spell, 7)="Uvi_Wig", "", ";"),
  ";" &amp; IF(C3365="", B3365, C3365) &amp; IF(M3365="", "", " ("&amp;M3365&amp;")") &amp; CHAR(10) &amp;
  _xlpm.vanillaPrefix &amp; "Keyword = Uvi_Wig_Distr_KYWD|" &amp; B3365 &amp; CHAR(10) &amp;
  _xlpm.vanillaPrefix &amp; "Spell = " &amp; _xlpm.spell &amp; "|" &amp; B3365
  )
)</f>
        <v>;LvlWarlockNecromancerFemaleHighElf
;Keyword = Uvi_Wig_Distr_KYWD|LvlWarlockNecromancerFemaleHighElf
;Spell = No Spell for Hairstyle|LvlWarlockNecromancerFemaleHighElf</v>
      </c>
    </row>
    <row r="3366" ht="12.75" customHeight="1">
      <c r="A3366" s="5" t="s">
        <v>9104</v>
      </c>
      <c r="B3366" s="5" t="s">
        <v>9105</v>
      </c>
      <c r="D3366" s="5" t="s">
        <v>45</v>
      </c>
      <c r="E3366" s="5" t="s">
        <v>233</v>
      </c>
      <c r="F3366" s="5" t="s">
        <v>543</v>
      </c>
      <c r="G3366" s="14" t="str">
        <f t="array" ref="G3366">IF(B3366="", "",
  LET(_xlpm.spell, IFERROR(IF(F3366="", "", INDEX(_xlws.FILTER(Hairstyles!$F:$F, ISNUMBER(SEARCH(F3366, Hairstyles!$B:$B))), 1)), "No Spell for Hairstyle"),
  _xlpm.vanillaPrefix, IF(LEFT(_xlpm.spell, 7)="Uvi_Wig", "", ";"),
  ";" &amp; IF(C3366="", B3366, C3366) &amp; IF(M3366="", "", " ("&amp;M3366&amp;")") &amp; CHAR(10) &amp;
  _xlpm.vanillaPrefix &amp; "Keyword = Uvi_Wig_Distr_KYWD|" &amp; B3366 &amp; CHAR(10) &amp;
  _xlpm.vanillaPrefix &amp; "Spell = " &amp; _xlpm.spell &amp; "|" &amp; B3366
  )
)</f>
        <v>;LvlWarlockNecromancerMaleDarkElf
;Keyword = Uvi_Wig_Distr_KYWD|LvlWarlockNecromancerMaleDarkElf
;Spell = No Spell for Hairstyle|LvlWarlockNecromancerMaleDarkElf</v>
      </c>
    </row>
    <row r="3367" ht="12.75" customHeight="1">
      <c r="A3367" s="5" t="s">
        <v>9106</v>
      </c>
      <c r="B3367" s="5" t="s">
        <v>9107</v>
      </c>
      <c r="D3367" s="5" t="s">
        <v>38</v>
      </c>
      <c r="E3367" s="5" t="s">
        <v>41</v>
      </c>
      <c r="F3367" s="5" t="s">
        <v>42</v>
      </c>
      <c r="G3367" s="14" t="str">
        <f t="array" ref="G3367">IF(B3367="", "",
  LET(_xlpm.spell, IFERROR(IF(F3367="", "", INDEX(_xlws.FILTER(Hairstyles!$F:$F, ISNUMBER(SEARCH(F3367, Hairstyles!$B:$B))), 1)), "No Spell for Hairstyle"),
  _xlpm.vanillaPrefix, IF(LEFT(_xlpm.spell, 7)="Uvi_Wig", "", ";"),
  ";" &amp; IF(C3367="", B3367, C3367) &amp; IF(M3367="", "", " ("&amp;M3367&amp;")") &amp; CHAR(10) &amp;
  _xlpm.vanillaPrefix &amp; "Keyword = Uvi_Wig_Distr_KYWD|" &amp; B3367 &amp; CHAR(10) &amp;
  _xlpm.vanillaPrefix &amp; "Spell = " &amp; _xlpm.spell &amp; "|" &amp; B3367
  )
)</f>
        <v>;MQ101GenericCivilianNordFemale
;Keyword = Uvi_Wig_Distr_KYWD|MQ101GenericCivilianNordFemale
;Spell = No Spell for Hairstyle|MQ101GenericCivilianNordFemale</v>
      </c>
    </row>
    <row r="3368" ht="12.75" customHeight="1">
      <c r="A3368" s="5" t="s">
        <v>9108</v>
      </c>
      <c r="B3368" s="5" t="s">
        <v>9109</v>
      </c>
      <c r="D3368" s="5" t="s">
        <v>38</v>
      </c>
      <c r="E3368" s="5" t="s">
        <v>233</v>
      </c>
      <c r="F3368" s="5" t="s">
        <v>424</v>
      </c>
      <c r="G3368" s="14" t="str">
        <f t="array" ref="G3368">IF(B3368="", "",
  LET(_xlpm.spell, IFERROR(IF(F3368="", "", INDEX(_xlws.FILTER(Hairstyles!$F:$F, ISNUMBER(SEARCH(F3368, Hairstyles!$B:$B))), 1)), "No Spell for Hairstyle"),
  _xlpm.vanillaPrefix, IF(LEFT(_xlpm.spell, 7)="Uvi_Wig", "", ";"),
  ";" &amp; IF(C3368="", B3368, C3368) &amp; IF(M3368="", "", " ("&amp;M3368&amp;")") &amp; CHAR(10) &amp;
  _xlpm.vanillaPrefix &amp; "Keyword = Uvi_Wig_Distr_KYWD|" &amp; B3368 &amp; CHAR(10) &amp;
  _xlpm.vanillaPrefix &amp; "Spell = " &amp; _xlpm.spell &amp; "|" &amp; B3368
  )
)</f>
        <v>;MQ101GenericCivilianNordMale
;Keyword = Uvi_Wig_Distr_KYWD|MQ101GenericCivilianNordMale
;Spell = No Spell for Hairstyle|MQ101GenericCivilianNordMale</v>
      </c>
    </row>
    <row r="3369" ht="12.75" customHeight="1">
      <c r="A3369" s="5" t="s">
        <v>9110</v>
      </c>
      <c r="B3369" s="5" t="s">
        <v>9111</v>
      </c>
      <c r="D3369" s="5" t="s">
        <v>59</v>
      </c>
      <c r="E3369" s="5" t="s">
        <v>41</v>
      </c>
      <c r="F3369" s="5" t="s">
        <v>371</v>
      </c>
      <c r="G3369" s="14" t="str">
        <f t="array" ref="G3369">IF(B3369="", "",
  LET(_xlpm.spell, IFERROR(IF(F3369="", "", INDEX(_xlws.FILTER(Hairstyles!$F:$F, ISNUMBER(SEARCH(F3369, Hairstyles!$B:$B))), 1)), "No Spell for Hairstyle"),
  _xlpm.vanillaPrefix, IF(LEFT(_xlpm.spell, 7)="Uvi_Wig", "", ";"),
  ";" &amp; IF(C3369="", B3369, C3369) &amp; IF(M3369="", "", " ("&amp;M3369&amp;")") &amp; CHAR(10) &amp;
  _xlpm.vanillaPrefix &amp; "Keyword = Uvi_Wig_Distr_KYWD|" &amp; B3369 &amp; CHAR(10) &amp;
  _xlpm.vanillaPrefix &amp; "Spell = " &amp; _xlpm.spell &amp; "|" &amp; B3369
  )
)</f>
        <v>;MQ101ImperialArcherFemale
;Keyword = Uvi_Wig_Distr_KYWD|MQ101ImperialArcherFemale
;Spell = No Spell for Hairstyle|MQ101ImperialArcherFemale</v>
      </c>
    </row>
    <row r="3370" ht="12.75" customHeight="1">
      <c r="A3370" s="5" t="s">
        <v>9112</v>
      </c>
      <c r="B3370" s="5" t="s">
        <v>9113</v>
      </c>
      <c r="D3370" s="5" t="s">
        <v>59</v>
      </c>
      <c r="E3370" s="5" t="s">
        <v>233</v>
      </c>
      <c r="F3370" s="5" t="s">
        <v>990</v>
      </c>
      <c r="G3370" s="14" t="str">
        <f t="array" ref="G3370">IF(B3370="", "",
  LET(_xlpm.spell, IFERROR(IF(F3370="", "", INDEX(_xlws.FILTER(Hairstyles!$F:$F, ISNUMBER(SEARCH(F3370, Hairstyles!$B:$B))), 1)), "No Spell for Hairstyle"),
  _xlpm.vanillaPrefix, IF(LEFT(_xlpm.spell, 7)="Uvi_Wig", "", ";"),
  ";" &amp; IF(C3370="", B3370, C3370) &amp; IF(M3370="", "", " ("&amp;M3370&amp;")") &amp; CHAR(10) &amp;
  _xlpm.vanillaPrefix &amp; "Keyword = Uvi_Wig_Distr_KYWD|" &amp; B3370 &amp; CHAR(10) &amp;
  _xlpm.vanillaPrefix &amp; "Spell = " &amp; _xlpm.spell &amp; "|" &amp; B3370
  )
)</f>
        <v>;MQ101ImperialArcherMale
;Keyword = Uvi_Wig_Distr_KYWD|MQ101ImperialArcherMale
;Spell = No Spell for Hairstyle|MQ101ImperialArcherMale</v>
      </c>
    </row>
    <row r="3371" ht="12.75" customHeight="1">
      <c r="A3371" s="5" t="s">
        <v>9114</v>
      </c>
      <c r="B3371" s="5" t="s">
        <v>9115</v>
      </c>
      <c r="D3371" s="5" t="s">
        <v>38</v>
      </c>
      <c r="E3371" s="5" t="s">
        <v>233</v>
      </c>
      <c r="F3371" s="5" t="s">
        <v>1622</v>
      </c>
      <c r="G3371" s="14" t="str">
        <f t="array" ref="G3371">IF(B3371="", "",
  LET(_xlpm.spell, IFERROR(IF(F3371="", "", INDEX(_xlws.FILTER(Hairstyles!$F:$F, ISNUMBER(SEARCH(F3371, Hairstyles!$B:$B))), 1)), "No Spell for Hairstyle"),
  _xlpm.vanillaPrefix, IF(LEFT(_xlpm.spell, 7)="Uvi_Wig", "", ";"),
  ";" &amp; IF(C3371="", B3371, C3371) &amp; IF(M3371="", "", " ("&amp;M3371&amp;")") &amp; CHAR(10) &amp;
  _xlpm.vanillaPrefix &amp; "Keyword = Uvi_Wig_Distr_KYWD|" &amp; B3371 &amp; CHAR(10) &amp;
  _xlpm.vanillaPrefix &amp; "Spell = " &amp; _xlpm.spell &amp; "|" &amp; B3371
  )
)</f>
        <v>;MQ101ImperialSoldierCartDriver
;Keyword = Uvi_Wig_Distr_KYWD|MQ101ImperialSoldierCartDriver
;Spell = No Spell for Hairstyle|MQ101ImperialSoldierCartDriver</v>
      </c>
    </row>
    <row r="3372" ht="12.75" customHeight="1">
      <c r="A3372" s="5" t="s">
        <v>9116</v>
      </c>
      <c r="B3372" s="5" t="s">
        <v>9117</v>
      </c>
      <c r="D3372" s="5" t="s">
        <v>38</v>
      </c>
      <c r="E3372" s="5" t="s">
        <v>233</v>
      </c>
      <c r="F3372" s="5" t="s">
        <v>68</v>
      </c>
      <c r="G3372" s="14" t="str">
        <f t="array" ref="G3372">IF(B3372="", "",
  LET(_xlpm.spell, IFERROR(IF(F3372="", "", INDEX(_xlws.FILTER(Hairstyles!$F:$F, ISNUMBER(SEARCH(F3372, Hairstyles!$B:$B))), 1)), "No Spell for Hairstyle"),
  _xlpm.vanillaPrefix, IF(LEFT(_xlpm.spell, 7)="Uvi_Wig", "", ";"),
  ";" &amp; IF(C3372="", B3372, C3372) &amp; IF(M3372="", "", " ("&amp;M3372&amp;")") &amp; CHAR(10) &amp;
  _xlpm.vanillaPrefix &amp; "Keyword = Uvi_Wig_Distr_KYWD|" &amp; B3372 &amp; CHAR(10) &amp;
  _xlpm.vanillaPrefix &amp; "Spell = " &amp; _xlpm.spell &amp; "|" &amp; B3372
  )
)</f>
        <v>;MQ101StormcloakCageRoomPrisoner
;Keyword = Uvi_Wig_Distr_KYWD|MQ101StormcloakCageRoomPrisoner
;Spell = No Spell for Hairstyle|MQ101StormcloakCageRoomPrisoner</v>
      </c>
    </row>
    <row r="3373" ht="12.75" customHeight="1">
      <c r="A3373" s="5" t="s">
        <v>9118</v>
      </c>
      <c r="B3373" s="5" t="s">
        <v>9119</v>
      </c>
      <c r="D3373" s="5" t="s">
        <v>38</v>
      </c>
      <c r="E3373" s="5" t="s">
        <v>41</v>
      </c>
      <c r="F3373" s="5" t="s">
        <v>1041</v>
      </c>
      <c r="G3373" s="14" t="str">
        <f t="array" ref="G3373">IF(B3373="", "",
  LET(_xlpm.spell, IFERROR(IF(F3373="", "", INDEX(_xlws.FILTER(Hairstyles!$F:$F, ISNUMBER(SEARCH(F3373, Hairstyles!$B:$B))), 1)), "No Spell for Hairstyle"),
  _xlpm.vanillaPrefix, IF(LEFT(_xlpm.spell, 7)="Uvi_Wig", "", ";"),
  ";" &amp; IF(C3373="", B3373, C3373) &amp; IF(M3373="", "", " ("&amp;M3373&amp;")") &amp; CHAR(10) &amp;
  _xlpm.vanillaPrefix &amp; "Keyword = Uvi_Wig_Distr_KYWD|" &amp; B3373 &amp; CHAR(10) &amp;
  _xlpm.vanillaPrefix &amp; "Spell = " &amp; _xlpm.spell &amp; "|" &amp; B3373
  )
)</f>
        <v>;MQ101StormcloakPrisonerFemaleUnaggressive
;Keyword = Uvi_Wig_Distr_KYWD|MQ101StormcloakPrisonerFemaleUnaggressive
;Spell = No Spell for Hairstyle|MQ101StormcloakPrisonerFemaleUnaggressive</v>
      </c>
    </row>
    <row r="3374" ht="12.75" customHeight="1">
      <c r="A3374" s="5" t="s">
        <v>9120</v>
      </c>
      <c r="B3374" s="5" t="s">
        <v>9121</v>
      </c>
      <c r="D3374" s="5" t="s">
        <v>38</v>
      </c>
      <c r="E3374" s="5" t="s">
        <v>233</v>
      </c>
      <c r="F3374" s="5" t="s">
        <v>224</v>
      </c>
      <c r="G3374" s="14" t="str">
        <f t="array" ref="G3374">IF(B3374="", "",
  LET(_xlpm.spell, IFERROR(IF(F3374="", "", INDEX(_xlws.FILTER(Hairstyles!$F:$F, ISNUMBER(SEARCH(F3374, Hairstyles!$B:$B))), 1)), "No Spell for Hairstyle"),
  _xlpm.vanillaPrefix, IF(LEFT(_xlpm.spell, 7)="Uvi_Wig", "", ";"),
  ";" &amp; IF(C3374="", B3374, C3374) &amp; IF(M3374="", "", " ("&amp;M3374&amp;")") &amp; CHAR(10) &amp;
  _xlpm.vanillaPrefix &amp; "Keyword = Uvi_Wig_Distr_KYWD|" &amp; B3374 &amp; CHAR(10) &amp;
  _xlpm.vanillaPrefix &amp; "Spell = " &amp; _xlpm.spell &amp; "|" &amp; B3374
  )
)</f>
        <v>;MQ101StormcloakPrisonerMaleUnaggressive
;Keyword = Uvi_Wig_Distr_KYWD|MQ101StormcloakPrisonerMaleUnaggressive
;Spell = No Spell for Hairstyle|MQ101StormcloakPrisonerMaleUnaggressive</v>
      </c>
    </row>
    <row r="3375" ht="12.75" customHeight="1">
      <c r="A3375" s="5" t="s">
        <v>9122</v>
      </c>
      <c r="B3375" s="5" t="s">
        <v>9123</v>
      </c>
      <c r="D3375" s="5" t="s">
        <v>38</v>
      </c>
      <c r="E3375" s="5" t="s">
        <v>233</v>
      </c>
      <c r="F3375" s="5" t="s">
        <v>1088</v>
      </c>
      <c r="G3375" s="14" t="str">
        <f t="array" ref="G3375">IF(B3375="", "",
  LET(_xlpm.spell, IFERROR(IF(F3375="", "", INDEX(_xlws.FILTER(Hairstyles!$F:$F, ISNUMBER(SEARCH(F3375, Hairstyles!$B:$B))), 1)), "No Spell for Hairstyle"),
  _xlpm.vanillaPrefix, IF(LEFT(_xlpm.spell, 7)="Uvi_Wig", "", ";"),
  ";" &amp; IF(C3375="", B3375, C3375) &amp; IF(M3375="", "", " ("&amp;M3375&amp;")") &amp; CHAR(10) &amp;
  _xlpm.vanillaPrefix &amp; "Keyword = Uvi_Wig_Distr_KYWD|" &amp; B3375 &amp; CHAR(10) &amp;
  _xlpm.vanillaPrefix &amp; "Spell = " &amp; _xlpm.spell &amp; "|" &amp; B3375
  )
)</f>
        <v>;MQ101StormcloakPrisonerMaleUnaggressive02
;Keyword = Uvi_Wig_Distr_KYWD|MQ101StormcloakPrisonerMaleUnaggressive02
;Spell = No Spell for Hairstyle|MQ101StormcloakPrisonerMaleUnaggressive02</v>
      </c>
    </row>
    <row r="3376" ht="12.75" customHeight="1">
      <c r="A3376" s="5" t="s">
        <v>9124</v>
      </c>
      <c r="B3376" s="5" t="s">
        <v>9125</v>
      </c>
      <c r="D3376" s="5" t="s">
        <v>38</v>
      </c>
      <c r="E3376" s="5" t="s">
        <v>233</v>
      </c>
      <c r="F3376" s="5" t="s">
        <v>1894</v>
      </c>
      <c r="G3376" s="14" t="str">
        <f t="array" ref="G3376">IF(B3376="", "",
  LET(_xlpm.spell, IFERROR(IF(F3376="", "", INDEX(_xlws.FILTER(Hairstyles!$F:$F, ISNUMBER(SEARCH(F3376, Hairstyles!$B:$B))), 1)), "No Spell for Hairstyle"),
  _xlpm.vanillaPrefix, IF(LEFT(_xlpm.spell, 7)="Uvi_Wig", "", ";"),
  ";" &amp; IF(C3376="", B3376, C3376) &amp; IF(M3376="", "", " ("&amp;M3376&amp;")") &amp; CHAR(10) &amp;
  _xlpm.vanillaPrefix &amp; "Keyword = Uvi_Wig_Distr_KYWD|" &amp; B3376 &amp; CHAR(10) &amp;
  _xlpm.vanillaPrefix &amp; "Spell = " &amp; _xlpm.spell &amp; "|" &amp; B3376
  )
)</f>
        <v>;MQ105PhantomFormActor
;Keyword = Uvi_Wig_Distr_KYWD|MQ105PhantomFormActor
;Spell = No Spell for Hairstyle|MQ105PhantomFormActor</v>
      </c>
    </row>
    <row r="3377" ht="12.75" customHeight="1">
      <c r="A3377" s="5" t="s">
        <v>9126</v>
      </c>
      <c r="B3377" s="5" t="s">
        <v>9127</v>
      </c>
      <c r="D3377" s="5" t="s">
        <v>57</v>
      </c>
      <c r="E3377" s="5" t="s">
        <v>41</v>
      </c>
      <c r="F3377" s="5" t="s">
        <v>1967</v>
      </c>
      <c r="G3377" s="14" t="str">
        <f t="array" ref="G3377">IF(B3377="", "",
  LET(_xlpm.spell, IFERROR(IF(F3377="", "", INDEX(_xlws.FILTER(Hairstyles!$F:$F, ISNUMBER(SEARCH(F3377, Hairstyles!$B:$B))), 1)), "No Spell for Hairstyle"),
  _xlpm.vanillaPrefix, IF(LEFT(_xlpm.spell, 7)="Uvi_Wig", "", ";"),
  ";" &amp; IF(C3377="", B3377, C3377) &amp; IF(M3377="", "", " ("&amp;M3377&amp;")") &amp; CHAR(10) &amp;
  _xlpm.vanillaPrefix &amp; "Keyword = Uvi_Wig_Distr_KYWD|" &amp; B3377 &amp; CHAR(10) &amp;
  _xlpm.vanillaPrefix &amp; "Spell = " &amp; _xlpm.spell &amp; "|" &amp; B3377
  )
)</f>
        <v>;MQ201PartyGuard
;Keyword = Uvi_Wig_Distr_KYWD|MQ201PartyGuard
;Spell = No Spell for Hairstyle|MQ201PartyGuard</v>
      </c>
    </row>
    <row r="3378" ht="12.75" customHeight="1">
      <c r="A3378" s="5" t="s">
        <v>9128</v>
      </c>
      <c r="B3378" s="5" t="s">
        <v>9129</v>
      </c>
      <c r="D3378" s="5" t="s">
        <v>57</v>
      </c>
      <c r="E3378" s="5" t="s">
        <v>233</v>
      </c>
      <c r="F3378" s="5" t="s">
        <v>47</v>
      </c>
      <c r="G3378" s="14" t="str">
        <f t="array" ref="G3378">IF(B3378="", "",
  LET(_xlpm.spell, IFERROR(IF(F3378="", "", INDEX(_xlws.FILTER(Hairstyles!$F:$F, ISNUMBER(SEARCH(F3378, Hairstyles!$B:$B))), 1)), "No Spell for Hairstyle"),
  _xlpm.vanillaPrefix, IF(LEFT(_xlpm.spell, 7)="Uvi_Wig", "", ";"),
  ";" &amp; IF(C3378="", B3378, C3378) &amp; IF(M3378="", "", " ("&amp;M3378&amp;")") &amp; CHAR(10) &amp;
  _xlpm.vanillaPrefix &amp; "Keyword = Uvi_Wig_Distr_KYWD|" &amp; B3378 &amp; CHAR(10) &amp;
  _xlpm.vanillaPrefix &amp; "Spell = " &amp; _xlpm.spell &amp; "|" &amp; B3378
  )
)</f>
        <v>;MQ201PartyGuard2
;Keyword = Uvi_Wig_Distr_KYWD|MQ201PartyGuard2
;Spell = No Spell for Hairstyle|MQ201PartyGuard2</v>
      </c>
    </row>
    <row r="3379" ht="12.75" customHeight="1">
      <c r="A3379" s="5" t="s">
        <v>9130</v>
      </c>
      <c r="B3379" s="5" t="s">
        <v>9131</v>
      </c>
      <c r="D3379" s="5" t="s">
        <v>57</v>
      </c>
      <c r="E3379" s="5" t="s">
        <v>233</v>
      </c>
      <c r="F3379" s="5" t="s">
        <v>525</v>
      </c>
      <c r="G3379" s="14" t="str">
        <f t="array" ref="G3379">IF(B3379="", "",
  LET(_xlpm.spell, IFERROR(IF(F3379="", "", INDEX(_xlws.FILTER(Hairstyles!$F:$F, ISNUMBER(SEARCH(F3379, Hairstyles!$B:$B))), 1)), "No Spell for Hairstyle"),
  _xlpm.vanillaPrefix, IF(LEFT(_xlpm.spell, 7)="Uvi_Wig", "", ";"),
  ";" &amp; IF(C3379="", B3379, C3379) &amp; IF(M3379="", "", " ("&amp;M3379&amp;")") &amp; CHAR(10) &amp;
  _xlpm.vanillaPrefix &amp; "Keyword = Uvi_Wig_Distr_KYWD|" &amp; B3379 &amp; CHAR(10) &amp;
  _xlpm.vanillaPrefix &amp; "Spell = " &amp; _xlpm.spell &amp; "|" &amp; B3379
  )
)</f>
        <v>;MQ201ThalmorGuardCanBeFooled
;Keyword = Uvi_Wig_Distr_KYWD|MQ201ThalmorGuardCanBeFooled
;Spell = No Spell for Hairstyle|MQ201ThalmorGuardCanBeFooled</v>
      </c>
    </row>
    <row r="3380" ht="12.75" customHeight="1">
      <c r="A3380" s="15" t="s">
        <v>9132</v>
      </c>
      <c r="B3380" s="5" t="s">
        <v>9133</v>
      </c>
      <c r="D3380" s="5" t="s">
        <v>57</v>
      </c>
      <c r="E3380" s="5" t="s">
        <v>233</v>
      </c>
      <c r="F3380" s="5" t="s">
        <v>2469</v>
      </c>
      <c r="G3380" s="14" t="str">
        <f t="array" ref="G3380">IF(B3380="", "",
  LET(_xlpm.spell, IFERROR(IF(F3380="", "", INDEX(_xlws.FILTER(Hairstyles!$F:$F, ISNUMBER(SEARCH(F3380, Hairstyles!$B:$B))), 1)), "No Spell for Hairstyle"),
  _xlpm.vanillaPrefix, IF(LEFT(_xlpm.spell, 7)="Uvi_Wig", "", ";"),
  ";" &amp; IF(C3380="", B3380, C3380) &amp; IF(M3380="", "", " ("&amp;M3380&amp;")") &amp; CHAR(10) &amp;
  _xlpm.vanillaPrefix &amp; "Keyword = Uvi_Wig_Distr_KYWD|" &amp; B3380 &amp; CHAR(10) &amp;
  _xlpm.vanillaPrefix &amp; "Spell = " &amp; _xlpm.spell &amp; "|" &amp; B3380
  )
)</f>
        <v>;MQ201ThalmorGuardCanBeFooledArcher
;Keyword = Uvi_Wig_Distr_KYWD|MQ201ThalmorGuardCanBeFooledArcher
;Spell = No Spell for Hairstyle|MQ201ThalmorGuardCanBeFooledArcher</v>
      </c>
    </row>
    <row r="3381" ht="12.75" customHeight="1">
      <c r="A3381" s="5" t="s">
        <v>9134</v>
      </c>
      <c r="B3381" s="5" t="s">
        <v>9135</v>
      </c>
      <c r="D3381" s="5" t="s">
        <v>57</v>
      </c>
      <c r="E3381" s="5" t="s">
        <v>233</v>
      </c>
      <c r="F3381" s="5" t="s">
        <v>525</v>
      </c>
      <c r="G3381" s="14" t="str">
        <f t="array" ref="G3381">IF(B3381="", "",
  LET(_xlpm.spell, IFERROR(IF(F3381="", "", INDEX(_xlws.FILTER(Hairstyles!$F:$F, ISNUMBER(SEARCH(F3381, Hairstyles!$B:$B))), 1)), "No Spell for Hairstyle"),
  _xlpm.vanillaPrefix, IF(LEFT(_xlpm.spell, 7)="Uvi_Wig", "", ";"),
  ";" &amp; IF(C3381="", B3381, C3381) &amp; IF(M3381="", "", " ("&amp;M3381&amp;")") &amp; CHAR(10) &amp;
  _xlpm.vanillaPrefix &amp; "Keyword = Uvi_Wig_Distr_KYWD|" &amp; B3381 &amp; CHAR(10) &amp;
  _xlpm.vanillaPrefix &amp; "Spell = " &amp; _xlpm.spell &amp; "|" &amp; B3381
  )
)</f>
        <v>;MQ201ThalmorMageCanBeFooled
;Keyword = Uvi_Wig_Distr_KYWD|MQ201ThalmorMageCanBeFooled
;Spell = No Spell for Hairstyle|MQ201ThalmorMageCanBeFooled</v>
      </c>
    </row>
    <row r="3382" ht="12.75" customHeight="1">
      <c r="A3382" s="5" t="s">
        <v>9136</v>
      </c>
      <c r="B3382" s="5" t="s">
        <v>9137</v>
      </c>
      <c r="D3382" s="5" t="s">
        <v>57</v>
      </c>
      <c r="E3382" s="5" t="s">
        <v>233</v>
      </c>
      <c r="F3382" s="5" t="s">
        <v>534</v>
      </c>
      <c r="G3382" s="14" t="str">
        <f t="array" ref="G3382">IF(B3382="", "",
  LET(_xlpm.spell, IFERROR(IF(F3382="", "", INDEX(_xlws.FILTER(Hairstyles!$F:$F, ISNUMBER(SEARCH(F3382, Hairstyles!$B:$B))), 1)), "No Spell for Hairstyle"),
  _xlpm.vanillaPrefix, IF(LEFT(_xlpm.spell, 7)="Uvi_Wig", "", ";"),
  ";" &amp; IF(C3382="", B3382, C3382) &amp; IF(M3382="", "", " ("&amp;M3382&amp;")") &amp; CHAR(10) &amp;
  _xlpm.vanillaPrefix &amp; "Keyword = Uvi_Wig_Distr_KYWD|" &amp; B3382 &amp; CHAR(10) &amp;
  _xlpm.vanillaPrefix &amp; "Spell = " &amp; _xlpm.spell &amp; "|" &amp; B3382
  )
)</f>
        <v>;MQ201ThalmorMageSolarGuard
;Keyword = Uvi_Wig_Distr_KYWD|MQ201ThalmorMageSolarGuard
;Spell = No Spell for Hairstyle|MQ201ThalmorMageSolarGuard</v>
      </c>
    </row>
    <row r="3383" ht="12.75" customHeight="1">
      <c r="A3383" s="5" t="s">
        <v>9138</v>
      </c>
      <c r="B3383" s="5" t="s">
        <v>9139</v>
      </c>
      <c r="D3383" s="5" t="s">
        <v>51</v>
      </c>
      <c r="E3383" s="5" t="s">
        <v>233</v>
      </c>
      <c r="F3383" s="5" t="s">
        <v>762</v>
      </c>
      <c r="G3383" s="14" t="str">
        <f t="array" ref="G3383">IF(B3383="", "",
  LET(_xlpm.spell, IFERROR(IF(F3383="", "", INDEX(_xlws.FILTER(Hairstyles!$F:$F, ISNUMBER(SEARCH(F3383, Hairstyles!$B:$B))), 1)), "No Spell for Hairstyle"),
  _xlpm.vanillaPrefix, IF(LEFT(_xlpm.spell, 7)="Uvi_Wig", "", ";"),
  ";" &amp; IF(C3383="", B3383, C3383) &amp; IF(M3383="", "", " ("&amp;M3383&amp;")") &amp; CHAR(10) &amp;
  _xlpm.vanillaPrefix &amp; "Keyword = Uvi_Wig_Distr_KYWD|" &amp; B3383 &amp; CHAR(10) &amp;
  _xlpm.vanillaPrefix &amp; "Spell = " &amp; _xlpm.spell &amp; "|" &amp; B3383
  )
)</f>
        <v>;MQ304Froki
;Keyword = Uvi_Wig_Distr_KYWD|MQ304Froki
;Spell = No Spell for Hairstyle|MQ304Froki</v>
      </c>
    </row>
    <row r="3384" ht="12.75" customHeight="1">
      <c r="A3384" s="5" t="s">
        <v>9140</v>
      </c>
      <c r="B3384" s="5" t="s">
        <v>9141</v>
      </c>
      <c r="D3384" s="5" t="s">
        <v>38</v>
      </c>
      <c r="E3384" s="5" t="s">
        <v>233</v>
      </c>
      <c r="F3384" s="5" t="s">
        <v>521</v>
      </c>
      <c r="G3384" s="14" t="str">
        <f t="array" ref="G3384">IF(B3384="", "",
  LET(_xlpm.spell, IFERROR(IF(F3384="", "", INDEX(_xlws.FILTER(Hairstyles!$F:$F, ISNUMBER(SEARCH(F3384, Hairstyles!$B:$B))), 1)), "No Spell for Hairstyle"),
  _xlpm.vanillaPrefix, IF(LEFT(_xlpm.spell, 7)="Uvi_Wig", "", ";"),
  ";" &amp; IF(C3384="", B3384, C3384) &amp; IF(M3384="", "", " ("&amp;M3384&amp;")") &amp; CHAR(10) &amp;
  _xlpm.vanillaPrefix &amp; "Keyword = Uvi_Wig_Distr_KYWD|" &amp; B3384 &amp; CHAR(10) &amp;
  _xlpm.vanillaPrefix &amp; "Spell = " &amp; _xlpm.spell &amp; "|" &amp; B3384
  )
)</f>
        <v>;MQ304Galmar
;Keyword = Uvi_Wig_Distr_KYWD|MQ304Galmar
;Spell = No Spell for Hairstyle|MQ304Galmar</v>
      </c>
    </row>
    <row r="3385" ht="12.75" customHeight="1">
      <c r="A3385" s="5" t="s">
        <v>9142</v>
      </c>
      <c r="B3385" s="5" t="s">
        <v>9143</v>
      </c>
      <c r="D3385" s="5" t="s">
        <v>38</v>
      </c>
      <c r="E3385" s="5" t="s">
        <v>233</v>
      </c>
      <c r="F3385" s="5" t="s">
        <v>209</v>
      </c>
      <c r="G3385" s="14" t="str">
        <f t="array" ref="G3385">IF(B3385="", "",
  LET(_xlpm.spell, IFERROR(IF(F3385="", "", INDEX(_xlws.FILTER(Hairstyles!$F:$F, ISNUMBER(SEARCH(F3385, Hairstyles!$B:$B))), 1)), "No Spell for Hairstyle"),
  _xlpm.vanillaPrefix, IF(LEFT(_xlpm.spell, 7)="Uvi_Wig", "", ";"),
  ";" &amp; IF(C3385="", B3385, C3385) &amp; IF(M3385="", "", " ("&amp;M3385&amp;")") &amp; CHAR(10) &amp;
  _xlpm.vanillaPrefix &amp; "Keyword = Uvi_Wig_Distr_KYWD|" &amp; B3385 &amp; CHAR(10) &amp;
  _xlpm.vanillaPrefix &amp; "Spell = " &amp; _xlpm.spell &amp; "|" &amp; B3385
  )
)</f>
        <v>;MQ304LostSoulImperial
;Keyword = Uvi_Wig_Distr_KYWD|MQ304LostSoulImperial
;Spell = No Spell for Hairstyle|MQ304LostSoulImperial</v>
      </c>
    </row>
    <row r="3386" ht="12.75" customHeight="1">
      <c r="A3386" s="5" t="s">
        <v>9144</v>
      </c>
      <c r="B3386" s="5" t="s">
        <v>9145</v>
      </c>
      <c r="D3386" s="5" t="s">
        <v>38</v>
      </c>
      <c r="E3386" s="5" t="s">
        <v>233</v>
      </c>
      <c r="F3386" s="5" t="s">
        <v>19</v>
      </c>
      <c r="G3386" s="14" t="str">
        <f t="array" ref="G3386">IF(B3386="", "",
  LET(_xlpm.spell, IFERROR(IF(F3386="", "", INDEX(_xlws.FILTER(Hairstyles!$F:$F, ISNUMBER(SEARCH(F3386, Hairstyles!$B:$B))), 1)), "No Spell for Hairstyle"),
  _xlpm.vanillaPrefix, IF(LEFT(_xlpm.spell, 7)="Uvi_Wig", "", ";"),
  ";" &amp; IF(C3386="", B3386, C3386) &amp; IF(M3386="", "", " ("&amp;M3386&amp;")") &amp; CHAR(10) &amp;
  _xlpm.vanillaPrefix &amp; "Keyword = Uvi_Wig_Distr_KYWD|" &amp; B3386 &amp; CHAR(10) &amp;
  _xlpm.vanillaPrefix &amp; "Spell = " &amp; _xlpm.spell &amp; "|" &amp; B3386
  )
)</f>
        <v>;MQ304LostSoulImperial2
;Keyword = Uvi_Wig_Distr_KYWD|MQ304LostSoulImperial2
;Spell = No Spell for Hairstyle|MQ304LostSoulImperial2</v>
      </c>
    </row>
    <row r="3387" ht="12.75" customHeight="1">
      <c r="A3387" s="5" t="s">
        <v>9146</v>
      </c>
      <c r="B3387" s="5" t="s">
        <v>9147</v>
      </c>
      <c r="D3387" s="5" t="s">
        <v>38</v>
      </c>
      <c r="E3387" s="5" t="s">
        <v>233</v>
      </c>
      <c r="F3387" s="5" t="s">
        <v>475</v>
      </c>
      <c r="G3387" s="14" t="str">
        <f t="array" ref="G3387">IF(B3387="", "",
  LET(_xlpm.spell, IFERROR(IF(F3387="", "", INDEX(_xlws.FILTER(Hairstyles!$F:$F, ISNUMBER(SEARCH(F3387, Hairstyles!$B:$B))), 1)), "No Spell for Hairstyle"),
  _xlpm.vanillaPrefix, IF(LEFT(_xlpm.spell, 7)="Uvi_Wig", "", ";"),
  ";" &amp; IF(C3387="", B3387, C3387) &amp; IF(M3387="", "", " ("&amp;M3387&amp;")") &amp; CHAR(10) &amp;
  _xlpm.vanillaPrefix &amp; "Keyword = Uvi_Wig_Distr_KYWD|" &amp; B3387 &amp; CHAR(10) &amp;
  _xlpm.vanillaPrefix &amp; "Spell = " &amp; _xlpm.spell &amp; "|" &amp; B3387
  )
)</f>
        <v>;MQ304LostSoulSons
;Keyword = Uvi_Wig_Distr_KYWD|MQ304LostSoulSons
;Spell = No Spell for Hairstyle|MQ304LostSoulSons</v>
      </c>
    </row>
    <row r="3388" ht="12.75" customHeight="1">
      <c r="A3388" s="5" t="s">
        <v>9148</v>
      </c>
      <c r="B3388" s="5" t="s">
        <v>9149</v>
      </c>
      <c r="D3388" s="5" t="s">
        <v>38</v>
      </c>
      <c r="E3388" s="5" t="s">
        <v>233</v>
      </c>
      <c r="F3388" s="5" t="s">
        <v>695</v>
      </c>
      <c r="G3388" s="14" t="str">
        <f t="array" ref="G3388">IF(B3388="", "",
  LET(_xlpm.spell, IFERROR(IF(F3388="", "", INDEX(_xlws.FILTER(Hairstyles!$F:$F, ISNUMBER(SEARCH(F3388, Hairstyles!$B:$B))), 1)), "No Spell for Hairstyle"),
  _xlpm.vanillaPrefix, IF(LEFT(_xlpm.spell, 7)="Uvi_Wig", "", ";"),
  ";" &amp; IF(C3388="", B3388, C3388) &amp; IF(M3388="", "", " ("&amp;M3388&amp;")") &amp; CHAR(10) &amp;
  _xlpm.vanillaPrefix &amp; "Keyword = Uvi_Wig_Distr_KYWD|" &amp; B3388 &amp; CHAR(10) &amp;
  _xlpm.vanillaPrefix &amp; "Spell = " &amp; _xlpm.spell &amp; "|" &amp; B3388
  )
)</f>
        <v>;MQ304LostSoulSons2
;Keyword = Uvi_Wig_Distr_KYWD|MQ304LostSoulSons2
;Spell = No Spell for Hairstyle|MQ304LostSoulSons2</v>
      </c>
    </row>
    <row r="3389" ht="12.75" customHeight="1">
      <c r="A3389" s="5" t="s">
        <v>9150</v>
      </c>
      <c r="B3389" s="5" t="s">
        <v>9151</v>
      </c>
      <c r="D3389" s="5" t="s">
        <v>38</v>
      </c>
      <c r="E3389" s="5" t="s">
        <v>233</v>
      </c>
      <c r="F3389" s="5" t="s">
        <v>762</v>
      </c>
      <c r="G3389" s="14" t="str">
        <f t="array" ref="G3389">IF(B3389="", "",
  LET(_xlpm.spell, IFERROR(IF(F3389="", "", INDEX(_xlws.FILTER(Hairstyles!$F:$F, ISNUMBER(SEARCH(F3389, Hairstyles!$B:$B))), 1)), "No Spell for Hairstyle"),
  _xlpm.vanillaPrefix, IF(LEFT(_xlpm.spell, 7)="Uvi_Wig", "", ";"),
  ";" &amp; IF(C3389="", B3389, C3389) &amp; IF(M3389="", "", " ("&amp;M3389&amp;")") &amp; CHAR(10) &amp;
  _xlpm.vanillaPrefix &amp; "Keyword = Uvi_Wig_Distr_KYWD|" &amp; B3389 &amp; CHAR(10) &amp;
  _xlpm.vanillaPrefix &amp; "Spell = " &amp; _xlpm.spell &amp; "|" &amp; B3389
  )
)</f>
        <v>;MQ304LostSoulSons3
;Keyword = Uvi_Wig_Distr_KYWD|MQ304LostSoulSons3
;Spell = No Spell for Hairstyle|MQ304LostSoulSons3</v>
      </c>
    </row>
    <row r="3390" ht="12.75" customHeight="1">
      <c r="A3390" s="5" t="s">
        <v>9152</v>
      </c>
      <c r="B3390" s="5" t="s">
        <v>9153</v>
      </c>
      <c r="D3390" s="5" t="s">
        <v>38</v>
      </c>
      <c r="E3390" s="5" t="s">
        <v>41</v>
      </c>
      <c r="F3390" s="5" t="s">
        <v>1822</v>
      </c>
      <c r="G3390" s="14" t="str">
        <f t="array" ref="G3390">IF(B3390="", "",
  LET(_xlpm.spell, IFERROR(IF(F3390="", "", INDEX(_xlws.FILTER(Hairstyles!$F:$F, ISNUMBER(SEARCH(F3390, Hairstyles!$B:$B))), 1)), "No Spell for Hairstyle"),
  _xlpm.vanillaPrefix, IF(LEFT(_xlpm.spell, 7)="Uvi_Wig", "", ";"),
  ";" &amp; IF(C3390="", B3390, C3390) &amp; IF(M3390="", "", " ("&amp;M3390&amp;")") &amp; CHAR(10) &amp;
  _xlpm.vanillaPrefix &amp; "Keyword = Uvi_Wig_Distr_KYWD|" &amp; B3390 &amp; CHAR(10) &amp;
  _xlpm.vanillaPrefix &amp; "Spell = " &amp; _xlpm.spell &amp; "|" &amp; B3390
  )
)</f>
        <v>;MQ304Rikke
;Keyword = Uvi_Wig_Distr_KYWD|MQ304Rikke
;Spell = No Spell for Hairstyle|MQ304Rikke</v>
      </c>
    </row>
    <row r="3391" ht="12.75" customHeight="1">
      <c r="A3391" s="5" t="s">
        <v>9154</v>
      </c>
      <c r="B3391" s="5" t="s">
        <v>9155</v>
      </c>
      <c r="D3391" s="5" t="s">
        <v>38</v>
      </c>
      <c r="E3391" s="5" t="s">
        <v>233</v>
      </c>
      <c r="F3391" s="5" t="s">
        <v>2030</v>
      </c>
      <c r="G3391" s="14" t="str">
        <f t="array" ref="G3391">IF(B3391="", "",
  LET(_xlpm.spell, IFERROR(IF(F3391="", "", INDEX(_xlws.FILTER(Hairstyles!$F:$F, ISNUMBER(SEARCH(F3391, Hairstyles!$B:$B))), 1)), "No Spell for Hairstyle"),
  _xlpm.vanillaPrefix, IF(LEFT(_xlpm.spell, 7)="Uvi_Wig", "", ";"),
  ";" &amp; IF(C3391="", B3391, C3391) &amp; IF(M3391="", "", " ("&amp;M3391&amp;")") &amp; CHAR(10) &amp;
  _xlpm.vanillaPrefix &amp; "Keyword = Uvi_Wig_Distr_KYWD|" &amp; B3391 &amp; CHAR(10) &amp;
  _xlpm.vanillaPrefix &amp; "Spell = " &amp; _xlpm.spell &amp; "|" &amp; B3391
  )
)</f>
        <v>;MQ304Svaknir
;Keyword = Uvi_Wig_Distr_KYWD|MQ304Svaknir
;Spell = No Spell for Hairstyle|MQ304Svaknir</v>
      </c>
    </row>
    <row r="3392" ht="12.75" customHeight="1">
      <c r="A3392" s="5" t="s">
        <v>9156</v>
      </c>
      <c r="B3392" s="5" t="s">
        <v>9157</v>
      </c>
      <c r="D3392" s="5" t="s">
        <v>38</v>
      </c>
      <c r="E3392" s="5" t="s">
        <v>233</v>
      </c>
      <c r="F3392" s="5" t="s">
        <v>695</v>
      </c>
      <c r="G3392" s="14" t="str">
        <f t="array" ref="G3392">IF(B3392="", "",
  LET(_xlpm.spell, IFERROR(IF(F3392="", "", INDEX(_xlws.FILTER(Hairstyles!$F:$F, ISNUMBER(SEARCH(F3392, Hairstyles!$B:$B))), 1)), "No Spell for Hairstyle"),
  _xlpm.vanillaPrefix, IF(LEFT(_xlpm.spell, 7)="Uvi_Wig", "", ";"),
  ";" &amp; IF(C3392="", B3392, C3392) &amp; IF(M3392="", "", " ("&amp;M3392&amp;")") &amp; CHAR(10) &amp;
  _xlpm.vanillaPrefix &amp; "Keyword = Uvi_Wig_Distr_KYWD|" &amp; B3392 &amp; CHAR(10) &amp;
  _xlpm.vanillaPrefix &amp; "Spell = " &amp; _xlpm.spell &amp; "|" &amp; B3392
  )
)</f>
        <v>;MQ304Ulfric
;Keyword = Uvi_Wig_Distr_KYWD|MQ304Ulfric
;Spell = No Spell for Hairstyle|MQ304Ulfric</v>
      </c>
    </row>
    <row r="3393" ht="12.75" customHeight="1">
      <c r="A3393" s="5" t="s">
        <v>9158</v>
      </c>
      <c r="B3393" s="5" t="s">
        <v>9159</v>
      </c>
      <c r="D3393" s="5" t="s">
        <v>38</v>
      </c>
      <c r="E3393" s="5" t="s">
        <v>41</v>
      </c>
      <c r="F3393" s="5" t="s">
        <v>1694</v>
      </c>
      <c r="G3393" s="14" t="str">
        <f t="array" ref="G3393">IF(B3393="", "",
  LET(_xlpm.spell, IFERROR(IF(F3393="", "", INDEX(_xlws.FILTER(Hairstyles!$F:$F, ISNUMBER(SEARCH(F3393, Hairstyles!$B:$B))), 1)), "No Spell for Hairstyle"),
  _xlpm.vanillaPrefix, IF(LEFT(_xlpm.spell, 7)="Uvi_Wig", "", ";"),
  ";" &amp; IF(C3393="", B3393, C3393) &amp; IF(M3393="", "", " ("&amp;M3393&amp;")") &amp; CHAR(10) &amp;
  _xlpm.vanillaPrefix &amp; "Keyword = Uvi_Wig_Distr_KYWD|" &amp; B3393 &amp; CHAR(10) &amp;
  _xlpm.vanillaPrefix &amp; "Spell = " &amp; _xlpm.spell &amp; "|" &amp; B3393
  )
)</f>
        <v>;MQ305SovngardeHeroFemale2
;Keyword = Uvi_Wig_Distr_KYWD|MQ305SovngardeHeroFemale2
;Spell = No Spell for Hairstyle|MQ305SovngardeHeroFemale2</v>
      </c>
    </row>
    <row r="3394" ht="12.75" customHeight="1">
      <c r="A3394" s="5" t="s">
        <v>9160</v>
      </c>
      <c r="B3394" s="5" t="s">
        <v>9161</v>
      </c>
      <c r="D3394" s="5" t="s">
        <v>38</v>
      </c>
      <c r="E3394" s="5" t="s">
        <v>41</v>
      </c>
      <c r="F3394" s="5" t="s">
        <v>1596</v>
      </c>
      <c r="G3394" s="14" t="str">
        <f t="array" ref="G3394">IF(B3394="", "",
  LET(_xlpm.spell, IFERROR(IF(F3394="", "", INDEX(_xlws.FILTER(Hairstyles!$F:$F, ISNUMBER(SEARCH(F3394, Hairstyles!$B:$B))), 1)), "No Spell for Hairstyle"),
  _xlpm.vanillaPrefix, IF(LEFT(_xlpm.spell, 7)="Uvi_Wig", "", ";"),
  ";" &amp; IF(C3394="", B3394, C3394) &amp; IF(M3394="", "", " ("&amp;M3394&amp;")") &amp; CHAR(10) &amp;
  _xlpm.vanillaPrefix &amp; "Keyword = Uvi_Wig_Distr_KYWD|" &amp; B3394 &amp; CHAR(10) &amp;
  _xlpm.vanillaPrefix &amp; "Spell = " &amp; _xlpm.spell &amp; "|" &amp; B3394
  )
)</f>
        <v>;MQ305SovngardeHeroFemaleMage
;Keyword = Uvi_Wig_Distr_KYWD|MQ305SovngardeHeroFemaleMage
;Spell = No Spell for Hairstyle|MQ305SovngardeHeroFemaleMage</v>
      </c>
    </row>
    <row r="3395" ht="12.75" customHeight="1">
      <c r="A3395" s="5" t="s">
        <v>9162</v>
      </c>
      <c r="B3395" s="5" t="s">
        <v>9163</v>
      </c>
      <c r="D3395" s="5" t="s">
        <v>38</v>
      </c>
      <c r="E3395" s="5" t="s">
        <v>233</v>
      </c>
      <c r="F3395" s="5" t="s">
        <v>40</v>
      </c>
      <c r="G3395" s="14" t="str">
        <f t="array" ref="G3395">IF(B3395="", "",
  LET(_xlpm.spell, IFERROR(IF(F3395="", "", INDEX(_xlws.FILTER(Hairstyles!$F:$F, ISNUMBER(SEARCH(F3395, Hairstyles!$B:$B))), 1)), "No Spell for Hairstyle"),
  _xlpm.vanillaPrefix, IF(LEFT(_xlpm.spell, 7)="Uvi_Wig", "", ";"),
  ";" &amp; IF(C3395="", B3395, C3395) &amp; IF(M3395="", "", " ("&amp;M3395&amp;")") &amp; CHAR(10) &amp;
  _xlpm.vanillaPrefix &amp; "Keyword = Uvi_Wig_Distr_KYWD|" &amp; B3395 &amp; CHAR(10) &amp;
  _xlpm.vanillaPrefix &amp; "Spell = " &amp; _xlpm.spell &amp; "|" &amp; B3395
  )
)</f>
        <v>;MQ305SovngardeHeroMale2
;Keyword = Uvi_Wig_Distr_KYWD|MQ305SovngardeHeroMale2
;Spell = No Spell for Hairstyle|MQ305SovngardeHeroMale2</v>
      </c>
    </row>
    <row r="3396" ht="12.75" customHeight="1">
      <c r="A3396" s="15" t="s">
        <v>9164</v>
      </c>
      <c r="B3396" s="5" t="s">
        <v>9165</v>
      </c>
      <c r="D3396" s="5" t="s">
        <v>38</v>
      </c>
      <c r="E3396" s="5" t="s">
        <v>233</v>
      </c>
      <c r="F3396" s="5" t="s">
        <v>695</v>
      </c>
      <c r="G3396" s="14" t="str">
        <f t="array" ref="G3396">IF(B3396="", "",
  LET(_xlpm.spell, IFERROR(IF(F3396="", "", INDEX(_xlws.FILTER(Hairstyles!$F:$F, ISNUMBER(SEARCH(F3396, Hairstyles!$B:$B))), 1)), "No Spell for Hairstyle"),
  _xlpm.vanillaPrefix, IF(LEFT(_xlpm.spell, 7)="Uvi_Wig", "", ";"),
  ";" &amp; IF(C3396="", B3396, C3396) &amp; IF(M3396="", "", " ("&amp;M3396&amp;")") &amp; CHAR(10) &amp;
  _xlpm.vanillaPrefix &amp; "Keyword = Uvi_Wig_Distr_KYWD|" &amp; B3396 &amp; CHAR(10) &amp;
  _xlpm.vanillaPrefix &amp; "Spell = " &amp; _xlpm.spell &amp; "|" &amp; B3396
  )
)</f>
        <v>;MQ305SovngardeHeroMale4
;Keyword = Uvi_Wig_Distr_KYWD|MQ305SovngardeHeroMale4
;Spell = No Spell for Hairstyle|MQ305SovngardeHeroMale4</v>
      </c>
    </row>
    <row r="3397" ht="12.75" customHeight="1">
      <c r="A3397" s="5" t="s">
        <v>9166</v>
      </c>
      <c r="B3397" s="5" t="s">
        <v>9167</v>
      </c>
      <c r="D3397" s="5" t="s">
        <v>38</v>
      </c>
      <c r="E3397" s="5" t="s">
        <v>233</v>
      </c>
      <c r="F3397" s="5" t="s">
        <v>521</v>
      </c>
      <c r="G3397" s="14" t="str">
        <f t="array" ref="G3397">IF(B3397="", "",
  LET(_xlpm.spell, IFERROR(IF(F3397="", "", INDEX(_xlws.FILTER(Hairstyles!$F:$F, ISNUMBER(SEARCH(F3397, Hairstyles!$B:$B))), 1)), "No Spell for Hairstyle"),
  _xlpm.vanillaPrefix, IF(LEFT(_xlpm.spell, 7)="Uvi_Wig", "", ";"),
  ";" &amp; IF(C3397="", B3397, C3397) &amp; IF(M3397="", "", " ("&amp;M3397&amp;")") &amp; CHAR(10) &amp;
  _xlpm.vanillaPrefix &amp; "Keyword = Uvi_Wig_Distr_KYWD|" &amp; B3397 &amp; CHAR(10) &amp;
  _xlpm.vanillaPrefix &amp; "Spell = " &amp; _xlpm.spell &amp; "|" &amp; B3397
  )
)</f>
        <v>;MQ305SovngardeHeroMaleMage
;Keyword = Uvi_Wig_Distr_KYWD|MQ305SovngardeHeroMaleMage
;Spell = No Spell for Hairstyle|MQ305SovngardeHeroMaleMage</v>
      </c>
    </row>
    <row r="3398" ht="12.75" customHeight="1">
      <c r="A3398" s="5" t="s">
        <v>9168</v>
      </c>
      <c r="B3398" s="5" t="s">
        <v>9169</v>
      </c>
      <c r="D3398" s="5" t="s">
        <v>38</v>
      </c>
      <c r="E3398" s="5" t="s">
        <v>233</v>
      </c>
      <c r="F3398" s="5" t="s">
        <v>990</v>
      </c>
      <c r="G3398" s="14" t="str">
        <f t="array" ref="G3398">IF(B3398="", "",
  LET(_xlpm.spell, IFERROR(IF(F3398="", "", INDEX(_xlws.FILTER(Hairstyles!$F:$F, ISNUMBER(SEARCH(F3398, Hairstyles!$B:$B))), 1)), "No Spell for Hairstyle"),
  _xlpm.vanillaPrefix, IF(LEFT(_xlpm.spell, 7)="Uvi_Wig", "", ";"),
  ";" &amp; IF(C3398="", B3398, C3398) &amp; IF(M3398="", "", " ("&amp;M3398&amp;")") &amp; CHAR(10) &amp;
  _xlpm.vanillaPrefix &amp; "Keyword = Uvi_Wig_Distr_KYWD|" &amp; B3398 &amp; CHAR(10) &amp;
  _xlpm.vanillaPrefix &amp; "Spell = " &amp; _xlpm.spell &amp; "|" &amp; B3398
  )
)</f>
        <v>;MQ305SovngardeHeroMaleMage2
;Keyword = Uvi_Wig_Distr_KYWD|MQ305SovngardeHeroMaleMage2
;Spell = No Spell for Hairstyle|MQ305SovngardeHeroMaleMage2</v>
      </c>
    </row>
    <row r="3399" ht="12.75" customHeight="1">
      <c r="A3399" s="15" t="s">
        <v>9170</v>
      </c>
      <c r="B3399" s="5" t="s">
        <v>9171</v>
      </c>
      <c r="D3399" s="5" t="s">
        <v>38</v>
      </c>
      <c r="E3399" s="5" t="s">
        <v>41</v>
      </c>
      <c r="F3399" s="5" t="s">
        <v>1596</v>
      </c>
      <c r="G3399" s="14" t="str">
        <f t="array" ref="G3399">IF(B3399="", "",
  LET(_xlpm.spell, IFERROR(IF(F3399="", "", INDEX(_xlws.FILTER(Hairstyles!$F:$F, ISNUMBER(SEARCH(F3399, Hairstyles!$B:$B))), 1)), "No Spell for Hairstyle"),
  _xlpm.vanillaPrefix, IF(LEFT(_xlpm.spell, 7)="Uvi_Wig", "", ";"),
  ";" &amp; IF(C3399="", B3399, C3399) &amp; IF(M3399="", "", " ("&amp;M3399&amp;")") &amp; CHAR(10) &amp;
  _xlpm.vanillaPrefix &amp; "Keyword = Uvi_Wig_Distr_KYWD|" &amp; B3399 &amp; CHAR(10) &amp;
  _xlpm.vanillaPrefix &amp; "Spell = " &amp; _xlpm.spell &amp; "|" &amp; B3399
  )
)</f>
        <v>;MS06NecromancerCultist2
;Keyword = Uvi_Wig_Distr_KYWD|MS06NecromancerCultist2
;Spell = No Spell for Hairstyle|MS06NecromancerCultist2</v>
      </c>
    </row>
    <row r="3400" ht="12.75" customHeight="1">
      <c r="A3400" s="15" t="s">
        <v>9172</v>
      </c>
      <c r="B3400" s="5" t="s">
        <v>9173</v>
      </c>
      <c r="D3400" s="5" t="s">
        <v>45</v>
      </c>
      <c r="E3400" s="5" t="s">
        <v>41</v>
      </c>
      <c r="F3400" s="5" t="s">
        <v>4274</v>
      </c>
      <c r="G3400" s="14" t="str">
        <f t="array" ref="G3400">IF(B3400="", "",
  LET(_xlpm.spell, IFERROR(IF(F3400="", "", INDEX(_xlws.FILTER(Hairstyles!$F:$F, ISNUMBER(SEARCH(F3400, Hairstyles!$B:$B))), 1)), "No Spell for Hairstyle"),
  _xlpm.vanillaPrefix, IF(LEFT(_xlpm.spell, 7)="Uvi_Wig", "", ";"),
  ";" &amp; IF(C3400="", B3400, C3400) &amp; IF(M3400="", "", " ("&amp;M3400&amp;")") &amp; CHAR(10) &amp;
  _xlpm.vanillaPrefix &amp; "Keyword = Uvi_Wig_Distr_KYWD|" &amp; B3400 &amp; CHAR(10) &amp;
  _xlpm.vanillaPrefix &amp; "Spell = " &amp; _xlpm.spell &amp; "|" &amp; B3400
  )
)</f>
        <v>;MS06NecromancerCultist3
;Keyword = Uvi_Wig_Distr_KYWD|MS06NecromancerCultist3
;Spell = No Spell for Hairstyle|MS06NecromancerCultist3</v>
      </c>
    </row>
    <row r="3401" ht="12.75" customHeight="1">
      <c r="A3401" s="5" t="s">
        <v>9174</v>
      </c>
      <c r="B3401" s="5" t="s">
        <v>9175</v>
      </c>
      <c r="D3401" s="5" t="s">
        <v>16</v>
      </c>
      <c r="E3401" s="5" t="s">
        <v>41</v>
      </c>
      <c r="F3401" s="5" t="s">
        <v>1041</v>
      </c>
      <c r="G3401" s="14" t="str">
        <f t="array" ref="G3401">IF(B3401="", "",
  LET(_xlpm.spell, IFERROR(IF(F3401="", "", INDEX(_xlws.FILTER(Hairstyles!$F:$F, ISNUMBER(SEARCH(F3401, Hairstyles!$B:$B))), 1)), "No Spell for Hairstyle"),
  _xlpm.vanillaPrefix, IF(LEFT(_xlpm.spell, 7)="Uvi_Wig", "", ";"),
  ";" &amp; IF(C3401="", B3401, C3401) &amp; IF(M3401="", "", " ("&amp;M3401&amp;")") &amp; CHAR(10) &amp;
  _xlpm.vanillaPrefix &amp; "Keyword = Uvi_Wig_Distr_KYWD|" &amp; B3401 &amp; CHAR(10) &amp;
  _xlpm.vanillaPrefix &amp; "Spell = " &amp; _xlpm.spell &amp; "|" &amp; B3401
  )
)</f>
        <v>;MS06NecromancerCultist4
;Keyword = Uvi_Wig_Distr_KYWD|MS06NecromancerCultist4
;Spell = No Spell for Hairstyle|MS06NecromancerCultist4</v>
      </c>
    </row>
    <row r="3402" ht="12.75" customHeight="1">
      <c r="A3402" s="15" t="s">
        <v>9176</v>
      </c>
      <c r="B3402" s="5" t="s">
        <v>9177</v>
      </c>
      <c r="D3402" s="5" t="s">
        <v>38</v>
      </c>
      <c r="E3402" s="5" t="s">
        <v>233</v>
      </c>
      <c r="F3402" s="5" t="s">
        <v>68</v>
      </c>
      <c r="G3402" s="14" t="str">
        <f t="array" ref="G3402">IF(B3402="", "",
  LET(_xlpm.spell, IFERROR(IF(F3402="", "", INDEX(_xlws.FILTER(Hairstyles!$F:$F, ISNUMBER(SEARCH(F3402, Hairstyles!$B:$B))), 1)), "No Spell for Hairstyle"),
  _xlpm.vanillaPrefix, IF(LEFT(_xlpm.spell, 7)="Uvi_Wig", "", ";"),
  ";" &amp; IF(C3402="", B3402, C3402) &amp; IF(M3402="", "", " ("&amp;M3402&amp;")") &amp; CHAR(10) &amp;
  _xlpm.vanillaPrefix &amp; "Keyword = Uvi_Wig_Distr_KYWD|" &amp; B3402 &amp; CHAR(10) &amp;
  _xlpm.vanillaPrefix &amp; "Spell = " &amp; _xlpm.spell &amp; "|" &amp; B3402
  )
)</f>
        <v>;MS06VampireGeneralBanter
;Keyword = Uvi_Wig_Distr_KYWD|MS06VampireGeneralBanter
;Spell = No Spell for Hairstyle|MS06VampireGeneralBanter</v>
      </c>
    </row>
    <row r="3403" ht="12.75" customHeight="1">
      <c r="A3403" s="5" t="s">
        <v>9178</v>
      </c>
      <c r="B3403" s="5" t="s">
        <v>9179</v>
      </c>
      <c r="D3403" s="5" t="s">
        <v>38</v>
      </c>
      <c r="E3403" s="5" t="s">
        <v>233</v>
      </c>
      <c r="F3403" s="5" t="s">
        <v>1622</v>
      </c>
      <c r="G3403" s="14" t="str">
        <f t="array" ref="G3403">IF(B3403="", "",
  LET(_xlpm.spell, IFERROR(IF(F3403="", "", INDEX(_xlws.FILTER(Hairstyles!$F:$F, ISNUMBER(SEARCH(F3403, Hairstyles!$B:$B))), 1)), "No Spell for Hairstyle"),
  _xlpm.vanillaPrefix, IF(LEFT(_xlpm.spell, 7)="Uvi_Wig", "", ";"),
  ";" &amp; IF(C3403="", B3403, C3403) &amp; IF(M3403="", "", " ("&amp;M3403&amp;")") &amp; CHAR(10) &amp;
  _xlpm.vanillaPrefix &amp; "Keyword = Uvi_Wig_Distr_KYWD|" &amp; B3403 &amp; CHAR(10) &amp;
  _xlpm.vanillaPrefix &amp; "Spell = " &amp; _xlpm.spell &amp; "|" &amp; B3403
  )
)</f>
        <v>;MS07LvlBlackbloodMeleeBerserkerCommonerMAmbush
;Keyword = Uvi_Wig_Distr_KYWD|MS07LvlBlackbloodMeleeBerserkerCommonerMAmbush
;Spell = No Spell for Hairstyle|MS07LvlBlackbloodMeleeBerserkerCommonerMAmbush</v>
      </c>
    </row>
    <row r="3404" ht="12.75" customHeight="1">
      <c r="A3404" s="5" t="s">
        <v>9180</v>
      </c>
      <c r="B3404" s="5" t="s">
        <v>9181</v>
      </c>
      <c r="D3404" s="5" t="s">
        <v>38</v>
      </c>
      <c r="E3404" s="5" t="s">
        <v>233</v>
      </c>
      <c r="F3404" s="5" t="s">
        <v>1622</v>
      </c>
      <c r="G3404" s="14" t="str">
        <f t="array" ref="G3404">IF(B3404="", "",
  LET(_xlpm.spell, IFERROR(IF(F3404="", "", INDEX(_xlws.FILTER(Hairstyles!$F:$F, ISNUMBER(SEARCH(F3404, Hairstyles!$B:$B))), 1)), "No Spell for Hairstyle"),
  _xlpm.vanillaPrefix, IF(LEFT(_xlpm.spell, 7)="Uvi_Wig", "", ";"),
  ";" &amp; IF(C3404="", B3404, C3404) &amp; IF(M3404="", "", " ("&amp;M3404&amp;")") &amp; CHAR(10) &amp;
  _xlpm.vanillaPrefix &amp; "Keyword = Uvi_Wig_Distr_KYWD|" &amp; B3404 &amp; CHAR(10) &amp;
  _xlpm.vanillaPrefix &amp; "Spell = " &amp; _xlpm.spell &amp; "|" &amp; B3404
  )
)</f>
        <v>;MS07LvlBlackbloodMeleeTankEvenTonedMAmbush
;Keyword = Uvi_Wig_Distr_KYWD|MS07LvlBlackbloodMeleeTankEvenTonedMAmbush
;Spell = No Spell for Hairstyle|MS07LvlBlackbloodMeleeTankEvenTonedMAmbush</v>
      </c>
    </row>
    <row r="3405" ht="12.75" customHeight="1">
      <c r="A3405" s="5" t="s">
        <v>9182</v>
      </c>
      <c r="B3405" s="5" t="s">
        <v>9183</v>
      </c>
      <c r="D3405" s="5" t="s">
        <v>38</v>
      </c>
      <c r="E3405" s="5" t="s">
        <v>233</v>
      </c>
      <c r="F3405" s="5" t="s">
        <v>1622</v>
      </c>
      <c r="G3405" s="14" t="str">
        <f t="array" ref="G3405">IF(B3405="", "",
  LET(_xlpm.spell, IFERROR(IF(F3405="", "", INDEX(_xlws.FILTER(Hairstyles!$F:$F, ISNUMBER(SEARCH(F3405, Hairstyles!$B:$B))), 1)), "No Spell for Hairstyle"),
  _xlpm.vanillaPrefix, IF(LEFT(_xlpm.spell, 7)="Uvi_Wig", "", ";"),
  ";" &amp; IF(C3405="", B3405, C3405) &amp; IF(M3405="", "", " ("&amp;M3405&amp;")") &amp; CHAR(10) &amp;
  _xlpm.vanillaPrefix &amp; "Keyword = Uvi_Wig_Distr_KYWD|" &amp; B3405 &amp; CHAR(10) &amp;
  _xlpm.vanillaPrefix &amp; "Spell = " &amp; _xlpm.spell &amp; "|" &amp; B3405
  )
)</f>
        <v>;MS07LvlBlackbloodWizardCondescendingMAmbush
;Keyword = Uvi_Wig_Distr_KYWD|MS07LvlBlackbloodWizardCondescendingMAmbush
;Spell = No Spell for Hairstyle|MS07LvlBlackbloodWizardCondescendingMAmbush</v>
      </c>
    </row>
    <row r="3406" ht="12.75" customHeight="1">
      <c r="A3406" s="5" t="s">
        <v>9184</v>
      </c>
      <c r="B3406" s="5" t="s">
        <v>9185</v>
      </c>
      <c r="D3406" s="5" t="s">
        <v>38</v>
      </c>
      <c r="E3406" s="5" t="s">
        <v>41</v>
      </c>
      <c r="F3406" s="5" t="s">
        <v>22</v>
      </c>
      <c r="G3406" s="14" t="str">
        <f t="array" ref="G3406">IF(B3406="", "",
  LET(_xlpm.spell, IFERROR(IF(F3406="", "", INDEX(_xlws.FILTER(Hairstyles!$F:$F, ISNUMBER(SEARCH(F3406, Hairstyles!$B:$B))), 1)), "No Spell for Hairstyle"),
  _xlpm.vanillaPrefix, IF(LEFT(_xlpm.spell, 7)="Uvi_Wig", "", ";"),
  ";" &amp; IF(C3406="", B3406, C3406) &amp; IF(M3406="", "", " ("&amp;M3406&amp;")") &amp; CHAR(10) &amp;
  _xlpm.vanillaPrefix &amp; "Keyword = Uvi_Wig_Distr_KYWD|" &amp; B3406 &amp; CHAR(10) &amp;
  _xlpm.vanillaPrefix &amp; "Spell = " &amp; _xlpm.spell &amp; "|" &amp; B3406
  )
)</f>
        <v>;MS11SusannaDeadA
;Keyword = Uvi_Wig_Distr_KYWD|MS11SusannaDeadA
;Spell = No Spell for Hairstyle|MS11SusannaDeadA</v>
      </c>
    </row>
    <row r="3407" ht="12.75" customHeight="1">
      <c r="A3407" s="5" t="s">
        <v>9186</v>
      </c>
      <c r="B3407" s="5" t="s">
        <v>9187</v>
      </c>
      <c r="D3407" s="5" t="s">
        <v>38</v>
      </c>
      <c r="E3407" s="5" t="s">
        <v>41</v>
      </c>
      <c r="F3407" s="5" t="s">
        <v>22</v>
      </c>
      <c r="G3407" s="14" t="str">
        <f t="array" ref="G3407">IF(B3407="", "",
  LET(_xlpm.spell, IFERROR(IF(F3407="", "", INDEX(_xlws.FILTER(Hairstyles!$F:$F, ISNUMBER(SEARCH(F3407, Hairstyles!$B:$B))), 1)), "No Spell for Hairstyle"),
  _xlpm.vanillaPrefix, IF(LEFT(_xlpm.spell, 7)="Uvi_Wig", "", ";"),
  ";" &amp; IF(C3407="", B3407, C3407) &amp; IF(M3407="", "", " ("&amp;M3407&amp;")") &amp; CHAR(10) &amp;
  _xlpm.vanillaPrefix &amp; "Keyword = Uvi_Wig_Distr_KYWD|" &amp; B3407 &amp; CHAR(10) &amp;
  _xlpm.vanillaPrefix &amp; "Spell = " &amp; _xlpm.spell &amp; "|" &amp; B3407
  )
)</f>
        <v>;MS11SusannaDeadB
;Keyword = Uvi_Wig_Distr_KYWD|MS11SusannaDeadB
;Spell = No Spell for Hairstyle|MS11SusannaDeadB</v>
      </c>
    </row>
    <row r="3408" ht="12.75" customHeight="1">
      <c r="A3408" s="5" t="s">
        <v>9188</v>
      </c>
      <c r="B3408" s="5" t="s">
        <v>9189</v>
      </c>
      <c r="D3408" s="5" t="s">
        <v>59</v>
      </c>
      <c r="E3408" s="5" t="s">
        <v>41</v>
      </c>
      <c r="F3408" s="5" t="s">
        <v>1557</v>
      </c>
      <c r="G3408" s="14" t="str">
        <f t="array" ref="G3408">IF(B3408="", "",
  LET(_xlpm.spell, IFERROR(IF(F3408="", "", INDEX(_xlws.FILTER(Hairstyles!$F:$F, ISNUMBER(SEARCH(F3408, Hairstyles!$B:$B))), 1)), "No Spell for Hairstyle"),
  _xlpm.vanillaPrefix, IF(LEFT(_xlpm.spell, 7)="Uvi_Wig", "", ";"),
  ";" &amp; IF(C3408="", B3408, C3408) &amp; IF(M3408="", "", " ("&amp;M3408&amp;")") &amp; CHAR(10) &amp;
  _xlpm.vanillaPrefix &amp; "Keyword = Uvi_Wig_Distr_KYWD|" &amp; B3408 &amp; CHAR(10) &amp;
  _xlpm.vanillaPrefix &amp; "Spell = " &amp; _xlpm.spell &amp; "|" &amp; B3408
  )
)</f>
        <v>;POIVolcanicHunterImperialF
;Keyword = Uvi_Wig_Distr_KYWD|POIVolcanicHunterImperialF
;Spell = No Spell for Hairstyle|POIVolcanicHunterImperialF</v>
      </c>
    </row>
    <row r="3409" ht="12.75" customHeight="1">
      <c r="A3409" s="5" t="s">
        <v>9190</v>
      </c>
      <c r="B3409" s="5" t="s">
        <v>9191</v>
      </c>
      <c r="D3409" s="5" t="s">
        <v>38</v>
      </c>
      <c r="E3409" s="5" t="s">
        <v>233</v>
      </c>
      <c r="F3409" s="5" t="s">
        <v>346</v>
      </c>
      <c r="G3409" s="14" t="str">
        <f t="array" ref="G3409">IF(B3409="", "",
  LET(_xlpm.spell, IFERROR(IF(F3409="", "", INDEX(_xlws.FILTER(Hairstyles!$F:$F, ISNUMBER(SEARCH(F3409, Hairstyles!$B:$B))), 1)), "No Spell for Hairstyle"),
  _xlpm.vanillaPrefix, IF(LEFT(_xlpm.spell, 7)="Uvi_Wig", "", ";"),
  ";" &amp; IF(C3409="", B3409, C3409) &amp; IF(M3409="", "", " ("&amp;M3409&amp;")") &amp; CHAR(10) &amp;
  _xlpm.vanillaPrefix &amp; "Keyword = Uvi_Wig_Distr_KYWD|" &amp; B3409 &amp; CHAR(10) &amp;
  _xlpm.vanillaPrefix &amp; "Spell = " &amp; _xlpm.spell &amp; "|" &amp; B3409
  )
)</f>
        <v>;POIVolcanicHunterNordM
;Keyword = Uvi_Wig_Distr_KYWD|POIVolcanicHunterNordM
;Spell = No Spell for Hairstyle|POIVolcanicHunterNordM</v>
      </c>
    </row>
    <row r="3410" ht="12.75" customHeight="1">
      <c r="A3410" s="5" t="s">
        <v>9192</v>
      </c>
      <c r="B3410" s="5" t="s">
        <v>9193</v>
      </c>
      <c r="D3410" s="5" t="s">
        <v>83</v>
      </c>
      <c r="E3410" s="5" t="s">
        <v>41</v>
      </c>
      <c r="F3410" s="5" t="s">
        <v>2912</v>
      </c>
      <c r="G3410" s="14" t="str">
        <f t="array" ref="G3410">IF(B3410="", "",
  LET(_xlpm.spell, IFERROR(IF(F3410="", "", INDEX(_xlws.FILTER(Hairstyles!$F:$F, ISNUMBER(SEARCH(F3410, Hairstyles!$B:$B))), 1)), "No Spell for Hairstyle"),
  _xlpm.vanillaPrefix, IF(LEFT(_xlpm.spell, 7)="Uvi_Wig", "", ";"),
  ";" &amp; IF(C3410="", B3410, C3410) &amp; IF(M3410="", "", " ("&amp;M3410&amp;")") &amp; CHAR(10) &amp;
  _xlpm.vanillaPrefix &amp; "Keyword = Uvi_Wig_Distr_KYWD|" &amp; B3410 &amp; CHAR(10) &amp;
  _xlpm.vanillaPrefix &amp; "Spell = " &amp; _xlpm.spell &amp; "|" &amp; B3410
  )
)</f>
        <v>;POIVolcanicHunterRedguardF
;Keyword = Uvi_Wig_Distr_KYWD|POIVolcanicHunterRedguardF
;Spell = No Spell for Hairstyle|POIVolcanicHunterRedguardF</v>
      </c>
    </row>
    <row r="3411" ht="12.75" customHeight="1">
      <c r="A3411" s="5" t="s">
        <v>9194</v>
      </c>
      <c r="B3411" s="5" t="s">
        <v>9195</v>
      </c>
      <c r="D3411" s="5" t="s">
        <v>38</v>
      </c>
      <c r="E3411" s="5" t="s">
        <v>233</v>
      </c>
      <c r="F3411" s="5" t="s">
        <v>84</v>
      </c>
      <c r="G3411" s="14" t="str">
        <f t="array" ref="G3411">IF(B3411="", "",
  LET(_xlpm.spell, IFERROR(IF(F3411="", "", INDEX(_xlws.FILTER(Hairstyles!$F:$F, ISNUMBER(SEARCH(F3411, Hairstyles!$B:$B))), 1)), "No Spell for Hairstyle"),
  _xlpm.vanillaPrefix, IF(LEFT(_xlpm.spell, 7)="Uvi_Wig", "", ";"),
  ";" &amp; IF(C3411="", B3411, C3411) &amp; IF(M3411="", "", " ("&amp;M3411&amp;")") &amp; CHAR(10) &amp;
  _xlpm.vanillaPrefix &amp; "Keyword = Uvi_Wig_Distr_KYWD|" &amp; B3411 &amp; CHAR(10) &amp;
  _xlpm.vanillaPrefix &amp; "Spell = " &amp; _xlpm.spell &amp; "|" &amp; B3411
  )
)</f>
        <v>;TG02GoldenglowGateGuard
;Keyword = Uvi_Wig_Distr_KYWD|TG02GoldenglowGateGuard
;Spell = No Spell for Hairstyle|TG02GoldenglowGateGuard</v>
      </c>
    </row>
    <row r="3412" ht="12.75" customHeight="1">
      <c r="A3412" s="5" t="s">
        <v>9196</v>
      </c>
      <c r="B3412" s="5" t="s">
        <v>9197</v>
      </c>
      <c r="D3412" s="5" t="s">
        <v>38</v>
      </c>
      <c r="E3412" s="5" t="s">
        <v>233</v>
      </c>
      <c r="F3412" s="5" t="s">
        <v>84</v>
      </c>
      <c r="G3412" s="14" t="str">
        <f t="array" ref="G3412">IF(B3412="", "",
  LET(_xlpm.spell, IFERROR(IF(F3412="", "", INDEX(_xlws.FILTER(Hairstyles!$F:$F, ISNUMBER(SEARCH(F3412, Hairstyles!$B:$B))), 1)), "No Spell for Hairstyle"),
  _xlpm.vanillaPrefix, IF(LEFT(_xlpm.spell, 7)="Uvi_Wig", "", ";"),
  ";" &amp; IF(C3412="", B3412, C3412) &amp; IF(M3412="", "", " ("&amp;M3412&amp;")") &amp; CHAR(10) &amp;
  _xlpm.vanillaPrefix &amp; "Keyword = Uvi_Wig_Distr_KYWD|" &amp; B3412 &amp; CHAR(10) &amp;
  _xlpm.vanillaPrefix &amp; "Spell = " &amp; _xlpm.spell &amp; "|" &amp; B3412
  )
)</f>
        <v>;TG02Mercenary01
;Keyword = Uvi_Wig_Distr_KYWD|TG02Mercenary01
;Spell = No Spell for Hairstyle|TG02Mercenary01</v>
      </c>
    </row>
    <row r="3413" ht="12.75" customHeight="1">
      <c r="A3413" s="5" t="s">
        <v>9198</v>
      </c>
      <c r="B3413" s="5" t="s">
        <v>9199</v>
      </c>
      <c r="D3413" s="5" t="s">
        <v>38</v>
      </c>
      <c r="E3413" s="5" t="s">
        <v>233</v>
      </c>
      <c r="F3413" s="5" t="s">
        <v>84</v>
      </c>
      <c r="G3413" s="14" t="str">
        <f t="array" ref="G3413">IF(B3413="", "",
  LET(_xlpm.spell, IFERROR(IF(F3413="", "", INDEX(_xlws.FILTER(Hairstyles!$F:$F, ISNUMBER(SEARCH(F3413, Hairstyles!$B:$B))), 1)), "No Spell for Hairstyle"),
  _xlpm.vanillaPrefix, IF(LEFT(_xlpm.spell, 7)="Uvi_Wig", "", ";"),
  ";" &amp; IF(C3413="", B3413, C3413) &amp; IF(M3413="", "", " ("&amp;M3413&amp;")") &amp; CHAR(10) &amp;
  _xlpm.vanillaPrefix &amp; "Keyword = Uvi_Wig_Distr_KYWD|" &amp; B3413 &amp; CHAR(10) &amp;
  _xlpm.vanillaPrefix &amp; "Spell = " &amp; _xlpm.spell &amp; "|" &amp; B3413
  )
)</f>
        <v>;TG02Mercenary01BeeHiveMerc
;Keyword = Uvi_Wig_Distr_KYWD|TG02Mercenary01BeeHiveMerc
;Spell = No Spell for Hairstyle|TG02Mercenary01BeeHiveMerc</v>
      </c>
    </row>
    <row r="3414" ht="12.75" customHeight="1">
      <c r="A3414" s="5" t="s">
        <v>9200</v>
      </c>
      <c r="B3414" s="5" t="s">
        <v>9201</v>
      </c>
      <c r="D3414" s="5" t="s">
        <v>38</v>
      </c>
      <c r="E3414" s="5" t="s">
        <v>233</v>
      </c>
      <c r="F3414" s="5" t="s">
        <v>84</v>
      </c>
      <c r="G3414" s="14" t="str">
        <f t="array" ref="G3414">IF(B3414="", "",
  LET(_xlpm.spell, IFERROR(IF(F3414="", "", INDEX(_xlws.FILTER(Hairstyles!$F:$F, ISNUMBER(SEARCH(F3414, Hairstyles!$B:$B))), 1)), "No Spell for Hairstyle"),
  _xlpm.vanillaPrefix, IF(LEFT(_xlpm.spell, 7)="Uvi_Wig", "", ";"),
  ";" &amp; IF(C3414="", B3414, C3414) &amp; IF(M3414="", "", " ("&amp;M3414&amp;")") &amp; CHAR(10) &amp;
  _xlpm.vanillaPrefix &amp; "Keyword = Uvi_Wig_Distr_KYWD|" &amp; B3414 &amp; CHAR(10) &amp;
  _xlpm.vanillaPrefix &amp; "Spell = " &amp; _xlpm.spell &amp; "|" &amp; B3414
  )
)</f>
        <v>;TG02Mercenary01ChoppingWood
;Keyword = Uvi_Wig_Distr_KYWD|TG02Mercenary01ChoppingWood
;Spell = No Spell for Hairstyle|TG02Mercenary01ChoppingWood</v>
      </c>
    </row>
    <row r="3415" ht="12.75" customHeight="1">
      <c r="A3415" s="5" t="s">
        <v>9202</v>
      </c>
      <c r="B3415" s="5" t="s">
        <v>9203</v>
      </c>
      <c r="D3415" s="5" t="s">
        <v>38</v>
      </c>
      <c r="E3415" s="5" t="s">
        <v>233</v>
      </c>
      <c r="F3415" s="5" t="s">
        <v>84</v>
      </c>
      <c r="G3415" s="14" t="str">
        <f t="array" ref="G3415">IF(B3415="", "",
  LET(_xlpm.spell, IFERROR(IF(F3415="", "", INDEX(_xlws.FILTER(Hairstyles!$F:$F, ISNUMBER(SEARCH(F3415, Hairstyles!$B:$B))), 1)), "No Spell for Hairstyle"),
  _xlpm.vanillaPrefix, IF(LEFT(_xlpm.spell, 7)="Uvi_Wig", "", ";"),
  ";" &amp; IF(C3415="", B3415, C3415) &amp; IF(M3415="", "", " ("&amp;M3415&amp;")") &amp; CHAR(10) &amp;
  _xlpm.vanillaPrefix &amp; "Keyword = Uvi_Wig_Distr_KYWD|" &amp; B3415 &amp; CHAR(10) &amp;
  _xlpm.vanillaPrefix &amp; "Spell = " &amp; _xlpm.spell &amp; "|" &amp; B3415
  )
)</f>
        <v>;TG02Mercenary01Reinforcement
;Keyword = Uvi_Wig_Distr_KYWD|TG02Mercenary01Reinforcement
;Spell = No Spell for Hairstyle|TG02Mercenary01Reinforcement</v>
      </c>
    </row>
    <row r="3416" ht="12.75" customHeight="1">
      <c r="A3416" s="5" t="s">
        <v>9204</v>
      </c>
      <c r="B3416" s="5" t="s">
        <v>9205</v>
      </c>
      <c r="D3416" s="5" t="s">
        <v>38</v>
      </c>
      <c r="E3416" s="5" t="s">
        <v>233</v>
      </c>
      <c r="F3416" s="5" t="s">
        <v>1088</v>
      </c>
      <c r="G3416" s="14" t="str">
        <f t="array" ref="G3416">IF(B3416="", "",
  LET(_xlpm.spell, IFERROR(IF(F3416="", "", INDEX(_xlws.FILTER(Hairstyles!$F:$F, ISNUMBER(SEARCH(F3416, Hairstyles!$B:$B))), 1)), "No Spell for Hairstyle"),
  _xlpm.vanillaPrefix, IF(LEFT(_xlpm.spell, 7)="Uvi_Wig", "", ";"),
  ";" &amp; IF(C3416="", B3416, C3416) &amp; IF(M3416="", "", " ("&amp;M3416&amp;")") &amp; CHAR(10) &amp;
  _xlpm.vanillaPrefix &amp; "Keyword = Uvi_Wig_Distr_KYWD|" &amp; B3416 &amp; CHAR(10) &amp;
  _xlpm.vanillaPrefix &amp; "Spell = " &amp; _xlpm.spell &amp; "|" &amp; B3416
  )
)</f>
        <v>;TG02Mercenary02
;Keyword = Uvi_Wig_Distr_KYWD|TG02Mercenary02
;Spell = No Spell for Hairstyle|TG02Mercenary02</v>
      </c>
    </row>
    <row r="3417" ht="12.75" customHeight="1">
      <c r="A3417" s="5" t="s">
        <v>9206</v>
      </c>
      <c r="B3417" s="5" t="s">
        <v>9207</v>
      </c>
      <c r="D3417" s="5" t="s">
        <v>38</v>
      </c>
      <c r="E3417" s="5" t="s">
        <v>233</v>
      </c>
      <c r="F3417" s="5" t="s">
        <v>1622</v>
      </c>
      <c r="G3417" s="14" t="str">
        <f t="array" ref="G3417">IF(B3417="", "",
  LET(_xlpm.spell, IFERROR(IF(F3417="", "", INDEX(_xlws.FILTER(Hairstyles!$F:$F, ISNUMBER(SEARCH(F3417, Hairstyles!$B:$B))), 1)), "No Spell for Hairstyle"),
  _xlpm.vanillaPrefix, IF(LEFT(_xlpm.spell, 7)="Uvi_Wig", "", ";"),
  ";" &amp; IF(C3417="", B3417, C3417) &amp; IF(M3417="", "", " ("&amp;M3417&amp;")") &amp; CHAR(10) &amp;
  _xlpm.vanillaPrefix &amp; "Keyword = Uvi_Wig_Distr_KYWD|" &amp; B3417 &amp; CHAR(10) &amp;
  _xlpm.vanillaPrefix &amp; "Spell = " &amp; _xlpm.spell &amp; "|" &amp; B3417
  )
)</f>
        <v>;TG02Mercenary02BeeHiveMerc
;Keyword = Uvi_Wig_Distr_KYWD|TG02Mercenary02BeeHiveMerc
;Spell = No Spell for Hairstyle|TG02Mercenary02BeeHiveMerc</v>
      </c>
    </row>
    <row r="3418" ht="12.75" customHeight="1">
      <c r="A3418" s="5" t="s">
        <v>9208</v>
      </c>
      <c r="B3418" s="5" t="s">
        <v>9209</v>
      </c>
      <c r="D3418" s="5" t="s">
        <v>38</v>
      </c>
      <c r="E3418" s="5" t="s">
        <v>233</v>
      </c>
      <c r="F3418" s="5" t="s">
        <v>475</v>
      </c>
      <c r="G3418" s="14" t="str">
        <f t="array" ref="G3418">IF(B3418="", "",
  LET(_xlpm.spell, IFERROR(IF(F3418="", "", INDEX(_xlws.FILTER(Hairstyles!$F:$F, ISNUMBER(SEARCH(F3418, Hairstyles!$B:$B))), 1)), "No Spell for Hairstyle"),
  _xlpm.vanillaPrefix, IF(LEFT(_xlpm.spell, 7)="Uvi_Wig", "", ";"),
  ";" &amp; IF(C3418="", B3418, C3418) &amp; IF(M3418="", "", " ("&amp;M3418&amp;")") &amp; CHAR(10) &amp;
  _xlpm.vanillaPrefix &amp; "Keyword = Uvi_Wig_Distr_KYWD|" &amp; B3418 &amp; CHAR(10) &amp;
  _xlpm.vanillaPrefix &amp; "Spell = " &amp; _xlpm.spell &amp; "|" &amp; B3418
  )
)</f>
        <v>;TG02Mercenary02CarryWood
;Keyword = Uvi_Wig_Distr_KYWD|TG02Mercenary02CarryWood
;Spell = No Spell for Hairstyle|TG02Mercenary02CarryWood</v>
      </c>
    </row>
    <row r="3419" ht="12.75" customHeight="1">
      <c r="A3419" s="5" t="s">
        <v>9210</v>
      </c>
      <c r="B3419" s="5" t="s">
        <v>9211</v>
      </c>
      <c r="D3419" s="5" t="s">
        <v>38</v>
      </c>
      <c r="E3419" s="5" t="s">
        <v>233</v>
      </c>
      <c r="F3419" s="5" t="s">
        <v>1088</v>
      </c>
      <c r="G3419" s="14" t="str">
        <f t="array" ref="G3419">IF(B3419="", "",
  LET(_xlpm.spell, IFERROR(IF(F3419="", "", INDEX(_xlws.FILTER(Hairstyles!$F:$F, ISNUMBER(SEARCH(F3419, Hairstyles!$B:$B))), 1)), "No Spell for Hairstyle"),
  _xlpm.vanillaPrefix, IF(LEFT(_xlpm.spell, 7)="Uvi_Wig", "", ";"),
  ";" &amp; IF(C3419="", B3419, C3419) &amp; IF(M3419="", "", " ("&amp;M3419&amp;")") &amp; CHAR(10) &amp;
  _xlpm.vanillaPrefix &amp; "Keyword = Uvi_Wig_Distr_KYWD|" &amp; B3419 &amp; CHAR(10) &amp;
  _xlpm.vanillaPrefix &amp; "Spell = " &amp; _xlpm.spell &amp; "|" &amp; B3419
  )
)</f>
        <v>;TG02Mercenary02Reinforcement
;Keyword = Uvi_Wig_Distr_KYWD|TG02Mercenary02Reinforcement
;Spell = No Spell for Hairstyle|TG02Mercenary02Reinforcement</v>
      </c>
    </row>
    <row r="3420" ht="12.75" customHeight="1">
      <c r="A3420" s="5" t="s">
        <v>9212</v>
      </c>
      <c r="B3420" s="5" t="s">
        <v>9213</v>
      </c>
      <c r="D3420" s="5" t="s">
        <v>38</v>
      </c>
      <c r="E3420" s="5" t="s">
        <v>233</v>
      </c>
      <c r="F3420" s="5" t="s">
        <v>84</v>
      </c>
      <c r="G3420" s="14" t="str">
        <f t="array" ref="G3420">IF(B3420="", "",
  LET(_xlpm.spell, IFERROR(IF(F3420="", "", INDEX(_xlws.FILTER(Hairstyles!$F:$F, ISNUMBER(SEARCH(F3420, Hairstyles!$B:$B))), 1)), "No Spell for Hairstyle"),
  _xlpm.vanillaPrefix, IF(LEFT(_xlpm.spell, 7)="Uvi_Wig", "", ";"),
  ";" &amp; IF(C3420="", B3420, C3420) &amp; IF(M3420="", "", " ("&amp;M3420&amp;")") &amp; CHAR(10) &amp;
  _xlpm.vanillaPrefix &amp; "Keyword = Uvi_Wig_Distr_KYWD|" &amp; B3420 &amp; CHAR(10) &amp;
  _xlpm.vanillaPrefix &amp; "Spell = " &amp; _xlpm.spell &amp; "|" &amp; B3420
  )
)</f>
        <v>;TG02MercenaryBasement01
;Keyword = Uvi_Wig_Distr_KYWD|TG02MercenaryBasement01
;Spell = No Spell for Hairstyle|TG02MercenaryBasement01</v>
      </c>
    </row>
    <row r="3421" ht="12.75" customHeight="1">
      <c r="A3421" s="5" t="s">
        <v>9214</v>
      </c>
      <c r="B3421" s="5" t="s">
        <v>9215</v>
      </c>
      <c r="D3421" s="5" t="s">
        <v>38</v>
      </c>
      <c r="E3421" s="5" t="s">
        <v>233</v>
      </c>
      <c r="F3421" s="5" t="s">
        <v>1622</v>
      </c>
      <c r="G3421" s="14" t="str">
        <f t="array" ref="G3421">IF(B3421="", "",
  LET(_xlpm.spell, IFERROR(IF(F3421="", "", INDEX(_xlws.FILTER(Hairstyles!$F:$F, ISNUMBER(SEARCH(F3421, Hairstyles!$B:$B))), 1)), "No Spell for Hairstyle"),
  _xlpm.vanillaPrefix, IF(LEFT(_xlpm.spell, 7)="Uvi_Wig", "", ";"),
  ";" &amp; IF(C3421="", B3421, C3421) &amp; IF(M3421="", "", " ("&amp;M3421&amp;")") &amp; CHAR(10) &amp;
  _xlpm.vanillaPrefix &amp; "Keyword = Uvi_Wig_Distr_KYWD|" &amp; B3421 &amp; CHAR(10) &amp;
  _xlpm.vanillaPrefix &amp; "Spell = " &amp; _xlpm.spell &amp; "|" &amp; B3421
  )
)</f>
        <v>;TG02MercenaryBasement02
;Keyword = Uvi_Wig_Distr_KYWD|TG02MercenaryBasement02
;Spell = No Spell for Hairstyle|TG02MercenaryBasement02</v>
      </c>
    </row>
    <row r="3422" ht="12.75" customHeight="1">
      <c r="A3422" s="5" t="s">
        <v>9216</v>
      </c>
      <c r="B3422" s="5" t="s">
        <v>9217</v>
      </c>
      <c r="D3422" s="5" t="s">
        <v>38</v>
      </c>
      <c r="E3422" s="5" t="s">
        <v>233</v>
      </c>
      <c r="F3422" s="5" t="s">
        <v>84</v>
      </c>
      <c r="G3422" s="14" t="str">
        <f t="array" ref="G3422">IF(B3422="", "",
  LET(_xlpm.spell, IFERROR(IF(F3422="", "", INDEX(_xlws.FILTER(Hairstyles!$F:$F, ISNUMBER(SEARCH(F3422, Hairstyles!$B:$B))), 1)), "No Spell for Hairstyle"),
  _xlpm.vanillaPrefix, IF(LEFT(_xlpm.spell, 7)="Uvi_Wig", "", ";"),
  ";" &amp; IF(C3422="", B3422, C3422) &amp; IF(M3422="", "", " ("&amp;M3422&amp;")") &amp; CHAR(10) &amp;
  _xlpm.vanillaPrefix &amp; "Keyword = Uvi_Wig_Distr_KYWD|" &amp; B3422 &amp; CHAR(10) &amp;
  _xlpm.vanillaPrefix &amp; "Spell = " &amp; _xlpm.spell &amp; "|" &amp; B3422
  )
)</f>
        <v>;TG02MercenaryGateGuard01
;Keyword = Uvi_Wig_Distr_KYWD|TG02MercenaryGateGuard01
;Spell = No Spell for Hairstyle|TG02MercenaryGateGuard01</v>
      </c>
    </row>
    <row r="3423" ht="12.75" customHeight="1">
      <c r="A3423" s="5" t="s">
        <v>9218</v>
      </c>
      <c r="B3423" s="5" t="s">
        <v>9219</v>
      </c>
      <c r="D3423" s="5" t="s">
        <v>38</v>
      </c>
      <c r="E3423" s="5" t="s">
        <v>233</v>
      </c>
      <c r="F3423" s="5" t="s">
        <v>84</v>
      </c>
      <c r="G3423" s="14" t="str">
        <f t="array" ref="G3423">IF(B3423="", "",
  LET(_xlpm.spell, IFERROR(IF(F3423="", "", INDEX(_xlws.FILTER(Hairstyles!$F:$F, ISNUMBER(SEARCH(F3423, Hairstyles!$B:$B))), 1)), "No Spell for Hairstyle"),
  _xlpm.vanillaPrefix, IF(LEFT(_xlpm.spell, 7)="Uvi_Wig", "", ";"),
  ";" &amp; IF(C3423="", B3423, C3423) &amp; IF(M3423="", "", " ("&amp;M3423&amp;")") &amp; CHAR(10) &amp;
  _xlpm.vanillaPrefix &amp; "Keyword = Uvi_Wig_Distr_KYWD|" &amp; B3423 &amp; CHAR(10) &amp;
  _xlpm.vanillaPrefix &amp; "Spell = " &amp; _xlpm.spell &amp; "|" &amp; B3423
  )
)</f>
        <v>;TG02MercenaryGuard01
;Keyword = Uvi_Wig_Distr_KYWD|TG02MercenaryGuard01
;Spell = No Spell for Hairstyle|TG02MercenaryGuard01</v>
      </c>
    </row>
    <row r="3424" ht="12.75" customHeight="1">
      <c r="A3424" s="5" t="s">
        <v>9220</v>
      </c>
      <c r="B3424" s="5" t="s">
        <v>9221</v>
      </c>
      <c r="D3424" s="5" t="s">
        <v>38</v>
      </c>
      <c r="E3424" s="5" t="s">
        <v>233</v>
      </c>
      <c r="F3424" s="5" t="s">
        <v>1622</v>
      </c>
      <c r="G3424" s="14" t="str">
        <f t="array" ref="G3424">IF(B3424="", "",
  LET(_xlpm.spell, IFERROR(IF(F3424="", "", INDEX(_xlws.FILTER(Hairstyles!$F:$F, ISNUMBER(SEARCH(F3424, Hairstyles!$B:$B))), 1)), "No Spell for Hairstyle"),
  _xlpm.vanillaPrefix, IF(LEFT(_xlpm.spell, 7)="Uvi_Wig", "", ";"),
  ";" &amp; IF(C3424="", B3424, C3424) &amp; IF(M3424="", "", " ("&amp;M3424&amp;")") &amp; CHAR(10) &amp;
  _xlpm.vanillaPrefix &amp; "Keyword = Uvi_Wig_Distr_KYWD|" &amp; B3424 &amp; CHAR(10) &amp;
  _xlpm.vanillaPrefix &amp; "Spell = " &amp; _xlpm.spell &amp; "|" &amp; B3424
  )
)</f>
        <v>;TG02MercenaryGuard02
;Keyword = Uvi_Wig_Distr_KYWD|TG02MercenaryGuard02
;Spell = No Spell for Hairstyle|TG02MercenaryGuard02</v>
      </c>
    </row>
    <row r="3425" ht="12.75" customHeight="1">
      <c r="A3425" s="5" t="s">
        <v>9222</v>
      </c>
      <c r="B3425" s="5" t="s">
        <v>9223</v>
      </c>
      <c r="D3425" s="5" t="s">
        <v>38</v>
      </c>
      <c r="E3425" s="5" t="s">
        <v>233</v>
      </c>
      <c r="F3425" s="5" t="s">
        <v>68</v>
      </c>
      <c r="G3425" s="14" t="str">
        <f t="array" ref="G3425">IF(B3425="", "",
  LET(_xlpm.spell, IFERROR(IF(F3425="", "", INDEX(_xlws.FILTER(Hairstyles!$F:$F, ISNUMBER(SEARCH(F3425, Hairstyles!$B:$B))), 1)), "No Spell for Hairstyle"),
  _xlpm.vanillaPrefix, IF(LEFT(_xlpm.spell, 7)="Uvi_Wig", "", ";"),
  ";" &amp; IF(C3425="", B3425, C3425) &amp; IF(M3425="", "", " ("&amp;M3425&amp;")") &amp; CHAR(10) &amp;
  _xlpm.vanillaPrefix &amp; "Keyword = Uvi_Wig_Distr_KYWD|" &amp; B3425 &amp; CHAR(10) &amp;
  _xlpm.vanillaPrefix &amp; "Spell = " &amp; _xlpm.spell &amp; "|" &amp; B3425
  )
)</f>
        <v>;TG04EastEmpireSolitudeImperialPosted
;Keyword = Uvi_Wig_Distr_KYWD|TG04EastEmpireSolitudeImperialPosted
;Spell = No Spell for Hairstyle|TG04EastEmpireSolitudeImperialPosted</v>
      </c>
    </row>
    <row r="3426" ht="12.75" customHeight="1">
      <c r="A3426" s="5" t="s">
        <v>9224</v>
      </c>
      <c r="B3426" s="5" t="s">
        <v>9225</v>
      </c>
      <c r="D3426" s="5" t="s">
        <v>38</v>
      </c>
      <c r="E3426" s="5" t="s">
        <v>233</v>
      </c>
      <c r="F3426" s="5" t="s">
        <v>68</v>
      </c>
      <c r="G3426" s="14" t="str">
        <f t="array" ref="G3426">IF(B3426="", "",
  LET(_xlpm.spell, IFERROR(IF(F3426="", "", INDEX(_xlws.FILTER(Hairstyles!$F:$F, ISNUMBER(SEARCH(F3426, Hairstyles!$B:$B))), 1)), "No Spell for Hairstyle"),
  _xlpm.vanillaPrefix, IF(LEFT(_xlpm.spell, 7)="Uvi_Wig", "", ";"),
  ";" &amp; IF(C3426="", B3426, C3426) &amp; IF(M3426="", "", " ("&amp;M3426&amp;")") &amp; CHAR(10) &amp;
  _xlpm.vanillaPrefix &amp; "Keyword = Uvi_Wig_Distr_KYWD|" &amp; B3426 &amp; CHAR(10) &amp;
  _xlpm.vanillaPrefix &amp; "Spell = " &amp; _xlpm.spell &amp; "|" &amp; B3426
  )
)</f>
        <v>;TG04EastEmpireSolitudeSonsPosted
;Keyword = Uvi_Wig_Distr_KYWD|TG04EastEmpireSolitudeSonsPosted
;Spell = No Spell for Hairstyle|TG04EastEmpireSolitudeSonsPosted</v>
      </c>
    </row>
    <row r="3427" ht="12.75" customHeight="1">
      <c r="A3427" s="5" t="s">
        <v>9226</v>
      </c>
      <c r="B3427" s="5" t="s">
        <v>9227</v>
      </c>
      <c r="D3427" s="5" t="s">
        <v>45</v>
      </c>
      <c r="E3427" s="5" t="s">
        <v>233</v>
      </c>
      <c r="F3427" s="5" t="s">
        <v>534</v>
      </c>
      <c r="G3427" s="14" t="str">
        <f t="array" ref="G3427">IF(B3427="", "",
  LET(_xlpm.spell, IFERROR(IF(F3427="", "", INDEX(_xlws.FILTER(Hairstyles!$F:$F, ISNUMBER(SEARCH(F3427, Hairstyles!$B:$B))), 1)), "No Spell for Hairstyle"),
  _xlpm.vanillaPrefix, IF(LEFT(_xlpm.spell, 7)="Uvi_Wig", "", ";"),
  ";" &amp; IF(C3427="", B3427, C3427) &amp; IF(M3427="", "", " ("&amp;M3427&amp;")") &amp; CHAR(10) &amp;
  _xlpm.vanillaPrefix &amp; "Keyword = Uvi_Wig_Distr_KYWD|" &amp; B3427 &amp; CHAR(10) &amp;
  _xlpm.vanillaPrefix &amp; "Spell = " &amp; _xlpm.spell &amp; "|" &amp; B3427
  )
)</f>
        <v>;TGCrownGhost01
;Keyword = Uvi_Wig_Distr_KYWD|TGCrownGhost01
;Spell = No Spell for Hairstyle|TGCrownGhost01</v>
      </c>
    </row>
    <row r="3428" ht="12.75" customHeight="1">
      <c r="A3428" s="5" t="s">
        <v>9228</v>
      </c>
      <c r="B3428" s="5" t="s">
        <v>9229</v>
      </c>
      <c r="D3428" s="5" t="s">
        <v>45</v>
      </c>
      <c r="E3428" s="5" t="s">
        <v>41</v>
      </c>
      <c r="F3428" s="5" t="s">
        <v>491</v>
      </c>
      <c r="G3428" s="14" t="str">
        <f t="array" ref="G3428">IF(B3428="", "",
  LET(_xlpm.spell, IFERROR(IF(F3428="", "", INDEX(_xlws.FILTER(Hairstyles!$F:$F, ISNUMBER(SEARCH(F3428, Hairstyles!$B:$B))), 1)), "No Spell for Hairstyle"),
  _xlpm.vanillaPrefix, IF(LEFT(_xlpm.spell, 7)="Uvi_Wig", "", ";"),
  ";" &amp; IF(C3428="", B3428, C3428) &amp; IF(M3428="", "", " ("&amp;M3428&amp;")") &amp; CHAR(10) &amp;
  _xlpm.vanillaPrefix &amp; "Keyword = Uvi_Wig_Distr_KYWD|" &amp; B3428 &amp; CHAR(10) &amp;
  _xlpm.vanillaPrefix &amp; "Spell = " &amp; _xlpm.spell &amp; "|" &amp; B3428
  )
)</f>
        <v>;TGCrownGhost02
;Keyword = Uvi_Wig_Distr_KYWD|TGCrownGhost02
;Spell = No Spell for Hairstyle|TGCrownGhost02</v>
      </c>
    </row>
    <row r="3429" ht="12.75" customHeight="1">
      <c r="A3429" s="5" t="s">
        <v>9230</v>
      </c>
      <c r="B3429" s="5" t="s">
        <v>9231</v>
      </c>
      <c r="D3429" s="5" t="s">
        <v>45</v>
      </c>
      <c r="E3429" s="5" t="s">
        <v>233</v>
      </c>
      <c r="F3429" s="5" t="s">
        <v>525</v>
      </c>
      <c r="G3429" s="14" t="str">
        <f t="array" ref="G3429">IF(B3429="", "",
  LET(_xlpm.spell, IFERROR(IF(F3429="", "", INDEX(_xlws.FILTER(Hairstyles!$F:$F, ISNUMBER(SEARCH(F3429, Hairstyles!$B:$B))), 1)), "No Spell for Hairstyle"),
  _xlpm.vanillaPrefix, IF(LEFT(_xlpm.spell, 7)="Uvi_Wig", "", ";"),
  ";" &amp; IF(C3429="", B3429, C3429) &amp; IF(M3429="", "", " ("&amp;M3429&amp;")") &amp; CHAR(10) &amp;
  _xlpm.vanillaPrefix &amp; "Keyword = Uvi_Wig_Distr_KYWD|" &amp; B3429 &amp; CHAR(10) &amp;
  _xlpm.vanillaPrefix &amp; "Spell = " &amp; _xlpm.spell &amp; "|" &amp; B3429
  )
)</f>
        <v>;TGCrownGhost03
;Keyword = Uvi_Wig_Distr_KYWD|TGCrownGhost03
;Spell = No Spell for Hairstyle|TGCrownGhost03</v>
      </c>
    </row>
    <row r="3430" ht="12.75" customHeight="1">
      <c r="A3430" s="15" t="s">
        <v>9232</v>
      </c>
      <c r="B3430" s="5" t="s">
        <v>9233</v>
      </c>
      <c r="D3430" s="5" t="s">
        <v>16</v>
      </c>
      <c r="E3430" s="5" t="s">
        <v>41</v>
      </c>
      <c r="F3430" s="5" t="s">
        <v>1041</v>
      </c>
      <c r="G3430" s="14" t="str">
        <f t="array" ref="G3430">IF(B3430="", "",
  LET(_xlpm.spell, IFERROR(IF(F3430="", "", INDEX(_xlws.FILTER(Hairstyles!$F:$F, ISNUMBER(SEARCH(F3430, Hairstyles!$B:$B))), 1)), "No Spell for Hairstyle"),
  _xlpm.vanillaPrefix, IF(LEFT(_xlpm.spell, 7)="Uvi_Wig", "", ";"),
  ";" &amp; IF(C3430="", B3430, C3430) &amp; IF(M3430="", "", " ("&amp;M3430&amp;")") &amp; CHAR(10) &amp;
  _xlpm.vanillaPrefix &amp; "Keyword = Uvi_Wig_Distr_KYWD|" &amp; B3430 &amp; CHAR(10) &amp;
  _xlpm.vanillaPrefix &amp; "Spell = " &amp; _xlpm.spell &amp; "|" &amp; B3430
  )
)</f>
        <v>;TreasCorpseBanditBretonFemale
;Keyword = Uvi_Wig_Distr_KYWD|TreasCorpseBanditBretonFemale
;Spell = No Spell for Hairstyle|TreasCorpseBanditBretonFemale</v>
      </c>
    </row>
    <row r="3431" ht="12.75" customHeight="1">
      <c r="A3431" s="5" t="s">
        <v>9234</v>
      </c>
      <c r="B3431" s="5" t="s">
        <v>9235</v>
      </c>
      <c r="D3431" s="5" t="s">
        <v>16</v>
      </c>
      <c r="E3431" s="5" t="s">
        <v>233</v>
      </c>
      <c r="F3431" s="5" t="s">
        <v>235</v>
      </c>
      <c r="G3431" s="14" t="str">
        <f t="array" ref="G3431">IF(B3431="", "",
  LET(_xlpm.spell, IFERROR(IF(F3431="", "", INDEX(_xlws.FILTER(Hairstyles!$F:$F, ISNUMBER(SEARCH(F3431, Hairstyles!$B:$B))), 1)), "No Spell for Hairstyle"),
  _xlpm.vanillaPrefix, IF(LEFT(_xlpm.spell, 7)="Uvi_Wig", "", ";"),
  ";" &amp; IF(C3431="", B3431, C3431) &amp; IF(M3431="", "", " ("&amp;M3431&amp;")") &amp; CHAR(10) &amp;
  _xlpm.vanillaPrefix &amp; "Keyword = Uvi_Wig_Distr_KYWD|" &amp; B3431 &amp; CHAR(10) &amp;
  _xlpm.vanillaPrefix &amp; "Spell = " &amp; _xlpm.spell &amp; "|" &amp; B3431
  )
)</f>
        <v>;TreasCorpseBanditBretonMale
;Keyword = Uvi_Wig_Distr_KYWD|TreasCorpseBanditBretonMale
;Spell = No Spell for Hairstyle|TreasCorpseBanditBretonMale</v>
      </c>
    </row>
    <row r="3432" ht="12.75" customHeight="1">
      <c r="A3432" s="5" t="s">
        <v>9236</v>
      </c>
      <c r="B3432" s="5" t="s">
        <v>9237</v>
      </c>
      <c r="D3432" s="5" t="s">
        <v>45</v>
      </c>
      <c r="E3432" s="5" t="s">
        <v>41</v>
      </c>
      <c r="F3432" s="5" t="s">
        <v>512</v>
      </c>
      <c r="G3432" s="14" t="str">
        <f t="array" ref="G3432">IF(B3432="", "",
  LET(_xlpm.spell, IFERROR(IF(F3432="", "", INDEX(_xlws.FILTER(Hairstyles!$F:$F, ISNUMBER(SEARCH(F3432, Hairstyles!$B:$B))), 1)), "No Spell for Hairstyle"),
  _xlpm.vanillaPrefix, IF(LEFT(_xlpm.spell, 7)="Uvi_Wig", "", ";"),
  ";" &amp; IF(C3432="", B3432, C3432) &amp; IF(M3432="", "", " ("&amp;M3432&amp;")") &amp; CHAR(10) &amp;
  _xlpm.vanillaPrefix &amp; "Keyword = Uvi_Wig_Distr_KYWD|" &amp; B3432 &amp; CHAR(10) &amp;
  _xlpm.vanillaPrefix &amp; "Spell = " &amp; _xlpm.spell &amp; "|" &amp; B3432
  )
)</f>
        <v>;TreasCorpseBanditDarkElfFemale
;Keyword = Uvi_Wig_Distr_KYWD|TreasCorpseBanditDarkElfFemale
;Spell = No Spell for Hairstyle|TreasCorpseBanditDarkElfFemale</v>
      </c>
    </row>
    <row r="3433" ht="12.75" customHeight="1">
      <c r="A3433" s="5" t="s">
        <v>9238</v>
      </c>
      <c r="B3433" s="5" t="s">
        <v>9239</v>
      </c>
      <c r="D3433" s="5" t="s">
        <v>45</v>
      </c>
      <c r="E3433" s="5" t="s">
        <v>233</v>
      </c>
      <c r="F3433" s="5" t="s">
        <v>47</v>
      </c>
      <c r="G3433" s="14" t="str">
        <f t="array" ref="G3433">IF(B3433="", "",
  LET(_xlpm.spell, IFERROR(IF(F3433="", "", INDEX(_xlws.FILTER(Hairstyles!$F:$F, ISNUMBER(SEARCH(F3433, Hairstyles!$B:$B))), 1)), "No Spell for Hairstyle"),
  _xlpm.vanillaPrefix, IF(LEFT(_xlpm.spell, 7)="Uvi_Wig", "", ";"),
  ";" &amp; IF(C3433="", B3433, C3433) &amp; IF(M3433="", "", " ("&amp;M3433&amp;")") &amp; CHAR(10) &amp;
  _xlpm.vanillaPrefix &amp; "Keyword = Uvi_Wig_Distr_KYWD|" &amp; B3433 &amp; CHAR(10) &amp;
  _xlpm.vanillaPrefix &amp; "Spell = " &amp; _xlpm.spell &amp; "|" &amp; B3433
  )
)</f>
        <v>;TreasCorpseBanditDarkElfMale
;Keyword = Uvi_Wig_Distr_KYWD|TreasCorpseBanditDarkElfMale
;Spell = No Spell for Hairstyle|TreasCorpseBanditDarkElfMale</v>
      </c>
    </row>
    <row r="3434" ht="12.75" customHeight="1">
      <c r="A3434" s="5" t="s">
        <v>9240</v>
      </c>
      <c r="B3434" s="5" t="s">
        <v>9241</v>
      </c>
      <c r="D3434" s="5" t="s">
        <v>59</v>
      </c>
      <c r="E3434" s="5" t="s">
        <v>41</v>
      </c>
      <c r="F3434" s="5" t="s">
        <v>862</v>
      </c>
      <c r="G3434" s="14" t="str">
        <f t="array" ref="G3434">IF(B3434="", "",
  LET(_xlpm.spell, IFERROR(IF(F3434="", "", INDEX(_xlws.FILTER(Hairstyles!$F:$F, ISNUMBER(SEARCH(F3434, Hairstyles!$B:$B))), 1)), "No Spell for Hairstyle"),
  _xlpm.vanillaPrefix, IF(LEFT(_xlpm.spell, 7)="Uvi_Wig", "", ";"),
  ";" &amp; IF(C3434="", B3434, C3434) &amp; IF(M3434="", "", " ("&amp;M3434&amp;")") &amp; CHAR(10) &amp;
  _xlpm.vanillaPrefix &amp; "Keyword = Uvi_Wig_Distr_KYWD|" &amp; B3434 &amp; CHAR(10) &amp;
  _xlpm.vanillaPrefix &amp; "Spell = " &amp; _xlpm.spell &amp; "|" &amp; B3434
  )
)</f>
        <v>;TreasCorpseBanditImperialFemale
;Keyword = Uvi_Wig_Distr_KYWD|TreasCorpseBanditImperialFemale
;Spell = No Spell for Hairstyle|TreasCorpseBanditImperialFemale</v>
      </c>
    </row>
    <row r="3435" ht="12.75" customHeight="1">
      <c r="A3435" s="5" t="s">
        <v>9242</v>
      </c>
      <c r="B3435" s="5" t="s">
        <v>9243</v>
      </c>
      <c r="D3435" s="5" t="s">
        <v>59</v>
      </c>
      <c r="E3435" s="5" t="s">
        <v>233</v>
      </c>
      <c r="F3435" s="5" t="s">
        <v>695</v>
      </c>
      <c r="G3435" s="14" t="str">
        <f t="array" ref="G3435">IF(B3435="", "",
  LET(_xlpm.spell, IFERROR(IF(F3435="", "", INDEX(_xlws.FILTER(Hairstyles!$F:$F, ISNUMBER(SEARCH(F3435, Hairstyles!$B:$B))), 1)), "No Spell for Hairstyle"),
  _xlpm.vanillaPrefix, IF(LEFT(_xlpm.spell, 7)="Uvi_Wig", "", ";"),
  ";" &amp; IF(C3435="", B3435, C3435) &amp; IF(M3435="", "", " ("&amp;M3435&amp;")") &amp; CHAR(10) &amp;
  _xlpm.vanillaPrefix &amp; "Keyword = Uvi_Wig_Distr_KYWD|" &amp; B3435 &amp; CHAR(10) &amp;
  _xlpm.vanillaPrefix &amp; "Spell = " &amp; _xlpm.spell &amp; "|" &amp; B3435
  )
)</f>
        <v>;TreasCorpseBanditImperialMale
;Keyword = Uvi_Wig_Distr_KYWD|TreasCorpseBanditImperialMale
;Spell = No Spell for Hairstyle|TreasCorpseBanditImperialMale</v>
      </c>
    </row>
    <row r="3436" ht="12.75" customHeight="1">
      <c r="A3436" s="5" t="s">
        <v>9244</v>
      </c>
      <c r="B3436" s="5" t="s">
        <v>9245</v>
      </c>
      <c r="D3436" s="5" t="s">
        <v>38</v>
      </c>
      <c r="E3436" s="5" t="s">
        <v>41</v>
      </c>
      <c r="F3436" s="5" t="s">
        <v>1759</v>
      </c>
      <c r="G3436" s="14" t="str">
        <f t="array" ref="G3436">IF(B3436="", "",
  LET(_xlpm.spell, IFERROR(IF(F3436="", "", INDEX(_xlws.FILTER(Hairstyles!$F:$F, ISNUMBER(SEARCH(F3436, Hairstyles!$B:$B))), 1)), "No Spell for Hairstyle"),
  _xlpm.vanillaPrefix, IF(LEFT(_xlpm.spell, 7)="Uvi_Wig", "", ";"),
  ";" &amp; IF(C3436="", B3436, C3436) &amp; IF(M3436="", "", " ("&amp;M3436&amp;")") &amp; CHAR(10) &amp;
  _xlpm.vanillaPrefix &amp; "Keyword = Uvi_Wig_Distr_KYWD|" &amp; B3436 &amp; CHAR(10) &amp;
  _xlpm.vanillaPrefix &amp; "Spell = " &amp; _xlpm.spell &amp; "|" &amp; B3436
  )
)</f>
        <v>;TreasCorpseBanditNordFemale
;Keyword = Uvi_Wig_Distr_KYWD|TreasCorpseBanditNordFemale
;Spell = No Spell for Hairstyle|TreasCorpseBanditNordFemale</v>
      </c>
    </row>
    <row r="3437" ht="12.75" customHeight="1">
      <c r="A3437" s="5" t="s">
        <v>9246</v>
      </c>
      <c r="B3437" s="5" t="s">
        <v>9247</v>
      </c>
      <c r="D3437" s="5" t="s">
        <v>38</v>
      </c>
      <c r="E3437" s="5" t="s">
        <v>233</v>
      </c>
      <c r="F3437" s="5" t="s">
        <v>762</v>
      </c>
      <c r="G3437" s="14" t="str">
        <f t="array" ref="G3437">IF(B3437="", "",
  LET(_xlpm.spell, IFERROR(IF(F3437="", "", INDEX(_xlws.FILTER(Hairstyles!$F:$F, ISNUMBER(SEARCH(F3437, Hairstyles!$B:$B))), 1)), "No Spell for Hairstyle"),
  _xlpm.vanillaPrefix, IF(LEFT(_xlpm.spell, 7)="Uvi_Wig", "", ";"),
  ";" &amp; IF(C3437="", B3437, C3437) &amp; IF(M3437="", "", " ("&amp;M3437&amp;")") &amp; CHAR(10) &amp;
  _xlpm.vanillaPrefix &amp; "Keyword = Uvi_Wig_Distr_KYWD|" &amp; B3437 &amp; CHAR(10) &amp;
  _xlpm.vanillaPrefix &amp; "Spell = " &amp; _xlpm.spell &amp; "|" &amp; B3437
  )
)</f>
        <v>;TreasCorpseBanditNordMale
;Keyword = Uvi_Wig_Distr_KYWD|TreasCorpseBanditNordMale
;Spell = No Spell for Hairstyle|TreasCorpseBanditNordMale</v>
      </c>
    </row>
    <row r="3438" ht="12.75" customHeight="1">
      <c r="A3438" s="5" t="s">
        <v>9248</v>
      </c>
      <c r="B3438" s="5" t="s">
        <v>9249</v>
      </c>
      <c r="D3438" s="5" t="s">
        <v>80</v>
      </c>
      <c r="E3438" s="5" t="s">
        <v>233</v>
      </c>
      <c r="F3438" s="5" t="s">
        <v>537</v>
      </c>
      <c r="G3438" s="14" t="str">
        <f t="array" ref="G3438">IF(B3438="", "",
  LET(_xlpm.spell, IFERROR(IF(F3438="", "", INDEX(_xlws.FILTER(Hairstyles!$F:$F, ISNUMBER(SEARCH(F3438, Hairstyles!$B:$B))), 1)), "No Spell for Hairstyle"),
  _xlpm.vanillaPrefix, IF(LEFT(_xlpm.spell, 7)="Uvi_Wig", "", ";"),
  ";" &amp; IF(C3438="", B3438, C3438) &amp; IF(M3438="", "", " ("&amp;M3438&amp;")") &amp; CHAR(10) &amp;
  _xlpm.vanillaPrefix &amp; "Keyword = Uvi_Wig_Distr_KYWD|" &amp; B3438 &amp; CHAR(10) &amp;
  _xlpm.vanillaPrefix &amp; "Spell = " &amp; _xlpm.spell &amp; "|" &amp; B3438
  )
)</f>
        <v>;TreasCorpseBanditOrcMale
;Keyword = Uvi_Wig_Distr_KYWD|TreasCorpseBanditOrcMale
;Spell = No Spell for Hairstyle|TreasCorpseBanditOrcMale</v>
      </c>
    </row>
    <row r="3439" ht="12.75" customHeight="1">
      <c r="A3439" s="5" t="s">
        <v>9250</v>
      </c>
      <c r="B3439" s="5" t="s">
        <v>9251</v>
      </c>
      <c r="D3439" s="5" t="s">
        <v>83</v>
      </c>
      <c r="E3439" s="5" t="s">
        <v>41</v>
      </c>
      <c r="F3439" s="5" t="s">
        <v>905</v>
      </c>
      <c r="G3439" s="14" t="str">
        <f t="array" ref="G3439">IF(B3439="", "",
  LET(_xlpm.spell, IFERROR(IF(F3439="", "", INDEX(_xlws.FILTER(Hairstyles!$F:$F, ISNUMBER(SEARCH(F3439, Hairstyles!$B:$B))), 1)), "No Spell for Hairstyle"),
  _xlpm.vanillaPrefix, IF(LEFT(_xlpm.spell, 7)="Uvi_Wig", "", ";"),
  ";" &amp; IF(C3439="", B3439, C3439) &amp; IF(M3439="", "", " ("&amp;M3439&amp;")") &amp; CHAR(10) &amp;
  _xlpm.vanillaPrefix &amp; "Keyword = Uvi_Wig_Distr_KYWD|" &amp; B3439 &amp; CHAR(10) &amp;
  _xlpm.vanillaPrefix &amp; "Spell = " &amp; _xlpm.spell &amp; "|" &amp; B3439
  )
)</f>
        <v>;TreasCorpseBanditRedguardFemale
;Keyword = Uvi_Wig_Distr_KYWD|TreasCorpseBanditRedguardFemale
;Spell = No Spell for Hairstyle|TreasCorpseBanditRedguardFemale</v>
      </c>
    </row>
    <row r="3440" ht="12.75" customHeight="1">
      <c r="A3440" s="15" t="s">
        <v>9252</v>
      </c>
      <c r="B3440" s="5" t="s">
        <v>9253</v>
      </c>
      <c r="D3440" s="5" t="s">
        <v>83</v>
      </c>
      <c r="E3440" s="5" t="s">
        <v>233</v>
      </c>
      <c r="F3440" s="5" t="s">
        <v>3700</v>
      </c>
      <c r="G3440" s="14" t="str">
        <f t="array" ref="G3440">IF(B3440="", "",
  LET(_xlpm.spell, IFERROR(IF(F3440="", "", INDEX(_xlws.FILTER(Hairstyles!$F:$F, ISNUMBER(SEARCH(F3440, Hairstyles!$B:$B))), 1)), "No Spell for Hairstyle"),
  _xlpm.vanillaPrefix, IF(LEFT(_xlpm.spell, 7)="Uvi_Wig", "", ";"),
  ";" &amp; IF(C3440="", B3440, C3440) &amp; IF(M3440="", "", " ("&amp;M3440&amp;")") &amp; CHAR(10) &amp;
  _xlpm.vanillaPrefix &amp; "Keyword = Uvi_Wig_Distr_KYWD|" &amp; B3440 &amp; CHAR(10) &amp;
  _xlpm.vanillaPrefix &amp; "Spell = " &amp; _xlpm.spell &amp; "|" &amp; B3440
  )
)</f>
        <v>;TreasCorpseBanditRedguardMale
;Keyword = Uvi_Wig_Distr_KYWD|TreasCorpseBanditRedguardMale
;Spell = No Spell for Hairstyle|TreasCorpseBanditRedguardMale</v>
      </c>
    </row>
    <row r="3441" ht="12.75" customHeight="1">
      <c r="A3441" s="5" t="s">
        <v>9254</v>
      </c>
      <c r="B3441" s="5" t="s">
        <v>9255</v>
      </c>
      <c r="D3441" s="5" t="s">
        <v>90</v>
      </c>
      <c r="E3441" s="5" t="s">
        <v>41</v>
      </c>
      <c r="F3441" s="5" t="s">
        <v>512</v>
      </c>
      <c r="G3441" s="14" t="str">
        <f t="array" ref="G3441">IF(B3441="", "",
  LET(_xlpm.spell, IFERROR(IF(F3441="", "", INDEX(_xlws.FILTER(Hairstyles!$F:$F, ISNUMBER(SEARCH(F3441, Hairstyles!$B:$B))), 1)), "No Spell for Hairstyle"),
  _xlpm.vanillaPrefix, IF(LEFT(_xlpm.spell, 7)="Uvi_Wig", "", ";"),
  ";" &amp; IF(C3441="", B3441, C3441) &amp; IF(M3441="", "", " ("&amp;M3441&amp;")") &amp; CHAR(10) &amp;
  _xlpm.vanillaPrefix &amp; "Keyword = Uvi_Wig_Distr_KYWD|" &amp; B3441 &amp; CHAR(10) &amp;
  _xlpm.vanillaPrefix &amp; "Spell = " &amp; _xlpm.spell &amp; "|" &amp; B3441
  )
)</f>
        <v>;TreasCorpseBanditWoodElfFemale
;Keyword = Uvi_Wig_Distr_KYWD|TreasCorpseBanditWoodElfFemale
;Spell = No Spell for Hairstyle|TreasCorpseBanditWoodElfFemale</v>
      </c>
    </row>
    <row r="3442" ht="12.75" customHeight="1">
      <c r="A3442" s="5" t="s">
        <v>9256</v>
      </c>
      <c r="B3442" s="5" t="s">
        <v>9257</v>
      </c>
      <c r="D3442" s="5" t="s">
        <v>90</v>
      </c>
      <c r="E3442" s="5" t="s">
        <v>233</v>
      </c>
      <c r="F3442" s="5" t="s">
        <v>1667</v>
      </c>
      <c r="G3442" s="14" t="str">
        <f t="array" ref="G3442">IF(B3442="", "",
  LET(_xlpm.spell, IFERROR(IF(F3442="", "", INDEX(_xlws.FILTER(Hairstyles!$F:$F, ISNUMBER(SEARCH(F3442, Hairstyles!$B:$B))), 1)), "No Spell for Hairstyle"),
  _xlpm.vanillaPrefix, IF(LEFT(_xlpm.spell, 7)="Uvi_Wig", "", ";"),
  ";" &amp; IF(C3442="", B3442, C3442) &amp; IF(M3442="", "", " ("&amp;M3442&amp;")") &amp; CHAR(10) &amp;
  _xlpm.vanillaPrefix &amp; "Keyword = Uvi_Wig_Distr_KYWD|" &amp; B3442 &amp; CHAR(10) &amp;
  _xlpm.vanillaPrefix &amp; "Spell = " &amp; _xlpm.spell &amp; "|" &amp; B3442
  )
)</f>
        <v>;TreasCorpseBanditWoodElfMale
;Keyword = Uvi_Wig_Distr_KYWD|TreasCorpseBanditWoodElfMale
;Spell = No Spell for Hairstyle|TreasCorpseBanditWoodElfMale</v>
      </c>
    </row>
    <row r="3443" ht="12.75" customHeight="1">
      <c r="A3443" s="5" t="s">
        <v>9258</v>
      </c>
      <c r="B3443" s="5" t="s">
        <v>9259</v>
      </c>
      <c r="D3443" s="5" t="s">
        <v>51</v>
      </c>
      <c r="E3443" s="5" t="s">
        <v>233</v>
      </c>
      <c r="F3443" s="5" t="s">
        <v>762</v>
      </c>
      <c r="G3443" s="14" t="str">
        <f t="array" ref="G3443">IF(B3443="", "",
  LET(_xlpm.spell, IFERROR(IF(F3443="", "", INDEX(_xlws.FILTER(Hairstyles!$F:$F, ISNUMBER(SEARCH(F3443, Hairstyles!$B:$B))), 1)), "No Spell for Hairstyle"),
  _xlpm.vanillaPrefix, IF(LEFT(_xlpm.spell, 7)="Uvi_Wig", "", ";"),
  ";" &amp; IF(C3443="", B3443, C3443) &amp; IF(M3443="", "", " ("&amp;M3443&amp;")") &amp; CHAR(10) &amp;
  _xlpm.vanillaPrefix &amp; "Keyword = Uvi_Wig_Distr_KYWD|" &amp; B3443 &amp; CHAR(10) &amp;
  _xlpm.vanillaPrefix &amp; "Spell = " &amp; _xlpm.spell &amp; "|" &amp; B3443
  )
)</f>
        <v>;TreasCorpseBeggarNordMaleOld
;Keyword = Uvi_Wig_Distr_KYWD|TreasCorpseBeggarNordMaleOld
;Spell = No Spell for Hairstyle|TreasCorpseBeggarNordMaleOld</v>
      </c>
    </row>
    <row r="3444" ht="12.75" customHeight="1">
      <c r="A3444" s="5" t="s">
        <v>9260</v>
      </c>
      <c r="B3444" s="5" t="s">
        <v>9261</v>
      </c>
      <c r="D3444" s="5" t="s">
        <v>16</v>
      </c>
      <c r="E3444" s="5" t="s">
        <v>41</v>
      </c>
      <c r="F3444" s="5" t="s">
        <v>1041</v>
      </c>
      <c r="G3444" s="14" t="str">
        <f t="array" ref="G3444">IF(B3444="", "",
  LET(_xlpm.spell, IFERROR(IF(F3444="", "", INDEX(_xlws.FILTER(Hairstyles!$F:$F, ISNUMBER(SEARCH(F3444, Hairstyles!$B:$B))), 1)), "No Spell for Hairstyle"),
  _xlpm.vanillaPrefix, IF(LEFT(_xlpm.spell, 7)="Uvi_Wig", "", ";"),
  ";" &amp; IF(C3444="", B3444, C3444) &amp; IF(M3444="", "", " ("&amp;M3444&amp;")") &amp; CHAR(10) &amp;
  _xlpm.vanillaPrefix &amp; "Keyword = Uvi_Wig_Distr_KYWD|" &amp; B3444 &amp; CHAR(10) &amp;
  _xlpm.vanillaPrefix &amp; "Spell = " &amp; _xlpm.spell &amp; "|" &amp; B3444
  )
)</f>
        <v>;TreasCorpseForswornBretonFemale
;Keyword = Uvi_Wig_Distr_KYWD|TreasCorpseForswornBretonFemale
;Spell = No Spell for Hairstyle|TreasCorpseForswornBretonFemale</v>
      </c>
    </row>
    <row r="3445" ht="12.75" customHeight="1">
      <c r="A3445" s="5" t="s">
        <v>9262</v>
      </c>
      <c r="B3445" s="5" t="s">
        <v>9263</v>
      </c>
      <c r="D3445" s="5" t="s">
        <v>16</v>
      </c>
      <c r="E3445" s="5" t="s">
        <v>233</v>
      </c>
      <c r="F3445" s="5" t="s">
        <v>1622</v>
      </c>
      <c r="G3445" s="14" t="str">
        <f t="array" ref="G3445">IF(B3445="", "",
  LET(_xlpm.spell, IFERROR(IF(F3445="", "", INDEX(_xlws.FILTER(Hairstyles!$F:$F, ISNUMBER(SEARCH(F3445, Hairstyles!$B:$B))), 1)), "No Spell for Hairstyle"),
  _xlpm.vanillaPrefix, IF(LEFT(_xlpm.spell, 7)="Uvi_Wig", "", ";"),
  ";" &amp; IF(C3445="", B3445, C3445) &amp; IF(M3445="", "", " ("&amp;M3445&amp;")") &amp; CHAR(10) &amp;
  _xlpm.vanillaPrefix &amp; "Keyword = Uvi_Wig_Distr_KYWD|" &amp; B3445 &amp; CHAR(10) &amp;
  _xlpm.vanillaPrefix &amp; "Spell = " &amp; _xlpm.spell &amp; "|" &amp; B3445
  )
)</f>
        <v>;TreasCorpseForswornBretonMale
;Keyword = Uvi_Wig_Distr_KYWD|TreasCorpseForswornBretonMale
;Spell = No Spell for Hairstyle|TreasCorpseForswornBretonMale</v>
      </c>
    </row>
    <row r="3446" ht="12.75" customHeight="1">
      <c r="A3446" s="5" t="s">
        <v>9264</v>
      </c>
      <c r="B3446" s="5" t="s">
        <v>9265</v>
      </c>
      <c r="D3446" s="5" t="s">
        <v>59</v>
      </c>
      <c r="E3446" s="5" t="s">
        <v>233</v>
      </c>
      <c r="F3446" s="5" t="s">
        <v>2694</v>
      </c>
      <c r="G3446" s="14" t="str">
        <f t="array" ref="G3446">IF(B3446="", "",
  LET(_xlpm.spell, IFERROR(IF(F3446="", "", INDEX(_xlws.FILTER(Hairstyles!$F:$F, ISNUMBER(SEARCH(F3446, Hairstyles!$B:$B))), 1)), "No Spell for Hairstyle"),
  _xlpm.vanillaPrefix, IF(LEFT(_xlpm.spell, 7)="Uvi_Wig", "", ";"),
  ";" &amp; IF(C3446="", B3446, C3446) &amp; IF(M3446="", "", " ("&amp;M3446&amp;")") &amp; CHAR(10) &amp;
  _xlpm.vanillaPrefix &amp; "Keyword = Uvi_Wig_Distr_KYWD|" &amp; B3446 &amp; CHAR(10) &amp;
  _xlpm.vanillaPrefix &amp; "Spell = " &amp; _xlpm.spell &amp; "|" &amp; B3446
  )
)</f>
        <v>;TreasCorpseHunterImperialM
;Keyword = Uvi_Wig_Distr_KYWD|TreasCorpseHunterImperialM
;Spell = No Spell for Hairstyle|TreasCorpseHunterImperialM</v>
      </c>
    </row>
    <row r="3447" ht="12.75" customHeight="1">
      <c r="A3447" s="5" t="s">
        <v>9266</v>
      </c>
      <c r="B3447" s="5" t="s">
        <v>9267</v>
      </c>
      <c r="D3447" s="5" t="s">
        <v>38</v>
      </c>
      <c r="E3447" s="5" t="s">
        <v>233</v>
      </c>
      <c r="F3447" s="5" t="s">
        <v>1894</v>
      </c>
      <c r="G3447" s="14" t="str">
        <f t="array" ref="G3447">IF(B3447="", "",
  LET(_xlpm.spell, IFERROR(IF(F3447="", "", INDEX(_xlws.FILTER(Hairstyles!$F:$F, ISNUMBER(SEARCH(F3447, Hairstyles!$B:$B))), 1)), "No Spell for Hairstyle"),
  _xlpm.vanillaPrefix, IF(LEFT(_xlpm.spell, 7)="Uvi_Wig", "", ";"),
  ";" &amp; IF(C3447="", B3447, C3447) &amp; IF(M3447="", "", " ("&amp;M3447&amp;")") &amp; CHAR(10) &amp;
  _xlpm.vanillaPrefix &amp; "Keyword = Uvi_Wig_Distr_KYWD|" &amp; B3447 &amp; CHAR(10) &amp;
  _xlpm.vanillaPrefix &amp; "Spell = " &amp; _xlpm.spell &amp; "|" &amp; B3447
  )
)</f>
        <v>;TreasCorpseHunterNordM
;Keyword = Uvi_Wig_Distr_KYWD|TreasCorpseHunterNordM
;Spell = No Spell for Hairstyle|TreasCorpseHunterNordM</v>
      </c>
    </row>
    <row r="3448" ht="12.75" customHeight="1">
      <c r="A3448" s="5" t="s">
        <v>9268</v>
      </c>
      <c r="B3448" s="5" t="s">
        <v>9269</v>
      </c>
      <c r="D3448" s="5" t="s">
        <v>83</v>
      </c>
      <c r="E3448" s="5" t="s">
        <v>233</v>
      </c>
      <c r="F3448" s="5" t="s">
        <v>762</v>
      </c>
      <c r="G3448" s="14" t="str">
        <f t="array" ref="G3448">IF(B3448="", "",
  LET(_xlpm.spell, IFERROR(IF(F3448="", "", INDEX(_xlws.FILTER(Hairstyles!$F:$F, ISNUMBER(SEARCH(F3448, Hairstyles!$B:$B))), 1)), "No Spell for Hairstyle"),
  _xlpm.vanillaPrefix, IF(LEFT(_xlpm.spell, 7)="Uvi_Wig", "", ";"),
  ";" &amp; IF(C3448="", B3448, C3448) &amp; IF(M3448="", "", " ("&amp;M3448&amp;")") &amp; CHAR(10) &amp;
  _xlpm.vanillaPrefix &amp; "Keyword = Uvi_Wig_Distr_KYWD|" &amp; B3448 &amp; CHAR(10) &amp;
  _xlpm.vanillaPrefix &amp; "Spell = " &amp; _xlpm.spell &amp; "|" &amp; B3448
  )
)</f>
        <v>;TreasCorpseHunterRedguardM
;Keyword = Uvi_Wig_Distr_KYWD|TreasCorpseHunterRedguardM
;Spell = No Spell for Hairstyle|TreasCorpseHunterRedguardM</v>
      </c>
    </row>
    <row r="3449" ht="12.75" customHeight="1">
      <c r="A3449" s="5" t="s">
        <v>9270</v>
      </c>
      <c r="B3449" s="5" t="s">
        <v>9271</v>
      </c>
      <c r="D3449" s="5" t="s">
        <v>90</v>
      </c>
      <c r="E3449" s="5" t="s">
        <v>233</v>
      </c>
      <c r="F3449" s="5" t="s">
        <v>2583</v>
      </c>
      <c r="G3449" s="14" t="str">
        <f t="array" ref="G3449">IF(B3449="", "",
  LET(_xlpm.spell, IFERROR(IF(F3449="", "", INDEX(_xlws.FILTER(Hairstyles!$F:$F, ISNUMBER(SEARCH(F3449, Hairstyles!$B:$B))), 1)), "No Spell for Hairstyle"),
  _xlpm.vanillaPrefix, IF(LEFT(_xlpm.spell, 7)="Uvi_Wig", "", ";"),
  ";" &amp; IF(C3449="", B3449, C3449) &amp; IF(M3449="", "", " ("&amp;M3449&amp;")") &amp; CHAR(10) &amp;
  _xlpm.vanillaPrefix &amp; "Keyword = Uvi_Wig_Distr_KYWD|" &amp; B3449 &amp; CHAR(10) &amp;
  _xlpm.vanillaPrefix &amp; "Spell = " &amp; _xlpm.spell &amp; "|" &amp; B3449
  )
)</f>
        <v>;TreasCorpseHunterWoodElfM
;Keyword = Uvi_Wig_Distr_KYWD|TreasCorpseHunterWoodElfM
;Spell = No Spell for Hairstyle|TreasCorpseHunterWoodElfM</v>
      </c>
    </row>
    <row r="3450" ht="12.75" customHeight="1">
      <c r="A3450" s="5" t="s">
        <v>9272</v>
      </c>
      <c r="B3450" s="5" t="s">
        <v>9273</v>
      </c>
      <c r="D3450" s="5" t="s">
        <v>57</v>
      </c>
      <c r="E3450" s="5" t="s">
        <v>233</v>
      </c>
      <c r="F3450" s="5" t="s">
        <v>47</v>
      </c>
      <c r="G3450" s="14" t="str">
        <f t="array" ref="G3450">IF(B3450="", "",
  LET(_xlpm.spell, IFERROR(IF(F3450="", "", INDEX(_xlws.FILTER(Hairstyles!$F:$F, ISNUMBER(SEARCH(F3450, Hairstyles!$B:$B))), 1)), "No Spell for Hairstyle"),
  _xlpm.vanillaPrefix, IF(LEFT(_xlpm.spell, 7)="Uvi_Wig", "", ";"),
  ";" &amp; IF(C3450="", B3450, C3450) &amp; IF(M3450="", "", " ("&amp;M3450&amp;")") &amp; CHAR(10) &amp;
  _xlpm.vanillaPrefix &amp; "Keyword = Uvi_Wig_Distr_KYWD|" &amp; B3450 &amp; CHAR(10) &amp;
  _xlpm.vanillaPrefix &amp; "Spell = " &amp; _xlpm.spell &amp; "|" &amp; B3450
  )
)</f>
        <v>;TreasCorpseThalmorM
;Keyword = Uvi_Wig_Distr_KYWD|TreasCorpseThalmorM
;Spell = No Spell for Hairstyle|TreasCorpseThalmorM</v>
      </c>
    </row>
    <row r="3451" ht="12.75" customHeight="1">
      <c r="A3451" s="5" t="s">
        <v>9274</v>
      </c>
      <c r="B3451" s="5" t="s">
        <v>9275</v>
      </c>
      <c r="D3451" s="5" t="s">
        <v>57</v>
      </c>
      <c r="E3451" s="5" t="s">
        <v>233</v>
      </c>
      <c r="F3451" s="5" t="s">
        <v>47</v>
      </c>
      <c r="G3451" s="14" t="str">
        <f t="array" ref="G3451">IF(B3451="", "",
  LET(_xlpm.spell, IFERROR(IF(F3451="", "", INDEX(_xlws.FILTER(Hairstyles!$F:$F, ISNUMBER(SEARCH(F3451, Hairstyles!$B:$B))), 1)), "No Spell for Hairstyle"),
  _xlpm.vanillaPrefix, IF(LEFT(_xlpm.spell, 7)="Uvi_Wig", "", ";"),
  ";" &amp; IF(C3451="", B3451, C3451) &amp; IF(M3451="", "", " ("&amp;M3451&amp;")") &amp; CHAR(10) &amp;
  _xlpm.vanillaPrefix &amp; "Keyword = Uvi_Wig_Distr_KYWD|" &amp; B3451 &amp; CHAR(10) &amp;
  _xlpm.vanillaPrefix &amp; "Spell = " &amp; _xlpm.spell &amp; "|" &amp; B3451
  )
)</f>
        <v>;TreasCorpseThalmorMelee1HM
;Keyword = Uvi_Wig_Distr_KYWD|TreasCorpseThalmorMelee1HM
;Spell = No Spell for Hairstyle|TreasCorpseThalmorMelee1HM</v>
      </c>
    </row>
    <row r="3452" ht="12.75" customHeight="1">
      <c r="A3452" s="5" t="s">
        <v>9276</v>
      </c>
      <c r="B3452" s="5" t="s">
        <v>9277</v>
      </c>
      <c r="D3452" s="5" t="s">
        <v>34</v>
      </c>
      <c r="E3452" s="5" t="s">
        <v>41</v>
      </c>
      <c r="F3452" s="5" t="s">
        <v>2118</v>
      </c>
      <c r="G3452" s="14" t="str">
        <f t="array" ref="G3452">IF(B3452="", "",
  LET(_xlpm.spell, IFERROR(IF(F3452="", "", INDEX(_xlws.FILTER(Hairstyles!$F:$F, ISNUMBER(SEARCH(F3452, Hairstyles!$B:$B))), 1)), "No Spell for Hairstyle"),
  _xlpm.vanillaPrefix, IF(LEFT(_xlpm.spell, 7)="Uvi_Wig", "", ";"),
  ";" &amp; IF(C3452="", B3452, C3452) &amp; IF(M3452="", "", " ("&amp;M3452&amp;")") &amp; CHAR(10) &amp;
  _xlpm.vanillaPrefix &amp; "Keyword = Uvi_Wig_Distr_KYWD|" &amp; B3452 &amp; CHAR(10) &amp;
  _xlpm.vanillaPrefix &amp; "Spell = " &amp; _xlpm.spell &amp; "|" &amp; B3452
  )
)</f>
        <v>;TreasCorpseVampireBretonFemale
;Keyword = Uvi_Wig_Distr_KYWD|TreasCorpseVampireBretonFemale
;Spell = No Spell for Hairstyle|TreasCorpseVampireBretonFemale</v>
      </c>
    </row>
    <row r="3453" ht="12.75" customHeight="1">
      <c r="A3453" s="5" t="s">
        <v>9278</v>
      </c>
      <c r="B3453" s="5" t="s">
        <v>9279</v>
      </c>
      <c r="D3453" s="5" t="s">
        <v>34</v>
      </c>
      <c r="E3453" s="5" t="s">
        <v>233</v>
      </c>
      <c r="F3453" s="5" t="s">
        <v>40</v>
      </c>
      <c r="G3453" s="14" t="str">
        <f t="array" ref="G3453">IF(B3453="", "",
  LET(_xlpm.spell, IFERROR(IF(F3453="", "", INDEX(_xlws.FILTER(Hairstyles!$F:$F, ISNUMBER(SEARCH(F3453, Hairstyles!$B:$B))), 1)), "No Spell for Hairstyle"),
  _xlpm.vanillaPrefix, IF(LEFT(_xlpm.spell, 7)="Uvi_Wig", "", ";"),
  ";" &amp; IF(C3453="", B3453, C3453) &amp; IF(M3453="", "", " ("&amp;M3453&amp;")") &amp; CHAR(10) &amp;
  _xlpm.vanillaPrefix &amp; "Keyword = Uvi_Wig_Distr_KYWD|" &amp; B3453 &amp; CHAR(10) &amp;
  _xlpm.vanillaPrefix &amp; "Spell = " &amp; _xlpm.spell &amp; "|" &amp; B3453
  )
)</f>
        <v>;TreasCorpseVampireBretonMale
;Keyword = Uvi_Wig_Distr_KYWD|TreasCorpseVampireBretonMale
;Spell = No Spell for Hairstyle|TreasCorpseVampireBretonMale</v>
      </c>
    </row>
    <row r="3454" ht="12.75" customHeight="1">
      <c r="A3454" s="5" t="s">
        <v>9280</v>
      </c>
      <c r="B3454" s="5" t="s">
        <v>9281</v>
      </c>
      <c r="D3454" s="5" t="s">
        <v>50</v>
      </c>
      <c r="E3454" s="5" t="s">
        <v>41</v>
      </c>
      <c r="F3454" s="5" t="s">
        <v>48</v>
      </c>
      <c r="G3454" s="14" t="str">
        <f t="array" ref="G3454">IF(B3454="", "",
  LET(_xlpm.spell, IFERROR(IF(F3454="", "", INDEX(_xlws.FILTER(Hairstyles!$F:$F, ISNUMBER(SEARCH(F3454, Hairstyles!$B:$B))), 1)), "No Spell for Hairstyle"),
  _xlpm.vanillaPrefix, IF(LEFT(_xlpm.spell, 7)="Uvi_Wig", "", ";"),
  ";" &amp; IF(C3454="", B3454, C3454) &amp; IF(M3454="", "", " ("&amp;M3454&amp;")") &amp; CHAR(10) &amp;
  _xlpm.vanillaPrefix &amp; "Keyword = Uvi_Wig_Distr_KYWD|" &amp; B3454 &amp; CHAR(10) &amp;
  _xlpm.vanillaPrefix &amp; "Spell = " &amp; _xlpm.spell &amp; "|" &amp; B3454
  )
)</f>
        <v>;TreasCorpseVampireDarkElfFemale
;Keyword = Uvi_Wig_Distr_KYWD|TreasCorpseVampireDarkElfFemale
;Spell = No Spell for Hairstyle|TreasCorpseVampireDarkElfFemale</v>
      </c>
    </row>
    <row r="3455" ht="12.75" customHeight="1">
      <c r="A3455" s="5" t="s">
        <v>9282</v>
      </c>
      <c r="B3455" s="5" t="s">
        <v>9283</v>
      </c>
      <c r="D3455" s="5" t="s">
        <v>50</v>
      </c>
      <c r="E3455" s="5" t="s">
        <v>233</v>
      </c>
      <c r="F3455" s="5" t="s">
        <v>47</v>
      </c>
      <c r="G3455" s="14" t="str">
        <f t="array" ref="G3455">IF(B3455="", "",
  LET(_xlpm.spell, IFERROR(IF(F3455="", "", INDEX(_xlws.FILTER(Hairstyles!$F:$F, ISNUMBER(SEARCH(F3455, Hairstyles!$B:$B))), 1)), "No Spell for Hairstyle"),
  _xlpm.vanillaPrefix, IF(LEFT(_xlpm.spell, 7)="Uvi_Wig", "", ";"),
  ";" &amp; IF(C3455="", B3455, C3455) &amp; IF(M3455="", "", " ("&amp;M3455&amp;")") &amp; CHAR(10) &amp;
  _xlpm.vanillaPrefix &amp; "Keyword = Uvi_Wig_Distr_KYWD|" &amp; B3455 &amp; CHAR(10) &amp;
  _xlpm.vanillaPrefix &amp; "Spell = " &amp; _xlpm.spell &amp; "|" &amp; B3455
  )
)</f>
        <v>;TreasCorpseVampireDarkElfMale
;Keyword = Uvi_Wig_Distr_KYWD|TreasCorpseVampireDarkElfMale
;Spell = No Spell for Hairstyle|TreasCorpseVampireDarkElfMale</v>
      </c>
    </row>
    <row r="3456" ht="12.75" customHeight="1">
      <c r="A3456" s="5" t="s">
        <v>9284</v>
      </c>
      <c r="B3456" s="5" t="s">
        <v>9285</v>
      </c>
      <c r="D3456" s="5" t="s">
        <v>58</v>
      </c>
      <c r="E3456" s="5" t="s">
        <v>41</v>
      </c>
      <c r="F3456" s="5" t="s">
        <v>6747</v>
      </c>
      <c r="G3456" s="14" t="str">
        <f t="array" ref="G3456">IF(B3456="", "",
  LET(_xlpm.spell, IFERROR(IF(F3456="", "", INDEX(_xlws.FILTER(Hairstyles!$F:$F, ISNUMBER(SEARCH(F3456, Hairstyles!$B:$B))), 1)), "No Spell for Hairstyle"),
  _xlpm.vanillaPrefix, IF(LEFT(_xlpm.spell, 7)="Uvi_Wig", "", ";"),
  ";" &amp; IF(C3456="", B3456, C3456) &amp; IF(M3456="", "", " ("&amp;M3456&amp;")") &amp; CHAR(10) &amp;
  _xlpm.vanillaPrefix &amp; "Keyword = Uvi_Wig_Distr_KYWD|" &amp; B3456 &amp; CHAR(10) &amp;
  _xlpm.vanillaPrefix &amp; "Spell = " &amp; _xlpm.spell &amp; "|" &amp; B3456
  )
)</f>
        <v>;TreasCorpseVampireHighElfFemale
;Keyword = Uvi_Wig_Distr_KYWD|TreasCorpseVampireHighElfFemale
;Spell = No Spell for Hairstyle|TreasCorpseVampireHighElfFemale</v>
      </c>
    </row>
    <row r="3457" ht="12.75" customHeight="1">
      <c r="A3457" s="5" t="s">
        <v>9286</v>
      </c>
      <c r="B3457" s="5" t="s">
        <v>9287</v>
      </c>
      <c r="D3457" s="5" t="s">
        <v>58</v>
      </c>
      <c r="E3457" s="5" t="s">
        <v>233</v>
      </c>
      <c r="F3457" s="5" t="s">
        <v>47</v>
      </c>
      <c r="G3457" s="14" t="str">
        <f t="array" ref="G3457">IF(B3457="", "",
  LET(_xlpm.spell, IFERROR(IF(F3457="", "", INDEX(_xlws.FILTER(Hairstyles!$F:$F, ISNUMBER(SEARCH(F3457, Hairstyles!$B:$B))), 1)), "No Spell for Hairstyle"),
  _xlpm.vanillaPrefix, IF(LEFT(_xlpm.spell, 7)="Uvi_Wig", "", ";"),
  ";" &amp; IF(C3457="", B3457, C3457) &amp; IF(M3457="", "", " ("&amp;M3457&amp;")") &amp; CHAR(10) &amp;
  _xlpm.vanillaPrefix &amp; "Keyword = Uvi_Wig_Distr_KYWD|" &amp; B3457 &amp; CHAR(10) &amp;
  _xlpm.vanillaPrefix &amp; "Spell = " &amp; _xlpm.spell &amp; "|" &amp; B3457
  )
)</f>
        <v>;TreasCorpseVampireHighElfMale
;Keyword = Uvi_Wig_Distr_KYWD|TreasCorpseVampireHighElfMale
;Spell = No Spell for Hairstyle|TreasCorpseVampireHighElfMale</v>
      </c>
    </row>
    <row r="3458" ht="12.75" customHeight="1">
      <c r="A3458" s="5" t="s">
        <v>9288</v>
      </c>
      <c r="B3458" s="5" t="s">
        <v>9289</v>
      </c>
      <c r="D3458" s="5" t="s">
        <v>63</v>
      </c>
      <c r="E3458" s="5" t="s">
        <v>41</v>
      </c>
      <c r="F3458" s="5" t="s">
        <v>343</v>
      </c>
      <c r="G3458" s="14" t="str">
        <f t="array" ref="G3458">IF(B3458="", "",
  LET(_xlpm.spell, IFERROR(IF(F3458="", "", INDEX(_xlws.FILTER(Hairstyles!$F:$F, ISNUMBER(SEARCH(F3458, Hairstyles!$B:$B))), 1)), "No Spell for Hairstyle"),
  _xlpm.vanillaPrefix, IF(LEFT(_xlpm.spell, 7)="Uvi_Wig", "", ";"),
  ";" &amp; IF(C3458="", B3458, C3458) &amp; IF(M3458="", "", " ("&amp;M3458&amp;")") &amp; CHAR(10) &amp;
  _xlpm.vanillaPrefix &amp; "Keyword = Uvi_Wig_Distr_KYWD|" &amp; B3458 &amp; CHAR(10) &amp;
  _xlpm.vanillaPrefix &amp; "Spell = " &amp; _xlpm.spell &amp; "|" &amp; B3458
  )
)</f>
        <v>;TreasCorpseVampireImperialFemale
;Keyword = Uvi_Wig_Distr_KYWD|TreasCorpseVampireImperialFemale
;Spell = No Spell for Hairstyle|TreasCorpseVampireImperialFemale</v>
      </c>
    </row>
    <row r="3459" ht="12.75" customHeight="1">
      <c r="A3459" s="5" t="s">
        <v>9290</v>
      </c>
      <c r="B3459" s="5" t="s">
        <v>9291</v>
      </c>
      <c r="D3459" s="5" t="s">
        <v>63</v>
      </c>
      <c r="E3459" s="5" t="s">
        <v>233</v>
      </c>
      <c r="F3459" s="5" t="s">
        <v>1566</v>
      </c>
      <c r="G3459" s="14" t="str">
        <f t="array" ref="G3459">IF(B3459="", "",
  LET(_xlpm.spell, IFERROR(IF(F3459="", "", INDEX(_xlws.FILTER(Hairstyles!$F:$F, ISNUMBER(SEARCH(F3459, Hairstyles!$B:$B))), 1)), "No Spell for Hairstyle"),
  _xlpm.vanillaPrefix, IF(LEFT(_xlpm.spell, 7)="Uvi_Wig", "", ";"),
  ";" &amp; IF(C3459="", B3459, C3459) &amp; IF(M3459="", "", " ("&amp;M3459&amp;")") &amp; CHAR(10) &amp;
  _xlpm.vanillaPrefix &amp; "Keyword = Uvi_Wig_Distr_KYWD|" &amp; B3459 &amp; CHAR(10) &amp;
  _xlpm.vanillaPrefix &amp; "Spell = " &amp; _xlpm.spell &amp; "|" &amp; B3459
  )
)</f>
        <v>;TreasCorpseVampireImperialMale
;Keyword = Uvi_Wig_Distr_KYWD|TreasCorpseVampireImperialMale
;Spell = No Spell for Hairstyle|TreasCorpseVampireImperialMale</v>
      </c>
    </row>
    <row r="3460" ht="12.75" customHeight="1">
      <c r="A3460" s="5" t="s">
        <v>9292</v>
      </c>
      <c r="B3460" s="5" t="s">
        <v>9293</v>
      </c>
      <c r="D3460" s="5" t="s">
        <v>79</v>
      </c>
      <c r="E3460" s="5" t="s">
        <v>41</v>
      </c>
      <c r="F3460" s="5" t="s">
        <v>1596</v>
      </c>
      <c r="G3460" s="14" t="str">
        <f t="array" ref="G3460">IF(B3460="", "",
  LET(_xlpm.spell, IFERROR(IF(F3460="", "", INDEX(_xlws.FILTER(Hairstyles!$F:$F, ISNUMBER(SEARCH(F3460, Hairstyles!$B:$B))), 1)), "No Spell for Hairstyle"),
  _xlpm.vanillaPrefix, IF(LEFT(_xlpm.spell, 7)="Uvi_Wig", "", ";"),
  ";" &amp; IF(C3460="", B3460, C3460) &amp; IF(M3460="", "", " ("&amp;M3460&amp;")") &amp; CHAR(10) &amp;
  _xlpm.vanillaPrefix &amp; "Keyword = Uvi_Wig_Distr_KYWD|" &amp; B3460 &amp; CHAR(10) &amp;
  _xlpm.vanillaPrefix &amp; "Spell = " &amp; _xlpm.spell &amp; "|" &amp; B3460
  )
)</f>
        <v>;TreasCorpseVampireNordFemale
;Keyword = Uvi_Wig_Distr_KYWD|TreasCorpseVampireNordFemale
;Spell = No Spell for Hairstyle|TreasCorpseVampireNordFemale</v>
      </c>
    </row>
    <row r="3461" ht="12.75" customHeight="1">
      <c r="A3461" s="5" t="s">
        <v>9294</v>
      </c>
      <c r="B3461" s="5" t="s">
        <v>9295</v>
      </c>
      <c r="D3461" s="5" t="s">
        <v>79</v>
      </c>
      <c r="E3461" s="5" t="s">
        <v>233</v>
      </c>
      <c r="F3461" s="5" t="s">
        <v>1678</v>
      </c>
      <c r="G3461" s="14" t="str">
        <f t="array" ref="G3461">IF(B3461="", "",
  LET(_xlpm.spell, IFERROR(IF(F3461="", "", INDEX(_xlws.FILTER(Hairstyles!$F:$F, ISNUMBER(SEARCH(F3461, Hairstyles!$B:$B))), 1)), "No Spell for Hairstyle"),
  _xlpm.vanillaPrefix, IF(LEFT(_xlpm.spell, 7)="Uvi_Wig", "", ";"),
  ";" &amp; IF(C3461="", B3461, C3461) &amp; IF(M3461="", "", " ("&amp;M3461&amp;")") &amp; CHAR(10) &amp;
  _xlpm.vanillaPrefix &amp; "Keyword = Uvi_Wig_Distr_KYWD|" &amp; B3461 &amp; CHAR(10) &amp;
  _xlpm.vanillaPrefix &amp; "Spell = " &amp; _xlpm.spell &amp; "|" &amp; B3461
  )
)</f>
        <v>;TreasCorpseVampireNordMale
;Keyword = Uvi_Wig_Distr_KYWD|TreasCorpseVampireNordMale
;Spell = No Spell for Hairstyle|TreasCorpseVampireNordMale</v>
      </c>
    </row>
    <row r="3462" ht="12.75" customHeight="1">
      <c r="A3462" s="5" t="s">
        <v>9296</v>
      </c>
      <c r="B3462" s="5" t="s">
        <v>9297</v>
      </c>
      <c r="D3462" s="5" t="s">
        <v>38</v>
      </c>
      <c r="E3462" s="5" t="s">
        <v>41</v>
      </c>
      <c r="F3462" s="5" t="s">
        <v>69</v>
      </c>
      <c r="G3462" s="14" t="str">
        <f t="array" ref="G3462">IF(B3462="", "",
  LET(_xlpm.spell, IFERROR(IF(F3462="", "", INDEX(_xlws.FILTER(Hairstyles!$F:$F, ISNUMBER(SEARCH(F3462, Hairstyles!$B:$B))), 1)), "No Spell for Hairstyle"),
  _xlpm.vanillaPrefix, IF(LEFT(_xlpm.spell, 7)="Uvi_Wig", "", ";"),
  ";" &amp; IF(C3462="", B3462, C3462) &amp; IF(M3462="", "", " ("&amp;M3462&amp;")") &amp; CHAR(10) &amp;
  _xlpm.vanillaPrefix &amp; "Keyword = Uvi_Wig_Distr_KYWD|" &amp; B3462 &amp; CHAR(10) &amp;
  _xlpm.vanillaPrefix &amp; "Spell = " &amp; _xlpm.spell &amp; "|" &amp; B3462
  )
)</f>
        <v>;TreasCorpseVigilantOfStendarrFemale
;Keyword = Uvi_Wig_Distr_KYWD|TreasCorpseVigilantOfStendarrFemale
;Spell = No Spell for Hairstyle|TreasCorpseVigilantOfStendarrFemale</v>
      </c>
    </row>
    <row r="3463" ht="12.75" customHeight="1">
      <c r="A3463" s="5" t="s">
        <v>9298</v>
      </c>
      <c r="B3463" s="5" t="s">
        <v>9299</v>
      </c>
      <c r="D3463" s="5" t="s">
        <v>83</v>
      </c>
      <c r="E3463" s="5" t="s">
        <v>41</v>
      </c>
      <c r="F3463" s="5" t="s">
        <v>281</v>
      </c>
      <c r="G3463" s="14" t="str">
        <f t="array" ref="G3463">IF(B3463="", "",
  LET(_xlpm.spell, IFERROR(IF(F3463="", "", INDEX(_xlws.FILTER(Hairstyles!$F:$F, ISNUMBER(SEARCH(F3463, Hairstyles!$B:$B))), 1)), "No Spell for Hairstyle"),
  _xlpm.vanillaPrefix, IF(LEFT(_xlpm.spell, 7)="Uvi_Wig", "", ";"),
  ";" &amp; IF(C3463="", B3463, C3463) &amp; IF(M3463="", "", " ("&amp;M3463&amp;")") &amp; CHAR(10) &amp;
  _xlpm.vanillaPrefix &amp; "Keyword = Uvi_Wig_Distr_KYWD|" &amp; B3463 &amp; CHAR(10) &amp;
  _xlpm.vanillaPrefix &amp; "Spell = " &amp; _xlpm.spell &amp; "|" &amp; B3463
  )
)</f>
        <v>;TreasCorpseVigilantOfStendarrFemale02
;Keyword = Uvi_Wig_Distr_KYWD|TreasCorpseVigilantOfStendarrFemale02
;Spell = No Spell for Hairstyle|TreasCorpseVigilantOfStendarrFemale02</v>
      </c>
    </row>
    <row r="3464" ht="12.75" customHeight="1">
      <c r="A3464" s="5" t="s">
        <v>9300</v>
      </c>
      <c r="B3464" s="5" t="s">
        <v>9301</v>
      </c>
      <c r="D3464" s="5" t="s">
        <v>38</v>
      </c>
      <c r="E3464" s="5" t="s">
        <v>233</v>
      </c>
      <c r="F3464" s="5" t="s">
        <v>1622</v>
      </c>
      <c r="G3464" s="14" t="str">
        <f t="array" ref="G3464">IF(B3464="", "",
  LET(_xlpm.spell, IFERROR(IF(F3464="", "", INDEX(_xlws.FILTER(Hairstyles!$F:$F, ISNUMBER(SEARCH(F3464, Hairstyles!$B:$B))), 1)), "No Spell for Hairstyle"),
  _xlpm.vanillaPrefix, IF(LEFT(_xlpm.spell, 7)="Uvi_Wig", "", ";"),
  ";" &amp; IF(C3464="", B3464, C3464) &amp; IF(M3464="", "", " ("&amp;M3464&amp;")") &amp; CHAR(10) &amp;
  _xlpm.vanillaPrefix &amp; "Keyword = Uvi_Wig_Distr_KYWD|" &amp; B3464 &amp; CHAR(10) &amp;
  _xlpm.vanillaPrefix &amp; "Spell = " &amp; _xlpm.spell &amp; "|" &amp; B3464
  )
)</f>
        <v>;TreasCorpseVigilantOfStendarrMale
;Keyword = Uvi_Wig_Distr_KYWD|TreasCorpseVigilantOfStendarrMale
;Spell = No Spell for Hairstyle|TreasCorpseVigilantOfStendarrMale</v>
      </c>
    </row>
    <row r="3465" ht="12.75" customHeight="1">
      <c r="A3465" s="5" t="s">
        <v>9302</v>
      </c>
      <c r="B3465" s="5" t="s">
        <v>9303</v>
      </c>
      <c r="D3465" s="5" t="s">
        <v>38</v>
      </c>
      <c r="E3465" s="5" t="s">
        <v>233</v>
      </c>
      <c r="F3465" s="5" t="s">
        <v>218</v>
      </c>
      <c r="G3465" s="14" t="str">
        <f t="array" ref="G3465">IF(B3465="", "",
  LET(_xlpm.spell, IFERROR(IF(F3465="", "", INDEX(_xlws.FILTER(Hairstyles!$F:$F, ISNUMBER(SEARCH(F3465, Hairstyles!$B:$B))), 1)), "No Spell for Hairstyle"),
  _xlpm.vanillaPrefix, IF(LEFT(_xlpm.spell, 7)="Uvi_Wig", "", ";"),
  ";" &amp; IF(C3465="", B3465, C3465) &amp; IF(M3465="", "", " ("&amp;M3465&amp;")") &amp; CHAR(10) &amp;
  _xlpm.vanillaPrefix &amp; "Keyword = Uvi_Wig_Distr_KYWD|" &amp; B3465 &amp; CHAR(10) &amp;
  _xlpm.vanillaPrefix &amp; "Spell = " &amp; _xlpm.spell &amp; "|" &amp; B3465
  )
)</f>
        <v>;TreasCorpseVigilantOfStendarrMale02
;Keyword = Uvi_Wig_Distr_KYWD|TreasCorpseVigilantOfStendarrMale02
;Spell = No Spell for Hairstyle|TreasCorpseVigilantOfStendarrMale02</v>
      </c>
    </row>
    <row r="3466" ht="12.75" customHeight="1">
      <c r="A3466" s="5" t="s">
        <v>9304</v>
      </c>
      <c r="B3466" s="5" t="s">
        <v>9305</v>
      </c>
      <c r="D3466" s="5" t="s">
        <v>16</v>
      </c>
      <c r="E3466" s="5" t="s">
        <v>41</v>
      </c>
      <c r="F3466" s="5" t="s">
        <v>42</v>
      </c>
      <c r="G3466" s="14" t="str">
        <f t="array" ref="G3466">IF(B3466="", "",
  LET(_xlpm.spell, IFERROR(IF(F3466="", "", INDEX(_xlws.FILTER(Hairstyles!$F:$F, ISNUMBER(SEARCH(F3466, Hairstyles!$B:$B))), 1)), "No Spell for Hairstyle"),
  _xlpm.vanillaPrefix, IF(LEFT(_xlpm.spell, 7)="Uvi_Wig", "", ";"),
  ";" &amp; IF(C3466="", B3466, C3466) &amp; IF(M3466="", "", " ("&amp;M3466&amp;")") &amp; CHAR(10) &amp;
  _xlpm.vanillaPrefix &amp; "Keyword = Uvi_Wig_Distr_KYWD|" &amp; B3466 &amp; CHAR(10) &amp;
  _xlpm.vanillaPrefix &amp; "Spell = " &amp; _xlpm.spell &amp; "|" &amp; B3466
  )
)</f>
        <v>;TreasCorpseWarlockBretonFemale
;Keyword = Uvi_Wig_Distr_KYWD|TreasCorpseWarlockBretonFemale
;Spell = No Spell for Hairstyle|TreasCorpseWarlockBretonFemale</v>
      </c>
    </row>
    <row r="3467" ht="12.75" customHeight="1">
      <c r="A3467" s="5" t="s">
        <v>9306</v>
      </c>
      <c r="B3467" s="5" t="s">
        <v>9307</v>
      </c>
      <c r="D3467" s="5" t="s">
        <v>16</v>
      </c>
      <c r="E3467" s="5" t="s">
        <v>233</v>
      </c>
      <c r="F3467" s="5" t="s">
        <v>1894</v>
      </c>
      <c r="G3467" s="14" t="str">
        <f t="array" ref="G3467">IF(B3467="", "",
  LET(_xlpm.spell, IFERROR(IF(F3467="", "", INDEX(_xlws.FILTER(Hairstyles!$F:$F, ISNUMBER(SEARCH(F3467, Hairstyles!$B:$B))), 1)), "No Spell for Hairstyle"),
  _xlpm.vanillaPrefix, IF(LEFT(_xlpm.spell, 7)="Uvi_Wig", "", ";"),
  ";" &amp; IF(C3467="", B3467, C3467) &amp; IF(M3467="", "", " ("&amp;M3467&amp;")") &amp; CHAR(10) &amp;
  _xlpm.vanillaPrefix &amp; "Keyword = Uvi_Wig_Distr_KYWD|" &amp; B3467 &amp; CHAR(10) &amp;
  _xlpm.vanillaPrefix &amp; "Spell = " &amp; _xlpm.spell &amp; "|" &amp; B3467
  )
)</f>
        <v>;TreasCorpseWarlockBretonMale
;Keyword = Uvi_Wig_Distr_KYWD|TreasCorpseWarlockBretonMale
;Spell = No Spell for Hairstyle|TreasCorpseWarlockBretonMale</v>
      </c>
    </row>
    <row r="3468" ht="12.75" customHeight="1">
      <c r="A3468" s="5" t="s">
        <v>9308</v>
      </c>
      <c r="B3468" s="5" t="s">
        <v>9309</v>
      </c>
      <c r="D3468" s="5" t="s">
        <v>45</v>
      </c>
      <c r="E3468" s="5" t="s">
        <v>41</v>
      </c>
      <c r="F3468" s="5" t="s">
        <v>1691</v>
      </c>
      <c r="G3468" s="14" t="str">
        <f t="array" ref="G3468">IF(B3468="", "",
  LET(_xlpm.spell, IFERROR(IF(F3468="", "", INDEX(_xlws.FILTER(Hairstyles!$F:$F, ISNUMBER(SEARCH(F3468, Hairstyles!$B:$B))), 1)), "No Spell for Hairstyle"),
  _xlpm.vanillaPrefix, IF(LEFT(_xlpm.spell, 7)="Uvi_Wig", "", ";"),
  ";" &amp; IF(C3468="", B3468, C3468) &amp; IF(M3468="", "", " ("&amp;M3468&amp;")") &amp; CHAR(10) &amp;
  _xlpm.vanillaPrefix &amp; "Keyword = Uvi_Wig_Distr_KYWD|" &amp; B3468 &amp; CHAR(10) &amp;
  _xlpm.vanillaPrefix &amp; "Spell = " &amp; _xlpm.spell &amp; "|" &amp; B3468
  )
)</f>
        <v>;TreasCorpseWarlockDarkElfFemale
;Keyword = Uvi_Wig_Distr_KYWD|TreasCorpseWarlockDarkElfFemale
;Spell = No Spell for Hairstyle|TreasCorpseWarlockDarkElfFemale</v>
      </c>
    </row>
    <row r="3469" ht="12.75" customHeight="1">
      <c r="A3469" s="5" t="s">
        <v>9310</v>
      </c>
      <c r="B3469" s="5" t="s">
        <v>9311</v>
      </c>
      <c r="D3469" s="5" t="s">
        <v>45</v>
      </c>
      <c r="E3469" s="5" t="s">
        <v>233</v>
      </c>
      <c r="F3469" s="5" t="s">
        <v>1541</v>
      </c>
      <c r="G3469" s="14" t="str">
        <f t="array" ref="G3469">IF(B3469="", "",
  LET(_xlpm.spell, IFERROR(IF(F3469="", "", INDEX(_xlws.FILTER(Hairstyles!$F:$F, ISNUMBER(SEARCH(F3469, Hairstyles!$B:$B))), 1)), "No Spell for Hairstyle"),
  _xlpm.vanillaPrefix, IF(LEFT(_xlpm.spell, 7)="Uvi_Wig", "", ";"),
  ";" &amp; IF(C3469="", B3469, C3469) &amp; IF(M3469="", "", " ("&amp;M3469&amp;")") &amp; CHAR(10) &amp;
  _xlpm.vanillaPrefix &amp; "Keyword = Uvi_Wig_Distr_KYWD|" &amp; B3469 &amp; CHAR(10) &amp;
  _xlpm.vanillaPrefix &amp; "Spell = " &amp; _xlpm.spell &amp; "|" &amp; B3469
  )
)</f>
        <v>;TreasCorpseWarlockDarkElfMale
;Keyword = Uvi_Wig_Distr_KYWD|TreasCorpseWarlockDarkElfMale
;Spell = No Spell for Hairstyle|TreasCorpseWarlockDarkElfMale</v>
      </c>
    </row>
    <row r="3470" ht="12.75" customHeight="1">
      <c r="A3470" s="5" t="s">
        <v>9312</v>
      </c>
      <c r="B3470" s="5" t="s">
        <v>9313</v>
      </c>
      <c r="D3470" s="5" t="s">
        <v>45</v>
      </c>
      <c r="E3470" s="5" t="s">
        <v>233</v>
      </c>
      <c r="F3470" s="5" t="s">
        <v>1541</v>
      </c>
      <c r="G3470" s="14" t="str">
        <f t="array" ref="G3470">IF(B3470="", "",
  LET(_xlpm.spell, IFERROR(IF(F3470="", "", INDEX(_xlws.FILTER(Hairstyles!$F:$F, ISNUMBER(SEARCH(F3470, Hairstyles!$B:$B))), 1)), "No Spell for Hairstyle"),
  _xlpm.vanillaPrefix, IF(LEFT(_xlpm.spell, 7)="Uvi_Wig", "", ";"),
  ";" &amp; IF(C3470="", B3470, C3470) &amp; IF(M3470="", "", " ("&amp;M3470&amp;")") &amp; CHAR(10) &amp;
  _xlpm.vanillaPrefix &amp; "Keyword = Uvi_Wig_Distr_KYWD|" &amp; B3470 &amp; CHAR(10) &amp;
  _xlpm.vanillaPrefix &amp; "Spell = " &amp; _xlpm.spell &amp; "|" &amp; B3470
  )
)</f>
        <v>;TreasCorpseWarlockDarkElfMaleCOPY0000
;Keyword = Uvi_Wig_Distr_KYWD|TreasCorpseWarlockDarkElfMaleCOPY0000
;Spell = No Spell for Hairstyle|TreasCorpseWarlockDarkElfMaleCOPY0000</v>
      </c>
    </row>
    <row r="3471" ht="12.75" customHeight="1">
      <c r="A3471" s="5" t="s">
        <v>9314</v>
      </c>
      <c r="B3471" s="5" t="s">
        <v>9315</v>
      </c>
      <c r="D3471" s="5" t="s">
        <v>57</v>
      </c>
      <c r="E3471" s="5" t="s">
        <v>233</v>
      </c>
      <c r="F3471" s="5" t="s">
        <v>1937</v>
      </c>
      <c r="G3471" s="14" t="str">
        <f t="array" ref="G3471">IF(B3471="", "",
  LET(_xlpm.spell, IFERROR(IF(F3471="", "", INDEX(_xlws.FILTER(Hairstyles!$F:$F, ISNUMBER(SEARCH(F3471, Hairstyles!$B:$B))), 1)), "No Spell for Hairstyle"),
  _xlpm.vanillaPrefix, IF(LEFT(_xlpm.spell, 7)="Uvi_Wig", "", ";"),
  ";" &amp; IF(C3471="", B3471, C3471) &amp; IF(M3471="", "", " ("&amp;M3471&amp;")") &amp; CHAR(10) &amp;
  _xlpm.vanillaPrefix &amp; "Keyword = Uvi_Wig_Distr_KYWD|" &amp; B3471 &amp; CHAR(10) &amp;
  _xlpm.vanillaPrefix &amp; "Spell = " &amp; _xlpm.spell &amp; "|" &amp; B3471
  )
)</f>
        <v>;TreasCorpseWarlockHighElfMale
;Keyword = Uvi_Wig_Distr_KYWD|TreasCorpseWarlockHighElfMale
;Spell = No Spell for Hairstyle|TreasCorpseWarlockHighElfMale</v>
      </c>
    </row>
    <row r="3472" ht="12.75" customHeight="1">
      <c r="A3472" s="5" t="s">
        <v>9316</v>
      </c>
      <c r="B3472" s="5" t="s">
        <v>9317</v>
      </c>
      <c r="D3472" s="5" t="s">
        <v>59</v>
      </c>
      <c r="E3472" s="5" t="s">
        <v>41</v>
      </c>
      <c r="F3472" s="5" t="s">
        <v>343</v>
      </c>
      <c r="G3472" s="14" t="str">
        <f t="array" ref="G3472">IF(B3472="", "",
  LET(_xlpm.spell, IFERROR(IF(F3472="", "", INDEX(_xlws.FILTER(Hairstyles!$F:$F, ISNUMBER(SEARCH(F3472, Hairstyles!$B:$B))), 1)), "No Spell for Hairstyle"),
  _xlpm.vanillaPrefix, IF(LEFT(_xlpm.spell, 7)="Uvi_Wig", "", ";"),
  ";" &amp; IF(C3472="", B3472, C3472) &amp; IF(M3472="", "", " ("&amp;M3472&amp;")") &amp; CHAR(10) &amp;
  _xlpm.vanillaPrefix &amp; "Keyword = Uvi_Wig_Distr_KYWD|" &amp; B3472 &amp; CHAR(10) &amp;
  _xlpm.vanillaPrefix &amp; "Spell = " &amp; _xlpm.spell &amp; "|" &amp; B3472
  )
)</f>
        <v>;TreasCorpseWarlockImperialFemale
;Keyword = Uvi_Wig_Distr_KYWD|TreasCorpseWarlockImperialFemale
;Spell = No Spell for Hairstyle|TreasCorpseWarlockImperialFemale</v>
      </c>
    </row>
    <row r="3473" ht="12.75" customHeight="1">
      <c r="A3473" s="5" t="s">
        <v>9318</v>
      </c>
      <c r="B3473" s="5" t="s">
        <v>9319</v>
      </c>
      <c r="D3473" s="5" t="s">
        <v>59</v>
      </c>
      <c r="E3473" s="5" t="s">
        <v>233</v>
      </c>
      <c r="F3473" s="5" t="s">
        <v>234</v>
      </c>
      <c r="G3473" s="14" t="str">
        <f t="array" ref="G3473">IF(B3473="", "",
  LET(_xlpm.spell, IFERROR(IF(F3473="", "", INDEX(_xlws.FILTER(Hairstyles!$F:$F, ISNUMBER(SEARCH(F3473, Hairstyles!$B:$B))), 1)), "No Spell for Hairstyle"),
  _xlpm.vanillaPrefix, IF(LEFT(_xlpm.spell, 7)="Uvi_Wig", "", ";"),
  ";" &amp; IF(C3473="", B3473, C3473) &amp; IF(M3473="", "", " ("&amp;M3473&amp;")") &amp; CHAR(10) &amp;
  _xlpm.vanillaPrefix &amp; "Keyword = Uvi_Wig_Distr_KYWD|" &amp; B3473 &amp; CHAR(10) &amp;
  _xlpm.vanillaPrefix &amp; "Spell = " &amp; _xlpm.spell &amp; "|" &amp; B3473
  )
)</f>
        <v>;TreasCorpseWarlockImperialMale
;Keyword = Uvi_Wig_Distr_KYWD|TreasCorpseWarlockImperialMale
;Spell = No Spell for Hairstyle|TreasCorpseWarlockImperialMale</v>
      </c>
    </row>
    <row r="3474" ht="12.75" customHeight="1">
      <c r="A3474" s="5" t="s">
        <v>9320</v>
      </c>
      <c r="B3474" s="5" t="s">
        <v>9321</v>
      </c>
      <c r="D3474" s="5" t="s">
        <v>57</v>
      </c>
      <c r="E3474" s="5" t="s">
        <v>233</v>
      </c>
      <c r="F3474" s="5" t="s">
        <v>1541</v>
      </c>
      <c r="G3474" s="14" t="str">
        <f t="array" ref="G3474">IF(B3474="", "",
  LET(_xlpm.spell, IFERROR(IF(F3474="", "", INDEX(_xlws.FILTER(Hairstyles!$F:$F, ISNUMBER(SEARCH(F3474, Hairstyles!$B:$B))), 1)), "No Spell for Hairstyle"),
  _xlpm.vanillaPrefix, IF(LEFT(_xlpm.spell, 7)="Uvi_Wig", "", ";"),
  ";" &amp; IF(C3474="", B3474, C3474) &amp; IF(M3474="", "", " ("&amp;M3474&amp;")") &amp; CHAR(10) &amp;
  _xlpm.vanillaPrefix &amp; "Keyword = Uvi_Wig_Distr_KYWD|" &amp; B3474 &amp; CHAR(10) &amp;
  _xlpm.vanillaPrefix &amp; "Spell = " &amp; _xlpm.spell &amp; "|" &amp; B3474
  )
)</f>
        <v>;ValmirImperial
;Keyword = Uvi_Wig_Distr_KYWD|ValmirImperial
;Spell = No Spell for Hairstyle|ValmirImperial</v>
      </c>
    </row>
    <row r="3475" ht="12.75" customHeight="1">
      <c r="A3475" s="5" t="s">
        <v>9322</v>
      </c>
      <c r="B3475" s="5" t="s">
        <v>9323</v>
      </c>
      <c r="D3475" s="5" t="s">
        <v>57</v>
      </c>
      <c r="E3475" s="5" t="s">
        <v>233</v>
      </c>
      <c r="F3475" s="5" t="s">
        <v>1541</v>
      </c>
      <c r="G3475" s="14" t="str">
        <f t="array" ref="G3475">IF(B3475="", "",
  LET(_xlpm.spell, IFERROR(IF(F3475="", "", INDEX(_xlws.FILTER(Hairstyles!$F:$F, ISNUMBER(SEARCH(F3475, Hairstyles!$B:$B))), 1)), "No Spell for Hairstyle"),
  _xlpm.vanillaPrefix, IF(LEFT(_xlpm.spell, 7)="Uvi_Wig", "", ";"),
  ";" &amp; IF(C3475="", B3475, C3475) &amp; IF(M3475="", "", " ("&amp;M3475&amp;")") &amp; CHAR(10) &amp;
  _xlpm.vanillaPrefix &amp; "Keyword = Uvi_Wig_Distr_KYWD|" &amp; B3475 &amp; CHAR(10) &amp;
  _xlpm.vanillaPrefix &amp; "Spell = " &amp; _xlpm.spell &amp; "|" &amp; B3475
  )
)</f>
        <v>;ValmirSons
;Keyword = Uvi_Wig_Distr_KYWD|ValmirSons
;Spell = No Spell for Hairstyle|ValmirSons</v>
      </c>
    </row>
    <row r="3476" ht="12.75" customHeight="1">
      <c r="A3476" s="5" t="s">
        <v>9324</v>
      </c>
      <c r="B3476" s="5" t="s">
        <v>9325</v>
      </c>
      <c r="D3476" s="5" t="s">
        <v>16</v>
      </c>
      <c r="E3476" s="5" t="s">
        <v>233</v>
      </c>
      <c r="F3476" s="5" t="s">
        <v>19</v>
      </c>
      <c r="G3476" s="14" t="str">
        <f t="array" ref="G3476">IF(B3476="", "",
  LET(_xlpm.spell, IFERROR(IF(F3476="", "", INDEX(_xlws.FILTER(Hairstyles!$F:$F, ISNUMBER(SEARCH(F3476, Hairstyles!$B:$B))), 1)), "No Spell for Hairstyle"),
  _xlpm.vanillaPrefix, IF(LEFT(_xlpm.spell, 7)="Uvi_Wig", "", ";"),
  ";" &amp; IF(C3476="", B3476, C3476) &amp; IF(M3476="", "", " ("&amp;M3476&amp;")") &amp; CHAR(10) &amp;
  _xlpm.vanillaPrefix &amp; "Keyword = Uvi_Wig_Distr_KYWD|" &amp; B3476 &amp; CHAR(10) &amp;
  _xlpm.vanillaPrefix &amp; "Spell = " &amp; _xlpm.spell &amp; "|" &amp; B3476
  )
)</f>
        <v>;WarehouseNPCWebActorSit
;Keyword = Uvi_Wig_Distr_KYWD|WarehouseNPCWebActorSit
;Spell = No Spell for Hairstyle|WarehouseNPCWebActorSit</v>
      </c>
    </row>
    <row r="3477" ht="12.75" customHeight="1">
      <c r="A3477" s="5" t="s">
        <v>9326</v>
      </c>
      <c r="B3477" s="5" t="s">
        <v>9327</v>
      </c>
      <c r="D3477" s="5" t="s">
        <v>38</v>
      </c>
      <c r="E3477" s="5" t="s">
        <v>233</v>
      </c>
      <c r="F3477" s="5" t="s">
        <v>68</v>
      </c>
      <c r="G3477" s="14" t="str">
        <f t="array" ref="G3477">IF(B3477="", "",
  LET(_xlpm.spell, IFERROR(IF(F3477="", "", INDEX(_xlws.FILTER(Hairstyles!$F:$F, ISNUMBER(SEARCH(F3477, Hairstyles!$B:$B))), 1)), "No Spell for Hairstyle"),
  _xlpm.vanillaPrefix, IF(LEFT(_xlpm.spell, 7)="Uvi_Wig", "", ";"),
  ";" &amp; IF(C3477="", B3477, C3477) &amp; IF(M3477="", "", " ("&amp;M3477&amp;")") &amp; CHAR(10) &amp;
  _xlpm.vanillaPrefix &amp; "Keyword = Uvi_Wig_Distr_KYWD|" &amp; B3477 &amp; CHAR(10) &amp;
  _xlpm.vanillaPrefix &amp; "Spell = " &amp; _xlpm.spell &amp; "|" &amp; B3477
  )
)</f>
        <v>;WEAdventurerBattlemage
;Keyword = Uvi_Wig_Distr_KYWD|WEAdventurerBattlemage
;Spell = No Spell for Hairstyle|WEAdventurerBattlemage</v>
      </c>
    </row>
    <row r="3478" ht="12.75" customHeight="1">
      <c r="A3478" s="5" t="s">
        <v>9328</v>
      </c>
      <c r="B3478" s="5" t="s">
        <v>9329</v>
      </c>
      <c r="D3478" s="5" t="s">
        <v>16</v>
      </c>
      <c r="E3478" s="5" t="s">
        <v>233</v>
      </c>
      <c r="F3478" s="5" t="s">
        <v>1700</v>
      </c>
      <c r="G3478" s="14" t="str">
        <f t="array" ref="G3478">IF(B3478="", "",
  LET(_xlpm.spell, IFERROR(IF(F3478="", "", INDEX(_xlws.FILTER(Hairstyles!$F:$F, ISNUMBER(SEARCH(F3478, Hairstyles!$B:$B))), 1)), "No Spell for Hairstyle"),
  _xlpm.vanillaPrefix, IF(LEFT(_xlpm.spell, 7)="Uvi_Wig", "", ";"),
  ";" &amp; IF(C3478="", B3478, C3478) &amp; IF(M3478="", "", " ("&amp;M3478&amp;")") &amp; CHAR(10) &amp;
  _xlpm.vanillaPrefix &amp; "Keyword = Uvi_Wig_Distr_KYWD|" &amp; B3478 &amp; CHAR(10) &amp;
  _xlpm.vanillaPrefix &amp; "Spell = " &amp; _xlpm.spell &amp; "|" &amp; B3478
  )
)</f>
        <v>;WEAdventurerBattlemageBretonMFire
;Keyword = Uvi_Wig_Distr_KYWD|WEAdventurerBattlemageBretonMFire
;Spell = No Spell for Hairstyle|WEAdventurerBattlemageBretonMFire</v>
      </c>
    </row>
    <row r="3479" ht="12.75" customHeight="1">
      <c r="A3479" s="15" t="s">
        <v>9330</v>
      </c>
      <c r="B3479" s="5" t="s">
        <v>9331</v>
      </c>
      <c r="D3479" s="5" t="s">
        <v>16</v>
      </c>
      <c r="E3479" s="5" t="s">
        <v>233</v>
      </c>
      <c r="F3479" s="5" t="s">
        <v>1700</v>
      </c>
      <c r="G3479" s="14" t="str">
        <f t="array" ref="G3479">IF(B3479="", "",
  LET(_xlpm.spell, IFERROR(IF(F3479="", "", INDEX(_xlws.FILTER(Hairstyles!$F:$F, ISNUMBER(SEARCH(F3479, Hairstyles!$B:$B))), 1)), "No Spell for Hairstyle"),
  _xlpm.vanillaPrefix, IF(LEFT(_xlpm.spell, 7)="Uvi_Wig", "", ";"),
  ";" &amp; IF(C3479="", B3479, C3479) &amp; IF(M3479="", "", " ("&amp;M3479&amp;")") &amp; CHAR(10) &amp;
  _xlpm.vanillaPrefix &amp; "Keyword = Uvi_Wig_Distr_KYWD|" &amp; B3479 &amp; CHAR(10) &amp;
  _xlpm.vanillaPrefix &amp; "Spell = " &amp; _xlpm.spell &amp; "|" &amp; B3479
  )
)</f>
        <v>;WEAdventurerBattlemageBretonMIce
;Keyword = Uvi_Wig_Distr_KYWD|WEAdventurerBattlemageBretonMIce
;Spell = No Spell for Hairstyle|WEAdventurerBattlemageBretonMIce</v>
      </c>
    </row>
    <row r="3480" ht="12.75" customHeight="1">
      <c r="A3480" s="15" t="s">
        <v>9332</v>
      </c>
      <c r="B3480" s="5" t="s">
        <v>9333</v>
      </c>
      <c r="D3480" s="5" t="s">
        <v>16</v>
      </c>
      <c r="E3480" s="5" t="s">
        <v>233</v>
      </c>
      <c r="F3480" s="5" t="s">
        <v>1700</v>
      </c>
      <c r="G3480" s="14" t="str">
        <f t="array" ref="G3480">IF(B3480="", "",
  LET(_xlpm.spell, IFERROR(IF(F3480="", "", INDEX(_xlws.FILTER(Hairstyles!$F:$F, ISNUMBER(SEARCH(F3480, Hairstyles!$B:$B))), 1)), "No Spell for Hairstyle"),
  _xlpm.vanillaPrefix, IF(LEFT(_xlpm.spell, 7)="Uvi_Wig", "", ";"),
  ";" &amp; IF(C3480="", B3480, C3480) &amp; IF(M3480="", "", " ("&amp;M3480&amp;")") &amp; CHAR(10) &amp;
  _xlpm.vanillaPrefix &amp; "Keyword = Uvi_Wig_Distr_KYWD|" &amp; B3480 &amp; CHAR(10) &amp;
  _xlpm.vanillaPrefix &amp; "Spell = " &amp; _xlpm.spell &amp; "|" &amp; B3480
  )
)</f>
        <v>;WEAdventurerBattlemageBretonMStorm
;Keyword = Uvi_Wig_Distr_KYWD|WEAdventurerBattlemageBretonMStorm
;Spell = No Spell for Hairstyle|WEAdventurerBattlemageBretonMStorm</v>
      </c>
    </row>
    <row r="3481" ht="12.75" customHeight="1">
      <c r="A3481" s="15" t="s">
        <v>9334</v>
      </c>
      <c r="B3481" s="5" t="s">
        <v>9335</v>
      </c>
      <c r="D3481" s="5" t="s">
        <v>57</v>
      </c>
      <c r="E3481" s="5" t="s">
        <v>233</v>
      </c>
      <c r="F3481" s="5" t="s">
        <v>534</v>
      </c>
      <c r="G3481" s="14" t="str">
        <f t="array" ref="G3481">IF(B3481="", "",
  LET(_xlpm.spell, IFERROR(IF(F3481="", "", INDEX(_xlws.FILTER(Hairstyles!$F:$F, ISNUMBER(SEARCH(F3481, Hairstyles!$B:$B))), 1)), "No Spell for Hairstyle"),
  _xlpm.vanillaPrefix, IF(LEFT(_xlpm.spell, 7)="Uvi_Wig", "", ";"),
  ";" &amp; IF(C3481="", B3481, C3481) &amp; IF(M3481="", "", " ("&amp;M3481&amp;")") &amp; CHAR(10) &amp;
  _xlpm.vanillaPrefix &amp; "Keyword = Uvi_Wig_Distr_KYWD|" &amp; B3481 &amp; CHAR(10) &amp;
  _xlpm.vanillaPrefix &amp; "Spell = " &amp; _xlpm.spell &amp; "|" &amp; B3481
  )
)</f>
        <v>;WEAdventurerBattlemageHighElfMFire
;Keyword = Uvi_Wig_Distr_KYWD|WEAdventurerBattlemageHighElfMFire
;Spell = No Spell for Hairstyle|WEAdventurerBattlemageHighElfMFire</v>
      </c>
    </row>
    <row r="3482" ht="12.75" customHeight="1">
      <c r="A3482" s="15" t="s">
        <v>9336</v>
      </c>
      <c r="B3482" s="5" t="s">
        <v>9337</v>
      </c>
      <c r="D3482" s="5" t="s">
        <v>57</v>
      </c>
      <c r="E3482" s="5" t="s">
        <v>233</v>
      </c>
      <c r="F3482" s="5" t="s">
        <v>534</v>
      </c>
      <c r="G3482" s="14" t="str">
        <f t="array" ref="G3482">IF(B3482="", "",
  LET(_xlpm.spell, IFERROR(IF(F3482="", "", INDEX(_xlws.FILTER(Hairstyles!$F:$F, ISNUMBER(SEARCH(F3482, Hairstyles!$B:$B))), 1)), "No Spell for Hairstyle"),
  _xlpm.vanillaPrefix, IF(LEFT(_xlpm.spell, 7)="Uvi_Wig", "", ";"),
  ";" &amp; IF(C3482="", B3482, C3482) &amp; IF(M3482="", "", " ("&amp;M3482&amp;")") &amp; CHAR(10) &amp;
  _xlpm.vanillaPrefix &amp; "Keyword = Uvi_Wig_Distr_KYWD|" &amp; B3482 &amp; CHAR(10) &amp;
  _xlpm.vanillaPrefix &amp; "Spell = " &amp; _xlpm.spell &amp; "|" &amp; B3482
  )
)</f>
        <v>;WEAdventurerBattlemageHighElfMIce
;Keyword = Uvi_Wig_Distr_KYWD|WEAdventurerBattlemageHighElfMIce
;Spell = No Spell for Hairstyle|WEAdventurerBattlemageHighElfMIce</v>
      </c>
    </row>
    <row r="3483" ht="12.75" customHeight="1">
      <c r="A3483" s="15" t="s">
        <v>9338</v>
      </c>
      <c r="B3483" s="5" t="s">
        <v>9339</v>
      </c>
      <c r="D3483" s="5" t="s">
        <v>57</v>
      </c>
      <c r="E3483" s="5" t="s">
        <v>233</v>
      </c>
      <c r="F3483" s="5" t="s">
        <v>534</v>
      </c>
      <c r="G3483" s="14" t="str">
        <f t="array" ref="G3483">IF(B3483="", "",
  LET(_xlpm.spell, IFERROR(IF(F3483="", "", INDEX(_xlws.FILTER(Hairstyles!$F:$F, ISNUMBER(SEARCH(F3483, Hairstyles!$B:$B))), 1)), "No Spell for Hairstyle"),
  _xlpm.vanillaPrefix, IF(LEFT(_xlpm.spell, 7)="Uvi_Wig", "", ";"),
  ";" &amp; IF(C3483="", B3483, C3483) &amp; IF(M3483="", "", " ("&amp;M3483&amp;")") &amp; CHAR(10) &amp;
  _xlpm.vanillaPrefix &amp; "Keyword = Uvi_Wig_Distr_KYWD|" &amp; B3483 &amp; CHAR(10) &amp;
  _xlpm.vanillaPrefix &amp; "Spell = " &amp; _xlpm.spell &amp; "|" &amp; B3483
  )
)</f>
        <v>;WEAdventurerBattlemageHighElfMStorm
;Keyword = Uvi_Wig_Distr_KYWD|WEAdventurerBattlemageHighElfMStorm
;Spell = No Spell for Hairstyle|WEAdventurerBattlemageHighElfMStorm</v>
      </c>
    </row>
    <row r="3484" ht="12.75" customHeight="1">
      <c r="A3484" s="15" t="s">
        <v>9340</v>
      </c>
      <c r="B3484" s="5" t="s">
        <v>9341</v>
      </c>
      <c r="D3484" s="5" t="s">
        <v>65</v>
      </c>
      <c r="E3484" s="5" t="s">
        <v>233</v>
      </c>
      <c r="F3484" s="5" t="s">
        <v>328</v>
      </c>
      <c r="G3484" s="14" t="str">
        <f t="array" ref="G3484">IF(B3484="", "",
  LET(_xlpm.spell, IFERROR(IF(F3484="", "", INDEX(_xlws.FILTER(Hairstyles!$F:$F, ISNUMBER(SEARCH(F3484, Hairstyles!$B:$B))), 1)), "No Spell for Hairstyle"),
  _xlpm.vanillaPrefix, IF(LEFT(_xlpm.spell, 7)="Uvi_Wig", "", ";"),
  ";" &amp; IF(C3484="", B3484, C3484) &amp; IF(M3484="", "", " ("&amp;M3484&amp;")") &amp; CHAR(10) &amp;
  _xlpm.vanillaPrefix &amp; "Keyword = Uvi_Wig_Distr_KYWD|" &amp; B3484 &amp; CHAR(10) &amp;
  _xlpm.vanillaPrefix &amp; "Spell = " &amp; _xlpm.spell &amp; "|" &amp; B3484
  )
)</f>
        <v>;WEAdventurerBattlemageKhajiitMFire
;Keyword = Uvi_Wig_Distr_KYWD|WEAdventurerBattlemageKhajiitMFire
;Spell = No Spell for Hairstyle|WEAdventurerBattlemageKhajiitMFire</v>
      </c>
    </row>
    <row r="3485" ht="12.75" customHeight="1">
      <c r="A3485" s="15" t="s">
        <v>9342</v>
      </c>
      <c r="B3485" s="5" t="s">
        <v>9343</v>
      </c>
      <c r="D3485" s="5" t="s">
        <v>65</v>
      </c>
      <c r="E3485" s="5" t="s">
        <v>233</v>
      </c>
      <c r="F3485" s="5" t="s">
        <v>328</v>
      </c>
      <c r="G3485" s="14" t="str">
        <f t="array" ref="G3485">IF(B3485="", "",
  LET(_xlpm.spell, IFERROR(IF(F3485="", "", INDEX(_xlws.FILTER(Hairstyles!$F:$F, ISNUMBER(SEARCH(F3485, Hairstyles!$B:$B))), 1)), "No Spell for Hairstyle"),
  _xlpm.vanillaPrefix, IF(LEFT(_xlpm.spell, 7)="Uvi_Wig", "", ";"),
  ";" &amp; IF(C3485="", B3485, C3485) &amp; IF(M3485="", "", " ("&amp;M3485&amp;")") &amp; CHAR(10) &amp;
  _xlpm.vanillaPrefix &amp; "Keyword = Uvi_Wig_Distr_KYWD|" &amp; B3485 &amp; CHAR(10) &amp;
  _xlpm.vanillaPrefix &amp; "Spell = " &amp; _xlpm.spell &amp; "|" &amp; B3485
  )
)</f>
        <v>;WEAdventurerBattlemageKhajiitMIce
;Keyword = Uvi_Wig_Distr_KYWD|WEAdventurerBattlemageKhajiitMIce
;Spell = No Spell for Hairstyle|WEAdventurerBattlemageKhajiitMIce</v>
      </c>
    </row>
    <row r="3486" ht="12.75" customHeight="1">
      <c r="A3486" s="15" t="s">
        <v>9344</v>
      </c>
      <c r="B3486" s="5" t="s">
        <v>9345</v>
      </c>
      <c r="D3486" s="5" t="s">
        <v>65</v>
      </c>
      <c r="E3486" s="5" t="s">
        <v>233</v>
      </c>
      <c r="F3486" s="5" t="s">
        <v>328</v>
      </c>
      <c r="G3486" s="14" t="str">
        <f t="array" ref="G3486">IF(B3486="", "",
  LET(_xlpm.spell, IFERROR(IF(F3486="", "", INDEX(_xlws.FILTER(Hairstyles!$F:$F, ISNUMBER(SEARCH(F3486, Hairstyles!$B:$B))), 1)), "No Spell for Hairstyle"),
  _xlpm.vanillaPrefix, IF(LEFT(_xlpm.spell, 7)="Uvi_Wig", "", ";"),
  ";" &amp; IF(C3486="", B3486, C3486) &amp; IF(M3486="", "", " ("&amp;M3486&amp;")") &amp; CHAR(10) &amp;
  _xlpm.vanillaPrefix &amp; "Keyword = Uvi_Wig_Distr_KYWD|" &amp; B3486 &amp; CHAR(10) &amp;
  _xlpm.vanillaPrefix &amp; "Spell = " &amp; _xlpm.spell &amp; "|" &amp; B3486
  )
)</f>
        <v>;WEAdventurerBattlemageKhajiitMStorm
;Keyword = Uvi_Wig_Distr_KYWD|WEAdventurerBattlemageKhajiitMStorm
;Spell = No Spell for Hairstyle|WEAdventurerBattlemageKhajiitMStorm</v>
      </c>
    </row>
    <row r="3487" ht="12.75" customHeight="1">
      <c r="A3487" s="15" t="s">
        <v>9346</v>
      </c>
      <c r="B3487" s="5" t="s">
        <v>9347</v>
      </c>
      <c r="D3487" s="5" t="s">
        <v>38</v>
      </c>
      <c r="E3487" s="5" t="s">
        <v>233</v>
      </c>
      <c r="F3487" s="5" t="s">
        <v>68</v>
      </c>
      <c r="G3487" s="14" t="str">
        <f t="array" ref="G3487">IF(B3487="", "",
  LET(_xlpm.spell, IFERROR(IF(F3487="", "", INDEX(_xlws.FILTER(Hairstyles!$F:$F, ISNUMBER(SEARCH(F3487, Hairstyles!$B:$B))), 1)), "No Spell for Hairstyle"),
  _xlpm.vanillaPrefix, IF(LEFT(_xlpm.spell, 7)="Uvi_Wig", "", ";"),
  ";" &amp; IF(C3487="", B3487, C3487) &amp; IF(M3487="", "", " ("&amp;M3487&amp;")") &amp; CHAR(10) &amp;
  _xlpm.vanillaPrefix &amp; "Keyword = Uvi_Wig_Distr_KYWD|" &amp; B3487 &amp; CHAR(10) &amp;
  _xlpm.vanillaPrefix &amp; "Spell = " &amp; _xlpm.spell &amp; "|" &amp; B3487
  )
)</f>
        <v>;WEAdventurerBerserker
;Keyword = Uvi_Wig_Distr_KYWD|WEAdventurerBerserker
;Spell = No Spell for Hairstyle|WEAdventurerBerserker</v>
      </c>
    </row>
    <row r="3488" ht="12.75" customHeight="1">
      <c r="A3488" s="5" t="s">
        <v>9348</v>
      </c>
      <c r="B3488" s="5" t="s">
        <v>9349</v>
      </c>
      <c r="D3488" s="5" t="s">
        <v>38</v>
      </c>
      <c r="E3488" s="5" t="s">
        <v>233</v>
      </c>
      <c r="F3488" s="5" t="s">
        <v>68</v>
      </c>
      <c r="G3488" s="14" t="str">
        <f t="array" ref="G3488">IF(B3488="", "",
  LET(_xlpm.spell, IFERROR(IF(F3488="", "", INDEX(_xlws.FILTER(Hairstyles!$F:$F, ISNUMBER(SEARCH(F3488, Hairstyles!$B:$B))), 1)), "No Spell for Hairstyle"),
  _xlpm.vanillaPrefix, IF(LEFT(_xlpm.spell, 7)="Uvi_Wig", "", ";"),
  ";" &amp; IF(C3488="", B3488, C3488) &amp; IF(M3488="", "", " ("&amp;M3488&amp;")") &amp; CHAR(10) &amp;
  _xlpm.vanillaPrefix &amp; "Keyword = Uvi_Wig_Distr_KYWD|" &amp; B3488 &amp; CHAR(10) &amp;
  _xlpm.vanillaPrefix &amp; "Spell = " &amp; _xlpm.spell &amp; "|" &amp; B3488
  )
)</f>
        <v>;WEAdventurerBrawler
;Keyword = Uvi_Wig_Distr_KYWD|WEAdventurerBrawler
;Spell = No Spell for Hairstyle|WEAdventurerBrawler</v>
      </c>
    </row>
    <row r="3489" ht="12.75" customHeight="1">
      <c r="A3489" s="15" t="s">
        <v>9350</v>
      </c>
      <c r="B3489" s="5" t="s">
        <v>9351</v>
      </c>
      <c r="D3489" s="5" t="s">
        <v>38</v>
      </c>
      <c r="E3489" s="5" t="s">
        <v>233</v>
      </c>
      <c r="F3489" s="5" t="s">
        <v>68</v>
      </c>
      <c r="G3489" s="14" t="str">
        <f t="array" ref="G3489">IF(B3489="", "",
  LET(_xlpm.spell, IFERROR(IF(F3489="", "", INDEX(_xlws.FILTER(Hairstyles!$F:$F, ISNUMBER(SEARCH(F3489, Hairstyles!$B:$B))), 1)), "No Spell for Hairstyle"),
  _xlpm.vanillaPrefix, IF(LEFT(_xlpm.spell, 7)="Uvi_Wig", "", ";"),
  ";" &amp; IF(C3489="", B3489, C3489) &amp; IF(M3489="", "", " ("&amp;M3489&amp;")") &amp; CHAR(10) &amp;
  _xlpm.vanillaPrefix &amp; "Keyword = Uvi_Wig_Distr_KYWD|" &amp; B3489 &amp; CHAR(10) &amp;
  _xlpm.vanillaPrefix &amp; "Spell = " &amp; _xlpm.spell &amp; "|" &amp; B3489
  )
)</f>
        <v>;WEAdventurerDualPoisoner
;Keyword = Uvi_Wig_Distr_KYWD|WEAdventurerDualPoisoner
;Spell = No Spell for Hairstyle|WEAdventurerDualPoisoner</v>
      </c>
    </row>
    <row r="3490" ht="12.75" customHeight="1">
      <c r="A3490" s="15" t="s">
        <v>9352</v>
      </c>
      <c r="B3490" s="5" t="s">
        <v>9353</v>
      </c>
      <c r="D3490" s="5" t="s">
        <v>38</v>
      </c>
      <c r="E3490" s="5" t="s">
        <v>233</v>
      </c>
      <c r="F3490" s="5" t="s">
        <v>68</v>
      </c>
      <c r="G3490" s="14" t="str">
        <f t="array" ref="G3490">IF(B3490="", "",
  LET(_xlpm.spell, IFERROR(IF(F3490="", "", INDEX(_xlws.FILTER(Hairstyles!$F:$F, ISNUMBER(SEARCH(F3490, Hairstyles!$B:$B))), 1)), "No Spell for Hairstyle"),
  _xlpm.vanillaPrefix, IF(LEFT(_xlpm.spell, 7)="Uvi_Wig", "", ";"),
  ";" &amp; IF(C3490="", B3490, C3490) &amp; IF(M3490="", "", " ("&amp;M3490&amp;")") &amp; CHAR(10) &amp;
  _xlpm.vanillaPrefix &amp; "Keyword = Uvi_Wig_Distr_KYWD|" &amp; B3490 &amp; CHAR(10) &amp;
  _xlpm.vanillaPrefix &amp; "Spell = " &amp; _xlpm.spell &amp; "|" &amp; B3490
  )
)</f>
        <v>;WEAdventurerMageShieldStaff
;Keyword = Uvi_Wig_Distr_KYWD|WEAdventurerMageShieldStaff
;Spell = No Spell for Hairstyle|WEAdventurerMageShieldStaff</v>
      </c>
    </row>
    <row r="3491" ht="12.75" customHeight="1">
      <c r="A3491" s="5" t="s">
        <v>9354</v>
      </c>
      <c r="B3491" s="5" t="s">
        <v>9355</v>
      </c>
      <c r="D3491" s="5" t="s">
        <v>10</v>
      </c>
      <c r="E3491" s="5" t="s">
        <v>233</v>
      </c>
      <c r="F3491" s="5" t="s">
        <v>1752</v>
      </c>
      <c r="G3491" s="14" t="str">
        <f t="array" ref="G3491">IF(B3491="", "",
  LET(_xlpm.spell, IFERROR(IF(F3491="", "", INDEX(_xlws.FILTER(Hairstyles!$F:$F, ISNUMBER(SEARCH(F3491, Hairstyles!$B:$B))), 1)), "No Spell for Hairstyle"),
  _xlpm.vanillaPrefix, IF(LEFT(_xlpm.spell, 7)="Uvi_Wig", "", ";"),
  ";" &amp; IF(C3491="", B3491, C3491) &amp; IF(M3491="", "", " ("&amp;M3491&amp;")") &amp; CHAR(10) &amp;
  _xlpm.vanillaPrefix &amp; "Keyword = Uvi_Wig_Distr_KYWD|" &amp; B3491 &amp; CHAR(10) &amp;
  _xlpm.vanillaPrefix &amp; "Spell = " &amp; _xlpm.spell &amp; "|" &amp; B3491
  )
)</f>
        <v>;WEAdventurerMageShieldStaffArgonianMFire
;Keyword = Uvi_Wig_Distr_KYWD|WEAdventurerMageShieldStaffArgonianMFire
;Spell = No Spell for Hairstyle|WEAdventurerMageShieldStaffArgonianMFire</v>
      </c>
    </row>
    <row r="3492" ht="12.75" customHeight="1">
      <c r="A3492" s="5" t="s">
        <v>9356</v>
      </c>
      <c r="B3492" s="5" t="s">
        <v>9357</v>
      </c>
      <c r="D3492" s="5" t="s">
        <v>10</v>
      </c>
      <c r="E3492" s="5" t="s">
        <v>233</v>
      </c>
      <c r="F3492" s="5" t="s">
        <v>1752</v>
      </c>
      <c r="G3492" s="14" t="str">
        <f t="array" ref="G3492">IF(B3492="", "",
  LET(_xlpm.spell, IFERROR(IF(F3492="", "", INDEX(_xlws.FILTER(Hairstyles!$F:$F, ISNUMBER(SEARCH(F3492, Hairstyles!$B:$B))), 1)), "No Spell for Hairstyle"),
  _xlpm.vanillaPrefix, IF(LEFT(_xlpm.spell, 7)="Uvi_Wig", "", ";"),
  ";" &amp; IF(C3492="", B3492, C3492) &amp; IF(M3492="", "", " ("&amp;M3492&amp;")") &amp; CHAR(10) &amp;
  _xlpm.vanillaPrefix &amp; "Keyword = Uvi_Wig_Distr_KYWD|" &amp; B3492 &amp; CHAR(10) &amp;
  _xlpm.vanillaPrefix &amp; "Spell = " &amp; _xlpm.spell &amp; "|" &amp; B3492
  )
)</f>
        <v>;WEAdventurerMageShieldStaffArgonianMIce
;Keyword = Uvi_Wig_Distr_KYWD|WEAdventurerMageShieldStaffArgonianMIce
;Spell = No Spell for Hairstyle|WEAdventurerMageShieldStaffArgonianMIce</v>
      </c>
    </row>
    <row r="3493" ht="12.75" customHeight="1">
      <c r="A3493" s="5" t="s">
        <v>9358</v>
      </c>
      <c r="B3493" s="5" t="s">
        <v>9359</v>
      </c>
      <c r="D3493" s="5" t="s">
        <v>10</v>
      </c>
      <c r="E3493" s="5" t="s">
        <v>233</v>
      </c>
      <c r="F3493" s="5" t="s">
        <v>1752</v>
      </c>
      <c r="G3493" s="14" t="str">
        <f t="array" ref="G3493">IF(B3493="", "",
  LET(_xlpm.spell, IFERROR(IF(F3493="", "", INDEX(_xlws.FILTER(Hairstyles!$F:$F, ISNUMBER(SEARCH(F3493, Hairstyles!$B:$B))), 1)), "No Spell for Hairstyle"),
  _xlpm.vanillaPrefix, IF(LEFT(_xlpm.spell, 7)="Uvi_Wig", "", ";"),
  ";" &amp; IF(C3493="", B3493, C3493) &amp; IF(M3493="", "", " ("&amp;M3493&amp;")") &amp; CHAR(10) &amp;
  _xlpm.vanillaPrefix &amp; "Keyword = Uvi_Wig_Distr_KYWD|" &amp; B3493 &amp; CHAR(10) &amp;
  _xlpm.vanillaPrefix &amp; "Spell = " &amp; _xlpm.spell &amp; "|" &amp; B3493
  )
)</f>
        <v>;WEAdventurerMageShieldStaffArgonianMStorm
;Keyword = Uvi_Wig_Distr_KYWD|WEAdventurerMageShieldStaffArgonianMStorm
;Spell = No Spell for Hairstyle|WEAdventurerMageShieldStaffArgonianMStorm</v>
      </c>
    </row>
    <row r="3494" ht="12.75" customHeight="1">
      <c r="A3494" s="15" t="s">
        <v>9360</v>
      </c>
      <c r="B3494" s="5" t="s">
        <v>9361</v>
      </c>
      <c r="D3494" s="5" t="s">
        <v>57</v>
      </c>
      <c r="E3494" s="5" t="s">
        <v>41</v>
      </c>
      <c r="F3494" s="5" t="s">
        <v>491</v>
      </c>
      <c r="G3494" s="14" t="str">
        <f t="array" ref="G3494">IF(B3494="", "",
  LET(_xlpm.spell, IFERROR(IF(F3494="", "", INDEX(_xlws.FILTER(Hairstyles!$F:$F, ISNUMBER(SEARCH(F3494, Hairstyles!$B:$B))), 1)), "No Spell for Hairstyle"),
  _xlpm.vanillaPrefix, IF(LEFT(_xlpm.spell, 7)="Uvi_Wig", "", ";"),
  ";" &amp; IF(C3494="", B3494, C3494) &amp; IF(M3494="", "", " ("&amp;M3494&amp;")") &amp; CHAR(10) &amp;
  _xlpm.vanillaPrefix &amp; "Keyword = Uvi_Wig_Distr_KYWD|" &amp; B3494 &amp; CHAR(10) &amp;
  _xlpm.vanillaPrefix &amp; "Spell = " &amp; _xlpm.spell &amp; "|" &amp; B3494
  )
)</f>
        <v>;WEAdventurerMageShieldStaffHighElfFFire
;Keyword = Uvi_Wig_Distr_KYWD|WEAdventurerMageShieldStaffHighElfFFire
;Spell = No Spell for Hairstyle|WEAdventurerMageShieldStaffHighElfFFire</v>
      </c>
    </row>
    <row r="3495" ht="12.75" customHeight="1">
      <c r="A3495" s="15" t="s">
        <v>9362</v>
      </c>
      <c r="B3495" s="5" t="s">
        <v>9363</v>
      </c>
      <c r="D3495" s="5" t="s">
        <v>57</v>
      </c>
      <c r="E3495" s="5" t="s">
        <v>41</v>
      </c>
      <c r="F3495" s="5" t="s">
        <v>491</v>
      </c>
      <c r="G3495" s="14" t="str">
        <f t="array" ref="G3495">IF(B3495="", "",
  LET(_xlpm.spell, IFERROR(IF(F3495="", "", INDEX(_xlws.FILTER(Hairstyles!$F:$F, ISNUMBER(SEARCH(F3495, Hairstyles!$B:$B))), 1)), "No Spell for Hairstyle"),
  _xlpm.vanillaPrefix, IF(LEFT(_xlpm.spell, 7)="Uvi_Wig", "", ";"),
  ";" &amp; IF(C3495="", B3495, C3495) &amp; IF(M3495="", "", " ("&amp;M3495&amp;")") &amp; CHAR(10) &amp;
  _xlpm.vanillaPrefix &amp; "Keyword = Uvi_Wig_Distr_KYWD|" &amp; B3495 &amp; CHAR(10) &amp;
  _xlpm.vanillaPrefix &amp; "Spell = " &amp; _xlpm.spell &amp; "|" &amp; B3495
  )
)</f>
        <v>;WEAdventurerMageShieldStaffHighElfFIce
;Keyword = Uvi_Wig_Distr_KYWD|WEAdventurerMageShieldStaffHighElfFIce
;Spell = No Spell for Hairstyle|WEAdventurerMageShieldStaffHighElfFIce</v>
      </c>
    </row>
    <row r="3496" ht="12.75" customHeight="1">
      <c r="A3496" s="15" t="s">
        <v>9364</v>
      </c>
      <c r="B3496" s="5" t="s">
        <v>9365</v>
      </c>
      <c r="D3496" s="5" t="s">
        <v>57</v>
      </c>
      <c r="E3496" s="5" t="s">
        <v>41</v>
      </c>
      <c r="F3496" s="5" t="s">
        <v>491</v>
      </c>
      <c r="G3496" s="14" t="str">
        <f t="array" ref="G3496">IF(B3496="", "",
  LET(_xlpm.spell, IFERROR(IF(F3496="", "", INDEX(_xlws.FILTER(Hairstyles!$F:$F, ISNUMBER(SEARCH(F3496, Hairstyles!$B:$B))), 1)), "No Spell for Hairstyle"),
  _xlpm.vanillaPrefix, IF(LEFT(_xlpm.spell, 7)="Uvi_Wig", "", ";"),
  ";" &amp; IF(C3496="", B3496, C3496) &amp; IF(M3496="", "", " ("&amp;M3496&amp;")") &amp; CHAR(10) &amp;
  _xlpm.vanillaPrefix &amp; "Keyword = Uvi_Wig_Distr_KYWD|" &amp; B3496 &amp; CHAR(10) &amp;
  _xlpm.vanillaPrefix &amp; "Spell = " &amp; _xlpm.spell &amp; "|" &amp; B3496
  )
)</f>
        <v>;WEAdventurerMageShieldStaffHighElfFStorm
;Keyword = Uvi_Wig_Distr_KYWD|WEAdventurerMageShieldStaffHighElfFStorm
;Spell = No Spell for Hairstyle|WEAdventurerMageShieldStaffHighElfFStorm</v>
      </c>
    </row>
    <row r="3497" ht="12.75" customHeight="1">
      <c r="A3497" s="15" t="s">
        <v>9366</v>
      </c>
      <c r="B3497" s="5" t="s">
        <v>9367</v>
      </c>
      <c r="D3497" s="5" t="s">
        <v>57</v>
      </c>
      <c r="E3497" s="5" t="s">
        <v>233</v>
      </c>
      <c r="F3497" s="5" t="s">
        <v>2469</v>
      </c>
      <c r="G3497" s="14" t="str">
        <f t="array" ref="G3497">IF(B3497="", "",
  LET(_xlpm.spell, IFERROR(IF(F3497="", "", INDEX(_xlws.FILTER(Hairstyles!$F:$F, ISNUMBER(SEARCH(F3497, Hairstyles!$B:$B))), 1)), "No Spell for Hairstyle"),
  _xlpm.vanillaPrefix, IF(LEFT(_xlpm.spell, 7)="Uvi_Wig", "", ";"),
  ";" &amp; IF(C3497="", B3497, C3497) &amp; IF(M3497="", "", " ("&amp;M3497&amp;")") &amp; CHAR(10) &amp;
  _xlpm.vanillaPrefix &amp; "Keyword = Uvi_Wig_Distr_KYWD|" &amp; B3497 &amp; CHAR(10) &amp;
  _xlpm.vanillaPrefix &amp; "Spell = " &amp; _xlpm.spell &amp; "|" &amp; B3497
  )
)</f>
        <v>;WEAdventurerMageShieldStaffHighElfMFire
;Keyword = Uvi_Wig_Distr_KYWD|WEAdventurerMageShieldStaffHighElfMFire
;Spell = No Spell for Hairstyle|WEAdventurerMageShieldStaffHighElfMFire</v>
      </c>
    </row>
    <row r="3498" ht="12.75" customHeight="1">
      <c r="A3498" s="15" t="s">
        <v>9368</v>
      </c>
      <c r="B3498" s="5" t="s">
        <v>9369</v>
      </c>
      <c r="D3498" s="5" t="s">
        <v>57</v>
      </c>
      <c r="E3498" s="5" t="s">
        <v>233</v>
      </c>
      <c r="F3498" s="5" t="s">
        <v>2469</v>
      </c>
      <c r="G3498" s="14" t="str">
        <f t="array" ref="G3498">IF(B3498="", "",
  LET(_xlpm.spell, IFERROR(IF(F3498="", "", INDEX(_xlws.FILTER(Hairstyles!$F:$F, ISNUMBER(SEARCH(F3498, Hairstyles!$B:$B))), 1)), "No Spell for Hairstyle"),
  _xlpm.vanillaPrefix, IF(LEFT(_xlpm.spell, 7)="Uvi_Wig", "", ";"),
  ";" &amp; IF(C3498="", B3498, C3498) &amp; IF(M3498="", "", " ("&amp;M3498&amp;")") &amp; CHAR(10) &amp;
  _xlpm.vanillaPrefix &amp; "Keyword = Uvi_Wig_Distr_KYWD|" &amp; B3498 &amp; CHAR(10) &amp;
  _xlpm.vanillaPrefix &amp; "Spell = " &amp; _xlpm.spell &amp; "|" &amp; B3498
  )
)</f>
        <v>;WEAdventurerMageShieldStaffHighElfMIce
;Keyword = Uvi_Wig_Distr_KYWD|WEAdventurerMageShieldStaffHighElfMIce
;Spell = No Spell for Hairstyle|WEAdventurerMageShieldStaffHighElfMIce</v>
      </c>
    </row>
    <row r="3499" ht="12.75" customHeight="1">
      <c r="A3499" s="15" t="s">
        <v>9370</v>
      </c>
      <c r="B3499" s="5" t="s">
        <v>9371</v>
      </c>
      <c r="D3499" s="5" t="s">
        <v>57</v>
      </c>
      <c r="E3499" s="5" t="s">
        <v>233</v>
      </c>
      <c r="F3499" s="5" t="s">
        <v>2469</v>
      </c>
      <c r="G3499" s="14" t="str">
        <f t="array" ref="G3499">IF(B3499="", "",
  LET(_xlpm.spell, IFERROR(IF(F3499="", "", INDEX(_xlws.FILTER(Hairstyles!$F:$F, ISNUMBER(SEARCH(F3499, Hairstyles!$B:$B))), 1)), "No Spell for Hairstyle"),
  _xlpm.vanillaPrefix, IF(LEFT(_xlpm.spell, 7)="Uvi_Wig", "", ";"),
  ";" &amp; IF(C3499="", B3499, C3499) &amp; IF(M3499="", "", " ("&amp;M3499&amp;")") &amp; CHAR(10) &amp;
  _xlpm.vanillaPrefix &amp; "Keyword = Uvi_Wig_Distr_KYWD|" &amp; B3499 &amp; CHAR(10) &amp;
  _xlpm.vanillaPrefix &amp; "Spell = " &amp; _xlpm.spell &amp; "|" &amp; B3499
  )
)</f>
        <v>;WEAdventurerMageShieldStaffHighElfMStorm
;Keyword = Uvi_Wig_Distr_KYWD|WEAdventurerMageShieldStaffHighElfMStorm
;Spell = No Spell for Hairstyle|WEAdventurerMageShieldStaffHighElfMStorm</v>
      </c>
    </row>
    <row r="3500" ht="12.75" customHeight="1">
      <c r="A3500" s="5" t="s">
        <v>9372</v>
      </c>
      <c r="B3500" s="5" t="s">
        <v>9373</v>
      </c>
      <c r="D3500" s="5" t="s">
        <v>38</v>
      </c>
      <c r="E3500" s="5" t="s">
        <v>233</v>
      </c>
      <c r="F3500" s="5" t="s">
        <v>68</v>
      </c>
      <c r="G3500" s="14" t="str">
        <f t="array" ref="G3500">IF(B3500="", "",
  LET(_xlpm.spell, IFERROR(IF(F3500="", "", INDEX(_xlws.FILTER(Hairstyles!$F:$F, ISNUMBER(SEARCH(F3500, Hairstyles!$B:$B))), 1)), "No Spell for Hairstyle"),
  _xlpm.vanillaPrefix, IF(LEFT(_xlpm.spell, 7)="Uvi_Wig", "", ";"),
  ";" &amp; IF(C3500="", B3500, C3500) &amp; IF(M3500="", "", " ("&amp;M3500&amp;")") &amp; CHAR(10) &amp;
  _xlpm.vanillaPrefix &amp; "Keyword = Uvi_Wig_Distr_KYWD|" &amp; B3500 &amp; CHAR(10) &amp;
  _xlpm.vanillaPrefix &amp; "Spell = " &amp; _xlpm.spell &amp; "|" &amp; B3500
  )
)</f>
        <v>;WEAdventurerRangedConjurer
;Keyword = Uvi_Wig_Distr_KYWD|WEAdventurerRangedConjurer
;Spell = No Spell for Hairstyle|WEAdventurerRangedConjurer</v>
      </c>
    </row>
    <row r="3501" ht="12.75" customHeight="1">
      <c r="A3501" s="15" t="s">
        <v>9374</v>
      </c>
      <c r="B3501" s="5" t="s">
        <v>9375</v>
      </c>
      <c r="D3501" s="5" t="s">
        <v>38</v>
      </c>
      <c r="E3501" s="5" t="s">
        <v>233</v>
      </c>
      <c r="F3501" s="5" t="s">
        <v>68</v>
      </c>
      <c r="G3501" s="14" t="str">
        <f t="array" ref="G3501">IF(B3501="", "",
  LET(_xlpm.spell, IFERROR(IF(F3501="", "", INDEX(_xlws.FILTER(Hairstyles!$F:$F, ISNUMBER(SEARCH(F3501, Hairstyles!$B:$B))), 1)), "No Spell for Hairstyle"),
  _xlpm.vanillaPrefix, IF(LEFT(_xlpm.spell, 7)="Uvi_Wig", "", ";"),
  ";" &amp; IF(C3501="", B3501, C3501) &amp; IF(M3501="", "", " ("&amp;M3501&amp;")") &amp; CHAR(10) &amp;
  _xlpm.vanillaPrefix &amp; "Keyword = Uvi_Wig_Distr_KYWD|" &amp; B3501 &amp; CHAR(10) &amp;
  _xlpm.vanillaPrefix &amp; "Spell = " &amp; _xlpm.spell &amp; "|" &amp; B3501
  )
)</f>
        <v>;WEAdventurerSpellsword
;Keyword = Uvi_Wig_Distr_KYWD|WEAdventurerSpellsword
;Spell = No Spell for Hairstyle|WEAdventurerSpellsword</v>
      </c>
    </row>
    <row r="3502" ht="12.75" customHeight="1">
      <c r="A3502" s="15" t="s">
        <v>9376</v>
      </c>
      <c r="B3502" s="5" t="s">
        <v>9377</v>
      </c>
      <c r="D3502" s="5" t="s">
        <v>38</v>
      </c>
      <c r="E3502" s="5" t="s">
        <v>233</v>
      </c>
      <c r="F3502" s="5" t="s">
        <v>68</v>
      </c>
      <c r="G3502" s="14" t="str">
        <f t="array" ref="G3502">IF(B3502="", "",
  LET(_xlpm.spell, IFERROR(IF(F3502="", "", INDEX(_xlws.FILTER(Hairstyles!$F:$F, ISNUMBER(SEARCH(F3502, Hairstyles!$B:$B))), 1)), "No Spell for Hairstyle"),
  _xlpm.vanillaPrefix, IF(LEFT(_xlpm.spell, 7)="Uvi_Wig", "", ";"),
  ";" &amp; IF(C3502="", B3502, C3502) &amp; IF(M3502="", "", " ("&amp;M3502&amp;")") &amp; CHAR(10) &amp;
  _xlpm.vanillaPrefix &amp; "Keyword = Uvi_Wig_Distr_KYWD|" &amp; B3502 &amp; CHAR(10) &amp;
  _xlpm.vanillaPrefix &amp; "Spell = " &amp; _xlpm.spell &amp; "|" &amp; B3502
  )
)</f>
        <v>;WEAdventurerWarrior
;Keyword = Uvi_Wig_Distr_KYWD|WEAdventurerWarrior
;Spell = No Spell for Hairstyle|WEAdventurerWarrior</v>
      </c>
    </row>
    <row r="3503" ht="12.75" customHeight="1">
      <c r="A3503" s="15" t="s">
        <v>9378</v>
      </c>
      <c r="B3503" s="5" t="s">
        <v>9379</v>
      </c>
      <c r="D3503" s="5" t="s">
        <v>38</v>
      </c>
      <c r="E3503" s="5" t="s">
        <v>233</v>
      </c>
      <c r="F3503" s="5" t="s">
        <v>68</v>
      </c>
      <c r="G3503" s="14" t="str">
        <f t="array" ref="G3503">IF(B3503="", "",
  LET(_xlpm.spell, IFERROR(IF(F3503="", "", INDEX(_xlws.FILTER(Hairstyles!$F:$F, ISNUMBER(SEARCH(F3503, Hairstyles!$B:$B))), 1)), "No Spell for Hairstyle"),
  _xlpm.vanillaPrefix, IF(LEFT(_xlpm.spell, 7)="Uvi_Wig", "", ";"),
  ";" &amp; IF(C3503="", B3503, C3503) &amp; IF(M3503="", "", " ("&amp;M3503&amp;")") &amp; CHAR(10) &amp;
  _xlpm.vanillaPrefix &amp; "Keyword = Uvi_Wig_Distr_KYWD|" &amp; B3503 &amp; CHAR(10) &amp;
  _xlpm.vanillaPrefix &amp; "Spell = " &amp; _xlpm.spell &amp; "|" &amp; B3503
  )
)</f>
        <v>;WEAdventurerWarriorDual
;Keyword = Uvi_Wig_Distr_KYWD|WEAdventurerWarriorDual
;Spell = No Spell for Hairstyle|WEAdventurerWarriorDual</v>
      </c>
    </row>
    <row r="3504" ht="12.75" customHeight="1">
      <c r="A3504" s="15" t="s">
        <v>9380</v>
      </c>
      <c r="B3504" s="5" t="s">
        <v>9381</v>
      </c>
      <c r="D3504" s="5" t="s">
        <v>10</v>
      </c>
      <c r="E3504" s="5" t="s">
        <v>41</v>
      </c>
      <c r="F3504" s="4" t="s">
        <v>1741</v>
      </c>
      <c r="G3504" s="14" t="str">
        <f t="array" ref="G3504">IF(B3504="", "",
  LET(_xlpm.spell, IFERROR(IF(F3504="", "", INDEX(_xlws.FILTER(Hairstyles!$F:$F, ISNUMBER(SEARCH(F3504, Hairstyles!$B:$B))), 1)), "No Spell for Hairstyle"),
  _xlpm.vanillaPrefix, IF(LEFT(_xlpm.spell, 7)="Uvi_Wig", "", ";"),
  ";" &amp; IF(C3504="", B3504, C3504) &amp; IF(M3504="", "", " ("&amp;M3504&amp;")") &amp; CHAR(10) &amp;
  _xlpm.vanillaPrefix &amp; "Keyword = Uvi_Wig_Distr_KYWD|" &amp; B3504 &amp; CHAR(10) &amp;
  _xlpm.vanillaPrefix &amp; "Spell = " &amp; _xlpm.spell &amp; "|" &amp; B3504
  )
)</f>
        <v>;WEAssassinArgonianF
;Keyword = Uvi_Wig_Distr_KYWD|WEAssassinArgonianF
;Spell = No Spell for Hairstyle|WEAssassinArgonianF</v>
      </c>
    </row>
    <row r="3505" ht="12.75" customHeight="1">
      <c r="A3505" s="5" t="s">
        <v>9382</v>
      </c>
      <c r="B3505" s="5" t="s">
        <v>9383</v>
      </c>
      <c r="D3505" s="5" t="s">
        <v>45</v>
      </c>
      <c r="E3505" s="5" t="s">
        <v>233</v>
      </c>
      <c r="F3505" s="5" t="s">
        <v>47</v>
      </c>
      <c r="G3505" s="14" t="str">
        <f t="array" ref="G3505">IF(B3505="", "",
  LET(_xlpm.spell, IFERROR(IF(F3505="", "", INDEX(_xlws.FILTER(Hairstyles!$F:$F, ISNUMBER(SEARCH(F3505, Hairstyles!$B:$B))), 1)), "No Spell for Hairstyle"),
  _xlpm.vanillaPrefix, IF(LEFT(_xlpm.spell, 7)="Uvi_Wig", "", ";"),
  ";" &amp; IF(C3505="", B3505, C3505) &amp; IF(M3505="", "", " ("&amp;M3505&amp;")") &amp; CHAR(10) &amp;
  _xlpm.vanillaPrefix &amp; "Keyword = Uvi_Wig_Distr_KYWD|" &amp; B3505 &amp; CHAR(10) &amp;
  _xlpm.vanillaPrefix &amp; "Spell = " &amp; _xlpm.spell &amp; "|" &amp; B3505
  )
)</f>
        <v>;WEAssassinDarkElfM
;Keyword = Uvi_Wig_Distr_KYWD|WEAssassinDarkElfM
;Spell = No Spell for Hairstyle|WEAssassinDarkElfM</v>
      </c>
    </row>
    <row r="3506" ht="12.75" customHeight="1">
      <c r="A3506" s="15" t="s">
        <v>9384</v>
      </c>
      <c r="B3506" s="5" t="s">
        <v>9385</v>
      </c>
      <c r="D3506" s="5" t="s">
        <v>65</v>
      </c>
      <c r="E3506" s="5" t="s">
        <v>41</v>
      </c>
      <c r="F3506" s="5" t="s">
        <v>1345</v>
      </c>
      <c r="G3506" s="14" t="str">
        <f t="array" ref="G3506">IF(B3506="", "",
  LET(_xlpm.spell, IFERROR(IF(F3506="", "", INDEX(_xlws.FILTER(Hairstyles!$F:$F, ISNUMBER(SEARCH(F3506, Hairstyles!$B:$B))), 1)), "No Spell for Hairstyle"),
  _xlpm.vanillaPrefix, IF(LEFT(_xlpm.spell, 7)="Uvi_Wig", "", ";"),
  ";" &amp; IF(C3506="", B3506, C3506) &amp; IF(M3506="", "", " ("&amp;M3506&amp;")") &amp; CHAR(10) &amp;
  _xlpm.vanillaPrefix &amp; "Keyword = Uvi_Wig_Distr_KYWD|" &amp; B3506 &amp; CHAR(10) &amp;
  _xlpm.vanillaPrefix &amp; "Spell = " &amp; _xlpm.spell &amp; "|" &amp; B3506
  )
)</f>
        <v>;WEAssassinKhajiitF
;Keyword = Uvi_Wig_Distr_KYWD|WEAssassinKhajiitF
;Spell = No Spell for Hairstyle|WEAssassinKhajiitF</v>
      </c>
    </row>
    <row r="3507" ht="12.75" customHeight="1">
      <c r="A3507" s="5" t="s">
        <v>9386</v>
      </c>
      <c r="B3507" s="5" t="s">
        <v>9387</v>
      </c>
      <c r="D3507" s="5" t="s">
        <v>16</v>
      </c>
      <c r="E3507" s="5" t="s">
        <v>41</v>
      </c>
      <c r="F3507" s="5" t="s">
        <v>1557</v>
      </c>
      <c r="G3507" s="14" t="str">
        <f t="array" ref="G3507">IF(B3507="", "",
  LET(_xlpm.spell, IFERROR(IF(F3507="", "", INDEX(_xlws.FILTER(Hairstyles!$F:$F, ISNUMBER(SEARCH(F3507, Hairstyles!$B:$B))), 1)), "No Spell for Hairstyle"),
  _xlpm.vanillaPrefix, IF(LEFT(_xlpm.spell, 7)="Uvi_Wig", "", ";"),
  ";" &amp; IF(C3507="", B3507, C3507) &amp; IF(M3507="", "", " ("&amp;M3507&amp;")") &amp; CHAR(10) &amp;
  _xlpm.vanillaPrefix &amp; "Keyword = Uvi_Wig_Distr_KYWD|" &amp; B3507 &amp; CHAR(10) &amp;
  _xlpm.vanillaPrefix &amp; "Spell = " &amp; _xlpm.spell &amp; "|" &amp; B3507
  )
)</f>
        <v>;WEJS09GhostCorpse
;Keyword = Uvi_Wig_Distr_KYWD|WEJS09GhostCorpse
;Spell = No Spell for Hairstyle|WEJS09GhostCorpse</v>
      </c>
    </row>
    <row r="3508" ht="12.75" customHeight="1">
      <c r="A3508" s="5" t="s">
        <v>9388</v>
      </c>
      <c r="B3508" s="5" t="s">
        <v>9389</v>
      </c>
      <c r="D3508" s="5" t="s">
        <v>83</v>
      </c>
      <c r="E3508" s="5" t="s">
        <v>233</v>
      </c>
      <c r="F3508" s="5" t="s">
        <v>174</v>
      </c>
      <c r="G3508" s="14" t="str">
        <f t="array" ref="G3508">IF(B3508="", "",
  LET(_xlpm.spell, IFERROR(IF(F3508="", "", INDEX(_xlws.FILTER(Hairstyles!$F:$F, ISNUMBER(SEARCH(F3508, Hairstyles!$B:$B))), 1)), "No Spell for Hairstyle"),
  _xlpm.vanillaPrefix, IF(LEFT(_xlpm.spell, 7)="Uvi_Wig", "", ";"),
  ";" &amp; IF(C3508="", B3508, C3508) &amp; IF(M3508="", "", " ("&amp;M3508&amp;")") &amp; CHAR(10) &amp;
  _xlpm.vanillaPrefix &amp; "Keyword = Uvi_Wig_Distr_KYWD|" &amp; B3508 &amp; CHAR(10) &amp;
  _xlpm.vanillaPrefix &amp; "Spell = " &amp; _xlpm.spell &amp; "|" &amp; B3508
  )
)</f>
        <v>;WERJ03Alikr
;Keyword = Uvi_Wig_Distr_KYWD|WERJ03Alikr
;Spell = No Spell for Hairstyle|WERJ03Alikr</v>
      </c>
    </row>
    <row r="3509" ht="12.75" customHeight="1">
      <c r="A3509" s="5" t="s">
        <v>9390</v>
      </c>
      <c r="B3509" s="5" t="s">
        <v>9391</v>
      </c>
      <c r="D3509" s="5" t="s">
        <v>63</v>
      </c>
      <c r="E3509" s="5" t="s">
        <v>233</v>
      </c>
      <c r="F3509" s="5" t="s">
        <v>1622</v>
      </c>
      <c r="G3509" s="14" t="str">
        <f t="array" ref="G3509">IF(B3509="", "",
  LET(_xlpm.spell, IFERROR(IF(F3509="", "", INDEX(_xlws.FILTER(Hairstyles!$F:$F, ISNUMBER(SEARCH(F3509, Hairstyles!$B:$B))), 1)), "No Spell for Hairstyle"),
  _xlpm.vanillaPrefix, IF(LEFT(_xlpm.spell, 7)="Uvi_Wig", "", ";"),
  ";" &amp; IF(C3509="", B3509, C3509) &amp; IF(M3509="", "", " ("&amp;M3509&amp;")") &amp; CHAR(10) &amp;
  _xlpm.vanillaPrefix &amp; "Keyword = Uvi_Wig_Distr_KYWD|" &amp; B3509 &amp; CHAR(10) &amp;
  _xlpm.vanillaPrefix &amp; "Spell = " &amp; _xlpm.spell &amp; "|" &amp; B3509
  )
)</f>
        <v>;WERJ07Vampire
;Keyword = Uvi_Wig_Distr_KYWD|WERJ07Vampire
;Spell = No Spell for Hairstyle|WERJ07Vampire</v>
      </c>
    </row>
    <row r="3510" ht="12.75" customHeight="1">
      <c r="A3510" s="15" t="s">
        <v>9392</v>
      </c>
      <c r="B3510" s="5" t="s">
        <v>9393</v>
      </c>
      <c r="D3510" s="5" t="s">
        <v>10</v>
      </c>
      <c r="E3510" s="5" t="s">
        <v>233</v>
      </c>
      <c r="F3510" s="4" t="s">
        <v>1741</v>
      </c>
      <c r="G3510" s="14" t="str">
        <f t="array" ref="G3510">IF(B3510="", "",
  LET(_xlpm.spell, IFERROR(IF(F3510="", "", INDEX(_xlws.FILTER(Hairstyles!$F:$F, ISNUMBER(SEARCH(F3510, Hairstyles!$B:$B))), 1)), "No Spell for Hairstyle"),
  _xlpm.vanillaPrefix, IF(LEFT(_xlpm.spell, 7)="Uvi_Wig", "", ";"),
  ";" &amp; IF(C3510="", B3510, C3510) &amp; IF(M3510="", "", " ("&amp;M3510&amp;")") &amp; CHAR(10) &amp;
  _xlpm.vanillaPrefix &amp; "Keyword = Uvi_Wig_Distr_KYWD|" &amp; B3510 &amp; CHAR(10) &amp;
  _xlpm.vanillaPrefix &amp; "Spell = " &amp; _xlpm.spell &amp; "|" &amp; B3510
  )
)</f>
        <v>;WEThiefArgonianM
;Keyword = Uvi_Wig_Distr_KYWD|WEThiefArgonianM
;Spell = No Spell for Hairstyle|WEThiefArgonianM</v>
      </c>
    </row>
    <row r="3511" ht="12.75" customHeight="1">
      <c r="A3511" s="15" t="s">
        <v>9394</v>
      </c>
      <c r="B3511" s="5" t="s">
        <v>9395</v>
      </c>
      <c r="D3511" s="5" t="s">
        <v>45</v>
      </c>
      <c r="E3511" s="5" t="s">
        <v>41</v>
      </c>
      <c r="F3511" s="5" t="s">
        <v>48</v>
      </c>
      <c r="G3511" s="14" t="str">
        <f t="array" ref="G3511">IF(B3511="", "",
  LET(_xlpm.spell, IFERROR(IF(F3511="", "", INDEX(_xlws.FILTER(Hairstyles!$F:$F, ISNUMBER(SEARCH(F3511, Hairstyles!$B:$B))), 1)), "No Spell for Hairstyle"),
  _xlpm.vanillaPrefix, IF(LEFT(_xlpm.spell, 7)="Uvi_Wig", "", ";"),
  ";" &amp; IF(C3511="", B3511, C3511) &amp; IF(M3511="", "", " ("&amp;M3511&amp;")") &amp; CHAR(10) &amp;
  _xlpm.vanillaPrefix &amp; "Keyword = Uvi_Wig_Distr_KYWD|" &amp; B3511 &amp; CHAR(10) &amp;
  _xlpm.vanillaPrefix &amp; "Spell = " &amp; _xlpm.spell &amp; "|" &amp; B3511
  )
)</f>
        <v>;WEThiefDarkElfF
;Keyword = Uvi_Wig_Distr_KYWD|WEThiefDarkElfF
;Spell = No Spell for Hairstyle|WEThiefDarkElfF</v>
      </c>
    </row>
    <row r="3512" ht="12.75" customHeight="1">
      <c r="A3512" s="15" t="s">
        <v>9396</v>
      </c>
      <c r="B3512" s="5" t="s">
        <v>9397</v>
      </c>
      <c r="D3512" s="5" t="s">
        <v>45</v>
      </c>
      <c r="E3512" s="5" t="s">
        <v>233</v>
      </c>
      <c r="F3512" s="5" t="s">
        <v>47</v>
      </c>
      <c r="G3512" s="14" t="str">
        <f t="array" ref="G3512">IF(B3512="", "",
  LET(_xlpm.spell, IFERROR(IF(F3512="", "", INDEX(_xlws.FILTER(Hairstyles!$F:$F, ISNUMBER(SEARCH(F3512, Hairstyles!$B:$B))), 1)), "No Spell for Hairstyle"),
  _xlpm.vanillaPrefix, IF(LEFT(_xlpm.spell, 7)="Uvi_Wig", "", ";"),
  ";" &amp; IF(C3512="", B3512, C3512) &amp; IF(M3512="", "", " ("&amp;M3512&amp;")") &amp; CHAR(10) &amp;
  _xlpm.vanillaPrefix &amp; "Keyword = Uvi_Wig_Distr_KYWD|" &amp; B3512 &amp; CHAR(10) &amp;
  _xlpm.vanillaPrefix &amp; "Spell = " &amp; _xlpm.spell &amp; "|" &amp; B3512
  )
)</f>
        <v>;WEThiefDarkElfM
;Keyword = Uvi_Wig_Distr_KYWD|WEThiefDarkElfM
;Spell = No Spell for Hairstyle|WEThiefDarkElfM</v>
      </c>
    </row>
    <row r="3513" ht="12.75" customHeight="1">
      <c r="A3513" s="15" t="s">
        <v>9398</v>
      </c>
      <c r="B3513" s="5" t="s">
        <v>9399</v>
      </c>
      <c r="D3513" s="5" t="s">
        <v>65</v>
      </c>
      <c r="E3513" s="5" t="s">
        <v>233</v>
      </c>
      <c r="F3513" s="5" t="s">
        <v>293</v>
      </c>
      <c r="G3513" s="14" t="str">
        <f t="array" ref="G3513">IF(B3513="", "",
  LET(_xlpm.spell, IFERROR(IF(F3513="", "", INDEX(_xlws.FILTER(Hairstyles!$F:$F, ISNUMBER(SEARCH(F3513, Hairstyles!$B:$B))), 1)), "No Spell for Hairstyle"),
  _xlpm.vanillaPrefix, IF(LEFT(_xlpm.spell, 7)="Uvi_Wig", "", ";"),
  ";" &amp; IF(C3513="", B3513, C3513) &amp; IF(M3513="", "", " ("&amp;M3513&amp;")") &amp; CHAR(10) &amp;
  _xlpm.vanillaPrefix &amp; "Keyword = Uvi_Wig_Distr_KYWD|" &amp; B3513 &amp; CHAR(10) &amp;
  _xlpm.vanillaPrefix &amp; "Spell = " &amp; _xlpm.spell &amp; "|" &amp; B3513
  )
)</f>
        <v>;WEThiefKhajiitM
;Keyword = Uvi_Wig_Distr_KYWD|WEThiefKhajiitM
;Spell = No Spell for Hairstyle|WEThiefKhajiitM</v>
      </c>
    </row>
    <row r="3514" ht="12.75" customHeight="1">
      <c r="A3514" s="5" t="s">
        <v>9400</v>
      </c>
      <c r="B3514" s="5" t="s">
        <v>9401</v>
      </c>
      <c r="D3514" s="5" t="s">
        <v>38</v>
      </c>
      <c r="E3514" s="5" t="s">
        <v>233</v>
      </c>
      <c r="F3514" s="5" t="s">
        <v>68</v>
      </c>
      <c r="G3514" s="14" t="str">
        <f t="array" ref="G3514">IF(B3514="", "",
  LET(_xlpm.spell, IFERROR(IF(F3514="", "", INDEX(_xlws.FILTER(Hairstyles!$F:$F, ISNUMBER(SEARCH(F3514, Hairstyles!$B:$B))), 1)), "No Spell for Hairstyle"),
  _xlpm.vanillaPrefix, IF(LEFT(_xlpm.spell, 7)="Uvi_Wig", "", ";"),
  ";" &amp; IF(C3514="", B3514, C3514) &amp; IF(M3514="", "", " ("&amp;M3514&amp;")") &amp; CHAR(10) &amp;
  _xlpm.vanillaPrefix &amp; "Keyword = Uvi_Wig_Distr_KYWD|" &amp; B3514 &amp; CHAR(10) &amp;
  _xlpm.vanillaPrefix &amp; "Spell = " &amp; _xlpm.spell &amp; "|" &amp; B3514
  )
)</f>
        <v>;WhiterunJailPrisoner
;Keyword = Uvi_Wig_Distr_KYWD|WhiterunJailPrisoner
;Spell = No Spell for Hairstyle|WhiterunJailPrisoner</v>
      </c>
    </row>
  </sheetData>
  <printOptions/>
  <pageMargins bottom="0.0" footer="0.0" header="0.0" left="0.0" right="0.0" top="0.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25"/>
    <col customWidth="1" min="2" max="2" width="35.13"/>
    <col customWidth="1" min="3" max="3" width="26.88"/>
    <col customWidth="1" min="4" max="4" width="7.0"/>
    <col customWidth="1" min="5" max="5" width="7.63"/>
    <col customWidth="1" min="6" max="6" width="42.38"/>
    <col customWidth="1" min="7" max="7" width="17.63"/>
    <col customWidth="1" min="8" max="8" width="14.38"/>
    <col customWidth="1" min="9" max="9" width="22.25"/>
    <col customWidth="1" min="10" max="10" width="24.75"/>
    <col customWidth="1" min="11" max="11" width="29.75"/>
    <col customWidth="1" min="12" max="12" width="22.25"/>
  </cols>
  <sheetData>
    <row r="1" ht="15.75" customHeight="1">
      <c r="A1" s="2" t="s">
        <v>3</v>
      </c>
      <c r="B1" s="2" t="s">
        <v>26</v>
      </c>
      <c r="C1" s="2" t="s">
        <v>29</v>
      </c>
      <c r="D1" s="2" t="s">
        <v>31</v>
      </c>
      <c r="E1" s="2" t="s">
        <v>32</v>
      </c>
      <c r="F1" s="2" t="s">
        <v>36</v>
      </c>
      <c r="G1" s="2" t="s">
        <v>39</v>
      </c>
      <c r="H1" s="2" t="s">
        <v>43</v>
      </c>
      <c r="I1" s="8" t="s">
        <v>49</v>
      </c>
      <c r="J1" s="8" t="s">
        <v>52</v>
      </c>
      <c r="K1" s="1" t="s">
        <v>54</v>
      </c>
      <c r="L1" s="1" t="s">
        <v>56</v>
      </c>
      <c r="M1" s="9"/>
      <c r="N1" s="1"/>
      <c r="O1" s="2"/>
      <c r="P1" s="2"/>
    </row>
    <row r="2" ht="15.75" customHeight="1">
      <c r="A2" s="10" t="s">
        <v>61</v>
      </c>
      <c r="B2" s="4" t="s">
        <v>64</v>
      </c>
      <c r="C2" s="4" t="s">
        <v>66</v>
      </c>
      <c r="D2" s="4">
        <v>1.0</v>
      </c>
      <c r="E2" s="5">
        <v>1.0</v>
      </c>
      <c r="F2" s="5" t="s">
        <v>70</v>
      </c>
      <c r="G2" s="5"/>
      <c r="H2" s="10"/>
      <c r="I2" s="5" t="s">
        <v>72</v>
      </c>
      <c r="J2" s="4" t="s">
        <v>73</v>
      </c>
      <c r="L2" s="12" t="str">
        <f t="shared" ref="L2:L542" si="1">SUBSTITUTE(SUBSTITUTE(SUBSTITUTE(SUBSTITUTE(SUBSTITUTE(C2," ",""),"'",""),"(",""),")",""),"-","_")&amp;","&amp;D2&amp;","&amp;E2</f>
        <v>Vanilla_Bald,1,1</v>
      </c>
    </row>
    <row r="3" ht="15.75" customHeight="1">
      <c r="A3" s="10" t="s">
        <v>61</v>
      </c>
      <c r="B3" s="4" t="s">
        <v>105</v>
      </c>
      <c r="C3" s="4" t="s">
        <v>106</v>
      </c>
      <c r="D3" s="4">
        <v>1.0</v>
      </c>
      <c r="E3" s="5">
        <v>1.0</v>
      </c>
      <c r="F3" s="5" t="s">
        <v>107</v>
      </c>
      <c r="G3" s="10"/>
      <c r="H3" s="10"/>
      <c r="I3" s="4" t="s">
        <v>108</v>
      </c>
      <c r="J3" s="4" t="s">
        <v>73</v>
      </c>
      <c r="L3" s="12" t="str">
        <f t="shared" si="1"/>
        <v>Vanilla_Argonian01,1,1</v>
      </c>
    </row>
    <row r="4" ht="15.75" customHeight="1">
      <c r="A4" s="10" t="s">
        <v>61</v>
      </c>
      <c r="B4" s="4" t="s">
        <v>112</v>
      </c>
      <c r="C4" s="4" t="s">
        <v>113</v>
      </c>
      <c r="D4" s="4">
        <v>1.0</v>
      </c>
      <c r="E4" s="5">
        <v>1.0</v>
      </c>
      <c r="F4" s="5" t="s">
        <v>114</v>
      </c>
      <c r="G4" s="10"/>
      <c r="H4" s="10"/>
      <c r="I4" s="4" t="s">
        <v>108</v>
      </c>
      <c r="J4" s="4" t="s">
        <v>73</v>
      </c>
      <c r="L4" s="12" t="str">
        <f t="shared" si="1"/>
        <v>Vanilla_Argonian02,1,1</v>
      </c>
    </row>
    <row r="5" ht="15.75" customHeight="1">
      <c r="A5" s="10" t="s">
        <v>61</v>
      </c>
      <c r="B5" s="4" t="s">
        <v>117</v>
      </c>
      <c r="C5" s="4" t="s">
        <v>118</v>
      </c>
      <c r="D5" s="4">
        <v>1.0</v>
      </c>
      <c r="E5" s="5">
        <v>1.0</v>
      </c>
      <c r="F5" s="5" t="s">
        <v>120</v>
      </c>
      <c r="G5" s="10"/>
      <c r="H5" s="10"/>
      <c r="I5" s="4" t="s">
        <v>108</v>
      </c>
      <c r="J5" s="4" t="s">
        <v>73</v>
      </c>
      <c r="L5" s="12" t="str">
        <f t="shared" si="1"/>
        <v>Vanilla_Argonian03,1,1</v>
      </c>
    </row>
    <row r="6" ht="15.75" customHeight="1">
      <c r="A6" s="10" t="s">
        <v>61</v>
      </c>
      <c r="B6" s="4" t="s">
        <v>121</v>
      </c>
      <c r="C6" s="4" t="s">
        <v>122</v>
      </c>
      <c r="D6" s="4">
        <v>1.0</v>
      </c>
      <c r="E6" s="5">
        <v>1.0</v>
      </c>
      <c r="F6" s="5" t="s">
        <v>123</v>
      </c>
      <c r="G6" s="10"/>
      <c r="H6" s="10"/>
      <c r="I6" s="4" t="s">
        <v>108</v>
      </c>
      <c r="J6" s="4" t="s">
        <v>73</v>
      </c>
      <c r="L6" s="12" t="str">
        <f t="shared" si="1"/>
        <v>Vanilla_Argonian04,1,1</v>
      </c>
    </row>
    <row r="7" ht="15.75" customHeight="1">
      <c r="A7" s="10" t="s">
        <v>61</v>
      </c>
      <c r="B7" s="4" t="s">
        <v>127</v>
      </c>
      <c r="C7" s="4" t="s">
        <v>128</v>
      </c>
      <c r="D7" s="4">
        <v>1.0</v>
      </c>
      <c r="E7" s="5">
        <v>1.0</v>
      </c>
      <c r="F7" s="5" t="s">
        <v>129</v>
      </c>
      <c r="G7" s="10"/>
      <c r="H7" s="10"/>
      <c r="I7" s="4" t="s">
        <v>108</v>
      </c>
      <c r="J7" s="4" t="s">
        <v>73</v>
      </c>
      <c r="L7" s="12" t="str">
        <f t="shared" si="1"/>
        <v>Vanilla_Argonian05,1,1</v>
      </c>
    </row>
    <row r="8" ht="15.75" customHeight="1">
      <c r="A8" s="10" t="s">
        <v>61</v>
      </c>
      <c r="B8" s="4" t="s">
        <v>130</v>
      </c>
      <c r="C8" s="4" t="s">
        <v>131</v>
      </c>
      <c r="D8" s="4">
        <v>1.0</v>
      </c>
      <c r="E8" s="5">
        <v>1.0</v>
      </c>
      <c r="F8" s="5" t="s">
        <v>133</v>
      </c>
      <c r="G8" s="10"/>
      <c r="H8" s="10"/>
      <c r="I8" s="4" t="s">
        <v>108</v>
      </c>
      <c r="J8" s="4" t="s">
        <v>73</v>
      </c>
      <c r="L8" s="12" t="str">
        <f t="shared" si="1"/>
        <v>Vanilla_Argonian06,1,1</v>
      </c>
    </row>
    <row r="9" ht="15.75" customHeight="1">
      <c r="A9" s="10" t="s">
        <v>61</v>
      </c>
      <c r="B9" s="4" t="s">
        <v>136</v>
      </c>
      <c r="C9" s="4" t="s">
        <v>137</v>
      </c>
      <c r="D9" s="4">
        <v>1.0</v>
      </c>
      <c r="E9" s="5">
        <v>1.0</v>
      </c>
      <c r="F9" s="5" t="s">
        <v>138</v>
      </c>
      <c r="G9" s="10"/>
      <c r="H9" s="10"/>
      <c r="I9" s="4" t="s">
        <v>108</v>
      </c>
      <c r="J9" s="4" t="s">
        <v>73</v>
      </c>
      <c r="L9" s="12" t="str">
        <f t="shared" si="1"/>
        <v>Vanilla_Argonian07,1,1</v>
      </c>
    </row>
    <row r="10" ht="15.75" customHeight="1">
      <c r="A10" s="10" t="s">
        <v>61</v>
      </c>
      <c r="B10" s="4" t="s">
        <v>139</v>
      </c>
      <c r="C10" s="4" t="s">
        <v>140</v>
      </c>
      <c r="D10" s="4">
        <v>1.0</v>
      </c>
      <c r="E10" s="5">
        <v>1.0</v>
      </c>
      <c r="F10" s="5" t="s">
        <v>141</v>
      </c>
      <c r="G10" s="10"/>
      <c r="H10" s="10"/>
      <c r="I10" s="4" t="s">
        <v>108</v>
      </c>
      <c r="J10" s="4" t="s">
        <v>73</v>
      </c>
      <c r="L10" s="12" t="str">
        <f t="shared" si="1"/>
        <v>Vanilla_Argonian08,1,1</v>
      </c>
    </row>
    <row r="11" ht="15.75" customHeight="1">
      <c r="A11" s="10" t="s">
        <v>61</v>
      </c>
      <c r="B11" s="4" t="s">
        <v>145</v>
      </c>
      <c r="C11" s="4" t="s">
        <v>146</v>
      </c>
      <c r="D11" s="4">
        <v>1.0</v>
      </c>
      <c r="E11" s="5">
        <v>1.0</v>
      </c>
      <c r="F11" s="5" t="s">
        <v>147</v>
      </c>
      <c r="G11" s="10"/>
      <c r="H11" s="10"/>
      <c r="I11" s="4" t="s">
        <v>108</v>
      </c>
      <c r="J11" s="4" t="s">
        <v>73</v>
      </c>
      <c r="L11" s="12" t="str">
        <f t="shared" si="1"/>
        <v>Vanilla_Argonian09,1,1</v>
      </c>
    </row>
    <row r="12" ht="15.75" customHeight="1">
      <c r="A12" s="10" t="s">
        <v>61</v>
      </c>
      <c r="B12" s="4" t="s">
        <v>148</v>
      </c>
      <c r="C12" s="4" t="s">
        <v>149</v>
      </c>
      <c r="D12" s="4">
        <v>1.0</v>
      </c>
      <c r="E12" s="5">
        <v>1.0</v>
      </c>
      <c r="F12" s="5" t="s">
        <v>152</v>
      </c>
      <c r="G12" s="10"/>
      <c r="H12" s="10"/>
      <c r="I12" s="4" t="s">
        <v>108</v>
      </c>
      <c r="J12" s="4" t="s">
        <v>73</v>
      </c>
      <c r="L12" s="12" t="str">
        <f t="shared" si="1"/>
        <v>Vanilla_Argonian10,1,1</v>
      </c>
    </row>
    <row r="13" ht="15.75" customHeight="1">
      <c r="A13" s="10" t="s">
        <v>61</v>
      </c>
      <c r="B13" s="4" t="s">
        <v>154</v>
      </c>
      <c r="C13" s="4" t="s">
        <v>155</v>
      </c>
      <c r="D13" s="4">
        <v>1.0</v>
      </c>
      <c r="E13" s="5">
        <v>1.0</v>
      </c>
      <c r="F13" s="5" t="s">
        <v>156</v>
      </c>
      <c r="G13" s="10"/>
      <c r="H13" s="10"/>
      <c r="I13" s="4" t="s">
        <v>157</v>
      </c>
      <c r="J13" s="4" t="s">
        <v>73</v>
      </c>
      <c r="L13" s="12" t="str">
        <f t="shared" si="1"/>
        <v>Vanilla_Argonian11,1,1</v>
      </c>
    </row>
    <row r="14" ht="15.75" customHeight="1">
      <c r="A14" s="10" t="s">
        <v>61</v>
      </c>
      <c r="B14" s="4" t="s">
        <v>158</v>
      </c>
      <c r="C14" s="4" t="s">
        <v>159</v>
      </c>
      <c r="D14" s="4">
        <v>1.0</v>
      </c>
      <c r="E14" s="5">
        <v>1.0</v>
      </c>
      <c r="F14" s="5" t="s">
        <v>160</v>
      </c>
      <c r="G14" s="10"/>
      <c r="H14" s="10"/>
      <c r="I14" s="4" t="s">
        <v>157</v>
      </c>
      <c r="J14" s="4" t="s">
        <v>73</v>
      </c>
      <c r="L14" s="12" t="str">
        <f t="shared" si="1"/>
        <v>Vanilla_Argonian12,1,1</v>
      </c>
    </row>
    <row r="15" ht="15.75" customHeight="1">
      <c r="A15" s="10" t="s">
        <v>61</v>
      </c>
      <c r="B15" s="4" t="s">
        <v>161</v>
      </c>
      <c r="C15" s="4" t="s">
        <v>163</v>
      </c>
      <c r="D15" s="4">
        <v>1.0</v>
      </c>
      <c r="E15" s="5">
        <v>1.0</v>
      </c>
      <c r="F15" s="5" t="s">
        <v>166</v>
      </c>
      <c r="G15" s="10"/>
      <c r="H15" s="10"/>
      <c r="I15" s="4" t="s">
        <v>157</v>
      </c>
      <c r="J15" s="4" t="s">
        <v>73</v>
      </c>
      <c r="L15" s="12" t="str">
        <f t="shared" si="1"/>
        <v>Vanilla_Argonian13,1,1</v>
      </c>
    </row>
    <row r="16" ht="15.75" customHeight="1">
      <c r="A16" s="10" t="s">
        <v>61</v>
      </c>
      <c r="B16" s="4" t="s">
        <v>167</v>
      </c>
      <c r="C16" s="4" t="s">
        <v>168</v>
      </c>
      <c r="D16" s="4">
        <v>1.0</v>
      </c>
      <c r="E16" s="5">
        <v>1.0</v>
      </c>
      <c r="F16" s="5" t="s">
        <v>169</v>
      </c>
      <c r="G16" s="10"/>
      <c r="H16" s="10"/>
      <c r="I16" s="4" t="s">
        <v>170</v>
      </c>
      <c r="J16" s="4" t="s">
        <v>73</v>
      </c>
      <c r="L16" s="12" t="str">
        <f t="shared" si="1"/>
        <v>Vanilla_AfroLarge,1,1</v>
      </c>
    </row>
    <row r="17" ht="15.75" customHeight="1">
      <c r="A17" s="10" t="s">
        <v>61</v>
      </c>
      <c r="B17" s="4" t="s">
        <v>174</v>
      </c>
      <c r="C17" s="4" t="s">
        <v>175</v>
      </c>
      <c r="D17" s="4">
        <v>1.0</v>
      </c>
      <c r="E17" s="5">
        <v>1.0</v>
      </c>
      <c r="F17" s="5" t="s">
        <v>176</v>
      </c>
      <c r="G17" s="10"/>
      <c r="H17" s="10"/>
      <c r="I17" s="4" t="s">
        <v>170</v>
      </c>
      <c r="J17" s="4" t="s">
        <v>73</v>
      </c>
      <c r="L17" s="12" t="str">
        <f t="shared" si="1"/>
        <v>Vanilla_AfroSmall,1,1</v>
      </c>
    </row>
    <row r="18" ht="15.75" customHeight="1">
      <c r="A18" s="10" t="s">
        <v>61</v>
      </c>
      <c r="B18" s="4" t="s">
        <v>177</v>
      </c>
      <c r="C18" s="4" t="s">
        <v>178</v>
      </c>
      <c r="D18" s="4">
        <v>1.0</v>
      </c>
      <c r="E18" s="5">
        <v>1.0</v>
      </c>
      <c r="F18" s="5" t="s">
        <v>181</v>
      </c>
      <c r="G18" s="10"/>
      <c r="H18" s="10"/>
      <c r="I18" s="4" t="s">
        <v>185</v>
      </c>
      <c r="J18" s="4" t="s">
        <v>73</v>
      </c>
      <c r="L18" s="12" t="str">
        <f t="shared" si="1"/>
        <v>Vanilla_BaldingBun,1,1</v>
      </c>
    </row>
    <row r="19" ht="15.75" customHeight="1">
      <c r="A19" s="10" t="s">
        <v>61</v>
      </c>
      <c r="B19" s="4" t="s">
        <v>188</v>
      </c>
      <c r="C19" s="4" t="s">
        <v>189</v>
      </c>
      <c r="D19" s="4">
        <v>1.0</v>
      </c>
      <c r="E19" s="5">
        <v>1.0</v>
      </c>
      <c r="F19" s="5" t="s">
        <v>190</v>
      </c>
      <c r="G19" s="10"/>
      <c r="H19" s="10"/>
      <c r="I19" s="4" t="s">
        <v>191</v>
      </c>
      <c r="J19" s="4" t="s">
        <v>73</v>
      </c>
      <c r="L19" s="12" t="str">
        <f t="shared" si="1"/>
        <v>Vanilla_BaldingLong,1,1</v>
      </c>
    </row>
    <row r="20" ht="15.75" customHeight="1">
      <c r="A20" s="10" t="s">
        <v>61</v>
      </c>
      <c r="B20" s="4" t="s">
        <v>193</v>
      </c>
      <c r="C20" s="4" t="s">
        <v>195</v>
      </c>
      <c r="D20" s="4">
        <v>1.0</v>
      </c>
      <c r="E20" s="5">
        <v>1.0</v>
      </c>
      <c r="F20" s="5" t="s">
        <v>197</v>
      </c>
      <c r="G20" s="10"/>
      <c r="H20" s="10"/>
      <c r="I20" s="4" t="s">
        <v>198</v>
      </c>
      <c r="J20" s="4" t="s">
        <v>73</v>
      </c>
      <c r="L20" s="12" t="str">
        <f t="shared" si="1"/>
        <v>Vanilla_BaldingPonytailLong,1,1</v>
      </c>
    </row>
    <row r="21" ht="15.75" customHeight="1">
      <c r="A21" s="10" t="s">
        <v>61</v>
      </c>
      <c r="B21" s="4" t="s">
        <v>199</v>
      </c>
      <c r="C21" s="4" t="s">
        <v>200</v>
      </c>
      <c r="D21" s="4">
        <v>1.0</v>
      </c>
      <c r="E21" s="5">
        <v>1.0</v>
      </c>
      <c r="F21" s="5" t="s">
        <v>201</v>
      </c>
      <c r="G21" s="10"/>
      <c r="H21" s="10"/>
      <c r="I21" s="4" t="s">
        <v>202</v>
      </c>
      <c r="J21" s="4" t="s">
        <v>73</v>
      </c>
      <c r="L21" s="12" t="str">
        <f t="shared" si="1"/>
        <v>Vanilla_BaldingPonytailMedium,1,1</v>
      </c>
    </row>
    <row r="22" ht="15.75" customHeight="1">
      <c r="A22" s="10" t="s">
        <v>61</v>
      </c>
      <c r="B22" s="4" t="s">
        <v>206</v>
      </c>
      <c r="C22" s="4" t="s">
        <v>207</v>
      </c>
      <c r="D22" s="4">
        <v>1.0</v>
      </c>
      <c r="E22" s="5">
        <v>1.0</v>
      </c>
      <c r="F22" s="5" t="s">
        <v>208</v>
      </c>
      <c r="G22" s="10"/>
      <c r="H22" s="10"/>
      <c r="I22" s="4" t="s">
        <v>202</v>
      </c>
      <c r="J22" s="4" t="s">
        <v>73</v>
      </c>
      <c r="L22" s="12" t="str">
        <f t="shared" si="1"/>
        <v>Vanilla_BaldingPonytailShort,1,1</v>
      </c>
    </row>
    <row r="23" ht="15.75" customHeight="1">
      <c r="A23" s="10" t="s">
        <v>61</v>
      </c>
      <c r="B23" s="4" t="s">
        <v>209</v>
      </c>
      <c r="C23" s="4" t="s">
        <v>210</v>
      </c>
      <c r="D23" s="4">
        <v>1.0</v>
      </c>
      <c r="E23" s="5">
        <v>1.0</v>
      </c>
      <c r="F23" s="5" t="s">
        <v>211</v>
      </c>
      <c r="G23" s="10"/>
      <c r="H23" s="10"/>
      <c r="I23" s="4" t="s">
        <v>198</v>
      </c>
      <c r="J23" s="4" t="s">
        <v>73</v>
      </c>
      <c r="L23" s="12" t="str">
        <f t="shared" si="1"/>
        <v>Vanilla_BaldingShort1,1,1</v>
      </c>
    </row>
    <row r="24" ht="15.75" customHeight="1">
      <c r="A24" s="10" t="s">
        <v>61</v>
      </c>
      <c r="B24" s="4" t="s">
        <v>215</v>
      </c>
      <c r="C24" s="4" t="s">
        <v>216</v>
      </c>
      <c r="D24" s="4">
        <v>1.0</v>
      </c>
      <c r="E24" s="5">
        <v>1.0</v>
      </c>
      <c r="F24" s="5" t="s">
        <v>217</v>
      </c>
      <c r="G24" s="10"/>
      <c r="H24" s="10"/>
      <c r="I24" s="4" t="s">
        <v>198</v>
      </c>
      <c r="J24" s="4" t="s">
        <v>73</v>
      </c>
      <c r="L24" s="12" t="str">
        <f t="shared" si="1"/>
        <v>Vanilla_BaldingShort2,1,1</v>
      </c>
    </row>
    <row r="25" ht="15.75" customHeight="1">
      <c r="A25" s="10" t="s">
        <v>61</v>
      </c>
      <c r="B25" s="4" t="s">
        <v>218</v>
      </c>
      <c r="C25" s="4" t="s">
        <v>220</v>
      </c>
      <c r="D25" s="4">
        <v>1.0</v>
      </c>
      <c r="E25" s="5">
        <v>1.0</v>
      </c>
      <c r="F25" s="5" t="s">
        <v>223</v>
      </c>
      <c r="G25" s="10"/>
      <c r="H25" s="10"/>
      <c r="I25" s="4" t="s">
        <v>198</v>
      </c>
      <c r="J25" s="4" t="s">
        <v>73</v>
      </c>
      <c r="L25" s="12" t="str">
        <f t="shared" si="1"/>
        <v>Vanilla_BaldingShort3,1,1</v>
      </c>
    </row>
    <row r="26" ht="15.75" customHeight="1">
      <c r="A26" s="10" t="s">
        <v>61</v>
      </c>
      <c r="B26" s="4" t="s">
        <v>224</v>
      </c>
      <c r="C26" s="4" t="s">
        <v>225</v>
      </c>
      <c r="D26" s="4">
        <v>1.0</v>
      </c>
      <c r="E26" s="5">
        <v>1.0</v>
      </c>
      <c r="F26" s="5" t="s">
        <v>226</v>
      </c>
      <c r="G26" s="10"/>
      <c r="H26" s="10"/>
      <c r="I26" s="4" t="s">
        <v>198</v>
      </c>
      <c r="J26" s="4" t="s">
        <v>73</v>
      </c>
      <c r="L26" s="12" t="str">
        <f t="shared" si="1"/>
        <v>Vanilla_BaldingShort4,1,1</v>
      </c>
    </row>
    <row r="27" ht="15.75" customHeight="1">
      <c r="A27" s="10" t="s">
        <v>61</v>
      </c>
      <c r="B27" s="4" t="s">
        <v>235</v>
      </c>
      <c r="C27" s="4" t="s">
        <v>236</v>
      </c>
      <c r="D27" s="4">
        <v>1.0</v>
      </c>
      <c r="E27" s="5">
        <v>1.0</v>
      </c>
      <c r="F27" s="5" t="s">
        <v>237</v>
      </c>
      <c r="G27" s="10"/>
      <c r="H27" s="10"/>
      <c r="I27" s="4" t="s">
        <v>198</v>
      </c>
      <c r="J27" s="4" t="s">
        <v>73</v>
      </c>
      <c r="L27" s="12" t="str">
        <f t="shared" si="1"/>
        <v>Vanilla_BaldingShort5,1,1</v>
      </c>
    </row>
    <row r="28" ht="15.75" customHeight="1">
      <c r="A28" s="10" t="s">
        <v>61</v>
      </c>
      <c r="B28" s="4" t="s">
        <v>238</v>
      </c>
      <c r="C28" s="4" t="s">
        <v>239</v>
      </c>
      <c r="D28" s="4">
        <v>1.0</v>
      </c>
      <c r="E28" s="5">
        <v>1.0</v>
      </c>
      <c r="F28" s="5" t="s">
        <v>240</v>
      </c>
      <c r="G28" s="10"/>
      <c r="H28" s="10"/>
      <c r="I28" s="4" t="s">
        <v>244</v>
      </c>
      <c r="J28" s="4" t="s">
        <v>73</v>
      </c>
      <c r="L28" s="12" t="str">
        <f t="shared" si="1"/>
        <v>Vanilla_CornRowMohawk,1,1</v>
      </c>
    </row>
    <row r="29" ht="15.75" customHeight="1">
      <c r="A29" s="10" t="s">
        <v>61</v>
      </c>
      <c r="B29" s="4" t="s">
        <v>245</v>
      </c>
      <c r="C29" s="4" t="s">
        <v>246</v>
      </c>
      <c r="D29" s="4">
        <v>1.0</v>
      </c>
      <c r="E29" s="5">
        <v>1.0</v>
      </c>
      <c r="F29" s="5" t="s">
        <v>247</v>
      </c>
      <c r="G29" s="10"/>
      <c r="H29" s="10"/>
      <c r="I29" s="4" t="s">
        <v>170</v>
      </c>
      <c r="J29" s="4" t="s">
        <v>73</v>
      </c>
      <c r="L29" s="12" t="str">
        <f t="shared" si="1"/>
        <v>Vanilla_CornRows,1,1</v>
      </c>
    </row>
    <row r="30" ht="15.75" customHeight="1">
      <c r="A30" s="10" t="s">
        <v>61</v>
      </c>
      <c r="B30" s="4" t="s">
        <v>250</v>
      </c>
      <c r="C30" s="4" t="s">
        <v>252</v>
      </c>
      <c r="D30" s="4">
        <v>1.0</v>
      </c>
      <c r="E30" s="5">
        <v>1.0</v>
      </c>
      <c r="F30" s="5" t="s">
        <v>253</v>
      </c>
      <c r="G30" s="10"/>
      <c r="H30" s="10"/>
      <c r="I30" s="4" t="s">
        <v>244</v>
      </c>
      <c r="J30" s="4" t="s">
        <v>73</v>
      </c>
      <c r="L30" s="12" t="str">
        <f t="shared" si="1"/>
        <v>Vanilla_DreadlockMohawk,1,1</v>
      </c>
    </row>
    <row r="31" ht="15.75" customHeight="1">
      <c r="A31" s="10" t="s">
        <v>61</v>
      </c>
      <c r="B31" s="4" t="s">
        <v>254</v>
      </c>
      <c r="C31" s="4" t="s">
        <v>255</v>
      </c>
      <c r="D31" s="4">
        <v>1.0</v>
      </c>
      <c r="E31" s="5">
        <v>1.0</v>
      </c>
      <c r="F31" s="5" t="s">
        <v>256</v>
      </c>
      <c r="G31" s="10"/>
      <c r="H31" s="10"/>
      <c r="I31" s="4" t="s">
        <v>244</v>
      </c>
      <c r="J31" s="4" t="s">
        <v>73</v>
      </c>
      <c r="L31" s="12" t="str">
        <f t="shared" si="1"/>
        <v>Vanilla_DreadlockPonytail,1,1</v>
      </c>
    </row>
    <row r="32" ht="15.75" customHeight="1">
      <c r="A32" s="10" t="s">
        <v>61</v>
      </c>
      <c r="B32" s="4" t="s">
        <v>260</v>
      </c>
      <c r="C32" s="4" t="s">
        <v>261</v>
      </c>
      <c r="D32" s="4">
        <v>1.0</v>
      </c>
      <c r="E32" s="5">
        <v>1.0</v>
      </c>
      <c r="F32" s="5" t="s">
        <v>262</v>
      </c>
      <c r="G32" s="10"/>
      <c r="H32" s="10"/>
      <c r="I32" s="4" t="s">
        <v>263</v>
      </c>
      <c r="J32" s="4" t="s">
        <v>73</v>
      </c>
      <c r="L32" s="12" t="str">
        <f t="shared" si="1"/>
        <v>Vanilla_FrenchBraids,1,1</v>
      </c>
    </row>
    <row r="33" ht="15.75" customHeight="1">
      <c r="A33" s="10" t="s">
        <v>61</v>
      </c>
      <c r="B33" s="4" t="s">
        <v>264</v>
      </c>
      <c r="C33" s="4" t="s">
        <v>265</v>
      </c>
      <c r="D33" s="4">
        <v>1.0</v>
      </c>
      <c r="E33" s="5">
        <v>1.0</v>
      </c>
      <c r="F33" s="5" t="s">
        <v>268</v>
      </c>
      <c r="G33" s="10"/>
      <c r="H33" s="10"/>
      <c r="I33" s="4" t="s">
        <v>263</v>
      </c>
      <c r="J33" s="4" t="s">
        <v>73</v>
      </c>
      <c r="L33" s="12" t="str">
        <f t="shared" si="1"/>
        <v>Vanilla_FrenchBraidsHigh,1,1</v>
      </c>
    </row>
    <row r="34" ht="15.75" customHeight="1">
      <c r="A34" s="10" t="s">
        <v>61</v>
      </c>
      <c r="B34" s="4" t="s">
        <v>270</v>
      </c>
      <c r="C34" s="4" t="s">
        <v>271</v>
      </c>
      <c r="D34" s="4">
        <v>1.0</v>
      </c>
      <c r="E34" s="5">
        <v>1.0</v>
      </c>
      <c r="F34" s="5" t="s">
        <v>272</v>
      </c>
      <c r="G34" s="10"/>
      <c r="H34" s="10"/>
      <c r="I34" s="4" t="s">
        <v>273</v>
      </c>
      <c r="J34" s="4" t="s">
        <v>73</v>
      </c>
      <c r="L34" s="12" t="str">
        <f t="shared" si="1"/>
        <v>Vanilla_FrenchBraidsPonytail,1,1</v>
      </c>
    </row>
    <row r="35" ht="15.75" customHeight="1">
      <c r="A35" s="10" t="s">
        <v>61</v>
      </c>
      <c r="B35" s="4" t="s">
        <v>277</v>
      </c>
      <c r="C35" s="4" t="s">
        <v>278</v>
      </c>
      <c r="D35" s="4">
        <v>1.0</v>
      </c>
      <c r="E35" s="5">
        <v>1.0</v>
      </c>
      <c r="F35" s="5" t="s">
        <v>279</v>
      </c>
      <c r="G35" s="10"/>
      <c r="H35" s="10"/>
      <c r="I35" s="4" t="s">
        <v>280</v>
      </c>
      <c r="J35" s="4" t="s">
        <v>73</v>
      </c>
      <c r="L35" s="12" t="str">
        <f t="shared" si="1"/>
        <v>Vanilla_FrenchBraidsSmall,1,1</v>
      </c>
    </row>
    <row r="36" ht="15.75" customHeight="1">
      <c r="A36" s="10" t="s">
        <v>61</v>
      </c>
      <c r="B36" s="4" t="s">
        <v>281</v>
      </c>
      <c r="C36" s="4" t="s">
        <v>282</v>
      </c>
      <c r="D36" s="4">
        <v>1.0</v>
      </c>
      <c r="E36" s="5">
        <v>1.0</v>
      </c>
      <c r="F36" s="5" t="s">
        <v>283</v>
      </c>
      <c r="G36" s="10"/>
      <c r="H36" s="10"/>
      <c r="I36" s="4" t="s">
        <v>285</v>
      </c>
      <c r="J36" s="4" t="s">
        <v>73</v>
      </c>
      <c r="L36" s="12" t="str">
        <f t="shared" si="1"/>
        <v>Vanilla_LooseBobSidePart,1,1</v>
      </c>
    </row>
    <row r="37" ht="15.75" customHeight="1">
      <c r="A37" s="10" t="s">
        <v>61</v>
      </c>
      <c r="B37" s="4" t="s">
        <v>288</v>
      </c>
      <c r="C37" s="4" t="s">
        <v>289</v>
      </c>
      <c r="D37" s="4">
        <v>1.0</v>
      </c>
      <c r="E37" s="5">
        <v>1.0</v>
      </c>
      <c r="F37" s="5" t="s">
        <v>290</v>
      </c>
      <c r="G37" s="10"/>
      <c r="H37" s="10"/>
      <c r="I37" s="4" t="s">
        <v>170</v>
      </c>
      <c r="J37" s="4" t="s">
        <v>73</v>
      </c>
      <c r="L37" s="12" t="str">
        <f t="shared" si="1"/>
        <v>Vanilla_LooseBun,1,1</v>
      </c>
    </row>
    <row r="38" ht="15.75" customHeight="1">
      <c r="A38" s="10" t="s">
        <v>61</v>
      </c>
      <c r="B38" s="4" t="s">
        <v>293</v>
      </c>
      <c r="C38" s="4" t="s">
        <v>295</v>
      </c>
      <c r="D38" s="4">
        <v>1.0</v>
      </c>
      <c r="E38" s="5">
        <v>1.0</v>
      </c>
      <c r="F38" s="5" t="s">
        <v>296</v>
      </c>
      <c r="G38" s="10"/>
      <c r="H38" s="10"/>
      <c r="I38" s="4" t="s">
        <v>297</v>
      </c>
      <c r="J38" s="4" t="s">
        <v>73</v>
      </c>
      <c r="L38" s="12" t="str">
        <f t="shared" si="1"/>
        <v>Vanilla_MohawkBraidPonytails,1,1</v>
      </c>
    </row>
    <row r="39" ht="15.75" customHeight="1">
      <c r="A39" s="10" t="s">
        <v>61</v>
      </c>
      <c r="B39" s="4" t="s">
        <v>298</v>
      </c>
      <c r="C39" s="4" t="s">
        <v>299</v>
      </c>
      <c r="D39" s="4">
        <v>1.0</v>
      </c>
      <c r="E39" s="5">
        <v>1.0</v>
      </c>
      <c r="F39" s="5" t="s">
        <v>300</v>
      </c>
      <c r="G39" s="10"/>
      <c r="H39" s="10"/>
      <c r="I39" s="4" t="s">
        <v>244</v>
      </c>
      <c r="J39" s="4" t="s">
        <v>73</v>
      </c>
      <c r="L39" s="12" t="str">
        <f t="shared" si="1"/>
        <v>Vanilla_MohawkLong,1,1</v>
      </c>
    </row>
    <row r="40" ht="15.75" customHeight="1">
      <c r="A40" s="10" t="s">
        <v>61</v>
      </c>
      <c r="B40" s="4" t="s">
        <v>304</v>
      </c>
      <c r="C40" s="4" t="s">
        <v>305</v>
      </c>
      <c r="D40" s="4">
        <v>1.0</v>
      </c>
      <c r="E40" s="5">
        <v>1.0</v>
      </c>
      <c r="F40" s="5" t="s">
        <v>306</v>
      </c>
      <c r="G40" s="10"/>
      <c r="H40" s="10"/>
      <c r="I40" s="4" t="s">
        <v>244</v>
      </c>
      <c r="J40" s="4" t="s">
        <v>73</v>
      </c>
      <c r="L40" s="12" t="str">
        <f t="shared" si="1"/>
        <v>Vanilla_MohawkMessyLongBraid,1,1</v>
      </c>
    </row>
    <row r="41" ht="15.75" customHeight="1">
      <c r="A41" s="10" t="s">
        <v>61</v>
      </c>
      <c r="B41" s="4" t="s">
        <v>310</v>
      </c>
      <c r="C41" s="4" t="s">
        <v>311</v>
      </c>
      <c r="D41" s="4">
        <v>1.0</v>
      </c>
      <c r="E41" s="5">
        <v>1.0</v>
      </c>
      <c r="F41" s="5" t="s">
        <v>312</v>
      </c>
      <c r="G41" s="10"/>
      <c r="H41" s="10"/>
      <c r="I41" s="4" t="s">
        <v>244</v>
      </c>
      <c r="J41" s="4" t="s">
        <v>73</v>
      </c>
      <c r="L41" s="12" t="str">
        <f t="shared" si="1"/>
        <v>Vanilla_MohawkMessyRingedBraids,1,1</v>
      </c>
    </row>
    <row r="42" ht="15.75" customHeight="1">
      <c r="A42" s="10" t="s">
        <v>61</v>
      </c>
      <c r="B42" s="4" t="s">
        <v>313</v>
      </c>
      <c r="C42" s="4" t="s">
        <v>314</v>
      </c>
      <c r="D42" s="4">
        <v>1.0</v>
      </c>
      <c r="E42" s="5">
        <v>1.0</v>
      </c>
      <c r="F42" s="5" t="s">
        <v>315</v>
      </c>
      <c r="G42" s="10"/>
      <c r="H42" s="10"/>
      <c r="I42" s="4" t="s">
        <v>244</v>
      </c>
      <c r="J42" s="4" t="s">
        <v>73</v>
      </c>
      <c r="L42" s="12" t="str">
        <f t="shared" si="1"/>
        <v>Vanilla_MohawkMessySideBraids,1,1</v>
      </c>
    </row>
    <row r="43" ht="15.75" customHeight="1">
      <c r="A43" s="10" t="s">
        <v>61</v>
      </c>
      <c r="B43" s="4" t="s">
        <v>321</v>
      </c>
      <c r="C43" s="4" t="s">
        <v>322</v>
      </c>
      <c r="D43" s="4">
        <v>1.0</v>
      </c>
      <c r="E43" s="5">
        <v>1.0</v>
      </c>
      <c r="F43" s="5" t="s">
        <v>323</v>
      </c>
      <c r="G43" s="10"/>
      <c r="H43" s="10"/>
      <c r="I43" s="4" t="s">
        <v>244</v>
      </c>
      <c r="J43" s="4" t="s">
        <v>73</v>
      </c>
      <c r="L43" s="12" t="str">
        <f t="shared" si="1"/>
        <v>Vanilla_MohawkMullet,1,1</v>
      </c>
    </row>
    <row r="44" ht="15.75" customHeight="1">
      <c r="A44" s="10" t="s">
        <v>61</v>
      </c>
      <c r="B44" s="4" t="s">
        <v>324</v>
      </c>
      <c r="C44" s="4" t="s">
        <v>325</v>
      </c>
      <c r="D44" s="4">
        <v>1.0</v>
      </c>
      <c r="E44" s="5">
        <v>1.0</v>
      </c>
      <c r="F44" s="5" t="s">
        <v>326</v>
      </c>
      <c r="G44" s="10"/>
      <c r="H44" s="10"/>
      <c r="I44" s="4" t="s">
        <v>327</v>
      </c>
      <c r="J44" s="4" t="s">
        <v>73</v>
      </c>
      <c r="L44" s="12" t="str">
        <f t="shared" si="1"/>
        <v>Vanilla_MohawkMulletSideBraids,1,1</v>
      </c>
    </row>
    <row r="45" ht="15.75" customHeight="1">
      <c r="A45" s="10" t="s">
        <v>61</v>
      </c>
      <c r="B45" s="4" t="s">
        <v>328</v>
      </c>
      <c r="C45" s="4" t="s">
        <v>329</v>
      </c>
      <c r="D45" s="4">
        <v>1.0</v>
      </c>
      <c r="E45" s="5">
        <v>1.0</v>
      </c>
      <c r="F45" s="5" t="s">
        <v>330</v>
      </c>
      <c r="G45" s="10"/>
      <c r="H45" s="10"/>
      <c r="I45" s="4" t="s">
        <v>297</v>
      </c>
      <c r="J45" s="4" t="s">
        <v>73</v>
      </c>
      <c r="L45" s="12" t="str">
        <f t="shared" si="1"/>
        <v>Vanilla_MohawkPonytail,1,1</v>
      </c>
    </row>
    <row r="46" ht="15.75" customHeight="1">
      <c r="A46" s="10" t="s">
        <v>61</v>
      </c>
      <c r="B46" s="4" t="s">
        <v>331</v>
      </c>
      <c r="C46" s="4" t="s">
        <v>332</v>
      </c>
      <c r="D46" s="4">
        <v>1.0</v>
      </c>
      <c r="E46" s="5">
        <v>1.0</v>
      </c>
      <c r="F46" s="5" t="s">
        <v>333</v>
      </c>
      <c r="G46" s="10"/>
      <c r="H46" s="10"/>
      <c r="I46" s="4" t="s">
        <v>297</v>
      </c>
      <c r="J46" s="4" t="s">
        <v>73</v>
      </c>
      <c r="L46" s="12" t="str">
        <f t="shared" si="1"/>
        <v>Vanilla_MohawkPonytails,1,1</v>
      </c>
    </row>
    <row r="47" ht="15.75" customHeight="1">
      <c r="A47" s="10" t="s">
        <v>61</v>
      </c>
      <c r="B47" s="4" t="s">
        <v>334</v>
      </c>
      <c r="C47" s="4" t="s">
        <v>335</v>
      </c>
      <c r="D47" s="4">
        <v>1.0</v>
      </c>
      <c r="E47" s="5">
        <v>1.0</v>
      </c>
      <c r="F47" s="5" t="s">
        <v>336</v>
      </c>
      <c r="G47" s="10"/>
      <c r="H47" s="10"/>
      <c r="I47" s="4" t="s">
        <v>244</v>
      </c>
      <c r="J47" s="4" t="s">
        <v>73</v>
      </c>
      <c r="L47" s="12" t="str">
        <f t="shared" si="1"/>
        <v>Vanilla_MohawkSegmentedPonytail,1,1</v>
      </c>
    </row>
    <row r="48" ht="15.75" customHeight="1">
      <c r="A48" s="10" t="s">
        <v>61</v>
      </c>
      <c r="B48" s="4" t="s">
        <v>337</v>
      </c>
      <c r="C48" s="4" t="s">
        <v>338</v>
      </c>
      <c r="D48" s="4">
        <v>1.0</v>
      </c>
      <c r="E48" s="5">
        <v>1.0</v>
      </c>
      <c r="F48" s="5" t="s">
        <v>339</v>
      </c>
      <c r="G48" s="10"/>
      <c r="H48" s="10"/>
      <c r="I48" s="4" t="s">
        <v>244</v>
      </c>
      <c r="J48" s="4" t="s">
        <v>73</v>
      </c>
      <c r="L48" s="12" t="str">
        <f t="shared" si="1"/>
        <v>Vanilla_MohawkShort,1,1</v>
      </c>
    </row>
    <row r="49" ht="15.75" customHeight="1">
      <c r="A49" s="10" t="s">
        <v>61</v>
      </c>
      <c r="B49" s="4" t="s">
        <v>340</v>
      </c>
      <c r="C49" s="4" t="s">
        <v>341</v>
      </c>
      <c r="D49" s="4">
        <v>1.0</v>
      </c>
      <c r="E49" s="5">
        <v>1.0</v>
      </c>
      <c r="F49" s="5" t="s">
        <v>342</v>
      </c>
      <c r="G49" s="10"/>
      <c r="H49" s="10"/>
      <c r="I49" s="4" t="s">
        <v>280</v>
      </c>
      <c r="J49" s="4" t="s">
        <v>73</v>
      </c>
      <c r="L49" s="12" t="str">
        <f t="shared" si="1"/>
        <v>Vanilla_MohawkFrenchBraids,1,1</v>
      </c>
    </row>
    <row r="50" ht="15.75" customHeight="1">
      <c r="A50" s="10" t="s">
        <v>61</v>
      </c>
      <c r="B50" s="4" t="s">
        <v>343</v>
      </c>
      <c r="C50" s="4" t="s">
        <v>344</v>
      </c>
      <c r="D50" s="4">
        <v>1.0</v>
      </c>
      <c r="E50" s="5">
        <v>1.0</v>
      </c>
      <c r="F50" s="5" t="s">
        <v>345</v>
      </c>
      <c r="G50" s="10"/>
      <c r="H50" s="10"/>
      <c r="I50" s="4" t="s">
        <v>285</v>
      </c>
      <c r="J50" s="4" t="s">
        <v>73</v>
      </c>
      <c r="L50" s="12" t="str">
        <f t="shared" si="1"/>
        <v>Vanilla_PonytailBangsLong,1,1</v>
      </c>
    </row>
    <row r="51" ht="15.75" customHeight="1">
      <c r="A51" s="10" t="s">
        <v>61</v>
      </c>
      <c r="B51" s="4" t="s">
        <v>346</v>
      </c>
      <c r="C51" s="4" t="s">
        <v>347</v>
      </c>
      <c r="D51" s="4">
        <v>1.0</v>
      </c>
      <c r="E51" s="5">
        <v>1.0</v>
      </c>
      <c r="F51" s="5" t="s">
        <v>348</v>
      </c>
      <c r="G51" s="10"/>
      <c r="H51" s="10"/>
      <c r="I51" s="4" t="s">
        <v>170</v>
      </c>
      <c r="J51" s="4" t="s">
        <v>73</v>
      </c>
      <c r="L51" s="12" t="str">
        <f t="shared" si="1"/>
        <v>Vanilla_PonytailBangsShort,1,1</v>
      </c>
    </row>
    <row r="52" ht="15.75" customHeight="1">
      <c r="A52" s="10" t="s">
        <v>61</v>
      </c>
      <c r="B52" s="4" t="s">
        <v>349</v>
      </c>
      <c r="C52" s="4" t="s">
        <v>350</v>
      </c>
      <c r="D52" s="4">
        <v>1.0</v>
      </c>
      <c r="E52" s="5">
        <v>1.0</v>
      </c>
      <c r="F52" s="5" t="s">
        <v>351</v>
      </c>
      <c r="G52" s="10"/>
      <c r="H52" s="10"/>
      <c r="I52" s="4" t="s">
        <v>285</v>
      </c>
      <c r="J52" s="4" t="s">
        <v>73</v>
      </c>
      <c r="L52" s="12" t="str">
        <f t="shared" si="1"/>
        <v>Vanilla_PonytailBraidLooped,1,1</v>
      </c>
    </row>
    <row r="53" ht="15.75" customHeight="1">
      <c r="A53" s="10" t="s">
        <v>61</v>
      </c>
      <c r="B53" s="4" t="s">
        <v>352</v>
      </c>
      <c r="C53" s="4" t="s">
        <v>353</v>
      </c>
      <c r="D53" s="4">
        <v>1.0</v>
      </c>
      <c r="E53" s="5">
        <v>1.0</v>
      </c>
      <c r="F53" s="5" t="s">
        <v>354</v>
      </c>
      <c r="H53" s="10"/>
      <c r="I53" s="4" t="s">
        <v>355</v>
      </c>
      <c r="J53" s="4" t="s">
        <v>73</v>
      </c>
      <c r="L53" s="12" t="str">
        <f t="shared" si="1"/>
        <v>Vanilla_PonytailHalf_up,1,1</v>
      </c>
    </row>
    <row r="54" ht="15.75" customHeight="1">
      <c r="A54" s="10" t="s">
        <v>61</v>
      </c>
      <c r="B54" s="4" t="s">
        <v>356</v>
      </c>
      <c r="C54" s="4" t="s">
        <v>357</v>
      </c>
      <c r="D54" s="4">
        <v>1.0</v>
      </c>
      <c r="E54" s="5">
        <v>1.0</v>
      </c>
      <c r="F54" s="5" t="s">
        <v>358</v>
      </c>
      <c r="G54" s="10"/>
      <c r="H54" s="10"/>
      <c r="I54" s="4" t="s">
        <v>285</v>
      </c>
      <c r="J54" s="4" t="s">
        <v>73</v>
      </c>
      <c r="L54" s="12" t="str">
        <f t="shared" si="1"/>
        <v>Vanilla_PonytailHalf_upBangs,1,1</v>
      </c>
    </row>
    <row r="55" ht="15.75" customHeight="1">
      <c r="A55" s="10" t="s">
        <v>61</v>
      </c>
      <c r="B55" s="4" t="s">
        <v>359</v>
      </c>
      <c r="C55" s="4" t="s">
        <v>360</v>
      </c>
      <c r="D55" s="4">
        <v>1.0</v>
      </c>
      <c r="E55" s="5">
        <v>1.0</v>
      </c>
      <c r="F55" s="5" t="s">
        <v>361</v>
      </c>
      <c r="G55" s="10"/>
      <c r="H55" s="10"/>
      <c r="I55" s="4" t="s">
        <v>280</v>
      </c>
      <c r="J55" s="4" t="s">
        <v>73</v>
      </c>
      <c r="L55" s="12" t="str">
        <f t="shared" si="1"/>
        <v>Vanilla_PonytailLow,1,1</v>
      </c>
    </row>
    <row r="56" ht="15.75" customHeight="1">
      <c r="A56" s="10" t="s">
        <v>61</v>
      </c>
      <c r="B56" s="4" t="s">
        <v>362</v>
      </c>
      <c r="C56" s="4" t="s">
        <v>363</v>
      </c>
      <c r="D56" s="4">
        <v>1.0</v>
      </c>
      <c r="E56" s="5">
        <v>1.0</v>
      </c>
      <c r="F56" s="5" t="s">
        <v>364</v>
      </c>
      <c r="G56" s="10"/>
      <c r="H56" s="10"/>
      <c r="I56" s="4" t="s">
        <v>280</v>
      </c>
      <c r="J56" s="4" t="s">
        <v>73</v>
      </c>
      <c r="L56" s="12" t="str">
        <f t="shared" si="1"/>
        <v>Vanilla_PulledBackLongBraid,1,1</v>
      </c>
    </row>
    <row r="57" ht="15.75" customHeight="1">
      <c r="A57" s="10" t="s">
        <v>61</v>
      </c>
      <c r="B57" s="4" t="s">
        <v>365</v>
      </c>
      <c r="C57" s="4" t="s">
        <v>367</v>
      </c>
      <c r="D57" s="4">
        <v>1.0</v>
      </c>
      <c r="E57" s="5">
        <v>1.0</v>
      </c>
      <c r="F57" s="5" t="s">
        <v>370</v>
      </c>
      <c r="G57" s="10"/>
      <c r="H57" s="10"/>
      <c r="I57" s="4" t="s">
        <v>285</v>
      </c>
      <c r="J57" s="4" t="s">
        <v>73</v>
      </c>
      <c r="L57" s="12" t="str">
        <f t="shared" si="1"/>
        <v>Vanilla_RoninPinnedBun,1,1</v>
      </c>
    </row>
    <row r="58" ht="15.75" customHeight="1">
      <c r="A58" s="10" t="s">
        <v>61</v>
      </c>
      <c r="B58" s="4" t="s">
        <v>372</v>
      </c>
      <c r="C58" s="4" t="s">
        <v>373</v>
      </c>
      <c r="D58" s="4">
        <v>1.0</v>
      </c>
      <c r="E58" s="5">
        <v>1.0</v>
      </c>
      <c r="F58" s="5" t="s">
        <v>374</v>
      </c>
      <c r="G58" s="10"/>
      <c r="H58" s="10"/>
      <c r="I58" s="4" t="s">
        <v>285</v>
      </c>
      <c r="J58" s="4" t="s">
        <v>73</v>
      </c>
      <c r="L58" s="12" t="str">
        <f t="shared" si="1"/>
        <v>Vanilla_RoninPinnedBunHalf_up,1,1</v>
      </c>
    </row>
    <row r="59" ht="15.75" customHeight="1">
      <c r="A59" s="10" t="s">
        <v>61</v>
      </c>
      <c r="B59" s="4" t="s">
        <v>375</v>
      </c>
      <c r="C59" s="4" t="s">
        <v>376</v>
      </c>
      <c r="D59" s="4">
        <v>1.0</v>
      </c>
      <c r="E59" s="5">
        <v>1.0</v>
      </c>
      <c r="F59" s="5" t="s">
        <v>377</v>
      </c>
      <c r="G59" s="10"/>
      <c r="H59" s="10"/>
      <c r="I59" s="4" t="s">
        <v>170</v>
      </c>
      <c r="J59" s="4" t="s">
        <v>73</v>
      </c>
      <c r="L59" s="12" t="str">
        <f t="shared" si="1"/>
        <v>Vanilla_RoninPonytailBanded,1,1</v>
      </c>
    </row>
    <row r="60" ht="15.75" customHeight="1">
      <c r="A60" s="10" t="s">
        <v>61</v>
      </c>
      <c r="B60" s="4" t="s">
        <v>378</v>
      </c>
      <c r="C60" s="4" t="s">
        <v>379</v>
      </c>
      <c r="D60" s="4">
        <v>1.0</v>
      </c>
      <c r="E60" s="5">
        <v>1.0</v>
      </c>
      <c r="F60" s="5" t="s">
        <v>380</v>
      </c>
      <c r="G60" s="10"/>
      <c r="H60" s="10"/>
      <c r="I60" s="4" t="s">
        <v>170</v>
      </c>
      <c r="J60" s="4" t="s">
        <v>73</v>
      </c>
      <c r="L60" s="12" t="str">
        <f t="shared" si="1"/>
        <v>Vanilla_RoninPonytailBraid,1,1</v>
      </c>
    </row>
    <row r="61" ht="15.75" customHeight="1">
      <c r="A61" s="10" t="s">
        <v>61</v>
      </c>
      <c r="B61" s="4" t="s">
        <v>381</v>
      </c>
      <c r="C61" s="4" t="s">
        <v>382</v>
      </c>
      <c r="D61" s="4">
        <v>1.0</v>
      </c>
      <c r="E61" s="5">
        <v>1.0</v>
      </c>
      <c r="F61" s="5" t="s">
        <v>383</v>
      </c>
      <c r="G61" s="10"/>
      <c r="H61" s="10"/>
      <c r="I61" s="4" t="s">
        <v>170</v>
      </c>
      <c r="J61" s="4" t="s">
        <v>73</v>
      </c>
      <c r="L61" s="12" t="str">
        <f t="shared" si="1"/>
        <v>Vanilla_RoninPonytailHalf_up,1,1</v>
      </c>
    </row>
    <row r="62" ht="15.75" customHeight="1">
      <c r="A62" s="10" t="s">
        <v>61</v>
      </c>
      <c r="B62" s="4" t="s">
        <v>384</v>
      </c>
      <c r="C62" s="4" t="s">
        <v>385</v>
      </c>
      <c r="D62" s="4">
        <v>1.0</v>
      </c>
      <c r="E62" s="5">
        <v>1.0</v>
      </c>
      <c r="F62" s="5" t="s">
        <v>386</v>
      </c>
      <c r="G62" s="10"/>
      <c r="H62" s="10"/>
      <c r="I62" s="4" t="s">
        <v>170</v>
      </c>
      <c r="J62" s="4" t="s">
        <v>73</v>
      </c>
      <c r="L62" s="12" t="str">
        <f t="shared" si="1"/>
        <v>Vanilla_RoninPonytailLong,1,1</v>
      </c>
    </row>
    <row r="63" ht="15.75" customHeight="1">
      <c r="A63" s="10" t="s">
        <v>61</v>
      </c>
      <c r="B63" s="4" t="s">
        <v>387</v>
      </c>
      <c r="C63" s="4" t="s">
        <v>388</v>
      </c>
      <c r="D63" s="4">
        <v>1.0</v>
      </c>
      <c r="E63" s="5">
        <v>1.0</v>
      </c>
      <c r="F63" s="5" t="s">
        <v>389</v>
      </c>
      <c r="G63" s="10"/>
      <c r="H63" s="10"/>
      <c r="I63" s="4" t="s">
        <v>390</v>
      </c>
      <c r="J63" s="4" t="s">
        <v>73</v>
      </c>
      <c r="L63" s="12" t="str">
        <f t="shared" si="1"/>
        <v>Vanilla_RoninPonytailMedium,1,1</v>
      </c>
    </row>
    <row r="64" ht="15.75" customHeight="1">
      <c r="A64" s="10" t="s">
        <v>61</v>
      </c>
      <c r="B64" s="4" t="s">
        <v>391</v>
      </c>
      <c r="C64" s="4" t="s">
        <v>392</v>
      </c>
      <c r="D64" s="4">
        <v>1.0</v>
      </c>
      <c r="E64" s="5">
        <v>1.0</v>
      </c>
      <c r="F64" s="5" t="s">
        <v>393</v>
      </c>
      <c r="G64" s="10"/>
      <c r="H64" s="10"/>
      <c r="I64" s="4" t="s">
        <v>394</v>
      </c>
      <c r="J64" s="4" t="s">
        <v>73</v>
      </c>
      <c r="L64" s="12" t="str">
        <f t="shared" si="1"/>
        <v>Vanilla_RoninPonytailShort,1,1</v>
      </c>
    </row>
    <row r="65" ht="15.75" customHeight="1">
      <c r="A65" s="10" t="s">
        <v>61</v>
      </c>
      <c r="B65" s="4" t="s">
        <v>395</v>
      </c>
      <c r="C65" s="4" t="s">
        <v>396</v>
      </c>
      <c r="D65" s="4">
        <v>1.0</v>
      </c>
      <c r="E65" s="5">
        <v>1.0</v>
      </c>
      <c r="F65" s="5" t="s">
        <v>397</v>
      </c>
      <c r="G65" s="10"/>
      <c r="H65" s="10"/>
      <c r="I65" s="4" t="s">
        <v>398</v>
      </c>
      <c r="J65" s="4" t="s">
        <v>73</v>
      </c>
      <c r="L65" s="12" t="str">
        <f t="shared" si="1"/>
        <v>Vanilla_RoninStackedBuns,1,1</v>
      </c>
    </row>
    <row r="66" ht="15.75" customHeight="1">
      <c r="A66" s="10" t="s">
        <v>61</v>
      </c>
      <c r="B66" s="4" t="s">
        <v>399</v>
      </c>
      <c r="C66" s="4" t="s">
        <v>400</v>
      </c>
      <c r="D66" s="4">
        <v>1.0</v>
      </c>
      <c r="E66" s="5">
        <v>1.0</v>
      </c>
      <c r="F66" s="5" t="s">
        <v>401</v>
      </c>
      <c r="G66" s="10"/>
      <c r="H66" s="10"/>
      <c r="I66" s="4" t="s">
        <v>244</v>
      </c>
      <c r="J66" s="4" t="s">
        <v>73</v>
      </c>
      <c r="L66" s="12" t="str">
        <f t="shared" si="1"/>
        <v>Vanilla_RoninStackedBunsHalf_up,1,1</v>
      </c>
    </row>
    <row r="67" ht="15.75" customHeight="1">
      <c r="A67" s="10" t="s">
        <v>61</v>
      </c>
      <c r="B67" s="4" t="s">
        <v>402</v>
      </c>
      <c r="C67" s="4" t="s">
        <v>403</v>
      </c>
      <c r="D67" s="4">
        <v>1.0</v>
      </c>
      <c r="E67" s="5">
        <v>1.0</v>
      </c>
      <c r="F67" s="5" t="s">
        <v>404</v>
      </c>
      <c r="G67" s="10"/>
      <c r="H67" s="10"/>
      <c r="I67" s="4" t="s">
        <v>170</v>
      </c>
      <c r="J67" s="4" t="s">
        <v>73</v>
      </c>
      <c r="L67" s="12" t="str">
        <f t="shared" si="1"/>
        <v>Vanilla_RoninTop_knot,1,1</v>
      </c>
    </row>
    <row r="68" ht="15.75" customHeight="1">
      <c r="A68" s="10" t="s">
        <v>61</v>
      </c>
      <c r="B68" s="4" t="s">
        <v>405</v>
      </c>
      <c r="C68" s="4" t="s">
        <v>406</v>
      </c>
      <c r="D68" s="4">
        <v>1.0</v>
      </c>
      <c r="E68" s="5">
        <v>1.0</v>
      </c>
      <c r="F68" s="5" t="s">
        <v>407</v>
      </c>
      <c r="G68" s="10"/>
      <c r="H68" s="10"/>
      <c r="I68" s="4" t="s">
        <v>285</v>
      </c>
      <c r="J68" s="4" t="s">
        <v>73</v>
      </c>
      <c r="L68" s="12" t="str">
        <f t="shared" si="1"/>
        <v>Vanilla_RoninTop_knotHalf_up,1,1</v>
      </c>
    </row>
    <row r="69" ht="15.75" customHeight="1">
      <c r="A69" s="10" t="s">
        <v>61</v>
      </c>
      <c r="B69" s="4" t="s">
        <v>408</v>
      </c>
      <c r="C69" s="4" t="s">
        <v>409</v>
      </c>
      <c r="D69" s="4">
        <v>1.0</v>
      </c>
      <c r="E69" s="5">
        <v>1.0</v>
      </c>
      <c r="F69" s="5" t="s">
        <v>410</v>
      </c>
      <c r="G69" s="10"/>
      <c r="H69" s="10"/>
      <c r="I69" s="4" t="s">
        <v>170</v>
      </c>
      <c r="J69" s="4" t="s">
        <v>73</v>
      </c>
      <c r="L69" s="12" t="str">
        <f t="shared" si="1"/>
        <v>Vanilla_RoninUndercutPonytailBanded,1,1</v>
      </c>
    </row>
    <row r="70" ht="15.75" customHeight="1">
      <c r="A70" s="10" t="s">
        <v>61</v>
      </c>
      <c r="B70" s="4" t="s">
        <v>411</v>
      </c>
      <c r="C70" s="4" t="s">
        <v>412</v>
      </c>
      <c r="D70" s="4">
        <v>1.0</v>
      </c>
      <c r="E70" s="5">
        <v>1.0</v>
      </c>
      <c r="F70" s="5" t="s">
        <v>413</v>
      </c>
      <c r="G70" s="10"/>
      <c r="H70" s="10"/>
      <c r="I70" s="4" t="s">
        <v>170</v>
      </c>
      <c r="J70" s="4" t="s">
        <v>73</v>
      </c>
      <c r="L70" s="12" t="str">
        <f t="shared" si="1"/>
        <v>Vanilla_RoninUndercutPonytailLong,1,1</v>
      </c>
    </row>
    <row r="71" ht="15.75" customHeight="1">
      <c r="A71" s="10" t="s">
        <v>61</v>
      </c>
      <c r="B71" s="4" t="s">
        <v>414</v>
      </c>
      <c r="C71" s="4" t="s">
        <v>415</v>
      </c>
      <c r="D71" s="4">
        <v>1.0</v>
      </c>
      <c r="E71" s="5">
        <v>1.0</v>
      </c>
      <c r="F71" s="5" t="s">
        <v>416</v>
      </c>
      <c r="G71" s="10"/>
      <c r="H71" s="10"/>
      <c r="I71" s="4" t="s">
        <v>170</v>
      </c>
      <c r="J71" s="4" t="s">
        <v>73</v>
      </c>
      <c r="L71" s="12" t="str">
        <f t="shared" si="1"/>
        <v>Vanilla_RoninUndercutPonytailShort,1,1</v>
      </c>
    </row>
    <row r="72" ht="15.75" customHeight="1">
      <c r="A72" s="10" t="s">
        <v>61</v>
      </c>
      <c r="B72" s="4" t="s">
        <v>417</v>
      </c>
      <c r="C72" s="4" t="s">
        <v>418</v>
      </c>
      <c r="D72" s="4">
        <v>1.0</v>
      </c>
      <c r="E72" s="5">
        <v>1.0</v>
      </c>
      <c r="F72" s="5" t="s">
        <v>419</v>
      </c>
      <c r="G72" s="10"/>
      <c r="H72" s="10"/>
      <c r="I72" s="4" t="s">
        <v>170</v>
      </c>
      <c r="J72" s="4" t="s">
        <v>73</v>
      </c>
      <c r="L72" s="12" t="str">
        <f t="shared" si="1"/>
        <v>Vanilla_Shaved1,1,1</v>
      </c>
    </row>
    <row r="73" ht="15.75" customHeight="1">
      <c r="A73" s="10" t="s">
        <v>61</v>
      </c>
      <c r="B73" s="4" t="s">
        <v>422</v>
      </c>
      <c r="C73" s="4" t="s">
        <v>423</v>
      </c>
      <c r="D73" s="4">
        <v>1.0</v>
      </c>
      <c r="E73" s="5">
        <v>1.0</v>
      </c>
      <c r="F73" s="5" t="s">
        <v>425</v>
      </c>
      <c r="G73" s="10"/>
      <c r="H73" s="10"/>
      <c r="I73" s="4" t="s">
        <v>426</v>
      </c>
      <c r="J73" s="4" t="s">
        <v>73</v>
      </c>
      <c r="L73" s="12" t="str">
        <f t="shared" si="1"/>
        <v>Vanilla_Shaved2,1,1</v>
      </c>
    </row>
    <row r="74" ht="15.75" customHeight="1">
      <c r="A74" s="10" t="s">
        <v>61</v>
      </c>
      <c r="B74" s="4" t="s">
        <v>427</v>
      </c>
      <c r="C74" s="4" t="s">
        <v>428</v>
      </c>
      <c r="D74" s="4">
        <v>1.0</v>
      </c>
      <c r="E74" s="5">
        <v>1.0</v>
      </c>
      <c r="F74" s="5" t="s">
        <v>429</v>
      </c>
      <c r="G74" s="10"/>
      <c r="H74" s="10"/>
      <c r="I74" s="4" t="s">
        <v>244</v>
      </c>
      <c r="J74" s="4" t="s">
        <v>73</v>
      </c>
      <c r="L74" s="12" t="str">
        <f t="shared" si="1"/>
        <v>Vanilla_ShavedPonytailBandedLong,1,1</v>
      </c>
    </row>
    <row r="75" ht="15.75" customHeight="1">
      <c r="A75" s="10" t="s">
        <v>61</v>
      </c>
      <c r="B75" s="4" t="s">
        <v>430</v>
      </c>
      <c r="C75" s="4" t="s">
        <v>431</v>
      </c>
      <c r="D75" s="4">
        <v>1.0</v>
      </c>
      <c r="E75" s="5">
        <v>1.0</v>
      </c>
      <c r="F75" s="5" t="s">
        <v>432</v>
      </c>
      <c r="G75" s="10"/>
      <c r="H75" s="10"/>
      <c r="I75" s="4" t="s">
        <v>433</v>
      </c>
      <c r="J75" s="4" t="s">
        <v>73</v>
      </c>
      <c r="L75" s="12" t="str">
        <f t="shared" si="1"/>
        <v>Vanilla_ShavedPonytailBandedShort,1,1</v>
      </c>
    </row>
    <row r="76" ht="15.75" customHeight="1">
      <c r="A76" s="10" t="s">
        <v>61</v>
      </c>
      <c r="B76" s="4" t="s">
        <v>434</v>
      </c>
      <c r="C76" s="4" t="s">
        <v>435</v>
      </c>
      <c r="D76" s="4">
        <v>1.0</v>
      </c>
      <c r="E76" s="5">
        <v>1.0</v>
      </c>
      <c r="F76" s="5" t="s">
        <v>436</v>
      </c>
      <c r="G76" s="10"/>
      <c r="H76" s="10"/>
      <c r="I76" s="4" t="s">
        <v>244</v>
      </c>
      <c r="J76" s="4" t="s">
        <v>73</v>
      </c>
      <c r="L76" s="12" t="str">
        <f t="shared" si="1"/>
        <v>Vanilla_ShavedPonytailBraid,1,1</v>
      </c>
    </row>
    <row r="77" ht="15.75" customHeight="1">
      <c r="A77" s="10" t="s">
        <v>61</v>
      </c>
      <c r="B77" s="4" t="s">
        <v>437</v>
      </c>
      <c r="C77" s="4" t="s">
        <v>438</v>
      </c>
      <c r="D77" s="4">
        <v>1.0</v>
      </c>
      <c r="E77" s="5">
        <v>1.0</v>
      </c>
      <c r="F77" s="5" t="s">
        <v>439</v>
      </c>
      <c r="G77" s="10"/>
      <c r="H77" s="10"/>
      <c r="I77" s="4" t="s">
        <v>244</v>
      </c>
      <c r="J77" s="4" t="s">
        <v>73</v>
      </c>
      <c r="L77" s="12" t="str">
        <f t="shared" si="1"/>
        <v>Vanilla_ShavedPonytailLong,1,1</v>
      </c>
    </row>
    <row r="78" ht="15.75" customHeight="1">
      <c r="A78" s="10" t="s">
        <v>61</v>
      </c>
      <c r="B78" s="4" t="s">
        <v>440</v>
      </c>
      <c r="C78" s="4" t="s">
        <v>441</v>
      </c>
      <c r="D78" s="4">
        <v>1.0</v>
      </c>
      <c r="E78" s="5">
        <v>1.0</v>
      </c>
      <c r="F78" s="5" t="s">
        <v>442</v>
      </c>
      <c r="G78" s="10"/>
      <c r="H78" s="10"/>
      <c r="I78" s="4" t="s">
        <v>244</v>
      </c>
      <c r="J78" s="4" t="s">
        <v>73</v>
      </c>
      <c r="L78" s="12" t="str">
        <f t="shared" si="1"/>
        <v>Vanilla_ShavedPonytailMedium,1,1</v>
      </c>
    </row>
    <row r="79" ht="15.75" customHeight="1">
      <c r="A79" s="10" t="s">
        <v>61</v>
      </c>
      <c r="B79" s="4" t="s">
        <v>443</v>
      </c>
      <c r="C79" s="4" t="s">
        <v>444</v>
      </c>
      <c r="D79" s="4">
        <v>1.0</v>
      </c>
      <c r="E79" s="5">
        <v>1.0</v>
      </c>
      <c r="F79" s="5" t="s">
        <v>445</v>
      </c>
      <c r="G79" s="10"/>
      <c r="H79" s="10"/>
      <c r="I79" s="4" t="s">
        <v>244</v>
      </c>
      <c r="J79" s="4" t="s">
        <v>73</v>
      </c>
      <c r="L79" s="12" t="str">
        <f t="shared" si="1"/>
        <v>Vanilla_ShavedPonytailShort,1,1</v>
      </c>
    </row>
    <row r="80" ht="15.75" customHeight="1">
      <c r="A80" s="10" t="s">
        <v>61</v>
      </c>
      <c r="B80" s="4" t="s">
        <v>446</v>
      </c>
      <c r="C80" s="4" t="s">
        <v>447</v>
      </c>
      <c r="D80" s="4">
        <v>1.0</v>
      </c>
      <c r="E80" s="5">
        <v>1.0</v>
      </c>
      <c r="F80" s="5" t="s">
        <v>448</v>
      </c>
      <c r="G80" s="10"/>
      <c r="H80" s="10"/>
      <c r="I80" s="4" t="s">
        <v>433</v>
      </c>
      <c r="J80" s="4" t="s">
        <v>73</v>
      </c>
      <c r="L80" s="12" t="str">
        <f t="shared" si="1"/>
        <v>Vanilla_ShavedTopPonytailBandedLong,1,1</v>
      </c>
    </row>
    <row r="81" ht="15.75" customHeight="1">
      <c r="A81" s="10" t="s">
        <v>61</v>
      </c>
      <c r="B81" s="4" t="s">
        <v>449</v>
      </c>
      <c r="C81" s="4" t="s">
        <v>450</v>
      </c>
      <c r="D81" s="4">
        <v>1.0</v>
      </c>
      <c r="E81" s="5">
        <v>1.0</v>
      </c>
      <c r="F81" s="5" t="s">
        <v>451</v>
      </c>
      <c r="G81" s="10"/>
      <c r="H81" s="10"/>
      <c r="I81" s="4" t="s">
        <v>433</v>
      </c>
      <c r="J81" s="4" t="s">
        <v>73</v>
      </c>
      <c r="L81" s="12" t="str">
        <f t="shared" si="1"/>
        <v>Vanilla_ShavedTopPonytailBandedShort,1,1</v>
      </c>
    </row>
    <row r="82" ht="15.75" customHeight="1">
      <c r="A82" s="10" t="s">
        <v>61</v>
      </c>
      <c r="B82" s="4" t="s">
        <v>452</v>
      </c>
      <c r="C82" s="4" t="s">
        <v>453</v>
      </c>
      <c r="D82" s="4">
        <v>1.0</v>
      </c>
      <c r="E82" s="5">
        <v>1.0</v>
      </c>
      <c r="F82" s="5" t="s">
        <v>454</v>
      </c>
      <c r="G82" s="10"/>
      <c r="H82" s="10"/>
      <c r="I82" s="4" t="s">
        <v>355</v>
      </c>
      <c r="J82" s="4" t="s">
        <v>73</v>
      </c>
      <c r="L82" s="12" t="str">
        <f t="shared" si="1"/>
        <v>Vanilla_ShavedTopPonytailLong,1,1</v>
      </c>
    </row>
    <row r="83" ht="15.75" customHeight="1">
      <c r="A83" s="10" t="s">
        <v>61</v>
      </c>
      <c r="B83" s="4" t="s">
        <v>455</v>
      </c>
      <c r="C83" s="4" t="s">
        <v>456</v>
      </c>
      <c r="D83" s="4">
        <v>1.0</v>
      </c>
      <c r="E83" s="5">
        <v>1.0</v>
      </c>
      <c r="F83" s="5" t="s">
        <v>457</v>
      </c>
      <c r="G83" s="10"/>
      <c r="H83" s="10"/>
      <c r="I83" s="4" t="s">
        <v>355</v>
      </c>
      <c r="J83" s="4" t="s">
        <v>73</v>
      </c>
      <c r="L83" s="12" t="str">
        <f t="shared" si="1"/>
        <v>Vanilla_ShavedTopPonytailMedium,1,1</v>
      </c>
    </row>
    <row r="84" ht="15.75" customHeight="1">
      <c r="A84" s="10" t="s">
        <v>61</v>
      </c>
      <c r="B84" s="4" t="s">
        <v>458</v>
      </c>
      <c r="C84" s="4" t="s">
        <v>459</v>
      </c>
      <c r="D84" s="4">
        <v>1.0</v>
      </c>
      <c r="E84" s="5">
        <v>1.0</v>
      </c>
      <c r="F84" s="5" t="s">
        <v>460</v>
      </c>
      <c r="G84" s="10"/>
      <c r="H84" s="10"/>
      <c r="I84" s="4" t="s">
        <v>355</v>
      </c>
      <c r="J84" s="4" t="s">
        <v>73</v>
      </c>
      <c r="L84" s="12" t="str">
        <f t="shared" si="1"/>
        <v>Vanilla_ShavedTopPonytailShort,1,1</v>
      </c>
    </row>
    <row r="85" ht="15.75" customHeight="1">
      <c r="A85" s="10" t="s">
        <v>61</v>
      </c>
      <c r="B85" s="4" t="s">
        <v>461</v>
      </c>
      <c r="C85" s="4" t="s">
        <v>462</v>
      </c>
      <c r="D85" s="4">
        <v>1.0</v>
      </c>
      <c r="E85" s="5">
        <v>1.0</v>
      </c>
      <c r="F85" s="5" t="s">
        <v>463</v>
      </c>
      <c r="G85" s="10"/>
      <c r="H85" s="10"/>
      <c r="I85" s="4" t="s">
        <v>464</v>
      </c>
      <c r="J85" s="4" t="s">
        <v>73</v>
      </c>
      <c r="L85" s="12" t="str">
        <f t="shared" si="1"/>
        <v>Vanilla_Short,1,1</v>
      </c>
    </row>
    <row r="86" ht="15.75" customHeight="1">
      <c r="A86" s="10" t="s">
        <v>61</v>
      </c>
      <c r="B86" s="4" t="s">
        <v>424</v>
      </c>
      <c r="C86" s="4" t="s">
        <v>465</v>
      </c>
      <c r="D86" s="4">
        <v>1.0</v>
      </c>
      <c r="E86" s="5">
        <v>1.0</v>
      </c>
      <c r="F86" s="5" t="s">
        <v>466</v>
      </c>
      <c r="G86" s="10"/>
      <c r="H86" s="10"/>
      <c r="I86" s="4" t="s">
        <v>170</v>
      </c>
      <c r="J86" s="4" t="s">
        <v>73</v>
      </c>
      <c r="L86" s="12" t="str">
        <f t="shared" si="1"/>
        <v>Vanilla_ShortLoose,1,1</v>
      </c>
    </row>
    <row r="87" ht="15.75" customHeight="1">
      <c r="A87" s="10" t="s">
        <v>61</v>
      </c>
      <c r="B87" s="4" t="s">
        <v>68</v>
      </c>
      <c r="C87" s="4" t="s">
        <v>467</v>
      </c>
      <c r="D87" s="4">
        <v>1.0</v>
      </c>
      <c r="E87" s="5">
        <v>1.0</v>
      </c>
      <c r="F87" s="5" t="s">
        <v>468</v>
      </c>
      <c r="G87" s="10"/>
      <c r="H87" s="10"/>
      <c r="I87" s="4" t="s">
        <v>170</v>
      </c>
      <c r="J87" s="4" t="s">
        <v>73</v>
      </c>
      <c r="L87" s="12" t="str">
        <f t="shared" si="1"/>
        <v>Vanilla_ShortLooseBraids,1,1</v>
      </c>
    </row>
    <row r="88" ht="15.75" customHeight="1">
      <c r="A88" s="10" t="s">
        <v>61</v>
      </c>
      <c r="B88" s="4" t="s">
        <v>471</v>
      </c>
      <c r="C88" s="4" t="s">
        <v>472</v>
      </c>
      <c r="D88" s="4">
        <v>1.0</v>
      </c>
      <c r="E88" s="5">
        <v>1.0</v>
      </c>
      <c r="F88" s="5" t="s">
        <v>473</v>
      </c>
      <c r="G88" s="10"/>
      <c r="H88" s="10"/>
      <c r="I88" s="4" t="s">
        <v>474</v>
      </c>
      <c r="J88" s="4" t="s">
        <v>73</v>
      </c>
      <c r="L88" s="12" t="str">
        <f t="shared" si="1"/>
        <v>Vanilla_SidecutShort,1,1</v>
      </c>
    </row>
    <row r="89" ht="15.75" customHeight="1">
      <c r="A89" s="10" t="s">
        <v>61</v>
      </c>
      <c r="B89" s="4" t="s">
        <v>475</v>
      </c>
      <c r="C89" s="4" t="s">
        <v>476</v>
      </c>
      <c r="D89" s="4">
        <v>1.0</v>
      </c>
      <c r="E89" s="5">
        <v>1.0</v>
      </c>
      <c r="F89" s="5" t="s">
        <v>477</v>
      </c>
      <c r="G89" s="10"/>
      <c r="H89" s="10"/>
      <c r="I89" s="4" t="s">
        <v>478</v>
      </c>
      <c r="J89" s="4" t="s">
        <v>73</v>
      </c>
      <c r="L89" s="12" t="str">
        <f t="shared" si="1"/>
        <v>Vanilla_SidecutLong,1,1</v>
      </c>
    </row>
    <row r="90" ht="15.75" customHeight="1">
      <c r="A90" s="10" t="s">
        <v>61</v>
      </c>
      <c r="B90" s="4" t="s">
        <v>479</v>
      </c>
      <c r="C90" s="4" t="s">
        <v>480</v>
      </c>
      <c r="D90" s="4">
        <v>1.0</v>
      </c>
      <c r="E90" s="5">
        <v>1.0</v>
      </c>
      <c r="F90" s="5" t="s">
        <v>481</v>
      </c>
      <c r="G90" s="10"/>
      <c r="H90" s="10"/>
      <c r="I90" s="4" t="s">
        <v>170</v>
      </c>
      <c r="J90" s="4" t="s">
        <v>73</v>
      </c>
      <c r="L90" s="12" t="str">
        <f t="shared" si="1"/>
        <v>Vanilla_SlickedBackLongSideBraid,1,1</v>
      </c>
    </row>
    <row r="91" ht="15.75" customHeight="1">
      <c r="A91" s="10" t="s">
        <v>61</v>
      </c>
      <c r="B91" s="4" t="s">
        <v>482</v>
      </c>
      <c r="C91" s="4" t="s">
        <v>483</v>
      </c>
      <c r="D91" s="4">
        <v>1.0</v>
      </c>
      <c r="E91" s="5">
        <v>1.0</v>
      </c>
      <c r="F91" s="5" t="s">
        <v>484</v>
      </c>
      <c r="G91" s="10"/>
      <c r="H91" s="10"/>
      <c r="I91" s="4" t="s">
        <v>485</v>
      </c>
      <c r="J91" s="4" t="s">
        <v>73</v>
      </c>
      <c r="L91" s="12" t="str">
        <f t="shared" si="1"/>
        <v>Vanilla_SlickedBackShort,1,1</v>
      </c>
    </row>
    <row r="92" ht="15.75" customHeight="1">
      <c r="A92" s="10" t="s">
        <v>61</v>
      </c>
      <c r="B92" s="4" t="s">
        <v>486</v>
      </c>
      <c r="C92" s="4" t="s">
        <v>487</v>
      </c>
      <c r="D92" s="4">
        <v>1.0</v>
      </c>
      <c r="E92" s="5">
        <v>1.0</v>
      </c>
      <c r="F92" s="5" t="s">
        <v>488</v>
      </c>
      <c r="G92" s="10"/>
      <c r="H92" s="10"/>
      <c r="I92" s="4" t="s">
        <v>170</v>
      </c>
      <c r="J92" s="4" t="s">
        <v>73</v>
      </c>
      <c r="L92" s="12" t="str">
        <f t="shared" si="1"/>
        <v>Vanilla_SlickedBackSideBraids,1,1</v>
      </c>
    </row>
    <row r="93" ht="15.75" customHeight="1">
      <c r="A93" s="10" t="s">
        <v>61</v>
      </c>
      <c r="B93" s="4" t="s">
        <v>92</v>
      </c>
      <c r="C93" s="4" t="s">
        <v>489</v>
      </c>
      <c r="D93" s="4">
        <v>1.0</v>
      </c>
      <c r="E93" s="5">
        <v>1.0</v>
      </c>
      <c r="F93" s="5" t="s">
        <v>490</v>
      </c>
      <c r="G93" s="10"/>
      <c r="H93" s="10"/>
      <c r="I93" s="4" t="s">
        <v>280</v>
      </c>
      <c r="J93" s="4" t="s">
        <v>73</v>
      </c>
      <c r="L93" s="12" t="str">
        <f t="shared" si="1"/>
        <v>Vanilla_SpaceBunsLoose,1,1</v>
      </c>
    </row>
    <row r="94" ht="15.75" customHeight="1">
      <c r="A94" s="10" t="s">
        <v>61</v>
      </c>
      <c r="B94" s="4" t="s">
        <v>491</v>
      </c>
      <c r="C94" s="4" t="s">
        <v>492</v>
      </c>
      <c r="D94" s="4">
        <v>1.0</v>
      </c>
      <c r="E94" s="5">
        <v>1.0</v>
      </c>
      <c r="F94" s="5" t="s">
        <v>493</v>
      </c>
      <c r="G94" s="10"/>
      <c r="H94" s="10"/>
      <c r="I94" s="4" t="s">
        <v>280</v>
      </c>
      <c r="J94" s="4" t="s">
        <v>73</v>
      </c>
      <c r="L94" s="12" t="str">
        <f t="shared" si="1"/>
        <v>Vanilla_SpaceBunsTight,1,1</v>
      </c>
    </row>
    <row r="95" ht="15.75" customHeight="1">
      <c r="A95" s="10" t="s">
        <v>61</v>
      </c>
      <c r="B95" s="4" t="s">
        <v>494</v>
      </c>
      <c r="C95" s="4" t="s">
        <v>495</v>
      </c>
      <c r="D95" s="4">
        <v>1.0</v>
      </c>
      <c r="E95" s="5">
        <v>1.0</v>
      </c>
      <c r="F95" s="5" t="s">
        <v>496</v>
      </c>
      <c r="G95" s="10"/>
      <c r="H95" s="10"/>
      <c r="I95" s="4" t="s">
        <v>170</v>
      </c>
      <c r="J95" s="4" t="s">
        <v>73</v>
      </c>
      <c r="L95" s="12" t="str">
        <f t="shared" si="1"/>
        <v>Vanilla_StraightLong,1,1</v>
      </c>
    </row>
    <row r="96" ht="15.75" customHeight="1">
      <c r="A96" s="10" t="s">
        <v>61</v>
      </c>
      <c r="B96" s="4" t="s">
        <v>497</v>
      </c>
      <c r="C96" s="4" t="s">
        <v>498</v>
      </c>
      <c r="D96" s="4">
        <v>1.0</v>
      </c>
      <c r="E96" s="5">
        <v>1.0</v>
      </c>
      <c r="F96" s="5" t="s">
        <v>499</v>
      </c>
      <c r="G96" s="10"/>
      <c r="H96" s="10"/>
      <c r="I96" s="4" t="s">
        <v>170</v>
      </c>
      <c r="J96" s="4" t="s">
        <v>73</v>
      </c>
      <c r="L96" s="12" t="str">
        <f t="shared" si="1"/>
        <v>Vanilla_StraightLongBraid,1,1</v>
      </c>
    </row>
    <row r="97" ht="15.75" customHeight="1">
      <c r="A97" s="10" t="s">
        <v>61</v>
      </c>
      <c r="B97" s="4" t="s">
        <v>500</v>
      </c>
      <c r="C97" s="4" t="s">
        <v>501</v>
      </c>
      <c r="D97" s="4">
        <v>1.0</v>
      </c>
      <c r="E97" s="5">
        <v>1.0</v>
      </c>
      <c r="F97" s="5" t="s">
        <v>502</v>
      </c>
      <c r="G97" s="10"/>
      <c r="H97" s="10"/>
      <c r="I97" s="4" t="s">
        <v>244</v>
      </c>
      <c r="J97" s="4" t="s">
        <v>73</v>
      </c>
      <c r="L97" s="12" t="str">
        <f t="shared" si="1"/>
        <v>Vanilla_StraightLongScraggly,1,1</v>
      </c>
    </row>
    <row r="98" ht="15.75" customHeight="1">
      <c r="A98" s="10" t="s">
        <v>61</v>
      </c>
      <c r="B98" s="4" t="s">
        <v>503</v>
      </c>
      <c r="C98" s="4" t="s">
        <v>504</v>
      </c>
      <c r="D98" s="4">
        <v>1.0</v>
      </c>
      <c r="E98" s="5">
        <v>1.0</v>
      </c>
      <c r="F98" s="5" t="s">
        <v>505</v>
      </c>
      <c r="G98" s="10"/>
      <c r="H98" s="10"/>
      <c r="I98" s="4" t="s">
        <v>170</v>
      </c>
      <c r="J98" s="4" t="s">
        <v>73</v>
      </c>
      <c r="L98" s="12" t="str">
        <f t="shared" si="1"/>
        <v>Vanilla_StraightMedium,1,1</v>
      </c>
    </row>
    <row r="99" ht="15.75" customHeight="1">
      <c r="A99" s="10" t="s">
        <v>61</v>
      </c>
      <c r="B99" s="4" t="s">
        <v>506</v>
      </c>
      <c r="C99" s="4" t="s">
        <v>507</v>
      </c>
      <c r="D99" s="4">
        <v>1.0</v>
      </c>
      <c r="E99" s="5">
        <v>1.0</v>
      </c>
      <c r="F99" s="5" t="s">
        <v>508</v>
      </c>
      <c r="G99" s="10"/>
      <c r="H99" s="10"/>
      <c r="I99" s="4" t="s">
        <v>485</v>
      </c>
      <c r="J99" s="4" t="s">
        <v>73</v>
      </c>
      <c r="L99" s="12" t="str">
        <f t="shared" si="1"/>
        <v>Vanilla_StraightBehindEars,1,1</v>
      </c>
    </row>
    <row r="100" ht="15.75" customHeight="1">
      <c r="A100" s="10" t="s">
        <v>61</v>
      </c>
      <c r="B100" s="4" t="s">
        <v>509</v>
      </c>
      <c r="C100" s="4" t="s">
        <v>510</v>
      </c>
      <c r="D100" s="4">
        <v>1.0</v>
      </c>
      <c r="E100" s="5">
        <v>1.0</v>
      </c>
      <c r="F100" s="5" t="s">
        <v>511</v>
      </c>
      <c r="G100" s="10"/>
      <c r="H100" s="10"/>
      <c r="I100" s="4" t="s">
        <v>170</v>
      </c>
      <c r="J100" s="4" t="s">
        <v>73</v>
      </c>
      <c r="L100" s="12" t="str">
        <f t="shared" si="1"/>
        <v>Vanilla_StraightBehindLeftEar,1,1</v>
      </c>
    </row>
    <row r="101" ht="15.75" customHeight="1">
      <c r="A101" s="10" t="s">
        <v>61</v>
      </c>
      <c r="B101" s="4" t="s">
        <v>512</v>
      </c>
      <c r="C101" s="4" t="s">
        <v>513</v>
      </c>
      <c r="D101" s="4">
        <v>1.0</v>
      </c>
      <c r="E101" s="5">
        <v>1.0</v>
      </c>
      <c r="F101" s="5" t="s">
        <v>514</v>
      </c>
      <c r="G101" s="10"/>
      <c r="H101" s="10"/>
      <c r="I101" s="4" t="s">
        <v>515</v>
      </c>
      <c r="J101" s="4" t="s">
        <v>73</v>
      </c>
      <c r="L101" s="12" t="str">
        <f t="shared" si="1"/>
        <v>Vanilla_StraightBehindRightEar,1,1</v>
      </c>
    </row>
    <row r="102" ht="15.75" customHeight="1">
      <c r="A102" s="10" t="s">
        <v>61</v>
      </c>
      <c r="B102" s="4" t="s">
        <v>516</v>
      </c>
      <c r="C102" s="4" t="s">
        <v>517</v>
      </c>
      <c r="D102" s="4">
        <v>1.0</v>
      </c>
      <c r="E102" s="5">
        <v>1.0</v>
      </c>
      <c r="F102" s="5" t="s">
        <v>520</v>
      </c>
      <c r="G102" s="10"/>
      <c r="H102" s="10"/>
      <c r="I102" s="4" t="s">
        <v>170</v>
      </c>
      <c r="J102" s="4" t="s">
        <v>73</v>
      </c>
      <c r="L102" s="12" t="str">
        <f t="shared" si="1"/>
        <v>Vanilla_TopTiedBackSideBraids,1,1</v>
      </c>
    </row>
    <row r="103" ht="15.75" customHeight="1">
      <c r="A103" s="10" t="s">
        <v>61</v>
      </c>
      <c r="B103" s="4" t="s">
        <v>522</v>
      </c>
      <c r="C103" s="4" t="s">
        <v>523</v>
      </c>
      <c r="D103" s="4">
        <v>1.0</v>
      </c>
      <c r="E103" s="5">
        <v>1.0</v>
      </c>
      <c r="F103" s="5" t="s">
        <v>524</v>
      </c>
      <c r="G103" s="10"/>
      <c r="H103" s="10"/>
      <c r="I103" s="4" t="s">
        <v>244</v>
      </c>
      <c r="J103" s="4" t="s">
        <v>73</v>
      </c>
      <c r="L103" s="12" t="str">
        <f t="shared" si="1"/>
        <v>Vanilla_UndercutPonytailBanded,1,1</v>
      </c>
    </row>
    <row r="104" ht="15.75" customHeight="1">
      <c r="A104" s="10" t="s">
        <v>61</v>
      </c>
      <c r="B104" s="4" t="s">
        <v>525</v>
      </c>
      <c r="C104" s="4" t="s">
        <v>526</v>
      </c>
      <c r="D104" s="4">
        <v>1.0</v>
      </c>
      <c r="E104" s="5">
        <v>1.0</v>
      </c>
      <c r="F104" s="5" t="s">
        <v>527</v>
      </c>
      <c r="G104" s="10"/>
      <c r="H104" s="10"/>
      <c r="I104" s="4" t="s">
        <v>244</v>
      </c>
      <c r="J104" s="4" t="s">
        <v>73</v>
      </c>
      <c r="L104" s="12" t="str">
        <f t="shared" si="1"/>
        <v>Vanilla_UndercutPonytailHigh,1,1</v>
      </c>
    </row>
    <row r="105" ht="15.75" customHeight="1">
      <c r="A105" s="10" t="s">
        <v>61</v>
      </c>
      <c r="B105" s="4" t="s">
        <v>528</v>
      </c>
      <c r="C105" s="4" t="s">
        <v>529</v>
      </c>
      <c r="D105" s="4">
        <v>1.0</v>
      </c>
      <c r="E105" s="5">
        <v>1.0</v>
      </c>
      <c r="F105" s="5" t="s">
        <v>530</v>
      </c>
      <c r="G105" s="10"/>
      <c r="H105" s="10"/>
      <c r="I105" s="4" t="s">
        <v>198</v>
      </c>
      <c r="J105" s="4" t="s">
        <v>73</v>
      </c>
      <c r="L105" s="12" t="str">
        <f t="shared" si="1"/>
        <v>Vanilla_UndercutPonytailLong,1,1</v>
      </c>
    </row>
    <row r="106" ht="15.75" customHeight="1">
      <c r="A106" s="10" t="s">
        <v>61</v>
      </c>
      <c r="B106" s="4" t="s">
        <v>531</v>
      </c>
      <c r="C106" s="4" t="s">
        <v>532</v>
      </c>
      <c r="D106" s="4">
        <v>1.0</v>
      </c>
      <c r="E106" s="5">
        <v>1.0</v>
      </c>
      <c r="F106" s="5" t="s">
        <v>533</v>
      </c>
      <c r="G106" s="10"/>
      <c r="H106" s="10"/>
      <c r="I106" s="4" t="s">
        <v>244</v>
      </c>
      <c r="J106" s="4" t="s">
        <v>73</v>
      </c>
      <c r="L106" s="12" t="str">
        <f t="shared" si="1"/>
        <v>Vanilla_UndercutPonytailMedium,1,1</v>
      </c>
    </row>
    <row r="107" ht="15.75" customHeight="1">
      <c r="A107" s="10" t="s">
        <v>61</v>
      </c>
      <c r="B107" s="4" t="s">
        <v>534</v>
      </c>
      <c r="C107" s="4" t="s">
        <v>535</v>
      </c>
      <c r="D107" s="4">
        <v>1.0</v>
      </c>
      <c r="E107" s="5">
        <v>1.0</v>
      </c>
      <c r="F107" s="5" t="s">
        <v>536</v>
      </c>
      <c r="G107" s="10"/>
      <c r="H107" s="10"/>
      <c r="I107" s="4" t="s">
        <v>198</v>
      </c>
      <c r="J107" s="4" t="s">
        <v>73</v>
      </c>
      <c r="L107" s="12" t="str">
        <f t="shared" si="1"/>
        <v>Vanilla_UndercutPonytailReceding,1,1</v>
      </c>
    </row>
    <row r="108" ht="15.75" customHeight="1">
      <c r="A108" s="10" t="s">
        <v>61</v>
      </c>
      <c r="B108" s="4" t="s">
        <v>537</v>
      </c>
      <c r="C108" s="4" t="s">
        <v>538</v>
      </c>
      <c r="D108" s="4">
        <v>1.0</v>
      </c>
      <c r="E108" s="5">
        <v>1.0</v>
      </c>
      <c r="F108" s="5" t="s">
        <v>539</v>
      </c>
      <c r="G108" s="10"/>
      <c r="H108" s="10"/>
      <c r="I108" s="4" t="s">
        <v>198</v>
      </c>
      <c r="J108" s="4" t="s">
        <v>73</v>
      </c>
      <c r="L108" s="12" t="str">
        <f t="shared" si="1"/>
        <v>Vanilla_UndercutPonytailShort,1,1</v>
      </c>
    </row>
    <row r="109" ht="15.75" customHeight="1">
      <c r="A109" s="10" t="s">
        <v>61</v>
      </c>
      <c r="B109" s="4" t="s">
        <v>540</v>
      </c>
      <c r="C109" s="4" t="s">
        <v>541</v>
      </c>
      <c r="D109" s="4">
        <v>1.0</v>
      </c>
      <c r="E109" s="5">
        <v>1.0</v>
      </c>
      <c r="F109" s="5" t="s">
        <v>542</v>
      </c>
      <c r="G109" s="10"/>
      <c r="H109" s="10"/>
      <c r="I109" s="4" t="s">
        <v>170</v>
      </c>
      <c r="J109" s="4" t="s">
        <v>73</v>
      </c>
      <c r="L109" s="12" t="str">
        <f t="shared" si="1"/>
        <v>Vanilla_WidowsPeakLong,1,1</v>
      </c>
    </row>
    <row r="110" ht="15.75" customHeight="1">
      <c r="A110" s="10" t="s">
        <v>61</v>
      </c>
      <c r="B110" s="4" t="s">
        <v>543</v>
      </c>
      <c r="C110" s="4" t="s">
        <v>544</v>
      </c>
      <c r="D110" s="4">
        <v>1.0</v>
      </c>
      <c r="E110" s="5">
        <v>1.0</v>
      </c>
      <c r="F110" s="5" t="s">
        <v>545</v>
      </c>
      <c r="G110" s="10"/>
      <c r="H110" s="10"/>
      <c r="I110" s="4" t="s">
        <v>546</v>
      </c>
      <c r="J110" s="4" t="s">
        <v>73</v>
      </c>
      <c r="L110" s="12" t="str">
        <f t="shared" si="1"/>
        <v>Vanilla_WidowsPeakMedium,1,1</v>
      </c>
    </row>
    <row r="111" ht="15.75" customHeight="1">
      <c r="A111" s="10" t="s">
        <v>61</v>
      </c>
      <c r="B111" s="4" t="s">
        <v>547</v>
      </c>
      <c r="C111" s="4" t="s">
        <v>548</v>
      </c>
      <c r="D111" s="4">
        <v>1.0</v>
      </c>
      <c r="E111" s="5">
        <v>1.0</v>
      </c>
      <c r="F111" s="5" t="s">
        <v>549</v>
      </c>
      <c r="G111" s="10"/>
      <c r="H111" s="10"/>
      <c r="I111" s="4" t="s">
        <v>170</v>
      </c>
      <c r="J111" s="4" t="s">
        <v>73</v>
      </c>
      <c r="L111" s="12" t="str">
        <f t="shared" si="1"/>
        <v>Vanilla_WidowsPeakShort,1,1</v>
      </c>
    </row>
    <row r="112" ht="15.75" customHeight="1">
      <c r="A112" s="10" t="s">
        <v>61</v>
      </c>
      <c r="B112" s="4" t="s">
        <v>91</v>
      </c>
      <c r="C112" s="4" t="s">
        <v>550</v>
      </c>
      <c r="D112" s="4">
        <v>1.0</v>
      </c>
      <c r="E112" s="5">
        <v>1.0</v>
      </c>
      <c r="F112" s="5" t="s">
        <v>551</v>
      </c>
      <c r="G112" s="10"/>
      <c r="H112" s="10"/>
      <c r="I112" s="4" t="s">
        <v>244</v>
      </c>
      <c r="J112" s="4" t="s">
        <v>73</v>
      </c>
      <c r="L112" s="12" t="str">
        <f t="shared" si="1"/>
        <v>Vanilla_WidowsPeakWindswept,1,1</v>
      </c>
    </row>
    <row r="113" ht="15.75" customHeight="1">
      <c r="A113" s="6" t="s">
        <v>96</v>
      </c>
      <c r="C113" s="4" t="s">
        <v>552</v>
      </c>
      <c r="D113" s="6">
        <v>3.0</v>
      </c>
      <c r="E113" s="5">
        <f t="shared" ref="E113:E117" si="2">D113</f>
        <v>3</v>
      </c>
      <c r="F113" s="6" t="s">
        <v>553</v>
      </c>
      <c r="G113" s="5" t="s">
        <v>554</v>
      </c>
      <c r="H113" s="16" t="s">
        <v>41</v>
      </c>
      <c r="I113" s="5" t="str">
        <f>IFERROR(__xludf.DUMMYFUNCTION("IF(OR(TRIM(G113)="""",TRIM(H113)=""""),"""",TEXTJOIN("", "",TRUE,ARRAYFORMULA(TRANSPOSE(TRIM(SPLIT(G113,"","")))&amp;""_""&amp;TRIM(SPLIT(H113,"","")))))"),"Elf_Female, Human_Female, Orc_Female")</f>
        <v>Elf_Female, Human_Female, Orc_Female</v>
      </c>
      <c r="J113" s="6" t="s">
        <v>95</v>
      </c>
      <c r="L113" s="12" t="str">
        <f t="shared" si="1"/>
        <v>DintHairPack02_1,3,3</v>
      </c>
    </row>
    <row r="114" ht="15.75" customHeight="1">
      <c r="A114" s="6" t="s">
        <v>96</v>
      </c>
      <c r="C114" s="4" t="s">
        <v>558</v>
      </c>
      <c r="D114" s="6">
        <v>3.0</v>
      </c>
      <c r="E114" s="5">
        <f t="shared" si="2"/>
        <v>3</v>
      </c>
      <c r="F114" s="6" t="s">
        <v>559</v>
      </c>
      <c r="G114" s="5" t="s">
        <v>554</v>
      </c>
      <c r="H114" s="16" t="s">
        <v>41</v>
      </c>
      <c r="I114" s="5" t="str">
        <f>IFERROR(__xludf.DUMMYFUNCTION("IF(OR(TRIM(G114)="""",TRIM(H114)=""""),"""",TEXTJOIN("", "",TRUE,ARRAYFORMULA(TRANSPOSE(TRIM(SPLIT(G114,"","")))&amp;""_""&amp;TRIM(SPLIT(H114,"","")))))"),"Elf_Female, Human_Female, Orc_Female")</f>
        <v>Elf_Female, Human_Female, Orc_Female</v>
      </c>
      <c r="J114" s="6" t="s">
        <v>95</v>
      </c>
      <c r="L114" s="12" t="str">
        <f t="shared" si="1"/>
        <v>DintHairPack02_2,3,3</v>
      </c>
    </row>
    <row r="115" ht="15.75" customHeight="1">
      <c r="A115" s="6" t="s">
        <v>96</v>
      </c>
      <c r="C115" s="4" t="s">
        <v>560</v>
      </c>
      <c r="D115" s="6">
        <v>3.0</v>
      </c>
      <c r="E115" s="5">
        <f t="shared" si="2"/>
        <v>3</v>
      </c>
      <c r="F115" s="6" t="s">
        <v>561</v>
      </c>
      <c r="G115" s="5" t="s">
        <v>554</v>
      </c>
      <c r="H115" s="10" t="s">
        <v>562</v>
      </c>
      <c r="I115" s="5" t="str">
        <f>IFERROR(__xludf.DUMMYFUNCTION("IF(OR(TRIM(G115)="""",TRIM(H115)=""""),"""",TEXTJOIN("", "",TRUE,ARRAYFORMULA(TRANSPOSE(TRIM(SPLIT(G115,"","")))&amp;""_""&amp;TRIM(SPLIT(H115,"","")))))"),"Elf_Male, Elf_Female, Human_Male, Human_Female, Orc_Male, Orc_Female")</f>
        <v>Elf_Male, Elf_Female, Human_Male, Human_Female, Orc_Male, Orc_Female</v>
      </c>
      <c r="J115" s="6" t="s">
        <v>95</v>
      </c>
      <c r="L115" s="12" t="str">
        <f t="shared" si="1"/>
        <v>DintHairPack02_3,3,3</v>
      </c>
    </row>
    <row r="116" ht="15.75" customHeight="1">
      <c r="A116" s="6" t="s">
        <v>96</v>
      </c>
      <c r="C116" s="4" t="s">
        <v>563</v>
      </c>
      <c r="D116" s="6">
        <v>4.0</v>
      </c>
      <c r="E116" s="5">
        <f t="shared" si="2"/>
        <v>4</v>
      </c>
      <c r="F116" s="6" t="s">
        <v>564</v>
      </c>
      <c r="G116" s="5" t="s">
        <v>554</v>
      </c>
      <c r="H116" s="16" t="s">
        <v>41</v>
      </c>
      <c r="I116" s="5" t="str">
        <f>IFERROR(__xludf.DUMMYFUNCTION("IF(OR(TRIM(G116)="""",TRIM(H116)=""""),"""",TEXTJOIN("", "",TRUE,ARRAYFORMULA(TRANSPOSE(TRIM(SPLIT(G116,"","")))&amp;""_""&amp;TRIM(SPLIT(H116,"","")))))"),"Elf_Female, Human_Female, Orc_Female")</f>
        <v>Elf_Female, Human_Female, Orc_Female</v>
      </c>
      <c r="J116" s="6" t="s">
        <v>95</v>
      </c>
      <c r="L116" s="12" t="str">
        <f t="shared" si="1"/>
        <v>DintHairPack02_3Long,4,4</v>
      </c>
    </row>
    <row r="117" ht="15.75" customHeight="1">
      <c r="A117" s="6" t="s">
        <v>96</v>
      </c>
      <c r="C117" s="4" t="s">
        <v>565</v>
      </c>
      <c r="D117" s="6">
        <v>3.0</v>
      </c>
      <c r="E117" s="5">
        <f t="shared" si="2"/>
        <v>3</v>
      </c>
      <c r="F117" s="6" t="s">
        <v>566</v>
      </c>
      <c r="G117" s="5" t="s">
        <v>554</v>
      </c>
      <c r="H117" s="10" t="s">
        <v>562</v>
      </c>
      <c r="I117" s="5" t="str">
        <f>IFERROR(__xludf.DUMMYFUNCTION("IF(OR(TRIM(G117)="""",TRIM(H117)=""""),"""",TEXTJOIN("", "",TRUE,ARRAYFORMULA(TRANSPOSE(TRIM(SPLIT(G117,"","")))&amp;""_""&amp;TRIM(SPLIT(H117,"","")))))"),"Elf_Male, Elf_Female, Human_Male, Human_Female, Orc_Male, Orc_Female")</f>
        <v>Elf_Male, Elf_Female, Human_Male, Human_Female, Orc_Male, Orc_Female</v>
      </c>
      <c r="J117" s="6" t="s">
        <v>95</v>
      </c>
      <c r="L117" s="12" t="str">
        <f t="shared" si="1"/>
        <v>DintHairPack02_4,3,3</v>
      </c>
    </row>
    <row r="118" ht="15.75" customHeight="1">
      <c r="A118" s="6" t="s">
        <v>96</v>
      </c>
      <c r="C118" s="4" t="s">
        <v>567</v>
      </c>
      <c r="D118" s="6">
        <v>3.0</v>
      </c>
      <c r="E118" s="4">
        <v>4.0</v>
      </c>
      <c r="F118" s="6" t="s">
        <v>568</v>
      </c>
      <c r="G118" s="5" t="s">
        <v>554</v>
      </c>
      <c r="H118" s="10" t="s">
        <v>562</v>
      </c>
      <c r="I118" s="5" t="str">
        <f>IFERROR(__xludf.DUMMYFUNCTION("IF(OR(TRIM(G118)="""",TRIM(H118)=""""),"""",TEXTJOIN("", "",TRUE,ARRAYFORMULA(TRANSPOSE(TRIM(SPLIT(G118,"","")))&amp;""_""&amp;TRIM(SPLIT(H118,"","")))))"),"Elf_Male, Elf_Female, Human_Male, Human_Female, Orc_Male, Orc_Female")</f>
        <v>Elf_Male, Elf_Female, Human_Male, Human_Female, Orc_Male, Orc_Female</v>
      </c>
      <c r="J118" s="6" t="s">
        <v>95</v>
      </c>
      <c r="L118" s="12" t="str">
        <f t="shared" si="1"/>
        <v>DintHairPack02_5,3,4</v>
      </c>
    </row>
    <row r="119" ht="15.75" customHeight="1">
      <c r="A119" s="6" t="s">
        <v>96</v>
      </c>
      <c r="C119" s="4" t="s">
        <v>569</v>
      </c>
      <c r="D119" s="6">
        <v>1.0</v>
      </c>
      <c r="E119" s="5">
        <f>D119</f>
        <v>1</v>
      </c>
      <c r="F119" s="6" t="s">
        <v>570</v>
      </c>
      <c r="G119" s="5" t="s">
        <v>554</v>
      </c>
      <c r="H119" s="10" t="s">
        <v>562</v>
      </c>
      <c r="I119" s="5" t="str">
        <f>IFERROR(__xludf.DUMMYFUNCTION("IF(OR(TRIM(G119)="""",TRIM(H119)=""""),"""",TEXTJOIN("", "",TRUE,ARRAYFORMULA(TRANSPOSE(TRIM(SPLIT(G119,"","")))&amp;""_""&amp;TRIM(SPLIT(H119,"","")))))"),"Elf_Male, Elf_Female, Human_Male, Human_Female, Orc_Male, Orc_Female")</f>
        <v>Elf_Male, Elf_Female, Human_Male, Human_Female, Orc_Male, Orc_Female</v>
      </c>
      <c r="J119" s="6" t="s">
        <v>95</v>
      </c>
      <c r="L119" s="12" t="str">
        <f t="shared" si="1"/>
        <v>DintHairPack02_6,1,1</v>
      </c>
    </row>
    <row r="120" ht="15.75" customHeight="1">
      <c r="A120" s="6" t="s">
        <v>96</v>
      </c>
      <c r="C120" s="4" t="s">
        <v>571</v>
      </c>
      <c r="D120" s="6">
        <v>3.0</v>
      </c>
      <c r="E120" s="4">
        <v>4.0</v>
      </c>
      <c r="F120" s="6" t="s">
        <v>572</v>
      </c>
      <c r="G120" s="5" t="s">
        <v>554</v>
      </c>
      <c r="H120" s="16" t="s">
        <v>41</v>
      </c>
      <c r="I120" s="5" t="str">
        <f>IFERROR(__xludf.DUMMYFUNCTION("IF(OR(TRIM(G120)="""",TRIM(H120)=""""),"""",TEXTJOIN("", "",TRUE,ARRAYFORMULA(TRANSPOSE(TRIM(SPLIT(G120,"","")))&amp;""_""&amp;TRIM(SPLIT(H120,"","")))))"),"Elf_Female, Human_Female, Orc_Female")</f>
        <v>Elf_Female, Human_Female, Orc_Female</v>
      </c>
      <c r="J120" s="6" t="s">
        <v>95</v>
      </c>
      <c r="L120" s="12" t="str">
        <f t="shared" si="1"/>
        <v>DintHairPack02_7,3,4</v>
      </c>
    </row>
    <row r="121" ht="15.75" customHeight="1">
      <c r="A121" s="6" t="s">
        <v>96</v>
      </c>
      <c r="C121" s="4" t="s">
        <v>573</v>
      </c>
      <c r="D121" s="6">
        <v>3.0</v>
      </c>
      <c r="E121" s="4">
        <v>3.0</v>
      </c>
      <c r="F121" s="6" t="s">
        <v>574</v>
      </c>
      <c r="G121" s="5" t="s">
        <v>554</v>
      </c>
      <c r="H121" s="10" t="s">
        <v>562</v>
      </c>
      <c r="I121" s="5" t="str">
        <f>IFERROR(__xludf.DUMMYFUNCTION("IF(OR(TRIM(G121)="""",TRIM(H121)=""""),"""",TEXTJOIN("", "",TRUE,ARRAYFORMULA(TRANSPOSE(TRIM(SPLIT(G121,"","")))&amp;""_""&amp;TRIM(SPLIT(H121,"","")))))"),"Elf_Male, Elf_Female, Human_Male, Human_Female, Orc_Male, Orc_Female")</f>
        <v>Elf_Male, Elf_Female, Human_Male, Human_Female, Orc_Male, Orc_Female</v>
      </c>
      <c r="J121" s="6" t="s">
        <v>95</v>
      </c>
      <c r="L121" s="12" t="str">
        <f t="shared" si="1"/>
        <v>DintHairPack02_8,3,3</v>
      </c>
    </row>
    <row r="122" ht="15.75" customHeight="1">
      <c r="A122" s="6" t="s">
        <v>96</v>
      </c>
      <c r="C122" s="4" t="s">
        <v>575</v>
      </c>
      <c r="D122" s="6">
        <v>1.0</v>
      </c>
      <c r="E122" s="4">
        <v>2.0</v>
      </c>
      <c r="F122" s="6" t="s">
        <v>576</v>
      </c>
      <c r="G122" s="5" t="s">
        <v>554</v>
      </c>
      <c r="H122" s="16" t="s">
        <v>41</v>
      </c>
      <c r="I122" s="5" t="str">
        <f>IFERROR(__xludf.DUMMYFUNCTION("IF(OR(TRIM(G122)="""",TRIM(H122)=""""),"""",TEXTJOIN("", "",TRUE,ARRAYFORMULA(TRANSPOSE(TRIM(SPLIT(G122,"","")))&amp;""_""&amp;TRIM(SPLIT(H122,"","")))))"),"Elf_Female, Human_Female, Orc_Female")</f>
        <v>Elf_Female, Human_Female, Orc_Female</v>
      </c>
      <c r="J122" s="6" t="s">
        <v>95</v>
      </c>
      <c r="L122" s="12" t="str">
        <f t="shared" si="1"/>
        <v>DintHairPack02_9,1,2</v>
      </c>
    </row>
    <row r="123" ht="15.75" customHeight="1">
      <c r="A123" s="6" t="s">
        <v>96</v>
      </c>
      <c r="C123" s="4" t="s">
        <v>577</v>
      </c>
      <c r="D123" s="6">
        <v>3.0</v>
      </c>
      <c r="E123" s="4">
        <v>3.0</v>
      </c>
      <c r="F123" s="6" t="s">
        <v>578</v>
      </c>
      <c r="G123" s="5" t="s">
        <v>554</v>
      </c>
      <c r="H123" s="10" t="s">
        <v>562</v>
      </c>
      <c r="I123" s="5" t="str">
        <f>IFERROR(__xludf.DUMMYFUNCTION("IF(OR(TRIM(G123)="""",TRIM(H123)=""""),"""",TEXTJOIN("", "",TRUE,ARRAYFORMULA(TRANSPOSE(TRIM(SPLIT(G123,"","")))&amp;""_""&amp;TRIM(SPLIT(H123,"","")))))"),"Elf_Male, Elf_Female, Human_Male, Human_Female, Orc_Male, Orc_Female")</f>
        <v>Elf_Male, Elf_Female, Human_Male, Human_Female, Orc_Male, Orc_Female</v>
      </c>
      <c r="J123" s="6" t="s">
        <v>95</v>
      </c>
      <c r="L123" s="12" t="str">
        <f t="shared" si="1"/>
        <v>DintHairPack02_10,3,3</v>
      </c>
    </row>
    <row r="124" ht="15.75" customHeight="1">
      <c r="A124" s="6" t="s">
        <v>96</v>
      </c>
      <c r="C124" s="4" t="s">
        <v>579</v>
      </c>
      <c r="D124" s="6">
        <v>1.0</v>
      </c>
      <c r="E124" s="4">
        <v>4.0</v>
      </c>
      <c r="F124" s="6" t="s">
        <v>580</v>
      </c>
      <c r="G124" s="5" t="s">
        <v>554</v>
      </c>
      <c r="H124" s="16" t="s">
        <v>41</v>
      </c>
      <c r="I124" s="5" t="str">
        <f>IFERROR(__xludf.DUMMYFUNCTION("IF(OR(TRIM(G124)="""",TRIM(H124)=""""),"""",TEXTJOIN("", "",TRUE,ARRAYFORMULA(TRANSPOSE(TRIM(SPLIT(G124,"","")))&amp;""_""&amp;TRIM(SPLIT(H124,"","")))))"),"Elf_Female, Human_Female, Orc_Female")</f>
        <v>Elf_Female, Human_Female, Orc_Female</v>
      </c>
      <c r="J124" s="6" t="s">
        <v>95</v>
      </c>
      <c r="L124" s="12" t="str">
        <f t="shared" si="1"/>
        <v>DintHairPack02_11,1,4</v>
      </c>
    </row>
    <row r="125" ht="15.75" customHeight="1">
      <c r="A125" s="6" t="s">
        <v>96</v>
      </c>
      <c r="C125" s="4" t="s">
        <v>583</v>
      </c>
      <c r="D125" s="6">
        <v>2.0</v>
      </c>
      <c r="E125" s="5">
        <f t="shared" ref="E125:E127" si="3">D125</f>
        <v>2</v>
      </c>
      <c r="F125" s="6" t="s">
        <v>584</v>
      </c>
      <c r="G125" s="5" t="s">
        <v>554</v>
      </c>
      <c r="H125" s="16" t="s">
        <v>41</v>
      </c>
      <c r="I125" s="5" t="str">
        <f>IFERROR(__xludf.DUMMYFUNCTION("IF(OR(TRIM(G125)="""",TRIM(H125)=""""),"""",TEXTJOIN("", "",TRUE,ARRAYFORMULA(TRANSPOSE(TRIM(SPLIT(G125,"","")))&amp;""_""&amp;TRIM(SPLIT(H125,"","")))))"),"Elf_Female, Human_Female, Orc_Female")</f>
        <v>Elf_Female, Human_Female, Orc_Female</v>
      </c>
      <c r="J125" s="6" t="s">
        <v>95</v>
      </c>
      <c r="L125" s="12" t="str">
        <f t="shared" si="1"/>
        <v>DintHairPack02_12,2,2</v>
      </c>
    </row>
    <row r="126" ht="15.75" customHeight="1">
      <c r="A126" s="6" t="s">
        <v>96</v>
      </c>
      <c r="C126" s="4" t="s">
        <v>585</v>
      </c>
      <c r="D126" s="6">
        <v>2.0</v>
      </c>
      <c r="E126" s="5">
        <f t="shared" si="3"/>
        <v>2</v>
      </c>
      <c r="F126" s="6" t="s">
        <v>586</v>
      </c>
      <c r="G126" s="5" t="s">
        <v>554</v>
      </c>
      <c r="H126" s="16" t="s">
        <v>41</v>
      </c>
      <c r="I126" s="5" t="str">
        <f>IFERROR(__xludf.DUMMYFUNCTION("IF(OR(TRIM(G126)="""",TRIM(H126)=""""),"""",TEXTJOIN("", "",TRUE,ARRAYFORMULA(TRANSPOSE(TRIM(SPLIT(G126,"","")))&amp;""_""&amp;TRIM(SPLIT(H126,"","")))))"),"Elf_Female, Human_Female, Orc_Female")</f>
        <v>Elf_Female, Human_Female, Orc_Female</v>
      </c>
      <c r="J126" s="6" t="s">
        <v>95</v>
      </c>
      <c r="L126" s="12" t="str">
        <f t="shared" si="1"/>
        <v>DintHairPack02_13,2,2</v>
      </c>
    </row>
    <row r="127" ht="15.75" customHeight="1">
      <c r="A127" s="6" t="s">
        <v>96</v>
      </c>
      <c r="C127" s="4" t="s">
        <v>587</v>
      </c>
      <c r="D127" s="6">
        <v>2.0</v>
      </c>
      <c r="E127" s="5">
        <f t="shared" si="3"/>
        <v>2</v>
      </c>
      <c r="F127" s="6" t="s">
        <v>588</v>
      </c>
      <c r="G127" s="5" t="s">
        <v>554</v>
      </c>
      <c r="H127" s="16" t="s">
        <v>41</v>
      </c>
      <c r="I127" s="5" t="str">
        <f>IFERROR(__xludf.DUMMYFUNCTION("IF(OR(TRIM(G127)="""",TRIM(H127)=""""),"""",TEXTJOIN("", "",TRUE,ARRAYFORMULA(TRANSPOSE(TRIM(SPLIT(G127,"","")))&amp;""_""&amp;TRIM(SPLIT(H127,"","")))))"),"Elf_Female, Human_Female, Orc_Female")</f>
        <v>Elf_Female, Human_Female, Orc_Female</v>
      </c>
      <c r="J127" s="6" t="s">
        <v>95</v>
      </c>
      <c r="L127" s="12" t="str">
        <f t="shared" si="1"/>
        <v>DintHairPack02_14,2,2</v>
      </c>
    </row>
    <row r="128" ht="15.75" customHeight="1">
      <c r="A128" s="6" t="s">
        <v>96</v>
      </c>
      <c r="C128" s="4" t="s">
        <v>589</v>
      </c>
      <c r="D128" s="6">
        <v>3.0</v>
      </c>
      <c r="E128" s="4">
        <v>4.0</v>
      </c>
      <c r="F128" s="6" t="s">
        <v>590</v>
      </c>
      <c r="G128" s="5" t="s">
        <v>554</v>
      </c>
      <c r="H128" s="10" t="s">
        <v>562</v>
      </c>
      <c r="I128" s="5" t="str">
        <f>IFERROR(__xludf.DUMMYFUNCTION("IF(OR(TRIM(G128)="""",TRIM(H128)=""""),"""",TEXTJOIN("", "",TRUE,ARRAYFORMULA(TRANSPOSE(TRIM(SPLIT(G128,"","")))&amp;""_""&amp;TRIM(SPLIT(H128,"","")))))"),"Elf_Male, Elf_Female, Human_Male, Human_Female, Orc_Male, Orc_Female")</f>
        <v>Elf_Male, Elf_Female, Human_Male, Human_Female, Orc_Male, Orc_Female</v>
      </c>
      <c r="J128" s="6" t="s">
        <v>95</v>
      </c>
      <c r="L128" s="12" t="str">
        <f t="shared" si="1"/>
        <v>DintHairPack02_15,3,4</v>
      </c>
    </row>
    <row r="129" ht="15.75" customHeight="1">
      <c r="A129" s="6" t="s">
        <v>96</v>
      </c>
      <c r="C129" s="4" t="s">
        <v>591</v>
      </c>
      <c r="D129" s="6">
        <v>3.0</v>
      </c>
      <c r="E129" s="4">
        <v>4.0</v>
      </c>
      <c r="F129" s="6" t="s">
        <v>592</v>
      </c>
      <c r="G129" s="5" t="s">
        <v>554</v>
      </c>
      <c r="H129" s="10" t="s">
        <v>562</v>
      </c>
      <c r="I129" s="5" t="str">
        <f>IFERROR(__xludf.DUMMYFUNCTION("IF(OR(TRIM(G129)="""",TRIM(H129)=""""),"""",TEXTJOIN("", "",TRUE,ARRAYFORMULA(TRANSPOSE(TRIM(SPLIT(G129,"","")))&amp;""_""&amp;TRIM(SPLIT(H129,"","")))))"),"Elf_Male, Elf_Female, Human_Male, Human_Female, Orc_Male, Orc_Female")</f>
        <v>Elf_Male, Elf_Female, Human_Male, Human_Female, Orc_Male, Orc_Female</v>
      </c>
      <c r="J129" s="6" t="s">
        <v>95</v>
      </c>
      <c r="L129" s="12" t="str">
        <f t="shared" si="1"/>
        <v>DintHairPack02_16,3,4</v>
      </c>
    </row>
    <row r="130" ht="15.75" customHeight="1">
      <c r="A130" s="6" t="s">
        <v>96</v>
      </c>
      <c r="C130" s="4" t="s">
        <v>593</v>
      </c>
      <c r="D130" s="6">
        <v>1.0</v>
      </c>
      <c r="E130" s="5">
        <f>D130</f>
        <v>1</v>
      </c>
      <c r="F130" s="6" t="s">
        <v>594</v>
      </c>
      <c r="G130" s="5" t="s">
        <v>554</v>
      </c>
      <c r="H130" s="10" t="s">
        <v>562</v>
      </c>
      <c r="I130" s="5" t="str">
        <f>IFERROR(__xludf.DUMMYFUNCTION("IF(OR(TRIM(G130)="""",TRIM(H130)=""""),"""",TEXTJOIN("", "",TRUE,ARRAYFORMULA(TRANSPOSE(TRIM(SPLIT(G130,"","")))&amp;""_""&amp;TRIM(SPLIT(H130,"","")))))"),"Elf_Male, Elf_Female, Human_Male, Human_Female, Orc_Male, Orc_Female")</f>
        <v>Elf_Male, Elf_Female, Human_Male, Human_Female, Orc_Male, Orc_Female</v>
      </c>
      <c r="J130" s="6" t="s">
        <v>95</v>
      </c>
      <c r="L130" s="12" t="str">
        <f t="shared" si="1"/>
        <v>DintHairPack02_17,1,1</v>
      </c>
    </row>
    <row r="131" ht="15.75" customHeight="1">
      <c r="A131" s="6" t="s">
        <v>96</v>
      </c>
      <c r="C131" s="4" t="s">
        <v>595</v>
      </c>
      <c r="D131" s="6">
        <v>3.0</v>
      </c>
      <c r="E131" s="4">
        <v>4.0</v>
      </c>
      <c r="F131" s="6" t="s">
        <v>596</v>
      </c>
      <c r="G131" s="5" t="s">
        <v>554</v>
      </c>
      <c r="H131" s="10" t="s">
        <v>562</v>
      </c>
      <c r="I131" s="5" t="str">
        <f>IFERROR(__xludf.DUMMYFUNCTION("IF(OR(TRIM(G131)="""",TRIM(H131)=""""),"""",TEXTJOIN("", "",TRUE,ARRAYFORMULA(TRANSPOSE(TRIM(SPLIT(G131,"","")))&amp;""_""&amp;TRIM(SPLIT(H131,"","")))))"),"Elf_Male, Elf_Female, Human_Male, Human_Female, Orc_Male, Orc_Female")</f>
        <v>Elf_Male, Elf_Female, Human_Male, Human_Female, Orc_Male, Orc_Female</v>
      </c>
      <c r="J131" s="6" t="s">
        <v>95</v>
      </c>
      <c r="L131" s="12" t="str">
        <f t="shared" si="1"/>
        <v>DintHairPack02_18A,3,4</v>
      </c>
    </row>
    <row r="132" ht="15.75" customHeight="1">
      <c r="A132" s="6" t="s">
        <v>96</v>
      </c>
      <c r="C132" s="4" t="s">
        <v>597</v>
      </c>
      <c r="D132" s="6">
        <v>2.0</v>
      </c>
      <c r="E132" s="4">
        <v>4.0</v>
      </c>
      <c r="F132" s="6" t="s">
        <v>598</v>
      </c>
      <c r="G132" s="5" t="s">
        <v>554</v>
      </c>
      <c r="H132" s="10" t="s">
        <v>562</v>
      </c>
      <c r="I132" s="5" t="str">
        <f>IFERROR(__xludf.DUMMYFUNCTION("IF(OR(TRIM(G132)="""",TRIM(H132)=""""),"""",TEXTJOIN("", "",TRUE,ARRAYFORMULA(TRANSPOSE(TRIM(SPLIT(G132,"","")))&amp;""_""&amp;TRIM(SPLIT(H132,"","")))))"),"Elf_Male, Elf_Female, Human_Male, Human_Female, Orc_Male, Orc_Female")</f>
        <v>Elf_Male, Elf_Female, Human_Male, Human_Female, Orc_Male, Orc_Female</v>
      </c>
      <c r="J132" s="6" t="s">
        <v>95</v>
      </c>
      <c r="L132" s="12" t="str">
        <f t="shared" si="1"/>
        <v>DintHairPack02_18B,2,4</v>
      </c>
    </row>
    <row r="133" ht="15.75" customHeight="1">
      <c r="A133" s="6" t="s">
        <v>96</v>
      </c>
      <c r="C133" s="4" t="s">
        <v>599</v>
      </c>
      <c r="D133" s="6">
        <v>2.0</v>
      </c>
      <c r="E133" s="4">
        <v>4.0</v>
      </c>
      <c r="F133" s="6" t="s">
        <v>600</v>
      </c>
      <c r="G133" s="5" t="s">
        <v>554</v>
      </c>
      <c r="H133" s="10" t="s">
        <v>562</v>
      </c>
      <c r="I133" s="5" t="str">
        <f>IFERROR(__xludf.DUMMYFUNCTION("IF(OR(TRIM(G133)="""",TRIM(H133)=""""),"""",TEXTJOIN("", "",TRUE,ARRAYFORMULA(TRANSPOSE(TRIM(SPLIT(G133,"","")))&amp;""_""&amp;TRIM(SPLIT(H133,"","")))))"),"Elf_Male, Elf_Female, Human_Male, Human_Female, Orc_Male, Orc_Female")</f>
        <v>Elf_Male, Elf_Female, Human_Male, Human_Female, Orc_Male, Orc_Female</v>
      </c>
      <c r="J133" s="6" t="s">
        <v>95</v>
      </c>
      <c r="L133" s="12" t="str">
        <f t="shared" si="1"/>
        <v>DintHairPack02_18C,2,4</v>
      </c>
    </row>
    <row r="134" ht="15.75" customHeight="1">
      <c r="A134" s="6" t="s">
        <v>96</v>
      </c>
      <c r="C134" s="4" t="s">
        <v>603</v>
      </c>
      <c r="D134" s="6">
        <v>2.0</v>
      </c>
      <c r="E134" s="4">
        <v>3.0</v>
      </c>
      <c r="F134" s="6" t="s">
        <v>605</v>
      </c>
      <c r="G134" s="5" t="s">
        <v>554</v>
      </c>
      <c r="H134" s="10" t="s">
        <v>562</v>
      </c>
      <c r="I134" s="5" t="str">
        <f>IFERROR(__xludf.DUMMYFUNCTION("IF(OR(TRIM(G134)="""",TRIM(H134)=""""),"""",TEXTJOIN("", "",TRUE,ARRAYFORMULA(TRANSPOSE(TRIM(SPLIT(G134,"","")))&amp;""_""&amp;TRIM(SPLIT(H134,"","")))))"),"Elf_Male, Elf_Female, Human_Male, Human_Female, Orc_Male, Orc_Female")</f>
        <v>Elf_Male, Elf_Female, Human_Male, Human_Female, Orc_Male, Orc_Female</v>
      </c>
      <c r="J134" s="6" t="s">
        <v>95</v>
      </c>
      <c r="L134" s="12" t="str">
        <f t="shared" si="1"/>
        <v>DintHairPack02_19,2,3</v>
      </c>
    </row>
    <row r="135" ht="15.75" customHeight="1">
      <c r="A135" s="6" t="s">
        <v>96</v>
      </c>
      <c r="C135" s="4" t="s">
        <v>606</v>
      </c>
      <c r="D135" s="6">
        <v>3.0</v>
      </c>
      <c r="E135" s="4">
        <v>3.0</v>
      </c>
      <c r="F135" s="6" t="s">
        <v>607</v>
      </c>
      <c r="G135" s="5" t="s">
        <v>554</v>
      </c>
      <c r="H135" s="10" t="s">
        <v>562</v>
      </c>
      <c r="I135" s="5" t="str">
        <f>IFERROR(__xludf.DUMMYFUNCTION("IF(OR(TRIM(G135)="""",TRIM(H135)=""""),"""",TEXTJOIN("", "",TRUE,ARRAYFORMULA(TRANSPOSE(TRIM(SPLIT(G135,"","")))&amp;""_""&amp;TRIM(SPLIT(H135,"","")))))"),"Elf_Male, Elf_Female, Human_Male, Human_Female, Orc_Male, Orc_Female")</f>
        <v>Elf_Male, Elf_Female, Human_Male, Human_Female, Orc_Male, Orc_Female</v>
      </c>
      <c r="J135" s="6" t="s">
        <v>95</v>
      </c>
      <c r="L135" s="12" t="str">
        <f t="shared" si="1"/>
        <v>DintHairPack02_20,3,3</v>
      </c>
    </row>
    <row r="136" ht="15.75" customHeight="1">
      <c r="A136" s="6" t="s">
        <v>96</v>
      </c>
      <c r="C136" s="4" t="s">
        <v>608</v>
      </c>
      <c r="D136" s="6">
        <v>2.0</v>
      </c>
      <c r="E136" s="5">
        <f>D136</f>
        <v>2</v>
      </c>
      <c r="F136" s="6" t="s">
        <v>609</v>
      </c>
      <c r="G136" s="5" t="s">
        <v>554</v>
      </c>
      <c r="H136" s="10" t="s">
        <v>562</v>
      </c>
      <c r="I136" s="5" t="str">
        <f>IFERROR(__xludf.DUMMYFUNCTION("IF(OR(TRIM(G136)="""",TRIM(H136)=""""),"""",TEXTJOIN("", "",TRUE,ARRAYFORMULA(TRANSPOSE(TRIM(SPLIT(G136,"","")))&amp;""_""&amp;TRIM(SPLIT(H136,"","")))))"),"Elf_Male, Elf_Female, Human_Male, Human_Female, Orc_Male, Orc_Female")</f>
        <v>Elf_Male, Elf_Female, Human_Male, Human_Female, Orc_Male, Orc_Female</v>
      </c>
      <c r="J136" s="6" t="s">
        <v>95</v>
      </c>
      <c r="L136" s="12" t="str">
        <f t="shared" si="1"/>
        <v>DintHairPack02_21,2,2</v>
      </c>
    </row>
    <row r="137" ht="15.75" customHeight="1">
      <c r="A137" s="6" t="s">
        <v>96</v>
      </c>
      <c r="C137" s="4" t="s">
        <v>610</v>
      </c>
      <c r="D137" s="6">
        <v>2.0</v>
      </c>
      <c r="E137" s="4">
        <v>4.0</v>
      </c>
      <c r="F137" s="6" t="s">
        <v>611</v>
      </c>
      <c r="G137" s="5" t="s">
        <v>554</v>
      </c>
      <c r="H137" s="10" t="s">
        <v>562</v>
      </c>
      <c r="I137" s="5" t="str">
        <f>IFERROR(__xludf.DUMMYFUNCTION("IF(OR(TRIM(G137)="""",TRIM(H137)=""""),"""",TEXTJOIN("", "",TRUE,ARRAYFORMULA(TRANSPOSE(TRIM(SPLIT(G137,"","")))&amp;""_""&amp;TRIM(SPLIT(H137,"","")))))"),"Elf_Male, Elf_Female, Human_Male, Human_Female, Orc_Male, Orc_Female")</f>
        <v>Elf_Male, Elf_Female, Human_Male, Human_Female, Orc_Male, Orc_Female</v>
      </c>
      <c r="J137" s="6" t="s">
        <v>95</v>
      </c>
      <c r="L137" s="12" t="str">
        <f t="shared" si="1"/>
        <v>DintHairPack02_22,2,4</v>
      </c>
    </row>
    <row r="138" ht="15.75" customHeight="1">
      <c r="A138" s="6" t="s">
        <v>96</v>
      </c>
      <c r="C138" s="4" t="s">
        <v>612</v>
      </c>
      <c r="D138" s="6">
        <v>2.0</v>
      </c>
      <c r="E138" s="4">
        <v>2.0</v>
      </c>
      <c r="F138" s="6" t="s">
        <v>613</v>
      </c>
      <c r="G138" s="5" t="s">
        <v>554</v>
      </c>
      <c r="H138" s="10" t="s">
        <v>562</v>
      </c>
      <c r="I138" s="5" t="str">
        <f>IFERROR(__xludf.DUMMYFUNCTION("IF(OR(TRIM(G138)="""",TRIM(H138)=""""),"""",TEXTJOIN("", "",TRUE,ARRAYFORMULA(TRANSPOSE(TRIM(SPLIT(G138,"","")))&amp;""_""&amp;TRIM(SPLIT(H138,"","")))))"),"Elf_Male, Elf_Female, Human_Male, Human_Female, Orc_Male, Orc_Female")</f>
        <v>Elf_Male, Elf_Female, Human_Male, Human_Female, Orc_Male, Orc_Female</v>
      </c>
      <c r="J138" s="6" t="s">
        <v>95</v>
      </c>
      <c r="L138" s="12" t="str">
        <f t="shared" si="1"/>
        <v>DintHairPack02_23,2,2</v>
      </c>
    </row>
    <row r="139" ht="15.75" customHeight="1">
      <c r="A139" s="6" t="s">
        <v>96</v>
      </c>
      <c r="C139" s="4" t="s">
        <v>614</v>
      </c>
      <c r="D139" s="6">
        <v>2.0</v>
      </c>
      <c r="E139" s="4">
        <v>3.0</v>
      </c>
      <c r="F139" s="6" t="s">
        <v>615</v>
      </c>
      <c r="G139" s="5" t="s">
        <v>554</v>
      </c>
      <c r="H139" s="10" t="s">
        <v>562</v>
      </c>
      <c r="I139" s="5" t="str">
        <f>IFERROR(__xludf.DUMMYFUNCTION("IF(OR(TRIM(G139)="""",TRIM(H139)=""""),"""",TEXTJOIN("", "",TRUE,ARRAYFORMULA(TRANSPOSE(TRIM(SPLIT(G139,"","")))&amp;""_""&amp;TRIM(SPLIT(H139,"","")))))"),"Elf_Male, Elf_Female, Human_Male, Human_Female, Orc_Male, Orc_Female")</f>
        <v>Elf_Male, Elf_Female, Human_Male, Human_Female, Orc_Male, Orc_Female</v>
      </c>
      <c r="J139" s="6" t="s">
        <v>95</v>
      </c>
      <c r="L139" s="12" t="str">
        <f t="shared" si="1"/>
        <v>DintHairPack02_24,2,3</v>
      </c>
    </row>
    <row r="140" ht="15.75" customHeight="1">
      <c r="A140" s="6" t="s">
        <v>96</v>
      </c>
      <c r="C140" s="4" t="s">
        <v>616</v>
      </c>
      <c r="D140" s="6">
        <v>2.0</v>
      </c>
      <c r="E140" s="4">
        <v>3.0</v>
      </c>
      <c r="F140" s="6" t="s">
        <v>617</v>
      </c>
      <c r="G140" s="5" t="s">
        <v>554</v>
      </c>
      <c r="H140" s="10" t="s">
        <v>562</v>
      </c>
      <c r="I140" s="5" t="str">
        <f>IFERROR(__xludf.DUMMYFUNCTION("IF(OR(TRIM(G140)="""",TRIM(H140)=""""),"""",TEXTJOIN("", "",TRUE,ARRAYFORMULA(TRANSPOSE(TRIM(SPLIT(G140,"","")))&amp;""_""&amp;TRIM(SPLIT(H140,"","")))))"),"Elf_Male, Elf_Female, Human_Male, Human_Female, Orc_Male, Orc_Female")</f>
        <v>Elf_Male, Elf_Female, Human_Male, Human_Female, Orc_Male, Orc_Female</v>
      </c>
      <c r="J140" s="6" t="s">
        <v>95</v>
      </c>
      <c r="L140" s="12" t="str">
        <f t="shared" si="1"/>
        <v>DintHairPack02_25,2,3</v>
      </c>
    </row>
    <row r="141" ht="15.75" customHeight="1">
      <c r="A141" s="6" t="s">
        <v>96</v>
      </c>
      <c r="C141" s="4" t="s">
        <v>618</v>
      </c>
      <c r="D141" s="6">
        <v>2.0</v>
      </c>
      <c r="E141" s="4">
        <v>3.0</v>
      </c>
      <c r="F141" s="6" t="s">
        <v>619</v>
      </c>
      <c r="G141" s="5" t="s">
        <v>554</v>
      </c>
      <c r="H141" s="10" t="s">
        <v>562</v>
      </c>
      <c r="I141" s="5" t="str">
        <f>IFERROR(__xludf.DUMMYFUNCTION("IF(OR(TRIM(G141)="""",TRIM(H141)=""""),"""",TEXTJOIN("", "",TRUE,ARRAYFORMULA(TRANSPOSE(TRIM(SPLIT(G141,"","")))&amp;""_""&amp;TRIM(SPLIT(H141,"","")))))"),"Elf_Male, Elf_Female, Human_Male, Human_Female, Orc_Male, Orc_Female")</f>
        <v>Elf_Male, Elf_Female, Human_Male, Human_Female, Orc_Male, Orc_Female</v>
      </c>
      <c r="J141" s="6" t="s">
        <v>95</v>
      </c>
      <c r="L141" s="12" t="str">
        <f t="shared" si="1"/>
        <v>DintHairPack02_26,2,3</v>
      </c>
    </row>
    <row r="142" ht="15.75" customHeight="1">
      <c r="A142" s="6" t="s">
        <v>96</v>
      </c>
      <c r="C142" s="4" t="s">
        <v>620</v>
      </c>
      <c r="D142" s="6">
        <v>3.0</v>
      </c>
      <c r="E142" s="4">
        <v>4.0</v>
      </c>
      <c r="F142" s="6" t="s">
        <v>621</v>
      </c>
      <c r="G142" s="5" t="s">
        <v>554</v>
      </c>
      <c r="H142" s="16" t="s">
        <v>41</v>
      </c>
      <c r="I142" s="5" t="str">
        <f>IFERROR(__xludf.DUMMYFUNCTION("IF(OR(TRIM(G142)="""",TRIM(H142)=""""),"""",TEXTJOIN("", "",TRUE,ARRAYFORMULA(TRANSPOSE(TRIM(SPLIT(G142,"","")))&amp;""_""&amp;TRIM(SPLIT(H142,"","")))))"),"Elf_Female, Human_Female, Orc_Female")</f>
        <v>Elf_Female, Human_Female, Orc_Female</v>
      </c>
      <c r="J142" s="6" t="s">
        <v>95</v>
      </c>
      <c r="L142" s="12" t="str">
        <f t="shared" si="1"/>
        <v>DintHairPack02_27,3,4</v>
      </c>
    </row>
    <row r="143" ht="15.75" customHeight="1">
      <c r="A143" s="6" t="s">
        <v>96</v>
      </c>
      <c r="C143" s="4" t="s">
        <v>622</v>
      </c>
      <c r="D143" s="6">
        <v>3.0</v>
      </c>
      <c r="E143" s="5">
        <f t="shared" ref="E143:E144" si="4">D143</f>
        <v>3</v>
      </c>
      <c r="F143" s="6" t="s">
        <v>623</v>
      </c>
      <c r="G143" s="5" t="s">
        <v>554</v>
      </c>
      <c r="H143" s="10" t="s">
        <v>562</v>
      </c>
      <c r="I143" s="5" t="str">
        <f>IFERROR(__xludf.DUMMYFUNCTION("IF(OR(TRIM(G143)="""",TRIM(H143)=""""),"""",TEXTJOIN("", "",TRUE,ARRAYFORMULA(TRANSPOSE(TRIM(SPLIT(G143,"","")))&amp;""_""&amp;TRIM(SPLIT(H143,"","")))))"),"Elf_Male, Elf_Female, Human_Male, Human_Female, Orc_Male, Orc_Female")</f>
        <v>Elf_Male, Elf_Female, Human_Male, Human_Female, Orc_Male, Orc_Female</v>
      </c>
      <c r="J143" s="6" t="s">
        <v>95</v>
      </c>
      <c r="L143" s="12" t="str">
        <f t="shared" si="1"/>
        <v>DintHairPack02_28,3,3</v>
      </c>
    </row>
    <row r="144" ht="15.75" customHeight="1">
      <c r="A144" s="6" t="s">
        <v>96</v>
      </c>
      <c r="C144" s="4" t="s">
        <v>627</v>
      </c>
      <c r="D144" s="6">
        <v>3.0</v>
      </c>
      <c r="E144" s="5">
        <f t="shared" si="4"/>
        <v>3</v>
      </c>
      <c r="F144" s="6" t="s">
        <v>628</v>
      </c>
      <c r="G144" s="5" t="s">
        <v>554</v>
      </c>
      <c r="H144" s="16" t="s">
        <v>41</v>
      </c>
      <c r="I144" s="5" t="str">
        <f>IFERROR(__xludf.DUMMYFUNCTION("IF(OR(TRIM(G144)="""",TRIM(H144)=""""),"""",TEXTJOIN("", "",TRUE,ARRAYFORMULA(TRANSPOSE(TRIM(SPLIT(G144,"","")))&amp;""_""&amp;TRIM(SPLIT(H144,"","")))))"),"Elf_Female, Human_Female, Orc_Female")</f>
        <v>Elf_Female, Human_Female, Orc_Female</v>
      </c>
      <c r="J144" s="6" t="s">
        <v>95</v>
      </c>
      <c r="L144" s="12" t="str">
        <f t="shared" si="1"/>
        <v>DintHairPack02_29,3,3</v>
      </c>
    </row>
    <row r="145" ht="15.75" customHeight="1">
      <c r="A145" s="6" t="s">
        <v>96</v>
      </c>
      <c r="C145" s="4" t="s">
        <v>629</v>
      </c>
      <c r="D145" s="6">
        <v>1.0</v>
      </c>
      <c r="E145" s="4">
        <v>3.0</v>
      </c>
      <c r="F145" s="6" t="s">
        <v>630</v>
      </c>
      <c r="G145" s="5" t="s">
        <v>554</v>
      </c>
      <c r="H145" s="10" t="s">
        <v>562</v>
      </c>
      <c r="I145" s="5" t="str">
        <f>IFERROR(__xludf.DUMMYFUNCTION("IF(OR(TRIM(G145)="""",TRIM(H145)=""""),"""",TEXTJOIN("", "",TRUE,ARRAYFORMULA(TRANSPOSE(TRIM(SPLIT(G145,"","")))&amp;""_""&amp;TRIM(SPLIT(H145,"","")))))"),"Elf_Male, Elf_Female, Human_Male, Human_Female, Orc_Male, Orc_Female")</f>
        <v>Elf_Male, Elf_Female, Human_Male, Human_Female, Orc_Male, Orc_Female</v>
      </c>
      <c r="J145" s="6" t="s">
        <v>95</v>
      </c>
      <c r="L145" s="12" t="str">
        <f t="shared" si="1"/>
        <v>DintHairPack02_30,1,3</v>
      </c>
    </row>
    <row r="146" ht="15.75" customHeight="1">
      <c r="A146" s="6" t="s">
        <v>96</v>
      </c>
      <c r="C146" s="4" t="s">
        <v>631</v>
      </c>
      <c r="D146" s="6">
        <v>2.0</v>
      </c>
      <c r="E146" s="4">
        <v>3.0</v>
      </c>
      <c r="F146" s="6" t="s">
        <v>632</v>
      </c>
      <c r="G146" s="5" t="s">
        <v>554</v>
      </c>
      <c r="H146" s="16" t="s">
        <v>41</v>
      </c>
      <c r="I146" s="5" t="str">
        <f>IFERROR(__xludf.DUMMYFUNCTION("IF(OR(TRIM(G146)="""",TRIM(H146)=""""),"""",TEXTJOIN("", "",TRUE,ARRAYFORMULA(TRANSPOSE(TRIM(SPLIT(G146,"","")))&amp;""_""&amp;TRIM(SPLIT(H146,"","")))))"),"Elf_Female, Human_Female, Orc_Female")</f>
        <v>Elf_Female, Human_Female, Orc_Female</v>
      </c>
      <c r="J146" s="6" t="s">
        <v>95</v>
      </c>
      <c r="L146" s="12" t="str">
        <f t="shared" si="1"/>
        <v>DintHairPack02_31,2,3</v>
      </c>
    </row>
    <row r="147" ht="15.75" customHeight="1">
      <c r="A147" s="6" t="s">
        <v>96</v>
      </c>
      <c r="C147" s="4" t="s">
        <v>633</v>
      </c>
      <c r="D147" s="6">
        <v>1.0</v>
      </c>
      <c r="E147" s="4">
        <v>4.0</v>
      </c>
      <c r="F147" s="6" t="s">
        <v>634</v>
      </c>
      <c r="G147" s="5" t="s">
        <v>554</v>
      </c>
      <c r="H147" s="16" t="s">
        <v>41</v>
      </c>
      <c r="I147" s="5" t="str">
        <f>IFERROR(__xludf.DUMMYFUNCTION("IF(OR(TRIM(G147)="""",TRIM(H147)=""""),"""",TEXTJOIN("", "",TRUE,ARRAYFORMULA(TRANSPOSE(TRIM(SPLIT(G147,"","")))&amp;""_""&amp;TRIM(SPLIT(H147,"","")))))"),"Elf_Female, Human_Female, Orc_Female")</f>
        <v>Elf_Female, Human_Female, Orc_Female</v>
      </c>
      <c r="J147" s="6" t="s">
        <v>95</v>
      </c>
      <c r="L147" s="12" t="str">
        <f t="shared" si="1"/>
        <v>DintHairPack02_32,1,4</v>
      </c>
    </row>
    <row r="148" ht="15.75" customHeight="1">
      <c r="A148" s="6" t="s">
        <v>96</v>
      </c>
      <c r="C148" s="4" t="s">
        <v>635</v>
      </c>
      <c r="D148" s="6">
        <v>2.0</v>
      </c>
      <c r="E148" s="4">
        <v>4.0</v>
      </c>
      <c r="F148" s="6" t="s">
        <v>636</v>
      </c>
      <c r="G148" s="5" t="s">
        <v>554</v>
      </c>
      <c r="H148" s="10" t="s">
        <v>562</v>
      </c>
      <c r="I148" s="5" t="str">
        <f>IFERROR(__xludf.DUMMYFUNCTION("IF(OR(TRIM(G148)="""",TRIM(H148)=""""),"""",TEXTJOIN("", "",TRUE,ARRAYFORMULA(TRANSPOSE(TRIM(SPLIT(G148,"","")))&amp;""_""&amp;TRIM(SPLIT(H148,"","")))))"),"Elf_Male, Elf_Female, Human_Male, Human_Female, Orc_Male, Orc_Female")</f>
        <v>Elf_Male, Elf_Female, Human_Male, Human_Female, Orc_Male, Orc_Female</v>
      </c>
      <c r="J148" s="6" t="s">
        <v>95</v>
      </c>
      <c r="L148" s="12" t="str">
        <f t="shared" si="1"/>
        <v>DintHairPack02_33,2,4</v>
      </c>
    </row>
    <row r="149" ht="15.75" customHeight="1">
      <c r="A149" s="6" t="s">
        <v>96</v>
      </c>
      <c r="C149" s="4" t="s">
        <v>637</v>
      </c>
      <c r="D149" s="6">
        <v>1.0</v>
      </c>
      <c r="E149" s="5">
        <f t="shared" ref="E149:E151" si="5">D149</f>
        <v>1</v>
      </c>
      <c r="F149" s="6" t="s">
        <v>638</v>
      </c>
      <c r="G149" s="5" t="s">
        <v>554</v>
      </c>
      <c r="H149" s="16" t="s">
        <v>41</v>
      </c>
      <c r="I149" s="5" t="str">
        <f>IFERROR(__xludf.DUMMYFUNCTION("IF(OR(TRIM(G149)="""",TRIM(H149)=""""),"""",TEXTJOIN("", "",TRUE,ARRAYFORMULA(TRANSPOSE(TRIM(SPLIT(G149,"","")))&amp;""_""&amp;TRIM(SPLIT(H149,"","")))))"),"Elf_Female, Human_Female, Orc_Female")</f>
        <v>Elf_Female, Human_Female, Orc_Female</v>
      </c>
      <c r="J149" s="6" t="s">
        <v>95</v>
      </c>
      <c r="L149" s="12" t="str">
        <f t="shared" si="1"/>
        <v>DintHairPack02_34,1,1</v>
      </c>
    </row>
    <row r="150" ht="15.75" customHeight="1">
      <c r="A150" s="6" t="s">
        <v>96</v>
      </c>
      <c r="C150" s="4" t="s">
        <v>639</v>
      </c>
      <c r="D150" s="6">
        <v>1.0</v>
      </c>
      <c r="E150" s="5">
        <f t="shared" si="5"/>
        <v>1</v>
      </c>
      <c r="F150" s="6" t="s">
        <v>640</v>
      </c>
      <c r="G150" s="5" t="s">
        <v>554</v>
      </c>
      <c r="H150" s="16" t="s">
        <v>41</v>
      </c>
      <c r="I150" s="5" t="str">
        <f>IFERROR(__xludf.DUMMYFUNCTION("IF(OR(TRIM(G150)="""",TRIM(H150)=""""),"""",TEXTJOIN("", "",TRUE,ARRAYFORMULA(TRANSPOSE(TRIM(SPLIT(G150,"","")))&amp;""_""&amp;TRIM(SPLIT(H150,"","")))))"),"Elf_Female, Human_Female, Orc_Female")</f>
        <v>Elf_Female, Human_Female, Orc_Female</v>
      </c>
      <c r="J150" s="6" t="s">
        <v>95</v>
      </c>
      <c r="L150" s="12" t="str">
        <f t="shared" si="1"/>
        <v>DintHairPack02_35,1,1</v>
      </c>
    </row>
    <row r="151" ht="15.75" customHeight="1">
      <c r="A151" s="4" t="s">
        <v>641</v>
      </c>
      <c r="C151" s="4" t="s">
        <v>642</v>
      </c>
      <c r="D151" s="6">
        <v>2.0</v>
      </c>
      <c r="E151" s="5">
        <f t="shared" si="5"/>
        <v>2</v>
      </c>
      <c r="F151" s="6" t="s">
        <v>643</v>
      </c>
      <c r="G151" s="4" t="s">
        <v>644</v>
      </c>
      <c r="H151" s="10" t="s">
        <v>562</v>
      </c>
      <c r="I151" s="5" t="str">
        <f>IFERROR(__xludf.DUMMYFUNCTION("IF(OR(TRIM(G151)="""",TRIM(H151)=""""),"""",TEXTJOIN("", "",TRUE,ARRAYFORMULA(TRANSPOSE(TRIM(SPLIT(G151,"","")))&amp;""_""&amp;TRIM(SPLIT(H151,"","")))))"),"Elf_Male, Elf_Female, Human_Male, Human_Female, Orc_Male, Orc_Female, Khajiit_Male, Khajiit_Female")</f>
        <v>Elf_Male, Elf_Female, Human_Male, Human_Female, Orc_Male, Orc_Female, Khajiit_Male, Khajiit_Female</v>
      </c>
      <c r="J151" s="6" t="s">
        <v>132</v>
      </c>
      <c r="K151" s="6" t="s">
        <v>645</v>
      </c>
      <c r="L151" s="12" t="str">
        <f t="shared" si="1"/>
        <v>FuseHairstyles_Aldo,2,2</v>
      </c>
    </row>
    <row r="152" ht="15.75" customHeight="1">
      <c r="A152" s="4" t="s">
        <v>641</v>
      </c>
      <c r="C152" s="4" t="s">
        <v>646</v>
      </c>
      <c r="D152" s="6">
        <v>1.0</v>
      </c>
      <c r="E152" s="4">
        <v>3.0</v>
      </c>
      <c r="F152" s="6" t="s">
        <v>647</v>
      </c>
      <c r="G152" s="5" t="s">
        <v>554</v>
      </c>
      <c r="H152" s="10" t="s">
        <v>562</v>
      </c>
      <c r="I152" s="5" t="str">
        <f>IFERROR(__xludf.DUMMYFUNCTION("IF(OR(TRIM(G152)="""",TRIM(H152)=""""),"""",TEXTJOIN("", "",TRUE,ARRAYFORMULA(TRANSPOSE(TRIM(SPLIT(G152,"","")))&amp;""_""&amp;TRIM(SPLIT(H152,"","")))))"),"Elf_Male, Elf_Female, Human_Male, Human_Female, Orc_Male, Orc_Female")</f>
        <v>Elf_Male, Elf_Female, Human_Male, Human_Female, Orc_Male, Orc_Female</v>
      </c>
      <c r="J152" s="6" t="s">
        <v>142</v>
      </c>
      <c r="L152" s="12" t="str">
        <f t="shared" si="1"/>
        <v>FuseHairstyles_Alucard,1,3</v>
      </c>
    </row>
    <row r="153" ht="15.75" customHeight="1">
      <c r="A153" s="4" t="s">
        <v>641</v>
      </c>
      <c r="C153" s="4" t="s">
        <v>648</v>
      </c>
      <c r="D153" s="6">
        <v>1.0</v>
      </c>
      <c r="E153" s="4">
        <v>2.0</v>
      </c>
      <c r="F153" s="6" t="s">
        <v>649</v>
      </c>
      <c r="G153" s="4" t="s">
        <v>644</v>
      </c>
      <c r="H153" s="10" t="s">
        <v>562</v>
      </c>
      <c r="I153" s="5" t="str">
        <f>IFERROR(__xludf.DUMMYFUNCTION("IF(OR(TRIM(G153)="""",TRIM(H153)=""""),"""",TEXTJOIN("", "",TRUE,ARRAYFORMULA(TRANSPOSE(TRIM(SPLIT(G153,"","")))&amp;""_""&amp;TRIM(SPLIT(H153,"","")))))"),"Elf_Male, Elf_Female, Human_Male, Human_Female, Orc_Male, Orc_Female, Khajiit_Male, Khajiit_Female")</f>
        <v>Elf_Male, Elf_Female, Human_Male, Human_Female, Orc_Male, Orc_Female, Khajiit_Male, Khajiit_Female</v>
      </c>
      <c r="J153" s="6" t="s">
        <v>150</v>
      </c>
      <c r="K153" s="6" t="s">
        <v>645</v>
      </c>
      <c r="L153" s="12" t="str">
        <f t="shared" si="1"/>
        <v>FuseHairstyles_Amber,1,2</v>
      </c>
    </row>
    <row r="154" ht="15.75" customHeight="1">
      <c r="A154" s="4" t="s">
        <v>641</v>
      </c>
      <c r="C154" s="4" t="s">
        <v>653</v>
      </c>
      <c r="D154" s="6">
        <v>1.0</v>
      </c>
      <c r="E154" s="5">
        <f t="shared" ref="E154:E155" si="6">D154</f>
        <v>1</v>
      </c>
      <c r="F154" s="6" t="s">
        <v>654</v>
      </c>
      <c r="G154" s="4" t="s">
        <v>644</v>
      </c>
      <c r="H154" s="10" t="s">
        <v>562</v>
      </c>
      <c r="I154" s="5" t="str">
        <f>IFERROR(__xludf.DUMMYFUNCTION("IF(OR(TRIM(G154)="""",TRIM(H154)=""""),"""",TEXTJOIN("", "",TRUE,ARRAYFORMULA(TRANSPOSE(TRIM(SPLIT(G154,"","")))&amp;""_""&amp;TRIM(SPLIT(H154,"","")))))"),"Elf_Male, Elf_Female, Human_Male, Human_Female, Orc_Male, Orc_Female, Khajiit_Male, Khajiit_Female")</f>
        <v>Elf_Male, Elf_Female, Human_Male, Human_Female, Orc_Male, Orc_Female, Khajiit_Male, Khajiit_Female</v>
      </c>
      <c r="J154" s="6" t="s">
        <v>162</v>
      </c>
      <c r="K154" s="6" t="s">
        <v>645</v>
      </c>
      <c r="L154" s="12" t="str">
        <f t="shared" si="1"/>
        <v>FuseHairstyles_Astri,1,1</v>
      </c>
    </row>
    <row r="155" ht="15.75" customHeight="1">
      <c r="A155" s="4" t="s">
        <v>641</v>
      </c>
      <c r="C155" s="4" t="s">
        <v>655</v>
      </c>
      <c r="D155" s="6">
        <v>2.0</v>
      </c>
      <c r="E155" s="5">
        <f t="shared" si="6"/>
        <v>2</v>
      </c>
      <c r="F155" s="6" t="s">
        <v>656</v>
      </c>
      <c r="G155" s="5" t="s">
        <v>554</v>
      </c>
      <c r="H155" s="10" t="s">
        <v>562</v>
      </c>
      <c r="I155" s="5" t="str">
        <f>IFERROR(__xludf.DUMMYFUNCTION("IF(OR(TRIM(G155)="""",TRIM(H155)=""""),"""",TEXTJOIN("", "",TRUE,ARRAYFORMULA(TRANSPOSE(TRIM(SPLIT(G155,"","")))&amp;""_""&amp;TRIM(SPLIT(H155,"","")))))"),"Elf_Male, Elf_Female, Human_Male, Human_Female, Orc_Male, Orc_Female")</f>
        <v>Elf_Male, Elf_Female, Human_Male, Human_Female, Orc_Male, Orc_Female</v>
      </c>
      <c r="J155" s="6" t="s">
        <v>171</v>
      </c>
      <c r="L155" s="12" t="str">
        <f t="shared" si="1"/>
        <v>FuseHairstyles_Dreads,2,2</v>
      </c>
    </row>
    <row r="156" ht="15.75" customHeight="1">
      <c r="A156" s="4" t="s">
        <v>641</v>
      </c>
      <c r="C156" s="4" t="s">
        <v>657</v>
      </c>
      <c r="D156" s="6">
        <v>2.0</v>
      </c>
      <c r="E156" s="4">
        <v>3.0</v>
      </c>
      <c r="F156" s="6" t="s">
        <v>658</v>
      </c>
      <c r="G156" s="4" t="s">
        <v>644</v>
      </c>
      <c r="H156" s="10" t="s">
        <v>562</v>
      </c>
      <c r="I156" s="5" t="str">
        <f>IFERROR(__xludf.DUMMYFUNCTION("IF(OR(TRIM(G156)="""",TRIM(H156)=""""),"""",TEXTJOIN("", "",TRUE,ARRAYFORMULA(TRANSPOSE(TRIM(SPLIT(G156,"","")))&amp;""_""&amp;TRIM(SPLIT(H156,"","")))))"),"Elf_Male, Elf_Female, Human_Male, Human_Female, Orc_Male, Orc_Female, Khajiit_Male, Khajiit_Female")</f>
        <v>Elf_Male, Elf_Female, Human_Male, Human_Female, Orc_Male, Orc_Female, Khajiit_Male, Khajiit_Female</v>
      </c>
      <c r="J156" s="6" t="s">
        <v>162</v>
      </c>
      <c r="K156" s="6" t="s">
        <v>645</v>
      </c>
      <c r="L156" s="12" t="str">
        <f t="shared" si="1"/>
        <v>FuseHairstyles_Freyja,2,3</v>
      </c>
    </row>
    <row r="157" ht="15.75" customHeight="1">
      <c r="A157" s="4" t="s">
        <v>641</v>
      </c>
      <c r="C157" s="4" t="s">
        <v>659</v>
      </c>
      <c r="D157" s="6">
        <v>1.0</v>
      </c>
      <c r="E157" s="5">
        <f t="shared" ref="E157:E158" si="7">D157</f>
        <v>1</v>
      </c>
      <c r="F157" s="6" t="s">
        <v>660</v>
      </c>
      <c r="G157" s="5" t="s">
        <v>554</v>
      </c>
      <c r="H157" s="10" t="s">
        <v>562</v>
      </c>
      <c r="I157" s="5" t="str">
        <f>IFERROR(__xludf.DUMMYFUNCTION("IF(OR(TRIM(G157)="""",TRIM(H157)=""""),"""",TEXTJOIN("", "",TRUE,ARRAYFORMULA(TRANSPOSE(TRIM(SPLIT(G157,"","")))&amp;""_""&amp;TRIM(SPLIT(H157,"","")))))"),"Elf_Male, Elf_Female, Human_Male, Human_Female, Orc_Male, Orc_Female")</f>
        <v>Elf_Male, Elf_Female, Human_Male, Human_Female, Orc_Male, Orc_Female</v>
      </c>
      <c r="J157" s="6" t="s">
        <v>179</v>
      </c>
      <c r="L157" s="12" t="str">
        <f t="shared" si="1"/>
        <v>FuseHairstyles_Hilda,1,1</v>
      </c>
    </row>
    <row r="158" ht="15.75" customHeight="1">
      <c r="A158" s="4" t="s">
        <v>641</v>
      </c>
      <c r="C158" s="4" t="s">
        <v>661</v>
      </c>
      <c r="D158" s="6">
        <v>3.0</v>
      </c>
      <c r="E158" s="5">
        <f t="shared" si="7"/>
        <v>3</v>
      </c>
      <c r="F158" s="6" t="s">
        <v>662</v>
      </c>
      <c r="G158" s="4" t="s">
        <v>644</v>
      </c>
      <c r="H158" s="10" t="s">
        <v>562</v>
      </c>
      <c r="I158" s="5" t="str">
        <f>IFERROR(__xludf.DUMMYFUNCTION("IF(OR(TRIM(G158)="""",TRIM(H158)=""""),"""",TEXTJOIN("", "",TRUE,ARRAYFORMULA(TRANSPOSE(TRIM(SPLIT(G158,"","")))&amp;""_""&amp;TRIM(SPLIT(H158,"","")))))"),"Elf_Male, Elf_Female, Human_Male, Human_Female, Orc_Male, Orc_Female, Khajiit_Male, Khajiit_Female")</f>
        <v>Elf_Male, Elf_Female, Human_Male, Human_Female, Orc_Male, Orc_Female, Khajiit_Male, Khajiit_Female</v>
      </c>
      <c r="J158" s="6" t="s">
        <v>192</v>
      </c>
      <c r="K158" s="6" t="s">
        <v>645</v>
      </c>
      <c r="L158" s="12" t="str">
        <f t="shared" si="1"/>
        <v>FuseHairstyles_King,3,3</v>
      </c>
    </row>
    <row r="159" ht="15.75" customHeight="1">
      <c r="A159" s="4" t="s">
        <v>641</v>
      </c>
      <c r="C159" s="4" t="s">
        <v>663</v>
      </c>
      <c r="D159" s="6">
        <v>1.0</v>
      </c>
      <c r="E159" s="4">
        <v>3.0</v>
      </c>
      <c r="F159" s="6" t="s">
        <v>664</v>
      </c>
      <c r="G159" s="5" t="s">
        <v>554</v>
      </c>
      <c r="H159" s="10" t="s">
        <v>562</v>
      </c>
      <c r="I159" s="5" t="str">
        <f>IFERROR(__xludf.DUMMYFUNCTION("IF(OR(TRIM(G159)="""",TRIM(H159)=""""),"""",TEXTJOIN("", "",TRUE,ARRAYFORMULA(TRANSPOSE(TRIM(SPLIT(G159,"","")))&amp;""_""&amp;TRIM(SPLIT(H159,"","")))))"),"Elf_Male, Elf_Female, Human_Male, Human_Female, Orc_Male, Orc_Female")</f>
        <v>Elf_Male, Elf_Female, Human_Male, Human_Female, Orc_Male, Orc_Female</v>
      </c>
      <c r="J159" s="6" t="s">
        <v>203</v>
      </c>
      <c r="L159" s="12" t="str">
        <f t="shared" si="1"/>
        <v>FuseHairstyles_Lagertha,1,3</v>
      </c>
    </row>
    <row r="160" ht="15.75" customHeight="1">
      <c r="A160" s="4" t="s">
        <v>641</v>
      </c>
      <c r="C160" s="4" t="s">
        <v>665</v>
      </c>
      <c r="D160" s="6">
        <v>1.0</v>
      </c>
      <c r="E160" s="5">
        <f t="shared" ref="E160:E163" si="8">D160</f>
        <v>1</v>
      </c>
      <c r="F160" s="6" t="s">
        <v>666</v>
      </c>
      <c r="G160" s="5" t="s">
        <v>554</v>
      </c>
      <c r="H160" s="10" t="s">
        <v>562</v>
      </c>
      <c r="I160" s="5" t="str">
        <f>IFERROR(__xludf.DUMMYFUNCTION("IF(OR(TRIM(G160)="""",TRIM(H160)=""""),"""",TEXTJOIN("", "",TRUE,ARRAYFORMULA(TRANSPOSE(TRIM(SPLIT(G160,"","")))&amp;""_""&amp;TRIM(SPLIT(H160,"","")))))"),"Elf_Male, Elf_Female, Human_Male, Human_Female, Orc_Male, Orc_Female")</f>
        <v>Elf_Male, Elf_Female, Human_Male, Human_Female, Orc_Male, Orc_Female</v>
      </c>
      <c r="J160" s="6" t="s">
        <v>212</v>
      </c>
      <c r="L160" s="12" t="str">
        <f t="shared" si="1"/>
        <v>FuseHairstyles_Marco,1,1</v>
      </c>
    </row>
    <row r="161" ht="15.75" customHeight="1">
      <c r="A161" s="4" t="s">
        <v>641</v>
      </c>
      <c r="C161" s="4" t="s">
        <v>667</v>
      </c>
      <c r="D161" s="6">
        <v>1.0</v>
      </c>
      <c r="E161" s="5">
        <f t="shared" si="8"/>
        <v>1</v>
      </c>
      <c r="F161" s="6" t="s">
        <v>668</v>
      </c>
      <c r="G161" s="4" t="s">
        <v>644</v>
      </c>
      <c r="H161" s="10" t="s">
        <v>562</v>
      </c>
      <c r="I161" s="5" t="str">
        <f>IFERROR(__xludf.DUMMYFUNCTION("IF(OR(TRIM(G161)="""",TRIM(H161)=""""),"""",TEXTJOIN("", "",TRUE,ARRAYFORMULA(TRANSPOSE(TRIM(SPLIT(G161,"","")))&amp;""_""&amp;TRIM(SPLIT(H161,"","")))))"),"Elf_Male, Elf_Female, Human_Male, Human_Female, Orc_Male, Orc_Female, Khajiit_Male, Khajiit_Female")</f>
        <v>Elf_Male, Elf_Female, Human_Male, Human_Female, Orc_Male, Orc_Female, Khajiit_Male, Khajiit_Female</v>
      </c>
      <c r="J161" s="6" t="s">
        <v>219</v>
      </c>
      <c r="K161" s="6" t="s">
        <v>645</v>
      </c>
      <c r="L161" s="12" t="str">
        <f t="shared" si="1"/>
        <v>FuseHairstyles_P,1,1</v>
      </c>
    </row>
    <row r="162" ht="15.75" customHeight="1">
      <c r="A162" s="4" t="s">
        <v>641</v>
      </c>
      <c r="C162" s="4" t="s">
        <v>672</v>
      </c>
      <c r="D162" s="6">
        <v>3.0</v>
      </c>
      <c r="E162" s="5">
        <f t="shared" si="8"/>
        <v>3</v>
      </c>
      <c r="F162" s="6" t="s">
        <v>673</v>
      </c>
      <c r="G162" s="4" t="s">
        <v>644</v>
      </c>
      <c r="H162" s="10" t="s">
        <v>562</v>
      </c>
      <c r="I162" s="5" t="str">
        <f>IFERROR(__xludf.DUMMYFUNCTION("IF(OR(TRIM(G162)="""",TRIM(H162)=""""),"""",TEXTJOIN("", "",TRUE,ARRAYFORMULA(TRANSPOSE(TRIM(SPLIT(G162,"","")))&amp;""_""&amp;TRIM(SPLIT(H162,"","")))))"),"Elf_Male, Elf_Female, Human_Male, Human_Female, Orc_Male, Orc_Female, Khajiit_Male, Khajiit_Female")</f>
        <v>Elf_Male, Elf_Female, Human_Male, Human_Female, Orc_Male, Orc_Female, Khajiit_Male, Khajiit_Female</v>
      </c>
      <c r="J162" s="6" t="s">
        <v>230</v>
      </c>
      <c r="K162" s="6" t="s">
        <v>645</v>
      </c>
      <c r="L162" s="12" t="str">
        <f t="shared" si="1"/>
        <v>FuseHairstyles_Siren,3,3</v>
      </c>
    </row>
    <row r="163" ht="15.75" customHeight="1">
      <c r="A163" s="4" t="s">
        <v>641</v>
      </c>
      <c r="B163" s="4"/>
      <c r="C163" s="4" t="s">
        <v>674</v>
      </c>
      <c r="D163" s="4">
        <v>1.0</v>
      </c>
      <c r="E163" s="5">
        <f t="shared" si="8"/>
        <v>1</v>
      </c>
      <c r="F163" s="4" t="s">
        <v>675</v>
      </c>
      <c r="G163" s="5" t="s">
        <v>554</v>
      </c>
      <c r="H163" s="10" t="s">
        <v>562</v>
      </c>
      <c r="I163" s="5" t="str">
        <f>IFERROR(__xludf.DUMMYFUNCTION("IF(OR(TRIM(G163)="""",TRIM(H163)=""""),"""",TEXTJOIN("", "",TRUE,ARRAYFORMULA(TRANSPOSE(TRIM(SPLIT(G163,"","")))&amp;""_""&amp;TRIM(SPLIT(H163,"","")))))"),"Elf_Male, Elf_Female, Human_Male, Human_Female, Orc_Male, Orc_Female")</f>
        <v>Elf_Male, Elf_Female, Human_Male, Human_Female, Orc_Male, Orc_Female</v>
      </c>
      <c r="J163" s="6" t="s">
        <v>162</v>
      </c>
      <c r="L163" s="12" t="str">
        <f t="shared" si="1"/>
        <v>FuseHairstyles_Shar,1,1</v>
      </c>
    </row>
    <row r="164" ht="15.75" customHeight="1">
      <c r="A164" s="4" t="s">
        <v>641</v>
      </c>
      <c r="C164" s="4" t="s">
        <v>676</v>
      </c>
      <c r="D164" s="6">
        <v>1.0</v>
      </c>
      <c r="E164" s="4">
        <v>3.0</v>
      </c>
      <c r="F164" s="6" t="s">
        <v>677</v>
      </c>
      <c r="G164" s="5" t="s">
        <v>554</v>
      </c>
      <c r="H164" s="10" t="s">
        <v>562</v>
      </c>
      <c r="I164" s="5" t="str">
        <f>IFERROR(__xludf.DUMMYFUNCTION("IF(OR(TRIM(G164)="""",TRIM(H164)=""""),"""",TEXTJOIN("", "",TRUE,ARRAYFORMULA(TRANSPOSE(TRIM(SPLIT(G164,"","")))&amp;""_""&amp;TRIM(SPLIT(H164,"","")))))"),"Elf_Male, Elf_Female, Human_Male, Human_Female, Orc_Male, Orc_Female")</f>
        <v>Elf_Male, Elf_Female, Human_Male, Human_Female, Orc_Male, Orc_Female</v>
      </c>
      <c r="J164" s="6" t="s">
        <v>241</v>
      </c>
      <c r="L164" s="12" t="str">
        <f t="shared" si="1"/>
        <v>FuseHairstyles_Tauriel,1,3</v>
      </c>
    </row>
    <row r="165" ht="15.75" customHeight="1">
      <c r="A165" s="4" t="s">
        <v>641</v>
      </c>
      <c r="C165" s="4" t="s">
        <v>678</v>
      </c>
      <c r="D165" s="6">
        <v>2.0</v>
      </c>
      <c r="E165" s="5">
        <f t="shared" ref="E165:E172" si="9">D165</f>
        <v>2</v>
      </c>
      <c r="F165" s="6" t="s">
        <v>679</v>
      </c>
      <c r="G165" s="4" t="s">
        <v>644</v>
      </c>
      <c r="H165" s="10" t="s">
        <v>562</v>
      </c>
      <c r="I165" s="5" t="str">
        <f>IFERROR(__xludf.DUMMYFUNCTION("IF(OR(TRIM(G165)="""",TRIM(H165)=""""),"""",TEXTJOIN("", "",TRUE,ARRAYFORMULA(TRANSPOSE(TRIM(SPLIT(G165,"","")))&amp;""_""&amp;TRIM(SPLIT(H165,"","")))))"),"Elf_Male, Elf_Female, Human_Male, Human_Female, Orc_Male, Orc_Female, Khajiit_Male, Khajiit_Female")</f>
        <v>Elf_Male, Elf_Female, Human_Male, Human_Female, Orc_Male, Orc_Female, Khajiit_Male, Khajiit_Female</v>
      </c>
      <c r="J165" s="6" t="s">
        <v>248</v>
      </c>
      <c r="K165" s="6" t="s">
        <v>645</v>
      </c>
      <c r="L165" s="12" t="str">
        <f t="shared" si="1"/>
        <v>FuseHairstyles_Yen,2,2</v>
      </c>
    </row>
    <row r="166" ht="15.75" customHeight="1">
      <c r="A166" s="4" t="s">
        <v>680</v>
      </c>
      <c r="B166" s="17"/>
      <c r="C166" s="4" t="s">
        <v>681</v>
      </c>
      <c r="D166" s="5">
        <v>2.0</v>
      </c>
      <c r="E166" s="5">
        <f t="shared" si="9"/>
        <v>2</v>
      </c>
      <c r="F166" s="5" t="s">
        <v>682</v>
      </c>
      <c r="G166" s="4" t="s">
        <v>644</v>
      </c>
      <c r="H166" s="10" t="s">
        <v>562</v>
      </c>
      <c r="I166" s="5" t="str">
        <f>IFERROR(__xludf.DUMMYFUNCTION("IF(OR(TRIM(G166)="""",TRIM(H166)=""""),"""",TEXTJOIN("", "",TRUE,ARRAYFORMULA(TRANSPOSE(TRIM(SPLIT(G166,"","")))&amp;""_""&amp;TRIM(SPLIT(H166,"","")))))"),"Elf_Male, Elf_Female, Human_Male, Human_Female, Orc_Male, Orc_Female, Khajiit_Male, Khajiit_Female")</f>
        <v>Elf_Male, Elf_Female, Human_Male, Human_Female, Orc_Male, Orc_Female, Khajiit_Male, Khajiit_Female</v>
      </c>
      <c r="J166" s="6" t="s">
        <v>266</v>
      </c>
      <c r="K166" s="6" t="s">
        <v>683</v>
      </c>
      <c r="L166" s="12" t="str">
        <f t="shared" si="1"/>
        <v>FuseValkyr1_Bellatrix,2,2</v>
      </c>
    </row>
    <row r="167" ht="15.75" customHeight="1">
      <c r="A167" s="4" t="s">
        <v>680</v>
      </c>
      <c r="B167" s="17"/>
      <c r="C167" s="4" t="s">
        <v>684</v>
      </c>
      <c r="D167" s="5">
        <v>1.0</v>
      </c>
      <c r="E167" s="5">
        <f t="shared" si="9"/>
        <v>1</v>
      </c>
      <c r="F167" s="5" t="s">
        <v>685</v>
      </c>
      <c r="G167" s="4" t="s">
        <v>644</v>
      </c>
      <c r="H167" s="10" t="s">
        <v>562</v>
      </c>
      <c r="I167" s="5" t="str">
        <f>IFERROR(__xludf.DUMMYFUNCTION("IF(OR(TRIM(G167)="""",TRIM(H167)=""""),"""",TEXTJOIN("", "",TRUE,ARRAYFORMULA(TRANSPOSE(TRIM(SPLIT(G167,"","")))&amp;""_""&amp;TRIM(SPLIT(H167,"","")))))"),"Elf_Male, Elf_Female, Human_Male, Human_Female, Orc_Male, Orc_Female, Khajiit_Male, Khajiit_Female")</f>
        <v>Elf_Male, Elf_Female, Human_Male, Human_Female, Orc_Male, Orc_Female, Khajiit_Male, Khajiit_Female</v>
      </c>
      <c r="J167" s="6" t="s">
        <v>266</v>
      </c>
      <c r="K167" s="6" t="s">
        <v>683</v>
      </c>
      <c r="L167" s="12" t="str">
        <f t="shared" si="1"/>
        <v>FuseValkyr1_Eiraan,1,1</v>
      </c>
    </row>
    <row r="168" ht="15.75" customHeight="1">
      <c r="A168" s="4" t="s">
        <v>680</v>
      </c>
      <c r="B168" s="17"/>
      <c r="C168" s="4" t="s">
        <v>686</v>
      </c>
      <c r="D168" s="5">
        <v>1.0</v>
      </c>
      <c r="E168" s="5">
        <f t="shared" si="9"/>
        <v>1</v>
      </c>
      <c r="F168" s="5" t="s">
        <v>687</v>
      </c>
      <c r="G168" s="4" t="s">
        <v>644</v>
      </c>
      <c r="H168" s="10" t="s">
        <v>562</v>
      </c>
      <c r="I168" s="5" t="str">
        <f>IFERROR(__xludf.DUMMYFUNCTION("IF(OR(TRIM(G168)="""",TRIM(H168)=""""),"""",TEXTJOIN("", "",TRUE,ARRAYFORMULA(TRANSPOSE(TRIM(SPLIT(G168,"","")))&amp;""_""&amp;TRIM(SPLIT(H168,"","")))))"),"Elf_Male, Elf_Female, Human_Male, Human_Female, Orc_Male, Orc_Female, Khajiit_Male, Khajiit_Female")</f>
        <v>Elf_Male, Elf_Female, Human_Male, Human_Female, Orc_Male, Orc_Female, Khajiit_Male, Khajiit_Female</v>
      </c>
      <c r="J168" s="6" t="s">
        <v>266</v>
      </c>
      <c r="K168" s="6" t="s">
        <v>683</v>
      </c>
      <c r="L168" s="12" t="str">
        <f t="shared" si="1"/>
        <v>FuseValkyr1_Ellie,1,1</v>
      </c>
    </row>
    <row r="169" ht="15.75" customHeight="1">
      <c r="A169" s="4" t="s">
        <v>680</v>
      </c>
      <c r="B169" s="17"/>
      <c r="C169" s="4" t="s">
        <v>688</v>
      </c>
      <c r="D169" s="5">
        <v>1.0</v>
      </c>
      <c r="E169" s="5">
        <f t="shared" si="9"/>
        <v>1</v>
      </c>
      <c r="F169" s="5" t="s">
        <v>689</v>
      </c>
      <c r="G169" s="4" t="s">
        <v>644</v>
      </c>
      <c r="H169" s="10" t="s">
        <v>562</v>
      </c>
      <c r="I169" s="5" t="str">
        <f>IFERROR(__xludf.DUMMYFUNCTION("IF(OR(TRIM(G169)="""",TRIM(H169)=""""),"""",TEXTJOIN("", "",TRUE,ARRAYFORMULA(TRANSPOSE(TRIM(SPLIT(G169,"","")))&amp;""_""&amp;TRIM(SPLIT(H169,"","")))))"),"Elf_Male, Elf_Female, Human_Male, Human_Female, Orc_Male, Orc_Female, Khajiit_Male, Khajiit_Female")</f>
        <v>Elf_Male, Elf_Female, Human_Male, Human_Female, Orc_Male, Orc_Female, Khajiit_Male, Khajiit_Female</v>
      </c>
      <c r="J169" s="6" t="s">
        <v>266</v>
      </c>
      <c r="K169" s="6" t="s">
        <v>683</v>
      </c>
      <c r="L169" s="12" t="str">
        <f t="shared" si="1"/>
        <v>FuseValkyr1_NeoDante,1,1</v>
      </c>
    </row>
    <row r="170" ht="15.75" customHeight="1">
      <c r="A170" s="4" t="s">
        <v>680</v>
      </c>
      <c r="B170" s="17"/>
      <c r="C170" s="4" t="s">
        <v>690</v>
      </c>
      <c r="D170" s="5">
        <v>1.0</v>
      </c>
      <c r="E170" s="5">
        <f t="shared" si="9"/>
        <v>1</v>
      </c>
      <c r="F170" s="5" t="s">
        <v>691</v>
      </c>
      <c r="G170" s="4" t="s">
        <v>644</v>
      </c>
      <c r="H170" s="10" t="s">
        <v>562</v>
      </c>
      <c r="I170" s="5" t="str">
        <f>IFERROR(__xludf.DUMMYFUNCTION("IF(OR(TRIM(G170)="""",TRIM(H170)=""""),"""",TEXTJOIN("", "",TRUE,ARRAYFORMULA(TRANSPOSE(TRIM(SPLIT(G170,"","")))&amp;""_""&amp;TRIM(SPLIT(H170,"","")))))"),"Elf_Male, Elf_Female, Human_Male, Human_Female, Orc_Male, Orc_Female, Khajiit_Male, Khajiit_Female")</f>
        <v>Elf_Male, Elf_Female, Human_Male, Human_Female, Orc_Male, Orc_Female, Khajiit_Male, Khajiit_Female</v>
      </c>
      <c r="J170" s="6" t="s">
        <v>266</v>
      </c>
      <c r="K170" s="6" t="s">
        <v>683</v>
      </c>
      <c r="L170" s="12" t="str">
        <f t="shared" si="1"/>
        <v>FuseValkyr1_Roxy,1,1</v>
      </c>
    </row>
    <row r="171" ht="15.75" customHeight="1">
      <c r="A171" s="4" t="s">
        <v>680</v>
      </c>
      <c r="B171" s="17"/>
      <c r="C171" s="4" t="s">
        <v>696</v>
      </c>
      <c r="D171" s="5">
        <v>2.0</v>
      </c>
      <c r="E171" s="5">
        <f t="shared" si="9"/>
        <v>2</v>
      </c>
      <c r="F171" s="5" t="s">
        <v>697</v>
      </c>
      <c r="G171" s="4" t="s">
        <v>644</v>
      </c>
      <c r="H171" s="10" t="s">
        <v>562</v>
      </c>
      <c r="I171" s="5" t="str">
        <f>IFERROR(__xludf.DUMMYFUNCTION("IF(OR(TRIM(G171)="""",TRIM(H171)=""""),"""",TEXTJOIN("", "",TRUE,ARRAYFORMULA(TRANSPOSE(TRIM(SPLIT(G171,"","")))&amp;""_""&amp;TRIM(SPLIT(H171,"","")))))"),"Elf_Male, Elf_Female, Human_Male, Human_Female, Orc_Male, Orc_Female, Khajiit_Male, Khajiit_Female")</f>
        <v>Elf_Male, Elf_Female, Human_Male, Human_Female, Orc_Male, Orc_Female, Khajiit_Male, Khajiit_Female</v>
      </c>
      <c r="J171" s="6" t="s">
        <v>266</v>
      </c>
      <c r="K171" s="6" t="s">
        <v>683</v>
      </c>
      <c r="L171" s="12" t="str">
        <f t="shared" si="1"/>
        <v>FuseValkyr1_Yasha,2,2</v>
      </c>
    </row>
    <row r="172" ht="15.75" customHeight="1">
      <c r="A172" s="4" t="s">
        <v>698</v>
      </c>
      <c r="B172" s="17"/>
      <c r="C172" s="4" t="s">
        <v>699</v>
      </c>
      <c r="D172" s="5">
        <v>1.0</v>
      </c>
      <c r="E172" s="5">
        <f t="shared" si="9"/>
        <v>1</v>
      </c>
      <c r="F172" s="5" t="s">
        <v>700</v>
      </c>
      <c r="G172" s="5" t="s">
        <v>554</v>
      </c>
      <c r="H172" s="10" t="s">
        <v>562</v>
      </c>
      <c r="I172" s="5" t="str">
        <f>IFERROR(__xludf.DUMMYFUNCTION("IF(OR(TRIM(G172)="""",TRIM(H172)=""""),"""",TEXTJOIN("", "",TRUE,ARRAYFORMULA(TRANSPOSE(TRIM(SPLIT(G172,"","")))&amp;""_""&amp;TRIM(SPLIT(H172,"","")))))"),"Elf_Male, Elf_Female, Human_Male, Human_Female, Orc_Male, Orc_Female")</f>
        <v>Elf_Male, Elf_Female, Human_Male, Human_Female, Orc_Male, Orc_Female</v>
      </c>
      <c r="J172" s="6" t="s">
        <v>274</v>
      </c>
      <c r="L172" s="12" t="str">
        <f t="shared" si="1"/>
        <v>FuseValkyr2_ClassicDante,1,1</v>
      </c>
    </row>
    <row r="173" ht="15.75" customHeight="1">
      <c r="A173" s="4" t="s">
        <v>698</v>
      </c>
      <c r="B173" s="17"/>
      <c r="C173" s="4" t="s">
        <v>701</v>
      </c>
      <c r="D173" s="5">
        <v>2.0</v>
      </c>
      <c r="E173" s="5">
        <v>3.0</v>
      </c>
      <c r="F173" s="5" t="s">
        <v>702</v>
      </c>
      <c r="G173" s="5" t="s">
        <v>554</v>
      </c>
      <c r="H173" s="10" t="s">
        <v>562</v>
      </c>
      <c r="I173" s="5" t="str">
        <f>IFERROR(__xludf.DUMMYFUNCTION("IF(OR(TRIM(G173)="""",TRIM(H173)=""""),"""",TEXTJOIN("", "",TRUE,ARRAYFORMULA(TRANSPOSE(TRIM(SPLIT(G173,"","")))&amp;""_""&amp;TRIM(SPLIT(H173,"","")))))"),"Elf_Male, Elf_Female, Human_Male, Human_Female, Orc_Male, Orc_Female")</f>
        <v>Elf_Male, Elf_Female, Human_Male, Human_Female, Orc_Male, Orc_Female</v>
      </c>
      <c r="J173" s="6" t="s">
        <v>274</v>
      </c>
      <c r="L173" s="12" t="str">
        <f t="shared" si="1"/>
        <v>FuseValkyr2_Danaerys,2,3</v>
      </c>
    </row>
    <row r="174" ht="15.75" customHeight="1">
      <c r="A174" s="4" t="s">
        <v>698</v>
      </c>
      <c r="B174" s="17"/>
      <c r="C174" s="4" t="s">
        <v>703</v>
      </c>
      <c r="D174" s="5">
        <v>1.0</v>
      </c>
      <c r="E174" s="5">
        <f t="shared" ref="E174:E176" si="10">D174</f>
        <v>1</v>
      </c>
      <c r="F174" s="5" t="s">
        <v>704</v>
      </c>
      <c r="G174" s="5" t="s">
        <v>554</v>
      </c>
      <c r="H174" s="10" t="s">
        <v>562</v>
      </c>
      <c r="I174" s="5" t="str">
        <f>IFERROR(__xludf.DUMMYFUNCTION("IF(OR(TRIM(G174)="""",TRIM(H174)=""""),"""",TEXTJOIN("", "",TRUE,ARRAYFORMULA(TRANSPOSE(TRIM(SPLIT(G174,"","")))&amp;""_""&amp;TRIM(SPLIT(H174,"","")))))"),"Elf_Male, Elf_Female, Human_Male, Human_Female, Orc_Male, Orc_Female")</f>
        <v>Elf_Male, Elf_Female, Human_Male, Human_Female, Orc_Male, Orc_Female</v>
      </c>
      <c r="J174" s="6" t="s">
        <v>274</v>
      </c>
      <c r="L174" s="12" t="str">
        <f t="shared" si="1"/>
        <v>FuseValkyr2_Ghost,1,1</v>
      </c>
    </row>
    <row r="175" ht="15.75" customHeight="1">
      <c r="A175" s="5" t="s">
        <v>705</v>
      </c>
      <c r="B175" s="17"/>
      <c r="C175" s="5" t="s">
        <v>706</v>
      </c>
      <c r="D175" s="5">
        <v>1.0</v>
      </c>
      <c r="E175" s="5">
        <f t="shared" si="10"/>
        <v>1</v>
      </c>
      <c r="F175" s="5" t="s">
        <v>707</v>
      </c>
      <c r="G175" s="5" t="s">
        <v>554</v>
      </c>
      <c r="H175" s="10" t="s">
        <v>41</v>
      </c>
      <c r="I175" s="5" t="str">
        <f>IFERROR(__xludf.DUMMYFUNCTION("IF(OR(TRIM(G175)="""",TRIM(H175)=""""),"""",TEXTJOIN("", "",TRUE,ARRAYFORMULA(TRANSPOSE(TRIM(SPLIT(G175,"","")))&amp;""_""&amp;TRIM(SPLIT(H175,"","")))))"),"Elf_Female, Human_Female, Orc_Female")</f>
        <v>Elf_Female, Human_Female, Orc_Female</v>
      </c>
      <c r="J175" s="6" t="s">
        <v>115</v>
      </c>
      <c r="L175" s="12" t="str">
        <f t="shared" si="1"/>
        <v>Koralina_Bae,1,1</v>
      </c>
    </row>
    <row r="176" ht="15.75" customHeight="1">
      <c r="A176" s="5" t="s">
        <v>705</v>
      </c>
      <c r="B176" s="17"/>
      <c r="C176" s="5" t="s">
        <v>708</v>
      </c>
      <c r="D176" s="5">
        <v>2.0</v>
      </c>
      <c r="E176" s="5">
        <f t="shared" si="10"/>
        <v>2</v>
      </c>
      <c r="F176" s="5" t="s">
        <v>709</v>
      </c>
      <c r="G176" s="5" t="s">
        <v>554</v>
      </c>
      <c r="H176" s="10" t="s">
        <v>562</v>
      </c>
      <c r="I176" s="5" t="str">
        <f>IFERROR(__xludf.DUMMYFUNCTION("IF(OR(TRIM(G176)="""",TRIM(H176)=""""),"""",TEXTJOIN("", "",TRUE,ARRAYFORMULA(TRANSPOSE(TRIM(SPLIT(G176,"","")))&amp;""_""&amp;TRIM(SPLIT(H176,"","")))))"),"Elf_Male, Elf_Female, Human_Male, Human_Female, Orc_Male, Orc_Female")</f>
        <v>Elf_Male, Elf_Female, Human_Male, Human_Female, Orc_Male, Orc_Female</v>
      </c>
      <c r="J176" s="6" t="s">
        <v>115</v>
      </c>
      <c r="L176" s="12" t="str">
        <f t="shared" si="1"/>
        <v>Koralina_Wendy,2,2</v>
      </c>
    </row>
    <row r="177" ht="15.75" customHeight="1">
      <c r="A177" s="5" t="s">
        <v>705</v>
      </c>
      <c r="B177" s="17"/>
      <c r="C177" s="5" t="s">
        <v>710</v>
      </c>
      <c r="D177" s="5">
        <v>1.0</v>
      </c>
      <c r="E177" s="5">
        <v>2.0</v>
      </c>
      <c r="F177" s="5" t="s">
        <v>711</v>
      </c>
      <c r="G177" s="5" t="s">
        <v>554</v>
      </c>
      <c r="H177" s="10" t="s">
        <v>562</v>
      </c>
      <c r="I177" s="5" t="str">
        <f>IFERROR(__xludf.DUMMYFUNCTION("IF(OR(TRIM(G177)="""",TRIM(H177)=""""),"""",TEXTJOIN("", "",TRUE,ARRAYFORMULA(TRANSPOSE(TRIM(SPLIT(G177,"","")))&amp;""_""&amp;TRIM(SPLIT(H177,"","")))))"),"Elf_Male, Elf_Female, Human_Male, Human_Female, Orc_Male, Orc_Female")</f>
        <v>Elf_Male, Elf_Female, Human_Male, Human_Female, Orc_Male, Orc_Female</v>
      </c>
      <c r="J177" s="6" t="s">
        <v>115</v>
      </c>
      <c r="L177" s="12" t="str">
        <f t="shared" si="1"/>
        <v>Koralina_WolfCut,1,2</v>
      </c>
    </row>
    <row r="178" ht="15.75" customHeight="1">
      <c r="A178" s="5" t="s">
        <v>712</v>
      </c>
      <c r="B178" s="17"/>
      <c r="C178" s="5" t="s">
        <v>713</v>
      </c>
      <c r="D178" s="5">
        <v>2.0</v>
      </c>
      <c r="E178" s="5">
        <v>3.0</v>
      </c>
      <c r="F178" s="5" t="s">
        <v>714</v>
      </c>
      <c r="G178" s="5" t="s">
        <v>554</v>
      </c>
      <c r="H178" s="10" t="s">
        <v>562</v>
      </c>
      <c r="I178" s="5" t="str">
        <f>IFERROR(__xludf.DUMMYFUNCTION("IF(OR(TRIM(G178)="""",TRIM(H178)=""""),"""",TEXTJOIN("", "",TRUE,ARRAYFORMULA(TRANSPOSE(TRIM(SPLIT(G178,"","")))&amp;""_""&amp;TRIM(SPLIT(H178,"","")))))"),"Elf_Male, Elf_Female, Human_Male, Human_Female, Orc_Male, Orc_Female")</f>
        <v>Elf_Male, Elf_Female, Human_Male, Human_Female, Orc_Male, Orc_Female</v>
      </c>
      <c r="J178" s="6" t="s">
        <v>124</v>
      </c>
      <c r="L178" s="12" t="str">
        <f t="shared" si="1"/>
        <v>Koralina_Aisha,2,3</v>
      </c>
    </row>
    <row r="179" ht="15.75" customHeight="1">
      <c r="A179" s="5" t="s">
        <v>712</v>
      </c>
      <c r="B179" s="17"/>
      <c r="C179" s="5" t="s">
        <v>715</v>
      </c>
      <c r="D179" s="5">
        <v>2.0</v>
      </c>
      <c r="E179" s="5">
        <v>3.0</v>
      </c>
      <c r="F179" s="5" t="s">
        <v>716</v>
      </c>
      <c r="G179" s="5" t="s">
        <v>554</v>
      </c>
      <c r="H179" s="10" t="s">
        <v>562</v>
      </c>
      <c r="I179" s="5" t="str">
        <f>IFERROR(__xludf.DUMMYFUNCTION("IF(OR(TRIM(G179)="""",TRIM(H179)=""""),"""",TEXTJOIN("", "",TRUE,ARRAYFORMULA(TRANSPOSE(TRIM(SPLIT(G179,"","")))&amp;""_""&amp;TRIM(SPLIT(H179,"","")))))"),"Elf_Male, Elf_Female, Human_Male, Human_Female, Orc_Male, Orc_Female")</f>
        <v>Elf_Male, Elf_Female, Human_Male, Human_Female, Orc_Male, Orc_Female</v>
      </c>
      <c r="J179" s="6" t="s">
        <v>124</v>
      </c>
      <c r="L179" s="12" t="str">
        <f t="shared" si="1"/>
        <v>Koralina_Siggy,2,3</v>
      </c>
    </row>
    <row r="180" ht="15.75" customHeight="1">
      <c r="A180" s="5" t="s">
        <v>712</v>
      </c>
      <c r="B180" s="17"/>
      <c r="C180" s="5" t="s">
        <v>719</v>
      </c>
      <c r="D180" s="5">
        <v>1.0</v>
      </c>
      <c r="E180" s="5">
        <f t="shared" ref="E180:E215" si="11">D180</f>
        <v>1</v>
      </c>
      <c r="F180" s="5" t="s">
        <v>720</v>
      </c>
      <c r="G180" s="5" t="s">
        <v>554</v>
      </c>
      <c r="H180" s="10" t="s">
        <v>562</v>
      </c>
      <c r="I180" s="5" t="str">
        <f>IFERROR(__xludf.DUMMYFUNCTION("IF(OR(TRIM(G180)="""",TRIM(H180)=""""),"""",TEXTJOIN("", "",TRUE,ARRAYFORMULA(TRANSPOSE(TRIM(SPLIT(G180,"","")))&amp;""_""&amp;TRIM(SPLIT(H180,"","")))))"),"Elf_Male, Elf_Female, Human_Male, Human_Female, Orc_Male, Orc_Female")</f>
        <v>Elf_Male, Elf_Female, Human_Male, Human_Female, Orc_Male, Orc_Female</v>
      </c>
      <c r="J180" s="6" t="s">
        <v>124</v>
      </c>
      <c r="L180" s="12" t="str">
        <f t="shared" si="1"/>
        <v>Koralina_Wolf_01,1,1</v>
      </c>
    </row>
    <row r="181" ht="15.75" customHeight="1">
      <c r="A181" s="5" t="s">
        <v>712</v>
      </c>
      <c r="B181" s="17"/>
      <c r="C181" s="5" t="s">
        <v>721</v>
      </c>
      <c r="D181" s="5">
        <v>1.0</v>
      </c>
      <c r="E181" s="5">
        <f t="shared" si="11"/>
        <v>1</v>
      </c>
      <c r="F181" s="5" t="s">
        <v>722</v>
      </c>
      <c r="G181" s="5" t="s">
        <v>554</v>
      </c>
      <c r="H181" s="10" t="s">
        <v>562</v>
      </c>
      <c r="I181" s="5" t="str">
        <f>IFERROR(__xludf.DUMMYFUNCTION("IF(OR(TRIM(G181)="""",TRIM(H181)=""""),"""",TEXTJOIN("", "",TRUE,ARRAYFORMULA(TRANSPOSE(TRIM(SPLIT(G181,"","")))&amp;""_""&amp;TRIM(SPLIT(H181,"","")))))"),"Elf_Male, Elf_Female, Human_Male, Human_Female, Orc_Male, Orc_Female")</f>
        <v>Elf_Male, Elf_Female, Human_Male, Human_Female, Orc_Male, Orc_Female</v>
      </c>
      <c r="J181" s="6" t="s">
        <v>124</v>
      </c>
      <c r="L181" s="12" t="str">
        <f t="shared" si="1"/>
        <v>Koralina_Wolf_02,1,1</v>
      </c>
    </row>
    <row r="182" ht="15.75" customHeight="1">
      <c r="A182" s="5" t="s">
        <v>723</v>
      </c>
      <c r="B182" s="17"/>
      <c r="C182" s="5" t="s">
        <v>724</v>
      </c>
      <c r="D182" s="5">
        <v>1.0</v>
      </c>
      <c r="E182" s="5">
        <f t="shared" si="11"/>
        <v>1</v>
      </c>
      <c r="F182" s="5" t="s">
        <v>725</v>
      </c>
      <c r="G182" s="4" t="s">
        <v>644</v>
      </c>
      <c r="H182" s="10" t="s">
        <v>41</v>
      </c>
      <c r="I182" s="5" t="str">
        <f>IFERROR(__xludf.DUMMYFUNCTION("IF(OR(TRIM(G182)="""",TRIM(H182)=""""),"""",TEXTJOIN("", "",TRUE,ARRAYFORMULA(TRANSPOSE(TRIM(SPLIT(G182,"","")))&amp;""_""&amp;TRIM(SPLIT(H182,"","")))))"),"Elf_Female, Human_Female, Orc_Female, Khajiit_Female")</f>
        <v>Elf_Female, Human_Female, Orc_Female, Khajiit_Female</v>
      </c>
      <c r="J182" s="6" t="s">
        <v>291</v>
      </c>
      <c r="K182" s="6" t="s">
        <v>726</v>
      </c>
      <c r="L182" s="12" t="str">
        <f t="shared" si="1"/>
        <v>KSSMP_Amor,1,1</v>
      </c>
    </row>
    <row r="183" ht="15.75" customHeight="1">
      <c r="A183" s="5" t="s">
        <v>723</v>
      </c>
      <c r="B183" s="17"/>
      <c r="C183" s="5" t="s">
        <v>727</v>
      </c>
      <c r="D183" s="5">
        <v>2.0</v>
      </c>
      <c r="E183" s="5">
        <f t="shared" si="11"/>
        <v>2</v>
      </c>
      <c r="F183" s="5" t="s">
        <v>728</v>
      </c>
      <c r="G183" s="4" t="s">
        <v>644</v>
      </c>
      <c r="H183" s="10" t="s">
        <v>41</v>
      </c>
      <c r="I183" s="5" t="str">
        <f>IFERROR(__xludf.DUMMYFUNCTION("IF(OR(TRIM(G183)="""",TRIM(H183)=""""),"""",TEXTJOIN("", "",TRUE,ARRAYFORMULA(TRANSPOSE(TRIM(SPLIT(G183,"","")))&amp;""_""&amp;TRIM(SPLIT(H183,"","")))))"),"Elf_Female, Human_Female, Orc_Female, Khajiit_Female")</f>
        <v>Elf_Female, Human_Female, Orc_Female, Khajiit_Female</v>
      </c>
      <c r="J183" s="6" t="s">
        <v>291</v>
      </c>
      <c r="K183" s="6" t="s">
        <v>726</v>
      </c>
      <c r="L183" s="12" t="str">
        <f t="shared" si="1"/>
        <v>KSSMP_Anchor,2,2</v>
      </c>
    </row>
    <row r="184" ht="15.75" customHeight="1">
      <c r="A184" s="5" t="s">
        <v>723</v>
      </c>
      <c r="B184" s="17"/>
      <c r="C184" s="5" t="s">
        <v>729</v>
      </c>
      <c r="D184" s="5">
        <v>1.0</v>
      </c>
      <c r="E184" s="5">
        <f t="shared" si="11"/>
        <v>1</v>
      </c>
      <c r="F184" s="5" t="s">
        <v>730</v>
      </c>
      <c r="G184" s="4" t="s">
        <v>644</v>
      </c>
      <c r="H184" s="10" t="s">
        <v>41</v>
      </c>
      <c r="I184" s="5" t="str">
        <f>IFERROR(__xludf.DUMMYFUNCTION("IF(OR(TRIM(G184)="""",TRIM(H184)=""""),"""",TEXTJOIN("", "",TRUE,ARRAYFORMULA(TRANSPOSE(TRIM(SPLIT(G184,"","")))&amp;""_""&amp;TRIM(SPLIT(H184,"","")))))"),"Elf_Female, Human_Female, Orc_Female, Khajiit_Female")</f>
        <v>Elf_Female, Human_Female, Orc_Female, Khajiit_Female</v>
      </c>
      <c r="J184" s="6" t="s">
        <v>291</v>
      </c>
      <c r="K184" s="6" t="s">
        <v>726</v>
      </c>
      <c r="L184" s="12" t="str">
        <f t="shared" si="1"/>
        <v>KSSMP_Angelic,1,1</v>
      </c>
    </row>
    <row r="185" ht="15.75" customHeight="1">
      <c r="A185" s="5" t="s">
        <v>723</v>
      </c>
      <c r="B185" s="17"/>
      <c r="C185" s="5" t="s">
        <v>731</v>
      </c>
      <c r="D185" s="5">
        <v>2.0</v>
      </c>
      <c r="E185" s="5">
        <f t="shared" si="11"/>
        <v>2</v>
      </c>
      <c r="F185" s="5" t="s">
        <v>732</v>
      </c>
      <c r="G185" s="4" t="s">
        <v>644</v>
      </c>
      <c r="H185" s="10" t="s">
        <v>41</v>
      </c>
      <c r="I185" s="5" t="str">
        <f>IFERROR(__xludf.DUMMYFUNCTION("IF(OR(TRIM(G185)="""",TRIM(H185)=""""),"""",TEXTJOIN("", "",TRUE,ARRAYFORMULA(TRANSPOSE(TRIM(SPLIT(G185,"","")))&amp;""_""&amp;TRIM(SPLIT(H185,"","")))))"),"Elf_Female, Human_Female, Orc_Female, Khajiit_Female")</f>
        <v>Elf_Female, Human_Female, Orc_Female, Khajiit_Female</v>
      </c>
      <c r="J185" s="6" t="s">
        <v>291</v>
      </c>
      <c r="K185" s="6" t="s">
        <v>726</v>
      </c>
      <c r="L185" s="12" t="str">
        <f t="shared" si="1"/>
        <v>KSSMP_Angels,2,2</v>
      </c>
    </row>
    <row r="186" ht="15.75" customHeight="1">
      <c r="A186" s="5" t="s">
        <v>723</v>
      </c>
      <c r="B186" s="17"/>
      <c r="C186" s="5" t="s">
        <v>733</v>
      </c>
      <c r="D186" s="5">
        <v>3.0</v>
      </c>
      <c r="E186" s="5">
        <f t="shared" si="11"/>
        <v>3</v>
      </c>
      <c r="F186" s="5" t="s">
        <v>734</v>
      </c>
      <c r="G186" s="4" t="s">
        <v>644</v>
      </c>
      <c r="H186" s="10" t="s">
        <v>41</v>
      </c>
      <c r="I186" s="5" t="str">
        <f>IFERROR(__xludf.DUMMYFUNCTION("IF(OR(TRIM(G186)="""",TRIM(H186)=""""),"""",TEXTJOIN("", "",TRUE,ARRAYFORMULA(TRANSPOSE(TRIM(SPLIT(G186,"","")))&amp;""_""&amp;TRIM(SPLIT(H186,"","")))))"),"Elf_Female, Human_Female, Orc_Female, Khajiit_Female")</f>
        <v>Elf_Female, Human_Female, Orc_Female, Khajiit_Female</v>
      </c>
      <c r="J186" s="6" t="s">
        <v>291</v>
      </c>
      <c r="K186" s="6" t="s">
        <v>726</v>
      </c>
      <c r="L186" s="12" t="str">
        <f t="shared" si="1"/>
        <v>KSSMP_Anna,3,3</v>
      </c>
    </row>
    <row r="187" ht="15.75" customHeight="1">
      <c r="A187" s="5" t="s">
        <v>723</v>
      </c>
      <c r="B187" s="17"/>
      <c r="C187" s="5" t="s">
        <v>735</v>
      </c>
      <c r="D187" s="5">
        <v>2.0</v>
      </c>
      <c r="E187" s="5">
        <f t="shared" si="11"/>
        <v>2</v>
      </c>
      <c r="F187" s="5" t="s">
        <v>736</v>
      </c>
      <c r="G187" s="4" t="s">
        <v>644</v>
      </c>
      <c r="H187" s="10" t="s">
        <v>41</v>
      </c>
      <c r="I187" s="5" t="str">
        <f>IFERROR(__xludf.DUMMYFUNCTION("IF(OR(TRIM(G187)="""",TRIM(H187)=""""),"""",TEXTJOIN("", "",TRUE,ARRAYFORMULA(TRANSPOSE(TRIM(SPLIT(G187,"","")))&amp;""_""&amp;TRIM(SPLIT(H187,"","")))))"),"Elf_Female, Human_Female, Orc_Female, Khajiit_Female")</f>
        <v>Elf_Female, Human_Female, Orc_Female, Khajiit_Female</v>
      </c>
      <c r="J187" s="6" t="s">
        <v>291</v>
      </c>
      <c r="K187" s="6" t="s">
        <v>726</v>
      </c>
      <c r="L187" s="12" t="str">
        <f t="shared" si="1"/>
        <v>KSSMP_Anto92,2,2</v>
      </c>
    </row>
    <row r="188" ht="15.75" customHeight="1">
      <c r="A188" s="5" t="s">
        <v>723</v>
      </c>
      <c r="B188" s="17"/>
      <c r="C188" s="5" t="s">
        <v>737</v>
      </c>
      <c r="D188" s="5">
        <v>3.0</v>
      </c>
      <c r="E188" s="5">
        <f t="shared" si="11"/>
        <v>3</v>
      </c>
      <c r="F188" s="5" t="s">
        <v>738</v>
      </c>
      <c r="G188" s="4" t="s">
        <v>644</v>
      </c>
      <c r="H188" s="10" t="s">
        <v>41</v>
      </c>
      <c r="I188" s="5" t="str">
        <f>IFERROR(__xludf.DUMMYFUNCTION("IF(OR(TRIM(G188)="""",TRIM(H188)=""""),"""",TEXTJOIN("", "",TRUE,ARRAYFORMULA(TRANSPOSE(TRIM(SPLIT(G188,"","")))&amp;""_""&amp;TRIM(SPLIT(H188,"","")))))"),"Elf_Female, Human_Female, Orc_Female, Khajiit_Female")</f>
        <v>Elf_Female, Human_Female, Orc_Female, Khajiit_Female</v>
      </c>
      <c r="J188" s="6" t="s">
        <v>291</v>
      </c>
      <c r="K188" s="6" t="s">
        <v>726</v>
      </c>
      <c r="L188" s="12" t="str">
        <f t="shared" si="1"/>
        <v>KSSMP_Aroma,3,3</v>
      </c>
    </row>
    <row r="189" ht="15.75" customHeight="1">
      <c r="A189" s="5" t="s">
        <v>723</v>
      </c>
      <c r="B189" s="17"/>
      <c r="C189" s="5" t="s">
        <v>741</v>
      </c>
      <c r="D189" s="5">
        <v>3.0</v>
      </c>
      <c r="E189" s="5">
        <f t="shared" si="11"/>
        <v>3</v>
      </c>
      <c r="F189" s="5" t="s">
        <v>742</v>
      </c>
      <c r="G189" s="4" t="s">
        <v>644</v>
      </c>
      <c r="H189" s="10" t="s">
        <v>41</v>
      </c>
      <c r="I189" s="5" t="str">
        <f>IFERROR(__xludf.DUMMYFUNCTION("IF(OR(TRIM(G189)="""",TRIM(H189)=""""),"""",TEXTJOIN("", "",TRUE,ARRAYFORMULA(TRANSPOSE(TRIM(SPLIT(G189,"","")))&amp;""_""&amp;TRIM(SPLIT(H189,"","")))))"),"Elf_Female, Human_Female, Orc_Female, Khajiit_Female")</f>
        <v>Elf_Female, Human_Female, Orc_Female, Khajiit_Female</v>
      </c>
      <c r="J189" s="6" t="s">
        <v>291</v>
      </c>
      <c r="K189" s="6" t="s">
        <v>726</v>
      </c>
      <c r="L189" s="12" t="str">
        <f t="shared" si="1"/>
        <v>KSSMP_Babydoll,3,3</v>
      </c>
    </row>
    <row r="190" ht="15.75" customHeight="1">
      <c r="A190" s="5" t="s">
        <v>723</v>
      </c>
      <c r="B190" s="17"/>
      <c r="C190" s="5" t="s">
        <v>743</v>
      </c>
      <c r="D190" s="5">
        <v>3.0</v>
      </c>
      <c r="E190" s="5">
        <f t="shared" si="11"/>
        <v>3</v>
      </c>
      <c r="F190" s="5" t="s">
        <v>744</v>
      </c>
      <c r="G190" s="5" t="s">
        <v>554</v>
      </c>
      <c r="H190" s="10" t="s">
        <v>41</v>
      </c>
      <c r="I190" s="5" t="str">
        <f>IFERROR(__xludf.DUMMYFUNCTION("IF(OR(TRIM(G190)="""",TRIM(H190)=""""),"""",TEXTJOIN("", "",TRUE,ARRAYFORMULA(TRANSPOSE(TRIM(SPLIT(G190,"","")))&amp;""_""&amp;TRIM(SPLIT(H190,"","")))))"),"Elf_Female, Human_Female, Orc_Female")</f>
        <v>Elf_Female, Human_Female, Orc_Female</v>
      </c>
      <c r="J190" s="6" t="s">
        <v>291</v>
      </c>
      <c r="L190" s="12" t="str">
        <f t="shared" si="1"/>
        <v>KSSMP_BabydollBand,3,3</v>
      </c>
    </row>
    <row r="191" ht="15.75" customHeight="1">
      <c r="A191" s="5" t="s">
        <v>723</v>
      </c>
      <c r="B191" s="17"/>
      <c r="C191" s="5" t="s">
        <v>745</v>
      </c>
      <c r="D191" s="5">
        <v>2.0</v>
      </c>
      <c r="E191" s="5">
        <f t="shared" si="11"/>
        <v>2</v>
      </c>
      <c r="F191" s="5" t="s">
        <v>746</v>
      </c>
      <c r="G191" s="4" t="s">
        <v>644</v>
      </c>
      <c r="H191" s="10" t="s">
        <v>41</v>
      </c>
      <c r="I191" s="5" t="str">
        <f>IFERROR(__xludf.DUMMYFUNCTION("IF(OR(TRIM(G191)="""",TRIM(H191)=""""),"""",TEXTJOIN("", "",TRUE,ARRAYFORMULA(TRANSPOSE(TRIM(SPLIT(G191,"","")))&amp;""_""&amp;TRIM(SPLIT(H191,"","")))))"),"Elf_Female, Human_Female, Orc_Female, Khajiit_Female")</f>
        <v>Elf_Female, Human_Female, Orc_Female, Khajiit_Female</v>
      </c>
      <c r="J191" s="6" t="s">
        <v>291</v>
      </c>
      <c r="K191" s="6" t="s">
        <v>726</v>
      </c>
      <c r="L191" s="12" t="str">
        <f t="shared" si="1"/>
        <v>KSSMP_Bluebird,2,2</v>
      </c>
    </row>
    <row r="192" ht="15.75" customHeight="1">
      <c r="A192" s="5" t="s">
        <v>723</v>
      </c>
      <c r="B192" s="17"/>
      <c r="C192" s="5" t="s">
        <v>747</v>
      </c>
      <c r="D192" s="5">
        <v>1.0</v>
      </c>
      <c r="E192" s="5">
        <f t="shared" si="11"/>
        <v>1</v>
      </c>
      <c r="F192" s="5" t="s">
        <v>748</v>
      </c>
      <c r="G192" s="4" t="s">
        <v>644</v>
      </c>
      <c r="H192" s="10" t="s">
        <v>41</v>
      </c>
      <c r="I192" s="5" t="str">
        <f>IFERROR(__xludf.DUMMYFUNCTION("IF(OR(TRIM(G192)="""",TRIM(H192)=""""),"""",TEXTJOIN("", "",TRUE,ARRAYFORMULA(TRANSPOSE(TRIM(SPLIT(G192,"","")))&amp;""_""&amp;TRIM(SPLIT(H192,"","")))))"),"Elf_Female, Human_Female, Orc_Female, Khajiit_Female")</f>
        <v>Elf_Female, Human_Female, Orc_Female, Khajiit_Female</v>
      </c>
      <c r="J192" s="6" t="s">
        <v>291</v>
      </c>
      <c r="K192" s="6" t="s">
        <v>726</v>
      </c>
      <c r="L192" s="12" t="str">
        <f t="shared" si="1"/>
        <v>KSSMP_Cambrian,1,1</v>
      </c>
    </row>
    <row r="193" ht="15.75" customHeight="1">
      <c r="A193" s="5" t="s">
        <v>723</v>
      </c>
      <c r="B193" s="17"/>
      <c r="C193" s="5" t="s">
        <v>749</v>
      </c>
      <c r="D193" s="5">
        <v>2.0</v>
      </c>
      <c r="E193" s="5">
        <f t="shared" si="11"/>
        <v>2</v>
      </c>
      <c r="F193" s="5" t="s">
        <v>750</v>
      </c>
      <c r="G193" s="4" t="s">
        <v>644</v>
      </c>
      <c r="H193" s="10" t="s">
        <v>41</v>
      </c>
      <c r="I193" s="5" t="str">
        <f>IFERROR(__xludf.DUMMYFUNCTION("IF(OR(TRIM(G193)="""",TRIM(H193)=""""),"""",TEXTJOIN("", "",TRUE,ARRAYFORMULA(TRANSPOSE(TRIM(SPLIT(G193,"","")))&amp;""_""&amp;TRIM(SPLIT(H193,"","")))))"),"Elf_Female, Human_Female, Orc_Female, Khajiit_Female")</f>
        <v>Elf_Female, Human_Female, Orc_Female, Khajiit_Female</v>
      </c>
      <c r="J193" s="6" t="s">
        <v>291</v>
      </c>
      <c r="K193" s="6" t="s">
        <v>726</v>
      </c>
      <c r="L193" s="12" t="str">
        <f t="shared" si="1"/>
        <v>KSSMP_Caress,2,2</v>
      </c>
    </row>
    <row r="194" ht="15.75" customHeight="1">
      <c r="A194" s="5" t="s">
        <v>723</v>
      </c>
      <c r="B194" s="17"/>
      <c r="C194" s="5" t="s">
        <v>751</v>
      </c>
      <c r="D194" s="5">
        <v>1.0</v>
      </c>
      <c r="E194" s="5">
        <f t="shared" si="11"/>
        <v>1</v>
      </c>
      <c r="F194" s="5" t="s">
        <v>752</v>
      </c>
      <c r="G194" s="4" t="s">
        <v>644</v>
      </c>
      <c r="H194" s="10" t="s">
        <v>41</v>
      </c>
      <c r="I194" s="5" t="str">
        <f>IFERROR(__xludf.DUMMYFUNCTION("IF(OR(TRIM(G194)="""",TRIM(H194)=""""),"""",TEXTJOIN("", "",TRUE,ARRAYFORMULA(TRANSPOSE(TRIM(SPLIT(G194,"","")))&amp;""_""&amp;TRIM(SPLIT(H194,"","")))))"),"Elf_Female, Human_Female, Orc_Female, Khajiit_Female")</f>
        <v>Elf_Female, Human_Female, Orc_Female, Khajiit_Female</v>
      </c>
      <c r="J194" s="6" t="s">
        <v>291</v>
      </c>
      <c r="K194" s="6" t="s">
        <v>726</v>
      </c>
      <c r="L194" s="12" t="str">
        <f t="shared" si="1"/>
        <v>KSSMP_Cassy,1,1</v>
      </c>
    </row>
    <row r="195" ht="15.75" customHeight="1">
      <c r="A195" s="5" t="s">
        <v>723</v>
      </c>
      <c r="B195" s="17"/>
      <c r="C195" s="5" t="s">
        <v>753</v>
      </c>
      <c r="D195" s="5">
        <v>1.0</v>
      </c>
      <c r="E195" s="5">
        <f t="shared" si="11"/>
        <v>1</v>
      </c>
      <c r="F195" s="5" t="s">
        <v>754</v>
      </c>
      <c r="G195" s="4" t="s">
        <v>644</v>
      </c>
      <c r="H195" s="10" t="s">
        <v>41</v>
      </c>
      <c r="I195" s="5" t="str">
        <f>IFERROR(__xludf.DUMMYFUNCTION("IF(OR(TRIM(G195)="""",TRIM(H195)=""""),"""",TEXTJOIN("", "",TRUE,ARRAYFORMULA(TRANSPOSE(TRIM(SPLIT(G195,"","")))&amp;""_""&amp;TRIM(SPLIT(H195,"","")))))"),"Elf_Female, Human_Female, Orc_Female, Khajiit_Female")</f>
        <v>Elf_Female, Human_Female, Orc_Female, Khajiit_Female</v>
      </c>
      <c r="J195" s="6" t="s">
        <v>291</v>
      </c>
      <c r="K195" s="6" t="s">
        <v>726</v>
      </c>
      <c r="L195" s="12" t="str">
        <f t="shared" si="1"/>
        <v>KSSMP_Cerigo,1,1</v>
      </c>
    </row>
    <row r="196" ht="15.75" customHeight="1">
      <c r="A196" s="5" t="s">
        <v>723</v>
      </c>
      <c r="B196" s="17"/>
      <c r="C196" s="5" t="s">
        <v>755</v>
      </c>
      <c r="D196" s="5">
        <v>3.0</v>
      </c>
      <c r="E196" s="5">
        <f t="shared" si="11"/>
        <v>3</v>
      </c>
      <c r="F196" s="5" t="s">
        <v>756</v>
      </c>
      <c r="G196" s="4" t="s">
        <v>644</v>
      </c>
      <c r="H196" s="10" t="s">
        <v>41</v>
      </c>
      <c r="I196" s="5" t="str">
        <f>IFERROR(__xludf.DUMMYFUNCTION("IF(OR(TRIM(G196)="""",TRIM(H196)=""""),"""",TEXTJOIN("", "",TRUE,ARRAYFORMULA(TRANSPOSE(TRIM(SPLIT(G196,"","")))&amp;""_""&amp;TRIM(SPLIT(H196,"","")))))"),"Elf_Female, Human_Female, Orc_Female, Khajiit_Female")</f>
        <v>Elf_Female, Human_Female, Orc_Female, Khajiit_Female</v>
      </c>
      <c r="J196" s="6" t="s">
        <v>291</v>
      </c>
      <c r="K196" s="6" t="s">
        <v>726</v>
      </c>
      <c r="L196" s="12" t="str">
        <f t="shared" si="1"/>
        <v>KSSMP_Cliche,3,3</v>
      </c>
    </row>
    <row r="197" ht="15.75" customHeight="1">
      <c r="A197" s="5" t="s">
        <v>723</v>
      </c>
      <c r="B197" s="17"/>
      <c r="C197" s="5" t="s">
        <v>757</v>
      </c>
      <c r="D197" s="5">
        <v>1.0</v>
      </c>
      <c r="E197" s="5">
        <f t="shared" si="11"/>
        <v>1</v>
      </c>
      <c r="F197" s="5" t="s">
        <v>758</v>
      </c>
      <c r="G197" s="4" t="s">
        <v>644</v>
      </c>
      <c r="H197" s="10" t="s">
        <v>41</v>
      </c>
      <c r="I197" s="5" t="str">
        <f>IFERROR(__xludf.DUMMYFUNCTION("IF(OR(TRIM(G197)="""",TRIM(H197)=""""),"""",TEXTJOIN("", "",TRUE,ARRAYFORMULA(TRANSPOSE(TRIM(SPLIT(G197,"","")))&amp;""_""&amp;TRIM(SPLIT(H197,"","")))))"),"Elf_Female, Human_Female, Orc_Female, Khajiit_Female")</f>
        <v>Elf_Female, Human_Female, Orc_Female, Khajiit_Female</v>
      </c>
      <c r="J197" s="6" t="s">
        <v>291</v>
      </c>
      <c r="K197" s="6" t="s">
        <v>726</v>
      </c>
      <c r="L197" s="12" t="str">
        <f t="shared" si="1"/>
        <v>KSSMP_Cola,1,1</v>
      </c>
    </row>
    <row r="198" ht="15.75" customHeight="1">
      <c r="A198" s="5" t="s">
        <v>723</v>
      </c>
      <c r="B198" s="17"/>
      <c r="C198" s="5" t="s">
        <v>761</v>
      </c>
      <c r="D198" s="5">
        <v>1.0</v>
      </c>
      <c r="E198" s="5">
        <f t="shared" si="11"/>
        <v>1</v>
      </c>
      <c r="F198" s="5" t="s">
        <v>763</v>
      </c>
      <c r="G198" s="4" t="s">
        <v>644</v>
      </c>
      <c r="H198" s="10" t="s">
        <v>41</v>
      </c>
      <c r="I198" s="5" t="str">
        <f>IFERROR(__xludf.DUMMYFUNCTION("IF(OR(TRIM(G198)="""",TRIM(H198)=""""),"""",TEXTJOIN("", "",TRUE,ARRAYFORMULA(TRANSPOSE(TRIM(SPLIT(G198,"","")))&amp;""_""&amp;TRIM(SPLIT(H198,"","")))))"),"Elf_Female, Human_Female, Orc_Female, Khajiit_Female")</f>
        <v>Elf_Female, Human_Female, Orc_Female, Khajiit_Female</v>
      </c>
      <c r="J198" s="6" t="s">
        <v>291</v>
      </c>
      <c r="K198" s="6" t="s">
        <v>726</v>
      </c>
      <c r="L198" s="12" t="str">
        <f t="shared" si="1"/>
        <v>KSSMP_CrazyLove,1,1</v>
      </c>
    </row>
    <row r="199" ht="15.75" customHeight="1">
      <c r="A199" s="5" t="s">
        <v>723</v>
      </c>
      <c r="B199" s="17"/>
      <c r="C199" s="5" t="s">
        <v>764</v>
      </c>
      <c r="D199" s="5">
        <v>1.0</v>
      </c>
      <c r="E199" s="5">
        <f t="shared" si="11"/>
        <v>1</v>
      </c>
      <c r="F199" s="5" t="s">
        <v>765</v>
      </c>
      <c r="G199" s="4" t="s">
        <v>644</v>
      </c>
      <c r="H199" s="10" t="s">
        <v>41</v>
      </c>
      <c r="I199" s="5" t="str">
        <f>IFERROR(__xludf.DUMMYFUNCTION("IF(OR(TRIM(G199)="""",TRIM(H199)=""""),"""",TEXTJOIN("", "",TRUE,ARRAYFORMULA(TRANSPOSE(TRIM(SPLIT(G199,"","")))&amp;""_""&amp;TRIM(SPLIT(H199,"","")))))"),"Elf_Female, Human_Female, Orc_Female, Khajiit_Female")</f>
        <v>Elf_Female, Human_Female, Orc_Female, Khajiit_Female</v>
      </c>
      <c r="J199" s="6" t="s">
        <v>291</v>
      </c>
      <c r="K199" s="6" t="s">
        <v>726</v>
      </c>
      <c r="L199" s="12" t="str">
        <f t="shared" si="1"/>
        <v>KSSMP_Crescent,1,1</v>
      </c>
    </row>
    <row r="200" ht="15.75" customHeight="1">
      <c r="A200" s="5" t="s">
        <v>723</v>
      </c>
      <c r="B200" s="17"/>
      <c r="C200" s="5" t="s">
        <v>766</v>
      </c>
      <c r="D200" s="5">
        <v>2.0</v>
      </c>
      <c r="E200" s="5">
        <f t="shared" si="11"/>
        <v>2</v>
      </c>
      <c r="F200" s="5" t="s">
        <v>767</v>
      </c>
      <c r="G200" s="4" t="s">
        <v>644</v>
      </c>
      <c r="H200" s="10" t="s">
        <v>41</v>
      </c>
      <c r="I200" s="5" t="str">
        <f>IFERROR(__xludf.DUMMYFUNCTION("IF(OR(TRIM(G200)="""",TRIM(H200)=""""),"""",TEXTJOIN("", "",TRUE,ARRAYFORMULA(TRANSPOSE(TRIM(SPLIT(G200,"","")))&amp;""_""&amp;TRIM(SPLIT(H200,"","")))))"),"Elf_Female, Human_Female, Orc_Female, Khajiit_Female")</f>
        <v>Elf_Female, Human_Female, Orc_Female, Khajiit_Female</v>
      </c>
      <c r="J200" s="6" t="s">
        <v>291</v>
      </c>
      <c r="K200" s="6" t="s">
        <v>726</v>
      </c>
      <c r="L200" s="12" t="str">
        <f t="shared" si="1"/>
        <v>KSSMP_Desirae,2,2</v>
      </c>
    </row>
    <row r="201" ht="15.75" customHeight="1">
      <c r="A201" s="5" t="s">
        <v>723</v>
      </c>
      <c r="B201" s="17"/>
      <c r="C201" s="5" t="s">
        <v>768</v>
      </c>
      <c r="D201" s="5">
        <v>2.0</v>
      </c>
      <c r="E201" s="5">
        <f t="shared" si="11"/>
        <v>2</v>
      </c>
      <c r="F201" s="5" t="s">
        <v>769</v>
      </c>
      <c r="G201" s="4" t="s">
        <v>644</v>
      </c>
      <c r="H201" s="10" t="s">
        <v>41</v>
      </c>
      <c r="I201" s="5" t="str">
        <f>IFERROR(__xludf.DUMMYFUNCTION("IF(OR(TRIM(G201)="""",TRIM(H201)=""""),"""",TEXTJOIN("", "",TRUE,ARRAYFORMULA(TRANSPOSE(TRIM(SPLIT(G201,"","")))&amp;""_""&amp;TRIM(SPLIT(H201,"","")))))"),"Elf_Female, Human_Female, Orc_Female, Khajiit_Female")</f>
        <v>Elf_Female, Human_Female, Orc_Female, Khajiit_Female</v>
      </c>
      <c r="J201" s="6" t="s">
        <v>291</v>
      </c>
      <c r="K201" s="6" t="s">
        <v>726</v>
      </c>
      <c r="L201" s="12" t="str">
        <f t="shared" si="1"/>
        <v>KSSMP_Desperate,2,2</v>
      </c>
    </row>
    <row r="202" ht="15.75" customHeight="1">
      <c r="A202" s="5" t="s">
        <v>723</v>
      </c>
      <c r="B202" s="17"/>
      <c r="C202" s="5" t="s">
        <v>770</v>
      </c>
      <c r="D202" s="5">
        <v>1.0</v>
      </c>
      <c r="E202" s="5">
        <f t="shared" si="11"/>
        <v>1</v>
      </c>
      <c r="F202" s="5" t="s">
        <v>771</v>
      </c>
      <c r="G202" s="4" t="s">
        <v>644</v>
      </c>
      <c r="H202" s="10" t="s">
        <v>41</v>
      </c>
      <c r="I202" s="5" t="str">
        <f>IFERROR(__xludf.DUMMYFUNCTION("IF(OR(TRIM(G202)="""",TRIM(H202)=""""),"""",TEXTJOIN("", "",TRUE,ARRAYFORMULA(TRANSPOSE(TRIM(SPLIT(G202,"","")))&amp;""_""&amp;TRIM(SPLIT(H202,"","")))))"),"Elf_Female, Human_Female, Orc_Female, Khajiit_Female")</f>
        <v>Elf_Female, Human_Female, Orc_Female, Khajiit_Female</v>
      </c>
      <c r="J202" s="6" t="s">
        <v>291</v>
      </c>
      <c r="K202" s="6" t="s">
        <v>726</v>
      </c>
      <c r="L202" s="12" t="str">
        <f t="shared" si="1"/>
        <v>KSSMP_Didar,1,1</v>
      </c>
    </row>
    <row r="203" ht="15.75" customHeight="1">
      <c r="A203" s="5" t="s">
        <v>723</v>
      </c>
      <c r="B203" s="17"/>
      <c r="C203" s="5" t="s">
        <v>772</v>
      </c>
      <c r="D203" s="5">
        <v>2.0</v>
      </c>
      <c r="E203" s="5">
        <f t="shared" si="11"/>
        <v>2</v>
      </c>
      <c r="F203" s="5" t="s">
        <v>773</v>
      </c>
      <c r="G203" s="4" t="s">
        <v>644</v>
      </c>
      <c r="H203" s="10" t="s">
        <v>41</v>
      </c>
      <c r="I203" s="5" t="str">
        <f>IFERROR(__xludf.DUMMYFUNCTION("IF(OR(TRIM(G203)="""",TRIM(H203)=""""),"""",TEXTJOIN("", "",TRUE,ARRAYFORMULA(TRANSPOSE(TRIM(SPLIT(G203,"","")))&amp;""_""&amp;TRIM(SPLIT(H203,"","")))))"),"Elf_Female, Human_Female, Orc_Female, Khajiit_Female")</f>
        <v>Elf_Female, Human_Female, Orc_Female, Khajiit_Female</v>
      </c>
      <c r="J203" s="6" t="s">
        <v>291</v>
      </c>
      <c r="K203" s="6" t="s">
        <v>726</v>
      </c>
      <c r="L203" s="12" t="str">
        <f t="shared" si="1"/>
        <v>KSSMP_Dollmaker,2,2</v>
      </c>
    </row>
    <row r="204" ht="15.75" customHeight="1">
      <c r="A204" s="5" t="s">
        <v>723</v>
      </c>
      <c r="B204" s="17"/>
      <c r="C204" s="5" t="s">
        <v>774</v>
      </c>
      <c r="D204" s="5">
        <v>2.0</v>
      </c>
      <c r="E204" s="5">
        <f t="shared" si="11"/>
        <v>2</v>
      </c>
      <c r="F204" s="5" t="s">
        <v>775</v>
      </c>
      <c r="G204" s="4" t="s">
        <v>644</v>
      </c>
      <c r="H204" s="10" t="s">
        <v>41</v>
      </c>
      <c r="I204" s="5" t="str">
        <f>IFERROR(__xludf.DUMMYFUNCTION("IF(OR(TRIM(G204)="""",TRIM(H204)=""""),"""",TEXTJOIN("", "",TRUE,ARRAYFORMULA(TRANSPOSE(TRIM(SPLIT(G204,"","")))&amp;""_""&amp;TRIM(SPLIT(H204,"","")))))"),"Elf_Female, Human_Female, Orc_Female, Khajiit_Female")</f>
        <v>Elf_Female, Human_Female, Orc_Female, Khajiit_Female</v>
      </c>
      <c r="J204" s="6" t="s">
        <v>291</v>
      </c>
      <c r="K204" s="6" t="s">
        <v>726</v>
      </c>
      <c r="L204" s="12" t="str">
        <f t="shared" si="1"/>
        <v>KSSMP_Erena,2,2</v>
      </c>
    </row>
    <row r="205" ht="15.75" customHeight="1">
      <c r="A205" s="5" t="s">
        <v>723</v>
      </c>
      <c r="B205" s="17"/>
      <c r="C205" s="5" t="s">
        <v>776</v>
      </c>
      <c r="D205" s="5">
        <v>1.0</v>
      </c>
      <c r="E205" s="5">
        <f t="shared" si="11"/>
        <v>1</v>
      </c>
      <c r="F205" s="5" t="s">
        <v>777</v>
      </c>
      <c r="G205" s="4" t="s">
        <v>644</v>
      </c>
      <c r="H205" s="10" t="s">
        <v>41</v>
      </c>
      <c r="I205" s="5" t="str">
        <f>IFERROR(__xludf.DUMMYFUNCTION("IF(OR(TRIM(G205)="""",TRIM(H205)=""""),"""",TEXTJOIN("", "",TRUE,ARRAYFORMULA(TRANSPOSE(TRIM(SPLIT(G205,"","")))&amp;""_""&amp;TRIM(SPLIT(H205,"","")))))"),"Elf_Female, Human_Female, Orc_Female, Khajiit_Female")</f>
        <v>Elf_Female, Human_Female, Orc_Female, Khajiit_Female</v>
      </c>
      <c r="J205" s="6" t="s">
        <v>291</v>
      </c>
      <c r="K205" s="6" t="s">
        <v>726</v>
      </c>
      <c r="L205" s="12" t="str">
        <f t="shared" si="1"/>
        <v>KSSMP_FoamSummer,1,1</v>
      </c>
    </row>
    <row r="206" ht="15.75" customHeight="1">
      <c r="A206" s="5" t="s">
        <v>723</v>
      </c>
      <c r="B206" s="17"/>
      <c r="C206" s="5" t="s">
        <v>780</v>
      </c>
      <c r="D206" s="5">
        <v>1.0</v>
      </c>
      <c r="E206" s="5">
        <f t="shared" si="11"/>
        <v>1</v>
      </c>
      <c r="F206" s="5" t="s">
        <v>781</v>
      </c>
      <c r="G206" s="4" t="s">
        <v>644</v>
      </c>
      <c r="H206" s="10" t="s">
        <v>41</v>
      </c>
      <c r="I206" s="5" t="str">
        <f>IFERROR(__xludf.DUMMYFUNCTION("IF(OR(TRIM(G206)="""",TRIM(H206)=""""),"""",TEXTJOIN("", "",TRUE,ARRAYFORMULA(TRANSPOSE(TRIM(SPLIT(G206,"","")))&amp;""_""&amp;TRIM(SPLIT(H206,"","")))))"),"Elf_Female, Human_Female, Orc_Female, Khajiit_Female")</f>
        <v>Elf_Female, Human_Female, Orc_Female, Khajiit_Female</v>
      </c>
      <c r="J206" s="6" t="s">
        <v>291</v>
      </c>
      <c r="K206" s="6" t="s">
        <v>726</v>
      </c>
      <c r="L206" s="12" t="str">
        <f t="shared" si="1"/>
        <v>KSSMP_FontanaDiTrevi,1,1</v>
      </c>
    </row>
    <row r="207" ht="15.75" customHeight="1">
      <c r="A207" s="5" t="s">
        <v>723</v>
      </c>
      <c r="B207" s="17"/>
      <c r="C207" s="5" t="s">
        <v>782</v>
      </c>
      <c r="D207" s="5">
        <v>2.0</v>
      </c>
      <c r="E207" s="5">
        <f t="shared" si="11"/>
        <v>2</v>
      </c>
      <c r="F207" s="5" t="s">
        <v>783</v>
      </c>
      <c r="G207" s="4" t="s">
        <v>644</v>
      </c>
      <c r="H207" s="10" t="s">
        <v>41</v>
      </c>
      <c r="I207" s="5" t="str">
        <f>IFERROR(__xludf.DUMMYFUNCTION("IF(OR(TRIM(G207)="""",TRIM(H207)=""""),"""",TEXTJOIN("", "",TRUE,ARRAYFORMULA(TRANSPOSE(TRIM(SPLIT(G207,"","")))&amp;""_""&amp;TRIM(SPLIT(H207,"","")))))"),"Elf_Female, Human_Female, Orc_Female, Khajiit_Female")</f>
        <v>Elf_Female, Human_Female, Orc_Female, Khajiit_Female</v>
      </c>
      <c r="J207" s="6" t="s">
        <v>291</v>
      </c>
      <c r="K207" s="6" t="s">
        <v>726</v>
      </c>
      <c r="L207" s="12" t="str">
        <f t="shared" si="1"/>
        <v>KSSMP_Freesia,2,2</v>
      </c>
    </row>
    <row r="208" ht="15.75" customHeight="1">
      <c r="A208" s="5" t="s">
        <v>723</v>
      </c>
      <c r="B208" s="17"/>
      <c r="C208" s="5" t="s">
        <v>784</v>
      </c>
      <c r="D208" s="5">
        <v>3.0</v>
      </c>
      <c r="E208" s="5">
        <f t="shared" si="11"/>
        <v>3</v>
      </c>
      <c r="F208" s="5" t="s">
        <v>785</v>
      </c>
      <c r="G208" s="4" t="s">
        <v>644</v>
      </c>
      <c r="H208" s="10" t="s">
        <v>41</v>
      </c>
      <c r="I208" s="5" t="str">
        <f>IFERROR(__xludf.DUMMYFUNCTION("IF(OR(TRIM(G208)="""",TRIM(H208)=""""),"""",TEXTJOIN("", "",TRUE,ARRAYFORMULA(TRANSPOSE(TRIM(SPLIT(G208,"","")))&amp;""_""&amp;TRIM(SPLIT(H208,"","")))))"),"Elf_Female, Human_Female, Orc_Female, Khajiit_Female")</f>
        <v>Elf_Female, Human_Female, Orc_Female, Khajiit_Female</v>
      </c>
      <c r="J208" s="6" t="s">
        <v>291</v>
      </c>
      <c r="K208" s="6" t="s">
        <v>726</v>
      </c>
      <c r="L208" s="12" t="str">
        <f t="shared" si="1"/>
        <v>KSSMP_Galaxy,3,3</v>
      </c>
    </row>
    <row r="209" ht="15.75" customHeight="1">
      <c r="A209" s="5" t="s">
        <v>723</v>
      </c>
      <c r="B209" s="17"/>
      <c r="C209" s="5" t="s">
        <v>786</v>
      </c>
      <c r="D209" s="5">
        <v>2.0</v>
      </c>
      <c r="E209" s="5">
        <f t="shared" si="11"/>
        <v>2</v>
      </c>
      <c r="F209" s="5" t="s">
        <v>787</v>
      </c>
      <c r="G209" s="4" t="s">
        <v>644</v>
      </c>
      <c r="H209" s="10" t="s">
        <v>41</v>
      </c>
      <c r="I209" s="5" t="str">
        <f>IFERROR(__xludf.DUMMYFUNCTION("IF(OR(TRIM(G209)="""",TRIM(H209)=""""),"""",TEXTJOIN("", "",TRUE,ARRAYFORMULA(TRANSPOSE(TRIM(SPLIT(G209,"","")))&amp;""_""&amp;TRIM(SPLIT(H209,"","")))))"),"Elf_Female, Human_Female, Orc_Female, Khajiit_Female")</f>
        <v>Elf_Female, Human_Female, Orc_Female, Khajiit_Female</v>
      </c>
      <c r="J209" s="6" t="s">
        <v>291</v>
      </c>
      <c r="K209" s="6" t="s">
        <v>726</v>
      </c>
      <c r="L209" s="12" t="str">
        <f t="shared" si="1"/>
        <v>KSSMP_Gecko,2,2</v>
      </c>
    </row>
    <row r="210" ht="15.75" customHeight="1">
      <c r="A210" s="5" t="s">
        <v>723</v>
      </c>
      <c r="B210" s="17"/>
      <c r="C210" s="5" t="s">
        <v>788</v>
      </c>
      <c r="D210" s="5">
        <v>2.0</v>
      </c>
      <c r="E210" s="5">
        <f t="shared" si="11"/>
        <v>2</v>
      </c>
      <c r="F210" s="5" t="s">
        <v>789</v>
      </c>
      <c r="G210" s="4" t="s">
        <v>644</v>
      </c>
      <c r="H210" s="10" t="s">
        <v>41</v>
      </c>
      <c r="I210" s="5" t="str">
        <f>IFERROR(__xludf.DUMMYFUNCTION("IF(OR(TRIM(G210)="""",TRIM(H210)=""""),"""",TEXTJOIN("", "",TRUE,ARRAYFORMULA(TRANSPOSE(TRIM(SPLIT(G210,"","")))&amp;""_""&amp;TRIM(SPLIT(H210,"","")))))"),"Elf_Female, Human_Female, Orc_Female, Khajiit_Female")</f>
        <v>Elf_Female, Human_Female, Orc_Female, Khajiit_Female</v>
      </c>
      <c r="J210" s="6" t="s">
        <v>291</v>
      </c>
      <c r="K210" s="6" t="s">
        <v>726</v>
      </c>
      <c r="L210" s="12" t="str">
        <f t="shared" si="1"/>
        <v>KSSMP_Harvest,2,2</v>
      </c>
    </row>
    <row r="211" ht="15.75" customHeight="1">
      <c r="A211" s="5" t="s">
        <v>723</v>
      </c>
      <c r="B211" s="17"/>
      <c r="C211" s="5" t="s">
        <v>790</v>
      </c>
      <c r="D211" s="5">
        <v>1.0</v>
      </c>
      <c r="E211" s="5">
        <f t="shared" si="11"/>
        <v>1</v>
      </c>
      <c r="F211" s="5" t="s">
        <v>791</v>
      </c>
      <c r="G211" s="4" t="s">
        <v>644</v>
      </c>
      <c r="H211" s="10" t="s">
        <v>41</v>
      </c>
      <c r="I211" s="5" t="str">
        <f>IFERROR(__xludf.DUMMYFUNCTION("IF(OR(TRIM(G211)="""",TRIM(H211)=""""),"""",TEXTJOIN("", "",TRUE,ARRAYFORMULA(TRANSPOSE(TRIM(SPLIT(G211,"","")))&amp;""_""&amp;TRIM(SPLIT(H211,"","")))))"),"Elf_Female, Human_Female, Orc_Female, Khajiit_Female")</f>
        <v>Elf_Female, Human_Female, Orc_Female, Khajiit_Female</v>
      </c>
      <c r="J211" s="6" t="s">
        <v>291</v>
      </c>
      <c r="K211" s="6" t="s">
        <v>726</v>
      </c>
      <c r="L211" s="12" t="str">
        <f t="shared" si="1"/>
        <v>KSSMP_HighLife,1,1</v>
      </c>
    </row>
    <row r="212" ht="15.75" customHeight="1">
      <c r="A212" s="5" t="s">
        <v>723</v>
      </c>
      <c r="B212" s="17"/>
      <c r="C212" s="5" t="s">
        <v>792</v>
      </c>
      <c r="D212" s="5">
        <v>1.0</v>
      </c>
      <c r="E212" s="5">
        <f t="shared" si="11"/>
        <v>1</v>
      </c>
      <c r="F212" s="5" t="s">
        <v>793</v>
      </c>
      <c r="G212" s="4" t="s">
        <v>644</v>
      </c>
      <c r="H212" s="10" t="s">
        <v>41</v>
      </c>
      <c r="I212" s="5" t="str">
        <f>IFERROR(__xludf.DUMMYFUNCTION("IF(OR(TRIM(G212)="""",TRIM(H212)=""""),"""",TEXTJOIN("", "",TRUE,ARRAYFORMULA(TRANSPOSE(TRIM(SPLIT(G212,"","")))&amp;""_""&amp;TRIM(SPLIT(H212,"","")))))"),"Elf_Female, Human_Female, Orc_Female, Khajiit_Female")</f>
        <v>Elf_Female, Human_Female, Orc_Female, Khajiit_Female</v>
      </c>
      <c r="J212" s="6" t="s">
        <v>291</v>
      </c>
      <c r="K212" s="6" t="s">
        <v>726</v>
      </c>
      <c r="L212" s="12" t="str">
        <f t="shared" si="1"/>
        <v>KSSMP_Himiko,1,1</v>
      </c>
    </row>
    <row r="213" ht="15.75" customHeight="1">
      <c r="A213" s="5" t="s">
        <v>723</v>
      </c>
      <c r="B213" s="17"/>
      <c r="C213" s="5" t="s">
        <v>794</v>
      </c>
      <c r="D213" s="5">
        <v>2.0</v>
      </c>
      <c r="E213" s="5">
        <f t="shared" si="11"/>
        <v>2</v>
      </c>
      <c r="F213" s="5" t="s">
        <v>795</v>
      </c>
      <c r="G213" s="4" t="s">
        <v>644</v>
      </c>
      <c r="H213" s="10" t="s">
        <v>41</v>
      </c>
      <c r="I213" s="5" t="str">
        <f>IFERROR(__xludf.DUMMYFUNCTION("IF(OR(TRIM(G213)="""",TRIM(H213)=""""),"""",TEXTJOIN("", "",TRUE,ARRAYFORMULA(TRANSPOSE(TRIM(SPLIT(G213,"","")))&amp;""_""&amp;TRIM(SPLIT(H213,"","")))))"),"Elf_Female, Human_Female, Orc_Female, Khajiit_Female")</f>
        <v>Elf_Female, Human_Female, Orc_Female, Khajiit_Female</v>
      </c>
      <c r="J213" s="6" t="s">
        <v>291</v>
      </c>
      <c r="K213" s="6" t="s">
        <v>726</v>
      </c>
      <c r="L213" s="12" t="str">
        <f t="shared" si="1"/>
        <v>KSSMP_Honey,2,2</v>
      </c>
    </row>
    <row r="214" ht="15.75" customHeight="1">
      <c r="A214" s="5" t="s">
        <v>723</v>
      </c>
      <c r="B214" s="17"/>
      <c r="C214" s="5" t="s">
        <v>796</v>
      </c>
      <c r="D214" s="5">
        <v>2.0</v>
      </c>
      <c r="E214" s="5">
        <f t="shared" si="11"/>
        <v>2</v>
      </c>
      <c r="F214" s="5" t="s">
        <v>797</v>
      </c>
      <c r="G214" s="4" t="s">
        <v>644</v>
      </c>
      <c r="H214" s="10" t="s">
        <v>41</v>
      </c>
      <c r="I214" s="5" t="str">
        <f>IFERROR(__xludf.DUMMYFUNCTION("IF(OR(TRIM(G214)="""",TRIM(H214)=""""),"""",TEXTJOIN("", "",TRUE,ARRAYFORMULA(TRANSPOSE(TRIM(SPLIT(G214,"","")))&amp;""_""&amp;TRIM(SPLIT(H214,"","")))))"),"Elf_Female, Human_Female, Orc_Female, Khajiit_Female")</f>
        <v>Elf_Female, Human_Female, Orc_Female, Khajiit_Female</v>
      </c>
      <c r="J214" s="6" t="s">
        <v>291</v>
      </c>
      <c r="K214" s="6" t="s">
        <v>726</v>
      </c>
      <c r="L214" s="12" t="str">
        <f t="shared" si="1"/>
        <v>KSSMP_Honeyed,2,2</v>
      </c>
    </row>
    <row r="215" ht="15.75" customHeight="1">
      <c r="A215" s="5" t="s">
        <v>723</v>
      </c>
      <c r="B215" s="17"/>
      <c r="C215" s="5" t="s">
        <v>798</v>
      </c>
      <c r="D215" s="5">
        <v>2.0</v>
      </c>
      <c r="E215" s="5">
        <f t="shared" si="11"/>
        <v>2</v>
      </c>
      <c r="F215" s="5" t="s">
        <v>799</v>
      </c>
      <c r="G215" s="4" t="s">
        <v>644</v>
      </c>
      <c r="H215" s="10" t="s">
        <v>41</v>
      </c>
      <c r="I215" s="5" t="str">
        <f>IFERROR(__xludf.DUMMYFUNCTION("IF(OR(TRIM(G215)="""",TRIM(H215)=""""),"""",TEXTJOIN("", "",TRUE,ARRAYFORMULA(TRANSPOSE(TRIM(SPLIT(G215,"","")))&amp;""_""&amp;TRIM(SPLIT(H215,"","")))))"),"Elf_Female, Human_Female, Orc_Female, Khajiit_Female")</f>
        <v>Elf_Female, Human_Female, Orc_Female, Khajiit_Female</v>
      </c>
      <c r="J215" s="6" t="s">
        <v>291</v>
      </c>
      <c r="K215" s="6" t="s">
        <v>726</v>
      </c>
      <c r="L215" s="12" t="str">
        <f t="shared" si="1"/>
        <v>KSSMP_Icarus,2,2</v>
      </c>
    </row>
    <row r="216" ht="15.75" customHeight="1">
      <c r="A216" s="5" t="s">
        <v>723</v>
      </c>
      <c r="B216" s="17"/>
      <c r="C216" s="5" t="s">
        <v>802</v>
      </c>
      <c r="D216" s="5">
        <v>1.0</v>
      </c>
      <c r="E216" s="5">
        <v>2.0</v>
      </c>
      <c r="F216" s="5" t="s">
        <v>803</v>
      </c>
      <c r="G216" s="4" t="s">
        <v>644</v>
      </c>
      <c r="H216" s="10" t="s">
        <v>41</v>
      </c>
      <c r="I216" s="5" t="str">
        <f>IFERROR(__xludf.DUMMYFUNCTION("IF(OR(TRIM(G216)="""",TRIM(H216)=""""),"""",TEXTJOIN("", "",TRUE,ARRAYFORMULA(TRANSPOSE(TRIM(SPLIT(G216,"","")))&amp;""_""&amp;TRIM(SPLIT(H216,"","")))))"),"Elf_Female, Human_Female, Orc_Female, Khajiit_Female")</f>
        <v>Elf_Female, Human_Female, Orc_Female, Khajiit_Female</v>
      </c>
      <c r="J216" s="6" t="s">
        <v>291</v>
      </c>
      <c r="K216" s="6" t="s">
        <v>726</v>
      </c>
      <c r="L216" s="12" t="str">
        <f t="shared" si="1"/>
        <v>KSSMP_Jackdaw,1,2</v>
      </c>
    </row>
    <row r="217" ht="15.75" customHeight="1">
      <c r="A217" s="5" t="s">
        <v>723</v>
      </c>
      <c r="B217" s="17"/>
      <c r="C217" s="5" t="s">
        <v>804</v>
      </c>
      <c r="D217" s="5">
        <v>2.0</v>
      </c>
      <c r="E217" s="5">
        <v>3.0</v>
      </c>
      <c r="F217" s="5" t="s">
        <v>805</v>
      </c>
      <c r="G217" s="4" t="s">
        <v>644</v>
      </c>
      <c r="H217" s="10" t="s">
        <v>41</v>
      </c>
      <c r="I217" s="5" t="str">
        <f>IFERROR(__xludf.DUMMYFUNCTION("IF(OR(TRIM(G217)="""",TRIM(H217)=""""),"""",TEXTJOIN("", "",TRUE,ARRAYFORMULA(TRANSPOSE(TRIM(SPLIT(G217,"","")))&amp;""_""&amp;TRIM(SPLIT(H217,"","")))))"),"Elf_Female, Human_Female, Orc_Female, Khajiit_Female")</f>
        <v>Elf_Female, Human_Female, Orc_Female, Khajiit_Female</v>
      </c>
      <c r="J217" s="6" t="s">
        <v>291</v>
      </c>
      <c r="K217" s="6" t="s">
        <v>726</v>
      </c>
      <c r="L217" s="12" t="str">
        <f t="shared" si="1"/>
        <v>KSSMP_Kaysa,2,3</v>
      </c>
    </row>
    <row r="218" ht="15.75" customHeight="1">
      <c r="A218" s="5" t="s">
        <v>723</v>
      </c>
      <c r="B218" s="17"/>
      <c r="C218" s="5" t="s">
        <v>806</v>
      </c>
      <c r="D218" s="5">
        <v>1.0</v>
      </c>
      <c r="E218" s="5">
        <f>D218</f>
        <v>1</v>
      </c>
      <c r="F218" s="5" t="s">
        <v>807</v>
      </c>
      <c r="G218" s="4" t="s">
        <v>644</v>
      </c>
      <c r="H218" s="10" t="s">
        <v>41</v>
      </c>
      <c r="I218" s="5" t="str">
        <f>IFERROR(__xludf.DUMMYFUNCTION("IF(OR(TRIM(G218)="""",TRIM(H218)=""""),"""",TEXTJOIN("", "",TRUE,ARRAYFORMULA(TRANSPOSE(TRIM(SPLIT(G218,"","")))&amp;""_""&amp;TRIM(SPLIT(H218,"","")))))"),"Elf_Female, Human_Female, Orc_Female, Khajiit_Female")</f>
        <v>Elf_Female, Human_Female, Orc_Female, Khajiit_Female</v>
      </c>
      <c r="J218" s="6" t="s">
        <v>291</v>
      </c>
      <c r="K218" s="6" t="s">
        <v>726</v>
      </c>
      <c r="L218" s="12" t="str">
        <f t="shared" si="1"/>
        <v>KSSMP_Kerli,1,1</v>
      </c>
    </row>
    <row r="219" ht="15.75" customHeight="1">
      <c r="A219" s="5" t="s">
        <v>723</v>
      </c>
      <c r="B219" s="17"/>
      <c r="C219" s="5" t="s">
        <v>808</v>
      </c>
      <c r="D219" s="5">
        <v>1.0</v>
      </c>
      <c r="E219" s="5">
        <v>4.0</v>
      </c>
      <c r="F219" s="5" t="s">
        <v>809</v>
      </c>
      <c r="G219" s="4" t="s">
        <v>644</v>
      </c>
      <c r="H219" s="10" t="s">
        <v>41</v>
      </c>
      <c r="I219" s="5" t="str">
        <f>IFERROR(__xludf.DUMMYFUNCTION("IF(OR(TRIM(G219)="""",TRIM(H219)=""""),"""",TEXTJOIN("", "",TRUE,ARRAYFORMULA(TRANSPOSE(TRIM(SPLIT(G219,"","")))&amp;""_""&amp;TRIM(SPLIT(H219,"","")))))"),"Elf_Female, Human_Female, Orc_Female, Khajiit_Female")</f>
        <v>Elf_Female, Human_Female, Orc_Female, Khajiit_Female</v>
      </c>
      <c r="J219" s="6" t="s">
        <v>291</v>
      </c>
      <c r="K219" s="6" t="s">
        <v>726</v>
      </c>
      <c r="L219" s="12" t="str">
        <f t="shared" si="1"/>
        <v>KSSMP_Kikyo,1,4</v>
      </c>
    </row>
    <row r="220" ht="15.75" customHeight="1">
      <c r="A220" s="5" t="s">
        <v>723</v>
      </c>
      <c r="B220" s="17"/>
      <c r="C220" s="5" t="s">
        <v>810</v>
      </c>
      <c r="D220" s="5">
        <v>1.0</v>
      </c>
      <c r="E220" s="5">
        <v>3.0</v>
      </c>
      <c r="F220" s="5" t="s">
        <v>811</v>
      </c>
      <c r="G220" s="4" t="s">
        <v>644</v>
      </c>
      <c r="H220" s="10" t="s">
        <v>41</v>
      </c>
      <c r="I220" s="5" t="str">
        <f>IFERROR(__xludf.DUMMYFUNCTION("IF(OR(TRIM(G220)="""",TRIM(H220)=""""),"""",TEXTJOIN("", "",TRUE,ARRAYFORMULA(TRANSPOSE(TRIM(SPLIT(G220,"","")))&amp;""_""&amp;TRIM(SPLIT(H220,"","")))))"),"Elf_Female, Human_Female, Orc_Female, Khajiit_Female")</f>
        <v>Elf_Female, Human_Female, Orc_Female, Khajiit_Female</v>
      </c>
      <c r="J220" s="6" t="s">
        <v>291</v>
      </c>
      <c r="K220" s="6" t="s">
        <v>726</v>
      </c>
      <c r="L220" s="12" t="str">
        <f t="shared" si="1"/>
        <v>KSSMP_Koala,1,3</v>
      </c>
    </row>
    <row r="221" ht="15.75" customHeight="1">
      <c r="A221" s="5" t="s">
        <v>723</v>
      </c>
      <c r="B221" s="17"/>
      <c r="C221" s="5" t="s">
        <v>812</v>
      </c>
      <c r="D221" s="5">
        <v>1.0</v>
      </c>
      <c r="E221" s="5">
        <f t="shared" ref="E221:E222" si="12">D221</f>
        <v>1</v>
      </c>
      <c r="F221" s="5" t="s">
        <v>813</v>
      </c>
      <c r="G221" s="4" t="s">
        <v>644</v>
      </c>
      <c r="H221" s="10" t="s">
        <v>41</v>
      </c>
      <c r="I221" s="5" t="str">
        <f>IFERROR(__xludf.DUMMYFUNCTION("IF(OR(TRIM(G221)="""",TRIM(H221)=""""),"""",TEXTJOIN("", "",TRUE,ARRAYFORMULA(TRANSPOSE(TRIM(SPLIT(G221,"","")))&amp;""_""&amp;TRIM(SPLIT(H221,"","")))))"),"Elf_Female, Human_Female, Orc_Female, Khajiit_Female")</f>
        <v>Elf_Female, Human_Female, Orc_Female, Khajiit_Female</v>
      </c>
      <c r="J221" s="6" t="s">
        <v>291</v>
      </c>
      <c r="K221" s="6" t="s">
        <v>726</v>
      </c>
      <c r="L221" s="12" t="str">
        <f t="shared" si="1"/>
        <v>KSSMP_Lavender,1,1</v>
      </c>
    </row>
    <row r="222" ht="15.75" customHeight="1">
      <c r="A222" s="5" t="s">
        <v>723</v>
      </c>
      <c r="B222" s="17"/>
      <c r="C222" s="5" t="s">
        <v>814</v>
      </c>
      <c r="D222" s="5">
        <v>1.0</v>
      </c>
      <c r="E222" s="5">
        <f t="shared" si="12"/>
        <v>1</v>
      </c>
      <c r="F222" s="5" t="s">
        <v>815</v>
      </c>
      <c r="G222" s="4" t="s">
        <v>644</v>
      </c>
      <c r="H222" s="10" t="s">
        <v>41</v>
      </c>
      <c r="I222" s="5" t="str">
        <f>IFERROR(__xludf.DUMMYFUNCTION("IF(OR(TRIM(G222)="""",TRIM(H222)=""""),"""",TEXTJOIN("", "",TRUE,ARRAYFORMULA(TRANSPOSE(TRIM(SPLIT(G222,"","")))&amp;""_""&amp;TRIM(SPLIT(H222,"","")))))"),"Elf_Female, Human_Female, Orc_Female, Khajiit_Female")</f>
        <v>Elf_Female, Human_Female, Orc_Female, Khajiit_Female</v>
      </c>
      <c r="J222" s="6" t="s">
        <v>291</v>
      </c>
      <c r="K222" s="6" t="s">
        <v>726</v>
      </c>
      <c r="L222" s="12" t="str">
        <f t="shared" si="1"/>
        <v>KSSMP_Lime,1,1</v>
      </c>
    </row>
    <row r="223" ht="15.75" customHeight="1">
      <c r="A223" s="5" t="s">
        <v>723</v>
      </c>
      <c r="B223" s="17"/>
      <c r="C223" s="5" t="s">
        <v>816</v>
      </c>
      <c r="D223" s="5">
        <v>1.0</v>
      </c>
      <c r="E223" s="5">
        <v>2.0</v>
      </c>
      <c r="F223" s="5" t="s">
        <v>817</v>
      </c>
      <c r="G223" s="4" t="s">
        <v>644</v>
      </c>
      <c r="H223" s="10" t="s">
        <v>41</v>
      </c>
      <c r="I223" s="5" t="str">
        <f>IFERROR(__xludf.DUMMYFUNCTION("IF(OR(TRIM(G223)="""",TRIM(H223)=""""),"""",TEXTJOIN("", "",TRUE,ARRAYFORMULA(TRANSPOSE(TRIM(SPLIT(G223,"","")))&amp;""_""&amp;TRIM(SPLIT(H223,"","")))))"),"Elf_Female, Human_Female, Orc_Female, Khajiit_Female")</f>
        <v>Elf_Female, Human_Female, Orc_Female, Khajiit_Female</v>
      </c>
      <c r="J223" s="6" t="s">
        <v>291</v>
      </c>
      <c r="K223" s="6" t="s">
        <v>726</v>
      </c>
      <c r="L223" s="12" t="str">
        <f t="shared" si="1"/>
        <v>KSSMP_Lotus,1,2</v>
      </c>
    </row>
    <row r="224" ht="15.75" customHeight="1">
      <c r="A224" s="5" t="s">
        <v>723</v>
      </c>
      <c r="B224" s="17"/>
      <c r="C224" s="5" t="s">
        <v>818</v>
      </c>
      <c r="D224" s="5">
        <v>2.0</v>
      </c>
      <c r="E224" s="5">
        <f t="shared" ref="E224:E232" si="13">D224</f>
        <v>2</v>
      </c>
      <c r="F224" s="5" t="s">
        <v>819</v>
      </c>
      <c r="G224" s="4" t="s">
        <v>644</v>
      </c>
      <c r="H224" s="10" t="s">
        <v>41</v>
      </c>
      <c r="I224" s="5" t="str">
        <f>IFERROR(__xludf.DUMMYFUNCTION("IF(OR(TRIM(G224)="""",TRIM(H224)=""""),"""",TEXTJOIN("", "",TRUE,ARRAYFORMULA(TRANSPOSE(TRIM(SPLIT(G224,"","")))&amp;""_""&amp;TRIM(SPLIT(H224,"","")))))"),"Elf_Female, Human_Female, Orc_Female, Khajiit_Female")</f>
        <v>Elf_Female, Human_Female, Orc_Female, Khajiit_Female</v>
      </c>
      <c r="J224" s="6" t="s">
        <v>291</v>
      </c>
      <c r="K224" s="6" t="s">
        <v>726</v>
      </c>
      <c r="L224" s="12" t="str">
        <f t="shared" si="1"/>
        <v>KSSMP_Mellow,2,2</v>
      </c>
    </row>
    <row r="225" ht="15.75" customHeight="1">
      <c r="A225" s="5" t="s">
        <v>723</v>
      </c>
      <c r="B225" s="17"/>
      <c r="C225" s="5" t="s">
        <v>822</v>
      </c>
      <c r="D225" s="5">
        <v>3.0</v>
      </c>
      <c r="E225" s="5">
        <f t="shared" si="13"/>
        <v>3</v>
      </c>
      <c r="F225" s="5" t="s">
        <v>823</v>
      </c>
      <c r="G225" s="4" t="s">
        <v>644</v>
      </c>
      <c r="H225" s="10" t="s">
        <v>41</v>
      </c>
      <c r="I225" s="5" t="str">
        <f>IFERROR(__xludf.DUMMYFUNCTION("IF(OR(TRIM(G225)="""",TRIM(H225)=""""),"""",TEXTJOIN("", "",TRUE,ARRAYFORMULA(TRANSPOSE(TRIM(SPLIT(G225,"","")))&amp;""_""&amp;TRIM(SPLIT(H225,"","")))))"),"Elf_Female, Human_Female, Orc_Female, Khajiit_Female")</f>
        <v>Elf_Female, Human_Female, Orc_Female, Khajiit_Female</v>
      </c>
      <c r="J225" s="6" t="s">
        <v>291</v>
      </c>
      <c r="K225" s="6" t="s">
        <v>726</v>
      </c>
      <c r="L225" s="12" t="str">
        <f t="shared" si="1"/>
        <v>KSSMP_Metropolis,3,3</v>
      </c>
    </row>
    <row r="226" ht="15.75" customHeight="1">
      <c r="A226" s="5" t="s">
        <v>723</v>
      </c>
      <c r="B226" s="17"/>
      <c r="C226" s="5" t="s">
        <v>824</v>
      </c>
      <c r="D226" s="5">
        <v>3.0</v>
      </c>
      <c r="E226" s="5">
        <f t="shared" si="13"/>
        <v>3</v>
      </c>
      <c r="F226" s="5" t="s">
        <v>825</v>
      </c>
      <c r="G226" s="5" t="s">
        <v>554</v>
      </c>
      <c r="H226" s="10" t="s">
        <v>41</v>
      </c>
      <c r="I226" s="5" t="str">
        <f>IFERROR(__xludf.DUMMYFUNCTION("IF(OR(TRIM(G226)="""",TRIM(H226)=""""),"""",TEXTJOIN("", "",TRUE,ARRAYFORMULA(TRANSPOSE(TRIM(SPLIT(G226,"","")))&amp;""_""&amp;TRIM(SPLIT(H226,"","")))))"),"Elf_Female, Human_Female, Orc_Female")</f>
        <v>Elf_Female, Human_Female, Orc_Female</v>
      </c>
      <c r="J226" s="6" t="s">
        <v>291</v>
      </c>
      <c r="L226" s="12" t="str">
        <f t="shared" si="1"/>
        <v>KSSMP_Metropolis2,3,3</v>
      </c>
    </row>
    <row r="227" ht="15.75" customHeight="1">
      <c r="A227" s="5" t="s">
        <v>723</v>
      </c>
      <c r="B227" s="17"/>
      <c r="C227" s="5" t="s">
        <v>826</v>
      </c>
      <c r="D227" s="5">
        <v>2.0</v>
      </c>
      <c r="E227" s="5">
        <f t="shared" si="13"/>
        <v>2</v>
      </c>
      <c r="F227" s="5" t="s">
        <v>827</v>
      </c>
      <c r="G227" s="4" t="s">
        <v>644</v>
      </c>
      <c r="H227" s="10" t="s">
        <v>41</v>
      </c>
      <c r="I227" s="5" t="str">
        <f>IFERROR(__xludf.DUMMYFUNCTION("IF(OR(TRIM(G227)="""",TRIM(H227)=""""),"""",TEXTJOIN("", "",TRUE,ARRAYFORMULA(TRANSPOSE(TRIM(SPLIT(G227,"","")))&amp;""_""&amp;TRIM(SPLIT(H227,"","")))))"),"Elf_Female, Human_Female, Orc_Female, Khajiit_Female")</f>
        <v>Elf_Female, Human_Female, Orc_Female, Khajiit_Female</v>
      </c>
      <c r="J227" s="6" t="s">
        <v>291</v>
      </c>
      <c r="K227" s="6" t="s">
        <v>726</v>
      </c>
      <c r="L227" s="12" t="str">
        <f t="shared" si="1"/>
        <v>KSSMP_Milliet,2,2</v>
      </c>
    </row>
    <row r="228" ht="15.75" customHeight="1">
      <c r="A228" s="5" t="s">
        <v>723</v>
      </c>
      <c r="B228" s="17"/>
      <c r="C228" s="5" t="s">
        <v>828</v>
      </c>
      <c r="D228" s="5">
        <v>3.0</v>
      </c>
      <c r="E228" s="5">
        <f t="shared" si="13"/>
        <v>3</v>
      </c>
      <c r="F228" s="5" t="s">
        <v>829</v>
      </c>
      <c r="G228" s="4" t="s">
        <v>644</v>
      </c>
      <c r="H228" s="10" t="s">
        <v>41</v>
      </c>
      <c r="I228" s="5" t="str">
        <f>IFERROR(__xludf.DUMMYFUNCTION("IF(OR(TRIM(G228)="""",TRIM(H228)=""""),"""",TEXTJOIN("", "",TRUE,ARRAYFORMULA(TRANSPOSE(TRIM(SPLIT(G228,"","")))&amp;""_""&amp;TRIM(SPLIT(H228,"","")))))"),"Elf_Female, Human_Female, Orc_Female, Khajiit_Female")</f>
        <v>Elf_Female, Human_Female, Orc_Female, Khajiit_Female</v>
      </c>
      <c r="J228" s="6" t="s">
        <v>291</v>
      </c>
      <c r="K228" s="6" t="s">
        <v>726</v>
      </c>
      <c r="L228" s="12" t="str">
        <f t="shared" si="1"/>
        <v>KSSMP_Moonrise,3,3</v>
      </c>
    </row>
    <row r="229" ht="15.75" customHeight="1">
      <c r="A229" s="5" t="s">
        <v>723</v>
      </c>
      <c r="B229" s="17"/>
      <c r="C229" s="5" t="s">
        <v>830</v>
      </c>
      <c r="D229" s="5">
        <v>1.0</v>
      </c>
      <c r="E229" s="5">
        <f t="shared" si="13"/>
        <v>1</v>
      </c>
      <c r="F229" s="5" t="s">
        <v>831</v>
      </c>
      <c r="G229" s="4" t="s">
        <v>644</v>
      </c>
      <c r="H229" s="10" t="s">
        <v>41</v>
      </c>
      <c r="I229" s="5" t="str">
        <f>IFERROR(__xludf.DUMMYFUNCTION("IF(OR(TRIM(G229)="""",TRIM(H229)=""""),"""",TEXTJOIN("", "",TRUE,ARRAYFORMULA(TRANSPOSE(TRIM(SPLIT(G229,"","")))&amp;""_""&amp;TRIM(SPLIT(H229,"","")))))"),"Elf_Female, Human_Female, Orc_Female, Khajiit_Female")</f>
        <v>Elf_Female, Human_Female, Orc_Female, Khajiit_Female</v>
      </c>
      <c r="J229" s="6" t="s">
        <v>291</v>
      </c>
      <c r="K229" s="6" t="s">
        <v>726</v>
      </c>
      <c r="L229" s="12" t="str">
        <f t="shared" si="1"/>
        <v>KSSMP_Ominous,1,1</v>
      </c>
    </row>
    <row r="230" ht="15.75" customHeight="1">
      <c r="A230" s="5" t="s">
        <v>723</v>
      </c>
      <c r="B230" s="17"/>
      <c r="C230" s="5" t="s">
        <v>832</v>
      </c>
      <c r="D230" s="5">
        <v>1.0</v>
      </c>
      <c r="E230" s="5">
        <f t="shared" si="13"/>
        <v>1</v>
      </c>
      <c r="F230" s="5" t="s">
        <v>833</v>
      </c>
      <c r="G230" s="5" t="s">
        <v>554</v>
      </c>
      <c r="H230" s="10" t="s">
        <v>41</v>
      </c>
      <c r="I230" s="5" t="str">
        <f>IFERROR(__xludf.DUMMYFUNCTION("IF(OR(TRIM(G230)="""",TRIM(H230)=""""),"""",TEXTJOIN("", "",TRUE,ARRAYFORMULA(TRANSPOSE(TRIM(SPLIT(G230,"","")))&amp;""_""&amp;TRIM(SPLIT(H230,"","")))))"),"Elf_Female, Human_Female, Orc_Female")</f>
        <v>Elf_Female, Human_Female, Orc_Female</v>
      </c>
      <c r="J230" s="6" t="s">
        <v>291</v>
      </c>
      <c r="L230" s="12" t="str">
        <f t="shared" si="1"/>
        <v>KSSMP_OminousLace,1,1</v>
      </c>
    </row>
    <row r="231" ht="15.75" customHeight="1">
      <c r="A231" s="5" t="s">
        <v>723</v>
      </c>
      <c r="B231" s="17"/>
      <c r="C231" s="5" t="s">
        <v>834</v>
      </c>
      <c r="D231" s="5">
        <v>1.0</v>
      </c>
      <c r="E231" s="5">
        <f t="shared" si="13"/>
        <v>1</v>
      </c>
      <c r="F231" s="5" t="s">
        <v>835</v>
      </c>
      <c r="G231" s="4" t="s">
        <v>644</v>
      </c>
      <c r="H231" s="10" t="s">
        <v>41</v>
      </c>
      <c r="I231" s="5" t="str">
        <f>IFERROR(__xludf.DUMMYFUNCTION("IF(OR(TRIM(G231)="""",TRIM(H231)=""""),"""",TEXTJOIN("", "",TRUE,ARRAYFORMULA(TRANSPOSE(TRIM(SPLIT(G231,"","")))&amp;""_""&amp;TRIM(SPLIT(H231,"","")))))"),"Elf_Female, Human_Female, Orc_Female, Khajiit_Female")</f>
        <v>Elf_Female, Human_Female, Orc_Female, Khajiit_Female</v>
      </c>
      <c r="J231" s="6" t="s">
        <v>291</v>
      </c>
      <c r="K231" s="6" t="s">
        <v>726</v>
      </c>
      <c r="L231" s="12" t="str">
        <f t="shared" si="1"/>
        <v>KSSMP_OnlyYou,1,1</v>
      </c>
    </row>
    <row r="232" ht="15.75" customHeight="1">
      <c r="A232" s="5" t="s">
        <v>723</v>
      </c>
      <c r="B232" s="17"/>
      <c r="C232" s="5" t="s">
        <v>836</v>
      </c>
      <c r="D232" s="5">
        <v>3.0</v>
      </c>
      <c r="E232" s="5">
        <f t="shared" si="13"/>
        <v>3</v>
      </c>
      <c r="F232" s="5" t="s">
        <v>837</v>
      </c>
      <c r="G232" s="5" t="s">
        <v>554</v>
      </c>
      <c r="H232" s="10" t="s">
        <v>41</v>
      </c>
      <c r="I232" s="5" t="str">
        <f>IFERROR(__xludf.DUMMYFUNCTION("IF(OR(TRIM(G232)="""",TRIM(H232)=""""),"""",TEXTJOIN("", "",TRUE,ARRAYFORMULA(TRANSPOSE(TRIM(SPLIT(G232,"","")))&amp;""_""&amp;TRIM(SPLIT(H232,"","")))))"),"Elf_Female, Human_Female, Orc_Female")</f>
        <v>Elf_Female, Human_Female, Orc_Female</v>
      </c>
      <c r="J232" s="6" t="s">
        <v>291</v>
      </c>
      <c r="L232" s="12" t="str">
        <f t="shared" si="1"/>
        <v>KSSMP_OnlyYouNoLace,3,3</v>
      </c>
    </row>
    <row r="233" ht="15.75" customHeight="1">
      <c r="A233" s="5" t="s">
        <v>723</v>
      </c>
      <c r="B233" s="17"/>
      <c r="C233" s="5" t="s">
        <v>838</v>
      </c>
      <c r="D233" s="5">
        <v>1.0</v>
      </c>
      <c r="E233" s="5">
        <v>2.0</v>
      </c>
      <c r="F233" s="5" t="s">
        <v>839</v>
      </c>
      <c r="G233" s="4" t="s">
        <v>644</v>
      </c>
      <c r="H233" s="10" t="s">
        <v>41</v>
      </c>
      <c r="I233" s="5" t="str">
        <f>IFERROR(__xludf.DUMMYFUNCTION("IF(OR(TRIM(G233)="""",TRIM(H233)=""""),"""",TEXTJOIN("", "",TRUE,ARRAYFORMULA(TRANSPOSE(TRIM(SPLIT(G233,"","")))&amp;""_""&amp;TRIM(SPLIT(H233,"","")))))"),"Elf_Female, Human_Female, Orc_Female, Khajiit_Female")</f>
        <v>Elf_Female, Human_Female, Orc_Female, Khajiit_Female</v>
      </c>
      <c r="J233" s="6" t="s">
        <v>291</v>
      </c>
      <c r="K233" s="6" t="s">
        <v>726</v>
      </c>
      <c r="L233" s="12" t="str">
        <f t="shared" si="1"/>
        <v>KSSMP_Paraguay,1,2</v>
      </c>
    </row>
    <row r="234" ht="15.75" customHeight="1">
      <c r="A234" s="5" t="s">
        <v>723</v>
      </c>
      <c r="B234" s="17"/>
      <c r="C234" s="5" t="s">
        <v>840</v>
      </c>
      <c r="D234" s="5">
        <v>1.0</v>
      </c>
      <c r="E234" s="5">
        <f t="shared" ref="E234:E237" si="14">D234</f>
        <v>1</v>
      </c>
      <c r="F234" s="5" t="s">
        <v>843</v>
      </c>
      <c r="G234" s="4" t="s">
        <v>644</v>
      </c>
      <c r="H234" s="10" t="s">
        <v>41</v>
      </c>
      <c r="I234" s="5" t="str">
        <f>IFERROR(__xludf.DUMMYFUNCTION("IF(OR(TRIM(G234)="""",TRIM(H234)=""""),"""",TEXTJOIN("", "",TRUE,ARRAYFORMULA(TRANSPOSE(TRIM(SPLIT(G234,"","")))&amp;""_""&amp;TRIM(SPLIT(H234,"","")))))"),"Elf_Female, Human_Female, Orc_Female, Khajiit_Female")</f>
        <v>Elf_Female, Human_Female, Orc_Female, Khajiit_Female</v>
      </c>
      <c r="J234" s="6" t="s">
        <v>291</v>
      </c>
      <c r="K234" s="6" t="s">
        <v>726</v>
      </c>
      <c r="L234" s="12" t="str">
        <f t="shared" si="1"/>
        <v>KSSMP_Princess,1,1</v>
      </c>
    </row>
    <row r="235" ht="15.75" customHeight="1">
      <c r="A235" s="5" t="s">
        <v>723</v>
      </c>
      <c r="B235" s="17"/>
      <c r="C235" s="5" t="s">
        <v>844</v>
      </c>
      <c r="D235" s="5">
        <v>2.0</v>
      </c>
      <c r="E235" s="5">
        <f t="shared" si="14"/>
        <v>2</v>
      </c>
      <c r="F235" s="5" t="s">
        <v>845</v>
      </c>
      <c r="G235" s="4" t="s">
        <v>644</v>
      </c>
      <c r="H235" s="10" t="s">
        <v>41</v>
      </c>
      <c r="I235" s="5" t="str">
        <f>IFERROR(__xludf.DUMMYFUNCTION("IF(OR(TRIM(G235)="""",TRIM(H235)=""""),"""",TEXTJOIN("", "",TRUE,ARRAYFORMULA(TRANSPOSE(TRIM(SPLIT(G235,"","")))&amp;""_""&amp;TRIM(SPLIT(H235,"","")))))"),"Elf_Female, Human_Female, Orc_Female, Khajiit_Female")</f>
        <v>Elf_Female, Human_Female, Orc_Female, Khajiit_Female</v>
      </c>
      <c r="J235" s="6" t="s">
        <v>291</v>
      </c>
      <c r="K235" s="6" t="s">
        <v>726</v>
      </c>
      <c r="L235" s="12" t="str">
        <f t="shared" si="1"/>
        <v>KSSMP_Rosette,2,2</v>
      </c>
    </row>
    <row r="236" ht="15.75" customHeight="1">
      <c r="A236" s="5" t="s">
        <v>723</v>
      </c>
      <c r="B236" s="17"/>
      <c r="C236" s="5" t="s">
        <v>846</v>
      </c>
      <c r="D236" s="5">
        <v>2.0</v>
      </c>
      <c r="E236" s="5">
        <f t="shared" si="14"/>
        <v>2</v>
      </c>
      <c r="F236" s="5" t="s">
        <v>847</v>
      </c>
      <c r="G236" s="4" t="s">
        <v>644</v>
      </c>
      <c r="H236" s="10" t="s">
        <v>41</v>
      </c>
      <c r="I236" s="5" t="str">
        <f>IFERROR(__xludf.DUMMYFUNCTION("IF(OR(TRIM(G236)="""",TRIM(H236)=""""),"""",TEXTJOIN("", "",TRUE,ARRAYFORMULA(TRANSPOSE(TRIM(SPLIT(G236,"","")))&amp;""_""&amp;TRIM(SPLIT(H236,"","")))))"),"Elf_Female, Human_Female, Orc_Female, Khajiit_Female")</f>
        <v>Elf_Female, Human_Female, Orc_Female, Khajiit_Female</v>
      </c>
      <c r="J236" s="6" t="s">
        <v>291</v>
      </c>
      <c r="K236" s="6" t="s">
        <v>726</v>
      </c>
      <c r="L236" s="12" t="str">
        <f t="shared" si="1"/>
        <v>KSSMP_RosetteRoses,2,2</v>
      </c>
    </row>
    <row r="237" ht="15.75" customHeight="1">
      <c r="A237" s="5" t="s">
        <v>723</v>
      </c>
      <c r="B237" s="17"/>
      <c r="C237" s="5" t="s">
        <v>848</v>
      </c>
      <c r="D237" s="5">
        <v>2.0</v>
      </c>
      <c r="E237" s="5">
        <f t="shared" si="14"/>
        <v>2</v>
      </c>
      <c r="F237" s="5" t="s">
        <v>849</v>
      </c>
      <c r="G237" s="4" t="s">
        <v>644</v>
      </c>
      <c r="H237" s="10" t="s">
        <v>41</v>
      </c>
      <c r="I237" s="5" t="str">
        <f>IFERROR(__xludf.DUMMYFUNCTION("IF(OR(TRIM(G237)="""",TRIM(H237)=""""),"""",TEXTJOIN("", "",TRUE,ARRAYFORMULA(TRANSPOSE(TRIM(SPLIT(G237,"","")))&amp;""_""&amp;TRIM(SPLIT(H237,"","")))))"),"Elf_Female, Human_Female, Orc_Female, Khajiit_Female")</f>
        <v>Elf_Female, Human_Female, Orc_Female, Khajiit_Female</v>
      </c>
      <c r="J237" s="6" t="s">
        <v>291</v>
      </c>
      <c r="K237" s="6" t="s">
        <v>726</v>
      </c>
      <c r="L237" s="12" t="str">
        <f t="shared" si="1"/>
        <v>KSSMP_RosiCloud,2,2</v>
      </c>
    </row>
    <row r="238" ht="15.75" customHeight="1">
      <c r="A238" s="5" t="s">
        <v>723</v>
      </c>
      <c r="B238" s="17"/>
      <c r="C238" s="5" t="s">
        <v>850</v>
      </c>
      <c r="D238" s="5">
        <v>2.0</v>
      </c>
      <c r="E238" s="5">
        <v>3.0</v>
      </c>
      <c r="F238" s="5" t="s">
        <v>851</v>
      </c>
      <c r="G238" s="4" t="s">
        <v>644</v>
      </c>
      <c r="H238" s="10" t="s">
        <v>41</v>
      </c>
      <c r="I238" s="5" t="str">
        <f>IFERROR(__xludf.DUMMYFUNCTION("IF(OR(TRIM(G238)="""",TRIM(H238)=""""),"""",TEXTJOIN("", "",TRUE,ARRAYFORMULA(TRANSPOSE(TRIM(SPLIT(G238,"","")))&amp;""_""&amp;TRIM(SPLIT(H238,"","")))))"),"Elf_Female, Human_Female, Orc_Female, Khajiit_Female")</f>
        <v>Elf_Female, Human_Female, Orc_Female, Khajiit_Female</v>
      </c>
      <c r="J238" s="6" t="s">
        <v>291</v>
      </c>
      <c r="K238" s="6" t="s">
        <v>726</v>
      </c>
      <c r="L238" s="12" t="str">
        <f t="shared" si="1"/>
        <v>KSSMP_Runaway,2,3</v>
      </c>
    </row>
    <row r="239" ht="15.75" customHeight="1">
      <c r="A239" s="5" t="s">
        <v>723</v>
      </c>
      <c r="B239" s="17"/>
      <c r="C239" s="5" t="s">
        <v>852</v>
      </c>
      <c r="D239" s="5">
        <v>2.0</v>
      </c>
      <c r="E239" s="5">
        <f t="shared" ref="E239:E245" si="15">D239</f>
        <v>2</v>
      </c>
      <c r="F239" s="5" t="s">
        <v>853</v>
      </c>
      <c r="G239" s="4" t="s">
        <v>644</v>
      </c>
      <c r="H239" s="10" t="s">
        <v>41</v>
      </c>
      <c r="I239" s="5" t="str">
        <f>IFERROR(__xludf.DUMMYFUNCTION("IF(OR(TRIM(G239)="""",TRIM(H239)=""""),"""",TEXTJOIN("", "",TRUE,ARRAYFORMULA(TRANSPOSE(TRIM(SPLIT(G239,"","")))&amp;""_""&amp;TRIM(SPLIT(H239,"","")))))"),"Elf_Female, Human_Female, Orc_Female, Khajiit_Female")</f>
        <v>Elf_Female, Human_Female, Orc_Female, Khajiit_Female</v>
      </c>
      <c r="J239" s="6" t="s">
        <v>291</v>
      </c>
      <c r="K239" s="6" t="s">
        <v>726</v>
      </c>
      <c r="L239" s="12" t="str">
        <f t="shared" si="1"/>
        <v>KSSMP_Scarlet,2,2</v>
      </c>
    </row>
    <row r="240" ht="15.75" customHeight="1">
      <c r="A240" s="5" t="s">
        <v>723</v>
      </c>
      <c r="B240" s="17"/>
      <c r="C240" s="5" t="s">
        <v>854</v>
      </c>
      <c r="D240" s="5">
        <v>2.0</v>
      </c>
      <c r="E240" s="5">
        <f t="shared" si="15"/>
        <v>2</v>
      </c>
      <c r="F240" s="5" t="s">
        <v>855</v>
      </c>
      <c r="G240" s="4" t="s">
        <v>644</v>
      </c>
      <c r="H240" s="10" t="s">
        <v>41</v>
      </c>
      <c r="I240" s="5" t="str">
        <f>IFERROR(__xludf.DUMMYFUNCTION("IF(OR(TRIM(G240)="""",TRIM(H240)=""""),"""",TEXTJOIN("", "",TRUE,ARRAYFORMULA(TRANSPOSE(TRIM(SPLIT(G240,"","")))&amp;""_""&amp;TRIM(SPLIT(H240,"","")))))"),"Elf_Female, Human_Female, Orc_Female, Khajiit_Female")</f>
        <v>Elf_Female, Human_Female, Orc_Female, Khajiit_Female</v>
      </c>
      <c r="J240" s="6" t="s">
        <v>291</v>
      </c>
      <c r="K240" s="6" t="s">
        <v>726</v>
      </c>
      <c r="L240" s="12" t="str">
        <f t="shared" si="1"/>
        <v>KSSMP_Searching,2,2</v>
      </c>
    </row>
    <row r="241" ht="15.75" customHeight="1">
      <c r="A241" s="5" t="s">
        <v>723</v>
      </c>
      <c r="B241" s="17"/>
      <c r="C241" s="5" t="s">
        <v>856</v>
      </c>
      <c r="D241" s="5">
        <v>1.0</v>
      </c>
      <c r="E241" s="5">
        <f t="shared" si="15"/>
        <v>1</v>
      </c>
      <c r="F241" s="5" t="s">
        <v>857</v>
      </c>
      <c r="G241" s="4" t="s">
        <v>644</v>
      </c>
      <c r="H241" s="10" t="s">
        <v>41</v>
      </c>
      <c r="I241" s="5" t="str">
        <f>IFERROR(__xludf.DUMMYFUNCTION("IF(OR(TRIM(G241)="""",TRIM(H241)=""""),"""",TEXTJOIN("", "",TRUE,ARRAYFORMULA(TRANSPOSE(TRIM(SPLIT(G241,"","")))&amp;""_""&amp;TRIM(SPLIT(H241,"","")))))"),"Elf_Female, Human_Female, Orc_Female, Khajiit_Female")</f>
        <v>Elf_Female, Human_Female, Orc_Female, Khajiit_Female</v>
      </c>
      <c r="J241" s="6" t="s">
        <v>291</v>
      </c>
      <c r="K241" s="6" t="s">
        <v>726</v>
      </c>
      <c r="L241" s="12" t="str">
        <f t="shared" si="1"/>
        <v>KSSMP_SilentLips,1,1</v>
      </c>
    </row>
    <row r="242" ht="15.75" customHeight="1">
      <c r="A242" s="5" t="s">
        <v>723</v>
      </c>
      <c r="B242" s="17"/>
      <c r="C242" s="5" t="s">
        <v>858</v>
      </c>
      <c r="D242" s="5">
        <v>3.0</v>
      </c>
      <c r="E242" s="5">
        <f t="shared" si="15"/>
        <v>3</v>
      </c>
      <c r="F242" s="5" t="s">
        <v>859</v>
      </c>
      <c r="G242" s="4" t="s">
        <v>644</v>
      </c>
      <c r="H242" s="10" t="s">
        <v>41</v>
      </c>
      <c r="I242" s="5" t="str">
        <f>IFERROR(__xludf.DUMMYFUNCTION("IF(OR(TRIM(G242)="""",TRIM(H242)=""""),"""",TEXTJOIN("", "",TRUE,ARRAYFORMULA(TRANSPOSE(TRIM(SPLIT(G242,"","")))&amp;""_""&amp;TRIM(SPLIT(H242,"","")))))"),"Elf_Female, Human_Female, Orc_Female, Khajiit_Female")</f>
        <v>Elf_Female, Human_Female, Orc_Female, Khajiit_Female</v>
      </c>
      <c r="J242" s="6" t="s">
        <v>291</v>
      </c>
      <c r="K242" s="6" t="s">
        <v>726</v>
      </c>
      <c r="L242" s="12" t="str">
        <f t="shared" si="1"/>
        <v>KSSMP_Sky022,3,3</v>
      </c>
    </row>
    <row r="243" ht="15.75" customHeight="1">
      <c r="A243" s="5" t="s">
        <v>723</v>
      </c>
      <c r="B243" s="17"/>
      <c r="C243" s="5" t="s">
        <v>863</v>
      </c>
      <c r="D243" s="5">
        <v>3.0</v>
      </c>
      <c r="E243" s="5">
        <f t="shared" si="15"/>
        <v>3</v>
      </c>
      <c r="F243" s="5" t="s">
        <v>864</v>
      </c>
      <c r="G243" s="4" t="s">
        <v>644</v>
      </c>
      <c r="H243" s="10" t="s">
        <v>41</v>
      </c>
      <c r="I243" s="5" t="str">
        <f>IFERROR(__xludf.DUMMYFUNCTION("IF(OR(TRIM(G243)="""",TRIM(H243)=""""),"""",TEXTJOIN("", "",TRUE,ARRAYFORMULA(TRANSPOSE(TRIM(SPLIT(G243,"","")))&amp;""_""&amp;TRIM(SPLIT(H243,"","")))))"),"Elf_Female, Human_Female, Orc_Female, Khajiit_Female")</f>
        <v>Elf_Female, Human_Female, Orc_Female, Khajiit_Female</v>
      </c>
      <c r="J243" s="6" t="s">
        <v>291</v>
      </c>
      <c r="K243" s="6" t="s">
        <v>726</v>
      </c>
      <c r="L243" s="12" t="str">
        <f t="shared" si="1"/>
        <v>KSSMP_Sky047,3,3</v>
      </c>
    </row>
    <row r="244" ht="15.75" customHeight="1">
      <c r="A244" s="5" t="s">
        <v>723</v>
      </c>
      <c r="B244" s="17"/>
      <c r="C244" s="5" t="s">
        <v>865</v>
      </c>
      <c r="D244" s="5">
        <v>2.0</v>
      </c>
      <c r="E244" s="5">
        <f t="shared" si="15"/>
        <v>2</v>
      </c>
      <c r="F244" s="5" t="s">
        <v>866</v>
      </c>
      <c r="G244" s="4" t="s">
        <v>644</v>
      </c>
      <c r="H244" s="10" t="s">
        <v>41</v>
      </c>
      <c r="I244" s="5" t="str">
        <f>IFERROR(__xludf.DUMMYFUNCTION("IF(OR(TRIM(G244)="""",TRIM(H244)=""""),"""",TEXTJOIN("", "",TRUE,ARRAYFORMULA(TRANSPOSE(TRIM(SPLIT(G244,"","")))&amp;""_""&amp;TRIM(SPLIT(H244,"","")))))"),"Elf_Female, Human_Female, Orc_Female, Khajiit_Female")</f>
        <v>Elf_Female, Human_Female, Orc_Female, Khajiit_Female</v>
      </c>
      <c r="J244" s="6" t="s">
        <v>291</v>
      </c>
      <c r="K244" s="6" t="s">
        <v>726</v>
      </c>
      <c r="L244" s="12" t="str">
        <f t="shared" si="1"/>
        <v>KSSMP_Sky097,2,2</v>
      </c>
    </row>
    <row r="245" ht="15.75" customHeight="1">
      <c r="A245" s="5" t="s">
        <v>723</v>
      </c>
      <c r="B245" s="17"/>
      <c r="C245" s="5" t="s">
        <v>867</v>
      </c>
      <c r="D245" s="5">
        <v>3.0</v>
      </c>
      <c r="E245" s="5">
        <f t="shared" si="15"/>
        <v>3</v>
      </c>
      <c r="F245" s="5" t="s">
        <v>868</v>
      </c>
      <c r="G245" s="4" t="s">
        <v>644</v>
      </c>
      <c r="H245" s="10" t="s">
        <v>41</v>
      </c>
      <c r="I245" s="5" t="str">
        <f>IFERROR(__xludf.DUMMYFUNCTION("IF(OR(TRIM(G245)="""",TRIM(H245)=""""),"""",TEXTJOIN("", "",TRUE,ARRAYFORMULA(TRANSPOSE(TRIM(SPLIT(G245,"","")))&amp;""_""&amp;TRIM(SPLIT(H245,"","")))))"),"Elf_Female, Human_Female, Orc_Female, Khajiit_Female")</f>
        <v>Elf_Female, Human_Female, Orc_Female, Khajiit_Female</v>
      </c>
      <c r="J245" s="6" t="s">
        <v>291</v>
      </c>
      <c r="K245" s="6" t="s">
        <v>726</v>
      </c>
      <c r="L245" s="12" t="str">
        <f t="shared" si="1"/>
        <v>KSSMP_Sky146,3,3</v>
      </c>
    </row>
    <row r="246" ht="15.75" customHeight="1">
      <c r="A246" s="5" t="s">
        <v>723</v>
      </c>
      <c r="B246" s="17"/>
      <c r="C246" s="5" t="s">
        <v>869</v>
      </c>
      <c r="D246" s="5">
        <v>1.0</v>
      </c>
      <c r="E246" s="5">
        <v>2.0</v>
      </c>
      <c r="F246" s="5" t="s">
        <v>870</v>
      </c>
      <c r="G246" s="4" t="s">
        <v>644</v>
      </c>
      <c r="H246" s="10" t="s">
        <v>41</v>
      </c>
      <c r="I246" s="5" t="str">
        <f>IFERROR(__xludf.DUMMYFUNCTION("IF(OR(TRIM(G246)="""",TRIM(H246)=""""),"""",TEXTJOIN("", "",TRUE,ARRAYFORMULA(TRANSPOSE(TRIM(SPLIT(G246,"","")))&amp;""_""&amp;TRIM(SPLIT(H246,"","")))))"),"Elf_Female, Human_Female, Orc_Female, Khajiit_Female")</f>
        <v>Elf_Female, Human_Female, Orc_Female, Khajiit_Female</v>
      </c>
      <c r="J246" s="6" t="s">
        <v>291</v>
      </c>
      <c r="K246" s="6" t="s">
        <v>726</v>
      </c>
      <c r="L246" s="12" t="str">
        <f t="shared" si="1"/>
        <v>KSSMP_Sky176,1,2</v>
      </c>
    </row>
    <row r="247" ht="15.75" customHeight="1">
      <c r="A247" s="5" t="s">
        <v>723</v>
      </c>
      <c r="B247" s="17"/>
      <c r="C247" s="5" t="s">
        <v>871</v>
      </c>
      <c r="D247" s="5">
        <v>3.0</v>
      </c>
      <c r="E247" s="5">
        <f t="shared" ref="E247:E249" si="16">D247</f>
        <v>3</v>
      </c>
      <c r="F247" s="5" t="s">
        <v>872</v>
      </c>
      <c r="G247" s="4" t="s">
        <v>644</v>
      </c>
      <c r="H247" s="10" t="s">
        <v>41</v>
      </c>
      <c r="I247" s="5" t="str">
        <f>IFERROR(__xludf.DUMMYFUNCTION("IF(OR(TRIM(G247)="""",TRIM(H247)=""""),"""",TEXTJOIN("", "",TRUE,ARRAYFORMULA(TRANSPOSE(TRIM(SPLIT(G247,"","")))&amp;""_""&amp;TRIM(SPLIT(H247,"","")))))"),"Elf_Female, Human_Female, Orc_Female, Khajiit_Female")</f>
        <v>Elf_Female, Human_Female, Orc_Female, Khajiit_Female</v>
      </c>
      <c r="J247" s="6" t="s">
        <v>291</v>
      </c>
      <c r="K247" s="6" t="s">
        <v>726</v>
      </c>
      <c r="L247" s="12" t="str">
        <f t="shared" si="1"/>
        <v>KSSMP_Sky179,3,3</v>
      </c>
    </row>
    <row r="248" ht="15.75" customHeight="1">
      <c r="A248" s="5" t="s">
        <v>723</v>
      </c>
      <c r="B248" s="17"/>
      <c r="C248" s="5" t="s">
        <v>873</v>
      </c>
      <c r="D248" s="5">
        <v>1.0</v>
      </c>
      <c r="E248" s="5">
        <f t="shared" si="16"/>
        <v>1</v>
      </c>
      <c r="F248" s="5" t="s">
        <v>874</v>
      </c>
      <c r="G248" s="4" t="s">
        <v>644</v>
      </c>
      <c r="H248" s="10" t="s">
        <v>41</v>
      </c>
      <c r="I248" s="5" t="str">
        <f>IFERROR(__xludf.DUMMYFUNCTION("IF(OR(TRIM(G248)="""",TRIM(H248)=""""),"""",TEXTJOIN("", "",TRUE,ARRAYFORMULA(TRANSPOSE(TRIM(SPLIT(G248,"","")))&amp;""_""&amp;TRIM(SPLIT(H248,"","")))))"),"Elf_Female, Human_Female, Orc_Female, Khajiit_Female")</f>
        <v>Elf_Female, Human_Female, Orc_Female, Khajiit_Female</v>
      </c>
      <c r="J248" s="6" t="s">
        <v>291</v>
      </c>
      <c r="K248" s="6" t="s">
        <v>726</v>
      </c>
      <c r="L248" s="12" t="str">
        <f t="shared" si="1"/>
        <v>KSSMP_Sky188,1,1</v>
      </c>
    </row>
    <row r="249" ht="15.75" customHeight="1">
      <c r="A249" s="5" t="s">
        <v>723</v>
      </c>
      <c r="B249" s="17"/>
      <c r="C249" s="5" t="s">
        <v>875</v>
      </c>
      <c r="D249" s="5">
        <v>2.0</v>
      </c>
      <c r="E249" s="5">
        <f t="shared" si="16"/>
        <v>2</v>
      </c>
      <c r="F249" s="5" t="s">
        <v>876</v>
      </c>
      <c r="G249" s="4" t="s">
        <v>644</v>
      </c>
      <c r="H249" s="10" t="s">
        <v>41</v>
      </c>
      <c r="I249" s="5" t="str">
        <f>IFERROR(__xludf.DUMMYFUNCTION("IF(OR(TRIM(G249)="""",TRIM(H249)=""""),"""",TEXTJOIN("", "",TRUE,ARRAYFORMULA(TRANSPOSE(TRIM(SPLIT(G249,"","")))&amp;""_""&amp;TRIM(SPLIT(H249,"","")))))"),"Elf_Female, Human_Female, Orc_Female, Khajiit_Female")</f>
        <v>Elf_Female, Human_Female, Orc_Female, Khajiit_Female</v>
      </c>
      <c r="J249" s="6" t="s">
        <v>291</v>
      </c>
      <c r="K249" s="6" t="s">
        <v>726</v>
      </c>
      <c r="L249" s="12" t="str">
        <f t="shared" si="1"/>
        <v>KSSMP_Sky190,2,2</v>
      </c>
    </row>
    <row r="250" ht="15.75" customHeight="1">
      <c r="A250" s="5" t="s">
        <v>723</v>
      </c>
      <c r="B250" s="17"/>
      <c r="C250" s="5" t="s">
        <v>877</v>
      </c>
      <c r="D250" s="5">
        <v>1.0</v>
      </c>
      <c r="E250" s="5">
        <v>3.0</v>
      </c>
      <c r="F250" s="5" t="s">
        <v>878</v>
      </c>
      <c r="G250" s="4" t="s">
        <v>644</v>
      </c>
      <c r="H250" s="10" t="s">
        <v>41</v>
      </c>
      <c r="I250" s="5" t="str">
        <f>IFERROR(__xludf.DUMMYFUNCTION("IF(OR(TRIM(G250)="""",TRIM(H250)=""""),"""",TEXTJOIN("", "",TRUE,ARRAYFORMULA(TRANSPOSE(TRIM(SPLIT(G250,"","")))&amp;""_""&amp;TRIM(SPLIT(H250,"","")))))"),"Elf_Female, Human_Female, Orc_Female, Khajiit_Female")</f>
        <v>Elf_Female, Human_Female, Orc_Female, Khajiit_Female</v>
      </c>
      <c r="J250" s="6" t="s">
        <v>291</v>
      </c>
      <c r="K250" s="6" t="s">
        <v>726</v>
      </c>
      <c r="L250" s="12" t="str">
        <f t="shared" si="1"/>
        <v>KSSMP_Sky201,1,3</v>
      </c>
    </row>
    <row r="251" ht="15.75" customHeight="1">
      <c r="A251" s="5" t="s">
        <v>723</v>
      </c>
      <c r="B251" s="17"/>
      <c r="C251" s="5" t="s">
        <v>879</v>
      </c>
      <c r="D251" s="5">
        <v>1.0</v>
      </c>
      <c r="E251" s="5">
        <v>3.0</v>
      </c>
      <c r="F251" s="5" t="s">
        <v>880</v>
      </c>
      <c r="G251" s="4" t="s">
        <v>644</v>
      </c>
      <c r="H251" s="10" t="s">
        <v>41</v>
      </c>
      <c r="I251" s="5" t="str">
        <f>IFERROR(__xludf.DUMMYFUNCTION("IF(OR(TRIM(G251)="""",TRIM(H251)=""""),"""",TEXTJOIN("", "",TRUE,ARRAYFORMULA(TRANSPOSE(TRIM(SPLIT(G251,"","")))&amp;""_""&amp;TRIM(SPLIT(H251,"","")))))"),"Elf_Female, Human_Female, Orc_Female, Khajiit_Female")</f>
        <v>Elf_Female, Human_Female, Orc_Female, Khajiit_Female</v>
      </c>
      <c r="J251" s="6" t="s">
        <v>291</v>
      </c>
      <c r="K251" s="6" t="s">
        <v>726</v>
      </c>
      <c r="L251" s="12" t="str">
        <f t="shared" si="1"/>
        <v>KSSMP_Sky208,1,3</v>
      </c>
    </row>
    <row r="252" ht="15.75" customHeight="1">
      <c r="A252" s="5" t="s">
        <v>723</v>
      </c>
      <c r="B252" s="17"/>
      <c r="C252" s="5" t="s">
        <v>881</v>
      </c>
      <c r="D252" s="5">
        <v>1.0</v>
      </c>
      <c r="E252" s="5">
        <f t="shared" ref="E252:E258" si="17">D252</f>
        <v>1</v>
      </c>
      <c r="F252" s="5" t="s">
        <v>882</v>
      </c>
      <c r="G252" s="4" t="s">
        <v>644</v>
      </c>
      <c r="H252" s="10" t="s">
        <v>41</v>
      </c>
      <c r="I252" s="5" t="str">
        <f>IFERROR(__xludf.DUMMYFUNCTION("IF(OR(TRIM(G252)="""",TRIM(H252)=""""),"""",TEXTJOIN("", "",TRUE,ARRAYFORMULA(TRANSPOSE(TRIM(SPLIT(G252,"","")))&amp;""_""&amp;TRIM(SPLIT(H252,"","")))))"),"Elf_Female, Human_Female, Orc_Female, Khajiit_Female")</f>
        <v>Elf_Female, Human_Female, Orc_Female, Khajiit_Female</v>
      </c>
      <c r="J252" s="6" t="s">
        <v>291</v>
      </c>
      <c r="K252" s="6" t="s">
        <v>726</v>
      </c>
      <c r="L252" s="12" t="str">
        <f t="shared" si="1"/>
        <v>KSSMP_Sky218,1,1</v>
      </c>
    </row>
    <row r="253" ht="15.75" customHeight="1">
      <c r="A253" s="5" t="s">
        <v>723</v>
      </c>
      <c r="B253" s="17"/>
      <c r="C253" s="5" t="s">
        <v>885</v>
      </c>
      <c r="D253" s="5">
        <v>3.0</v>
      </c>
      <c r="E253" s="5">
        <f t="shared" si="17"/>
        <v>3</v>
      </c>
      <c r="F253" s="5" t="s">
        <v>886</v>
      </c>
      <c r="G253" s="4" t="s">
        <v>644</v>
      </c>
      <c r="H253" s="10" t="s">
        <v>41</v>
      </c>
      <c r="I253" s="5" t="str">
        <f>IFERROR(__xludf.DUMMYFUNCTION("IF(OR(TRIM(G253)="""",TRIM(H253)=""""),"""",TEXTJOIN("", "",TRUE,ARRAYFORMULA(TRANSPOSE(TRIM(SPLIT(G253,"","")))&amp;""_""&amp;TRIM(SPLIT(H253,"","")))))"),"Elf_Female, Human_Female, Orc_Female, Khajiit_Female")</f>
        <v>Elf_Female, Human_Female, Orc_Female, Khajiit_Female</v>
      </c>
      <c r="J253" s="6" t="s">
        <v>291</v>
      </c>
      <c r="K253" s="6" t="s">
        <v>726</v>
      </c>
      <c r="L253" s="12" t="str">
        <f t="shared" si="1"/>
        <v>KSSMP_Sky239,3,3</v>
      </c>
    </row>
    <row r="254" ht="15.75" customHeight="1">
      <c r="A254" s="5" t="s">
        <v>723</v>
      </c>
      <c r="B254" s="17"/>
      <c r="C254" s="5" t="s">
        <v>887</v>
      </c>
      <c r="D254" s="5">
        <v>2.0</v>
      </c>
      <c r="E254" s="5">
        <f t="shared" si="17"/>
        <v>2</v>
      </c>
      <c r="F254" s="5" t="s">
        <v>888</v>
      </c>
      <c r="G254" s="4" t="s">
        <v>644</v>
      </c>
      <c r="H254" s="10" t="s">
        <v>41</v>
      </c>
      <c r="I254" s="5" t="str">
        <f>IFERROR(__xludf.DUMMYFUNCTION("IF(OR(TRIM(G254)="""",TRIM(H254)=""""),"""",TEXTJOIN("", "",TRUE,ARRAYFORMULA(TRANSPOSE(TRIM(SPLIT(G254,"","")))&amp;""_""&amp;TRIM(SPLIT(H254,"","")))))"),"Elf_Female, Human_Female, Orc_Female, Khajiit_Female")</f>
        <v>Elf_Female, Human_Female, Orc_Female, Khajiit_Female</v>
      </c>
      <c r="J254" s="6" t="s">
        <v>291</v>
      </c>
      <c r="K254" s="6" t="s">
        <v>726</v>
      </c>
      <c r="L254" s="12" t="str">
        <f t="shared" si="1"/>
        <v>KSSMP_Sky250,2,2</v>
      </c>
    </row>
    <row r="255" ht="15.75" customHeight="1">
      <c r="A255" s="5" t="s">
        <v>723</v>
      </c>
      <c r="B255" s="17"/>
      <c r="C255" s="5" t="s">
        <v>889</v>
      </c>
      <c r="D255" s="5">
        <v>3.0</v>
      </c>
      <c r="E255" s="5">
        <f t="shared" si="17"/>
        <v>3</v>
      </c>
      <c r="F255" s="5" t="s">
        <v>890</v>
      </c>
      <c r="G255" s="4" t="s">
        <v>644</v>
      </c>
      <c r="H255" s="10" t="s">
        <v>41</v>
      </c>
      <c r="I255" s="5" t="str">
        <f>IFERROR(__xludf.DUMMYFUNCTION("IF(OR(TRIM(G255)="""",TRIM(H255)=""""),"""",TEXTJOIN("", "",TRUE,ARRAYFORMULA(TRANSPOSE(TRIM(SPLIT(G255,"","")))&amp;""_""&amp;TRIM(SPLIT(H255,"","")))))"),"Elf_Female, Human_Female, Orc_Female, Khajiit_Female")</f>
        <v>Elf_Female, Human_Female, Orc_Female, Khajiit_Female</v>
      </c>
      <c r="J255" s="6" t="s">
        <v>291</v>
      </c>
      <c r="K255" s="6" t="s">
        <v>726</v>
      </c>
      <c r="L255" s="12" t="str">
        <f t="shared" si="1"/>
        <v>KSSMP_Sky6063,3,3</v>
      </c>
    </row>
    <row r="256" ht="15.75" customHeight="1">
      <c r="A256" s="5" t="s">
        <v>723</v>
      </c>
      <c r="B256" s="17"/>
      <c r="C256" s="5" t="s">
        <v>891</v>
      </c>
      <c r="D256" s="5">
        <v>1.0</v>
      </c>
      <c r="E256" s="5">
        <f t="shared" si="17"/>
        <v>1</v>
      </c>
      <c r="F256" s="5" t="s">
        <v>892</v>
      </c>
      <c r="G256" s="4" t="s">
        <v>644</v>
      </c>
      <c r="H256" s="10" t="s">
        <v>41</v>
      </c>
      <c r="I256" s="5" t="str">
        <f>IFERROR(__xludf.DUMMYFUNCTION("IF(OR(TRIM(G256)="""",TRIM(H256)=""""),"""",TEXTJOIN("", "",TRUE,ARRAYFORMULA(TRANSPOSE(TRIM(SPLIT(G256,"","")))&amp;""_""&amp;TRIM(SPLIT(H256,"","")))))"),"Elf_Female, Human_Female, Orc_Female, Khajiit_Female")</f>
        <v>Elf_Female, Human_Female, Orc_Female, Khajiit_Female</v>
      </c>
      <c r="J256" s="6" t="s">
        <v>291</v>
      </c>
      <c r="K256" s="6" t="s">
        <v>726</v>
      </c>
      <c r="L256" s="12" t="str">
        <f t="shared" si="1"/>
        <v>KSSMP_Slowly,1,1</v>
      </c>
    </row>
    <row r="257" ht="15.75" customHeight="1">
      <c r="A257" s="5" t="s">
        <v>723</v>
      </c>
      <c r="B257" s="17"/>
      <c r="C257" s="5" t="s">
        <v>893</v>
      </c>
      <c r="D257" s="5">
        <v>2.0</v>
      </c>
      <c r="E257" s="5">
        <f t="shared" si="17"/>
        <v>2</v>
      </c>
      <c r="F257" s="5" t="s">
        <v>894</v>
      </c>
      <c r="G257" s="4" t="s">
        <v>644</v>
      </c>
      <c r="H257" s="10" t="s">
        <v>41</v>
      </c>
      <c r="I257" s="5" t="str">
        <f>IFERROR(__xludf.DUMMYFUNCTION("IF(OR(TRIM(G257)="""",TRIM(H257)=""""),"""",TEXTJOIN("", "",TRUE,ARRAYFORMULA(TRANSPOSE(TRIM(SPLIT(G257,"","")))&amp;""_""&amp;TRIM(SPLIT(H257,"","")))))"),"Elf_Female, Human_Female, Orc_Female, Khajiit_Female")</f>
        <v>Elf_Female, Human_Female, Orc_Female, Khajiit_Female</v>
      </c>
      <c r="J257" s="6" t="s">
        <v>291</v>
      </c>
      <c r="K257" s="6" t="s">
        <v>726</v>
      </c>
      <c r="L257" s="12" t="str">
        <f t="shared" si="1"/>
        <v>KSSMP_Snow,2,2</v>
      </c>
    </row>
    <row r="258" ht="15.75" customHeight="1">
      <c r="A258" s="5" t="s">
        <v>723</v>
      </c>
      <c r="B258" s="17"/>
      <c r="C258" s="5" t="s">
        <v>895</v>
      </c>
      <c r="D258" s="5">
        <v>3.0</v>
      </c>
      <c r="E258" s="5">
        <f t="shared" si="17"/>
        <v>3</v>
      </c>
      <c r="F258" s="5" t="s">
        <v>896</v>
      </c>
      <c r="G258" s="4" t="s">
        <v>644</v>
      </c>
      <c r="H258" s="10" t="s">
        <v>41</v>
      </c>
      <c r="I258" s="5" t="str">
        <f>IFERROR(__xludf.DUMMYFUNCTION("IF(OR(TRIM(G258)="""",TRIM(H258)=""""),"""",TEXTJOIN("", "",TRUE,ARRAYFORMULA(TRANSPOSE(TRIM(SPLIT(G258,"","")))&amp;""_""&amp;TRIM(SPLIT(H258,"","")))))"),"Elf_Female, Human_Female, Orc_Female, Khajiit_Female")</f>
        <v>Elf_Female, Human_Female, Orc_Female, Khajiit_Female</v>
      </c>
      <c r="J258" s="6" t="s">
        <v>291</v>
      </c>
      <c r="K258" s="6" t="s">
        <v>726</v>
      </c>
      <c r="L258" s="12" t="str">
        <f t="shared" si="1"/>
        <v>KSSMP_Sparklers,3,3</v>
      </c>
    </row>
    <row r="259" ht="15.75" customHeight="1">
      <c r="A259" s="5" t="s">
        <v>723</v>
      </c>
      <c r="B259" s="17"/>
      <c r="C259" s="5" t="s">
        <v>897</v>
      </c>
      <c r="D259" s="5">
        <v>1.0</v>
      </c>
      <c r="E259" s="5">
        <v>2.0</v>
      </c>
      <c r="F259" s="5" t="s">
        <v>898</v>
      </c>
      <c r="G259" s="4" t="s">
        <v>644</v>
      </c>
      <c r="H259" s="10" t="s">
        <v>41</v>
      </c>
      <c r="I259" s="5" t="str">
        <f>IFERROR(__xludf.DUMMYFUNCTION("IF(OR(TRIM(G259)="""",TRIM(H259)=""""),"""",TEXTJOIN("", "",TRUE,ARRAYFORMULA(TRANSPOSE(TRIM(SPLIT(G259,"","")))&amp;""_""&amp;TRIM(SPLIT(H259,"","")))))"),"Elf_Female, Human_Female, Orc_Female, Khajiit_Female")</f>
        <v>Elf_Female, Human_Female, Orc_Female, Khajiit_Female</v>
      </c>
      <c r="J259" s="6" t="s">
        <v>291</v>
      </c>
      <c r="K259" s="6" t="s">
        <v>726</v>
      </c>
      <c r="L259" s="12" t="str">
        <f t="shared" si="1"/>
        <v>KSSMP_Spring,1,2</v>
      </c>
    </row>
    <row r="260" ht="15.75" customHeight="1">
      <c r="A260" s="5" t="s">
        <v>723</v>
      </c>
      <c r="B260" s="17"/>
      <c r="C260" s="5" t="s">
        <v>899</v>
      </c>
      <c r="D260" s="5">
        <v>1.0</v>
      </c>
      <c r="E260" s="5">
        <f t="shared" ref="E260:E261" si="18">D260</f>
        <v>1</v>
      </c>
      <c r="F260" s="5" t="s">
        <v>900</v>
      </c>
      <c r="G260" s="4" t="s">
        <v>644</v>
      </c>
      <c r="H260" s="10" t="s">
        <v>41</v>
      </c>
      <c r="I260" s="5" t="str">
        <f>IFERROR(__xludf.DUMMYFUNCTION("IF(OR(TRIM(G260)="""",TRIM(H260)=""""),"""",TEXTJOIN("", "",TRUE,ARRAYFORMULA(TRANSPOSE(TRIM(SPLIT(G260,"","")))&amp;""_""&amp;TRIM(SPLIT(H260,"","")))))"),"Elf_Female, Human_Female, Orc_Female, Khajiit_Female")</f>
        <v>Elf_Female, Human_Female, Orc_Female, Khajiit_Female</v>
      </c>
      <c r="J260" s="6" t="s">
        <v>291</v>
      </c>
      <c r="K260" s="6" t="s">
        <v>726</v>
      </c>
      <c r="L260" s="12" t="str">
        <f t="shared" si="1"/>
        <v>KSSMP_Starlet,1,1</v>
      </c>
    </row>
    <row r="261" ht="15.75" customHeight="1">
      <c r="A261" s="5" t="s">
        <v>723</v>
      </c>
      <c r="B261" s="17"/>
      <c r="C261" s="5" t="s">
        <v>901</v>
      </c>
      <c r="D261" s="5">
        <v>3.0</v>
      </c>
      <c r="E261" s="5">
        <f t="shared" si="18"/>
        <v>3</v>
      </c>
      <c r="F261" s="5" t="s">
        <v>902</v>
      </c>
      <c r="G261" s="4" t="s">
        <v>644</v>
      </c>
      <c r="H261" s="10" t="s">
        <v>41</v>
      </c>
      <c r="I261" s="5" t="str">
        <f>IFERROR(__xludf.DUMMYFUNCTION("IF(OR(TRIM(G261)="""",TRIM(H261)=""""),"""",TEXTJOIN("", "",TRUE,ARRAYFORMULA(TRANSPOSE(TRIM(SPLIT(G261,"","")))&amp;""_""&amp;TRIM(SPLIT(H261,"","")))))"),"Elf_Female, Human_Female, Orc_Female, Khajiit_Female")</f>
        <v>Elf_Female, Human_Female, Orc_Female, Khajiit_Female</v>
      </c>
      <c r="J261" s="6" t="s">
        <v>291</v>
      </c>
      <c r="K261" s="6" t="s">
        <v>726</v>
      </c>
      <c r="L261" s="12" t="str">
        <f t="shared" si="1"/>
        <v>KSSMP_StayAwake,3,3</v>
      </c>
    </row>
    <row r="262" ht="15.75" customHeight="1">
      <c r="A262" s="5" t="s">
        <v>723</v>
      </c>
      <c r="B262" s="17"/>
      <c r="C262" s="5" t="s">
        <v>906</v>
      </c>
      <c r="D262" s="5">
        <v>3.0</v>
      </c>
      <c r="E262" s="5">
        <v>4.0</v>
      </c>
      <c r="F262" s="5" t="s">
        <v>907</v>
      </c>
      <c r="G262" s="4" t="s">
        <v>644</v>
      </c>
      <c r="H262" s="10" t="s">
        <v>41</v>
      </c>
      <c r="I262" s="5" t="str">
        <f>IFERROR(__xludf.DUMMYFUNCTION("IF(OR(TRIM(G262)="""",TRIM(H262)=""""),"""",TEXTJOIN("", "",TRUE,ARRAYFORMULA(TRANSPOSE(TRIM(SPLIT(G262,"","")))&amp;""_""&amp;TRIM(SPLIT(H262,"","")))))"),"Elf_Female, Human_Female, Orc_Female, Khajiit_Female")</f>
        <v>Elf_Female, Human_Female, Orc_Female, Khajiit_Female</v>
      </c>
      <c r="J262" s="6" t="s">
        <v>291</v>
      </c>
      <c r="K262" s="6" t="s">
        <v>726</v>
      </c>
      <c r="L262" s="12" t="str">
        <f t="shared" si="1"/>
        <v>KSSMP_Steammist,3,4</v>
      </c>
    </row>
    <row r="263" ht="15.75" customHeight="1">
      <c r="A263" s="5" t="s">
        <v>723</v>
      </c>
      <c r="B263" s="17"/>
      <c r="C263" s="5" t="s">
        <v>908</v>
      </c>
      <c r="D263" s="5">
        <v>1.0</v>
      </c>
      <c r="E263" s="5">
        <f t="shared" ref="E263:E268" si="19">D263</f>
        <v>1</v>
      </c>
      <c r="F263" s="5" t="s">
        <v>909</v>
      </c>
      <c r="G263" s="4" t="s">
        <v>644</v>
      </c>
      <c r="H263" s="10" t="s">
        <v>41</v>
      </c>
      <c r="I263" s="5" t="str">
        <f>IFERROR(__xludf.DUMMYFUNCTION("IF(OR(TRIM(G263)="""",TRIM(H263)=""""),"""",TEXTJOIN("", "",TRUE,ARRAYFORMULA(TRANSPOSE(TRIM(SPLIT(G263,"","")))&amp;""_""&amp;TRIM(SPLIT(H263,"","")))))"),"Elf_Female, Human_Female, Orc_Female, Khajiit_Female")</f>
        <v>Elf_Female, Human_Female, Orc_Female, Khajiit_Female</v>
      </c>
      <c r="J263" s="6" t="s">
        <v>291</v>
      </c>
      <c r="K263" s="6" t="s">
        <v>726</v>
      </c>
      <c r="L263" s="12" t="str">
        <f t="shared" si="1"/>
        <v>KSSMP_Studio,1,1</v>
      </c>
    </row>
    <row r="264" ht="15.75" customHeight="1">
      <c r="A264" s="5" t="s">
        <v>723</v>
      </c>
      <c r="B264" s="17"/>
      <c r="C264" s="5" t="s">
        <v>910</v>
      </c>
      <c r="D264" s="5">
        <v>3.0</v>
      </c>
      <c r="E264" s="5">
        <f t="shared" si="19"/>
        <v>3</v>
      </c>
      <c r="F264" s="5" t="s">
        <v>911</v>
      </c>
      <c r="G264" s="4" t="s">
        <v>644</v>
      </c>
      <c r="H264" s="10" t="s">
        <v>41</v>
      </c>
      <c r="I264" s="5" t="str">
        <f>IFERROR(__xludf.DUMMYFUNCTION("IF(OR(TRIM(G264)="""",TRIM(H264)=""""),"""",TEXTJOIN("", "",TRUE,ARRAYFORMULA(TRANSPOSE(TRIM(SPLIT(G264,"","")))&amp;""_""&amp;TRIM(SPLIT(H264,"","")))))"),"Elf_Female, Human_Female, Orc_Female, Khajiit_Female")</f>
        <v>Elf_Female, Human_Female, Orc_Female, Khajiit_Female</v>
      </c>
      <c r="J264" s="6" t="s">
        <v>291</v>
      </c>
      <c r="K264" s="6" t="s">
        <v>726</v>
      </c>
      <c r="L264" s="12" t="str">
        <f t="shared" si="1"/>
        <v>KSSMP_SummerHaze,3,3</v>
      </c>
    </row>
    <row r="265" ht="15.75" customHeight="1">
      <c r="A265" s="5" t="s">
        <v>723</v>
      </c>
      <c r="B265" s="17"/>
      <c r="C265" s="5" t="s">
        <v>912</v>
      </c>
      <c r="D265" s="5">
        <v>1.0</v>
      </c>
      <c r="E265" s="5">
        <f t="shared" si="19"/>
        <v>1</v>
      </c>
      <c r="F265" s="5" t="s">
        <v>913</v>
      </c>
      <c r="G265" s="4" t="s">
        <v>644</v>
      </c>
      <c r="H265" s="10" t="s">
        <v>41</v>
      </c>
      <c r="I265" s="5" t="str">
        <f>IFERROR(__xludf.DUMMYFUNCTION("IF(OR(TRIM(G265)="""",TRIM(H265)=""""),"""",TEXTJOIN("", "",TRUE,ARRAYFORMULA(TRANSPOSE(TRIM(SPLIT(G265,"","")))&amp;""_""&amp;TRIM(SPLIT(H265,"","")))))"),"Elf_Female, Human_Female, Orc_Female, Khajiit_Female")</f>
        <v>Elf_Female, Human_Female, Orc_Female, Khajiit_Female</v>
      </c>
      <c r="J265" s="6" t="s">
        <v>291</v>
      </c>
      <c r="K265" s="6" t="s">
        <v>726</v>
      </c>
      <c r="L265" s="12" t="str">
        <f t="shared" si="1"/>
        <v>KSSMP_SweetEscape,1,1</v>
      </c>
    </row>
    <row r="266" ht="15.75" customHeight="1">
      <c r="A266" s="5" t="s">
        <v>723</v>
      </c>
      <c r="B266" s="17"/>
      <c r="C266" s="5" t="s">
        <v>914</v>
      </c>
      <c r="D266" s="5">
        <v>1.0</v>
      </c>
      <c r="E266" s="5">
        <f t="shared" si="19"/>
        <v>1</v>
      </c>
      <c r="F266" s="5" t="s">
        <v>915</v>
      </c>
      <c r="G266" s="4" t="s">
        <v>644</v>
      </c>
      <c r="H266" s="10" t="s">
        <v>41</v>
      </c>
      <c r="I266" s="5" t="str">
        <f>IFERROR(__xludf.DUMMYFUNCTION("IF(OR(TRIM(G266)="""",TRIM(H266)=""""),"""",TEXTJOIN("", "",TRUE,ARRAYFORMULA(TRANSPOSE(TRIM(SPLIT(G266,"","")))&amp;""_""&amp;TRIM(SPLIT(H266,"","")))))"),"Elf_Female, Human_Female, Orc_Female, Khajiit_Female")</f>
        <v>Elf_Female, Human_Female, Orc_Female, Khajiit_Female</v>
      </c>
      <c r="J266" s="6" t="s">
        <v>291</v>
      </c>
      <c r="K266" s="6" t="s">
        <v>726</v>
      </c>
      <c r="L266" s="12" t="str">
        <f t="shared" si="1"/>
        <v>KSSMP_SweetScar,1,1</v>
      </c>
    </row>
    <row r="267" ht="15.75" customHeight="1">
      <c r="A267" s="5" t="s">
        <v>723</v>
      </c>
      <c r="B267" s="17"/>
      <c r="C267" s="5" t="s">
        <v>916</v>
      </c>
      <c r="D267" s="5">
        <v>1.0</v>
      </c>
      <c r="E267" s="5">
        <f t="shared" si="19"/>
        <v>1</v>
      </c>
      <c r="F267" s="5" t="s">
        <v>917</v>
      </c>
      <c r="G267" s="5" t="s">
        <v>554</v>
      </c>
      <c r="H267" s="10" t="s">
        <v>41</v>
      </c>
      <c r="I267" s="5" t="str">
        <f>IFERROR(__xludf.DUMMYFUNCTION("IF(OR(TRIM(G267)="""",TRIM(H267)=""""),"""",TEXTJOIN("", "",TRUE,ARRAYFORMULA(TRANSPOSE(TRIM(SPLIT(G267,"","")))&amp;""_""&amp;TRIM(SPLIT(H267,"","")))))"),"Elf_Female, Human_Female, Orc_Female")</f>
        <v>Elf_Female, Human_Female, Orc_Female</v>
      </c>
      <c r="J267" s="6" t="s">
        <v>291</v>
      </c>
      <c r="L267" s="12" t="str">
        <f t="shared" si="1"/>
        <v>KSSMP_SweetScar2,1,1</v>
      </c>
    </row>
    <row r="268" ht="15.75" customHeight="1">
      <c r="A268" s="5" t="s">
        <v>723</v>
      </c>
      <c r="B268" s="17"/>
      <c r="C268" s="5" t="s">
        <v>918</v>
      </c>
      <c r="D268" s="5">
        <v>2.0</v>
      </c>
      <c r="E268" s="5">
        <f t="shared" si="19"/>
        <v>2</v>
      </c>
      <c r="F268" s="5" t="s">
        <v>919</v>
      </c>
      <c r="G268" s="4" t="s">
        <v>644</v>
      </c>
      <c r="H268" s="10" t="s">
        <v>41</v>
      </c>
      <c r="I268" s="5" t="str">
        <f>IFERROR(__xludf.DUMMYFUNCTION("IF(OR(TRIM(G268)="""",TRIM(H268)=""""),"""",TEXTJOIN("", "",TRUE,ARRAYFORMULA(TRANSPOSE(TRIM(SPLIT(G268,"","")))&amp;""_""&amp;TRIM(SPLIT(H268,"","")))))"),"Elf_Female, Human_Female, Orc_Female, Khajiit_Female")</f>
        <v>Elf_Female, Human_Female, Orc_Female, Khajiit_Female</v>
      </c>
      <c r="J268" s="6" t="s">
        <v>291</v>
      </c>
      <c r="K268" s="6" t="s">
        <v>726</v>
      </c>
      <c r="L268" s="12" t="str">
        <f t="shared" si="1"/>
        <v>KSSMP_SweetVillain,2,2</v>
      </c>
    </row>
    <row r="269" ht="15.75" customHeight="1">
      <c r="A269" s="5" t="s">
        <v>723</v>
      </c>
      <c r="B269" s="17"/>
      <c r="C269" s="5" t="s">
        <v>920</v>
      </c>
      <c r="D269" s="5">
        <v>2.0</v>
      </c>
      <c r="E269" s="5">
        <v>3.0</v>
      </c>
      <c r="F269" s="5" t="s">
        <v>921</v>
      </c>
      <c r="G269" s="4" t="s">
        <v>644</v>
      </c>
      <c r="H269" s="10" t="s">
        <v>41</v>
      </c>
      <c r="I269" s="5" t="str">
        <f>IFERROR(__xludf.DUMMYFUNCTION("IF(OR(TRIM(G269)="""",TRIM(H269)=""""),"""",TEXTJOIN("", "",TRUE,ARRAYFORMULA(TRANSPOSE(TRIM(SPLIT(G269,"","")))&amp;""_""&amp;TRIM(SPLIT(H269,"","")))))"),"Elf_Female, Human_Female, Orc_Female, Khajiit_Female")</f>
        <v>Elf_Female, Human_Female, Orc_Female, Khajiit_Female</v>
      </c>
      <c r="J269" s="6" t="s">
        <v>291</v>
      </c>
      <c r="K269" s="6" t="s">
        <v>726</v>
      </c>
      <c r="L269" s="12" t="str">
        <f t="shared" si="1"/>
        <v>KSSMP_TellMe,2,3</v>
      </c>
    </row>
    <row r="270" ht="15.75" customHeight="1">
      <c r="A270" s="5" t="s">
        <v>723</v>
      </c>
      <c r="B270" s="17"/>
      <c r="C270" s="5" t="s">
        <v>922</v>
      </c>
      <c r="D270" s="5">
        <v>2.0</v>
      </c>
      <c r="E270" s="5">
        <f t="shared" ref="E270:E271" si="20">D270</f>
        <v>2</v>
      </c>
      <c r="F270" s="5" t="s">
        <v>925</v>
      </c>
      <c r="G270" s="4" t="s">
        <v>644</v>
      </c>
      <c r="H270" s="10" t="s">
        <v>41</v>
      </c>
      <c r="I270" s="5" t="str">
        <f>IFERROR(__xludf.DUMMYFUNCTION("IF(OR(TRIM(G270)="""",TRIM(H270)=""""),"""",TEXTJOIN("", "",TRUE,ARRAYFORMULA(TRANSPOSE(TRIM(SPLIT(G270,"","")))&amp;""_""&amp;TRIM(SPLIT(H270,"","")))))"),"Elf_Female, Human_Female, Orc_Female, Khajiit_Female")</f>
        <v>Elf_Female, Human_Female, Orc_Female, Khajiit_Female</v>
      </c>
      <c r="J270" s="6" t="s">
        <v>291</v>
      </c>
      <c r="K270" s="6" t="s">
        <v>726</v>
      </c>
      <c r="L270" s="12" t="str">
        <f t="shared" si="1"/>
        <v>KSSMP_Tonight,2,2</v>
      </c>
    </row>
    <row r="271" ht="15.75" customHeight="1">
      <c r="A271" s="5" t="s">
        <v>723</v>
      </c>
      <c r="B271" s="17"/>
      <c r="C271" s="5" t="s">
        <v>926</v>
      </c>
      <c r="D271" s="5">
        <v>1.0</v>
      </c>
      <c r="E271" s="5">
        <f t="shared" si="20"/>
        <v>1</v>
      </c>
      <c r="F271" s="5" t="s">
        <v>927</v>
      </c>
      <c r="G271" s="4" t="s">
        <v>644</v>
      </c>
      <c r="H271" s="10" t="s">
        <v>41</v>
      </c>
      <c r="I271" s="5" t="str">
        <f>IFERROR(__xludf.DUMMYFUNCTION("IF(OR(TRIM(G271)="""",TRIM(H271)=""""),"""",TEXTJOIN("", "",TRUE,ARRAYFORMULA(TRANSPOSE(TRIM(SPLIT(G271,"","")))&amp;""_""&amp;TRIM(SPLIT(H271,"","")))))"),"Elf_Female, Human_Female, Orc_Female, Khajiit_Female")</f>
        <v>Elf_Female, Human_Female, Orc_Female, Khajiit_Female</v>
      </c>
      <c r="J271" s="6" t="s">
        <v>291</v>
      </c>
      <c r="K271" s="6" t="s">
        <v>726</v>
      </c>
      <c r="L271" s="12" t="str">
        <f t="shared" si="1"/>
        <v>KSSMP_TopGorgeous,1,1</v>
      </c>
    </row>
    <row r="272" ht="15.75" customHeight="1">
      <c r="A272" s="5" t="s">
        <v>723</v>
      </c>
      <c r="B272" s="17"/>
      <c r="C272" s="5" t="s">
        <v>928</v>
      </c>
      <c r="D272" s="5">
        <v>1.0</v>
      </c>
      <c r="E272" s="5">
        <v>4.0</v>
      </c>
      <c r="F272" s="5" t="s">
        <v>929</v>
      </c>
      <c r="G272" s="4" t="s">
        <v>644</v>
      </c>
      <c r="H272" s="10" t="s">
        <v>41</v>
      </c>
      <c r="I272" s="5" t="str">
        <f>IFERROR(__xludf.DUMMYFUNCTION("IF(OR(TRIM(G272)="""",TRIM(H272)=""""),"""",TEXTJOIN("", "",TRUE,ARRAYFORMULA(TRANSPOSE(TRIM(SPLIT(G272,"","")))&amp;""_""&amp;TRIM(SPLIT(H272,"","")))))"),"Elf_Female, Human_Female, Orc_Female, Khajiit_Female")</f>
        <v>Elf_Female, Human_Female, Orc_Female, Khajiit_Female</v>
      </c>
      <c r="J272" s="6" t="s">
        <v>291</v>
      </c>
      <c r="K272" s="6" t="s">
        <v>726</v>
      </c>
      <c r="L272" s="12" t="str">
        <f t="shared" si="1"/>
        <v>KSSMP_Traveler,1,4</v>
      </c>
    </row>
    <row r="273" ht="15.75" customHeight="1">
      <c r="A273" s="5" t="s">
        <v>723</v>
      </c>
      <c r="B273" s="17"/>
      <c r="C273" s="5" t="s">
        <v>930</v>
      </c>
      <c r="D273" s="5">
        <v>1.0</v>
      </c>
      <c r="E273" s="5">
        <f t="shared" ref="E273:E281" si="21">D273</f>
        <v>1</v>
      </c>
      <c r="F273" s="5" t="s">
        <v>931</v>
      </c>
      <c r="G273" s="4" t="s">
        <v>644</v>
      </c>
      <c r="H273" s="10" t="s">
        <v>41</v>
      </c>
      <c r="I273" s="5" t="str">
        <f>IFERROR(__xludf.DUMMYFUNCTION("IF(OR(TRIM(G273)="""",TRIM(H273)=""""),"""",TEXTJOIN("", "",TRUE,ARRAYFORMULA(TRANSPOSE(TRIM(SPLIT(G273,"","")))&amp;""_""&amp;TRIM(SPLIT(H273,"","")))))"),"Elf_Female, Human_Female, Orc_Female, Khajiit_Female")</f>
        <v>Elf_Female, Human_Female, Orc_Female, Khajiit_Female</v>
      </c>
      <c r="J273" s="6" t="s">
        <v>291</v>
      </c>
      <c r="K273" s="6" t="s">
        <v>726</v>
      </c>
      <c r="L273" s="12" t="str">
        <f t="shared" si="1"/>
        <v>KSSMP_Vapor,1,1</v>
      </c>
    </row>
    <row r="274" ht="15.75" customHeight="1">
      <c r="A274" s="5" t="s">
        <v>723</v>
      </c>
      <c r="B274" s="17"/>
      <c r="C274" s="5" t="s">
        <v>932</v>
      </c>
      <c r="D274" s="5">
        <v>2.0</v>
      </c>
      <c r="E274" s="5">
        <f t="shared" si="21"/>
        <v>2</v>
      </c>
      <c r="F274" s="5" t="s">
        <v>933</v>
      </c>
      <c r="G274" s="4" t="s">
        <v>644</v>
      </c>
      <c r="H274" s="10" t="s">
        <v>41</v>
      </c>
      <c r="I274" s="5" t="str">
        <f>IFERROR(__xludf.DUMMYFUNCTION("IF(OR(TRIM(G274)="""",TRIM(H274)=""""),"""",TEXTJOIN("", "",TRUE,ARRAYFORMULA(TRANSPOSE(TRIM(SPLIT(G274,"","")))&amp;""_""&amp;TRIM(SPLIT(H274,"","")))))"),"Elf_Female, Human_Female, Orc_Female, Khajiit_Female")</f>
        <v>Elf_Female, Human_Female, Orc_Female, Khajiit_Female</v>
      </c>
      <c r="J274" s="6" t="s">
        <v>291</v>
      </c>
      <c r="K274" s="6" t="s">
        <v>726</v>
      </c>
      <c r="L274" s="12" t="str">
        <f t="shared" si="1"/>
        <v>KSSMP_Veneris,2,2</v>
      </c>
    </row>
    <row r="275" ht="15.75" customHeight="1">
      <c r="A275" s="5" t="s">
        <v>723</v>
      </c>
      <c r="B275" s="17"/>
      <c r="C275" s="5" t="s">
        <v>934</v>
      </c>
      <c r="D275" s="5">
        <v>2.0</v>
      </c>
      <c r="E275" s="5">
        <f t="shared" si="21"/>
        <v>2</v>
      </c>
      <c r="F275" s="5" t="s">
        <v>935</v>
      </c>
      <c r="G275" s="4" t="s">
        <v>644</v>
      </c>
      <c r="H275" s="10" t="s">
        <v>41</v>
      </c>
      <c r="I275" s="5" t="str">
        <f>IFERROR(__xludf.DUMMYFUNCTION("IF(OR(TRIM(G275)="""",TRIM(H275)=""""),"""",TEXTJOIN("", "",TRUE,ARRAYFORMULA(TRANSPOSE(TRIM(SPLIT(G275,"","")))&amp;""_""&amp;TRIM(SPLIT(H275,"","")))))"),"Elf_Female, Human_Female, Orc_Female, Khajiit_Female")</f>
        <v>Elf_Female, Human_Female, Orc_Female, Khajiit_Female</v>
      </c>
      <c r="J275" s="6" t="s">
        <v>291</v>
      </c>
      <c r="K275" s="6" t="s">
        <v>726</v>
      </c>
      <c r="L275" s="12" t="str">
        <f t="shared" si="1"/>
        <v>KSSMP_ViceCity,2,2</v>
      </c>
    </row>
    <row r="276" ht="15.75" customHeight="1">
      <c r="A276" s="5" t="s">
        <v>723</v>
      </c>
      <c r="B276" s="17"/>
      <c r="C276" s="5" t="s">
        <v>936</v>
      </c>
      <c r="D276" s="5">
        <v>2.0</v>
      </c>
      <c r="E276" s="5">
        <f t="shared" si="21"/>
        <v>2</v>
      </c>
      <c r="F276" s="5" t="s">
        <v>937</v>
      </c>
      <c r="G276" s="4" t="s">
        <v>644</v>
      </c>
      <c r="H276" s="10" t="s">
        <v>41</v>
      </c>
      <c r="I276" s="5" t="str">
        <f>IFERROR(__xludf.DUMMYFUNCTION("IF(OR(TRIM(G276)="""",TRIM(H276)=""""),"""",TEXTJOIN("", "",TRUE,ARRAYFORMULA(TRANSPOSE(TRIM(SPLIT(G276,"","")))&amp;""_""&amp;TRIM(SPLIT(H276,"","")))))"),"Elf_Female, Human_Female, Orc_Female, Khajiit_Female")</f>
        <v>Elf_Female, Human_Female, Orc_Female, Khajiit_Female</v>
      </c>
      <c r="J276" s="6" t="s">
        <v>291</v>
      </c>
      <c r="K276" s="6" t="s">
        <v>726</v>
      </c>
      <c r="L276" s="12" t="str">
        <f t="shared" si="1"/>
        <v>KSSMP_Vivacity,2,2</v>
      </c>
    </row>
    <row r="277" ht="15.75" customHeight="1">
      <c r="A277" s="5" t="s">
        <v>723</v>
      </c>
      <c r="B277" s="17"/>
      <c r="C277" s="5" t="s">
        <v>938</v>
      </c>
      <c r="D277" s="5">
        <v>2.0</v>
      </c>
      <c r="E277" s="5">
        <f t="shared" si="21"/>
        <v>2</v>
      </c>
      <c r="F277" s="5" t="s">
        <v>939</v>
      </c>
      <c r="G277" s="4" t="s">
        <v>644</v>
      </c>
      <c r="H277" s="10" t="s">
        <v>41</v>
      </c>
      <c r="I277" s="5" t="str">
        <f>IFERROR(__xludf.DUMMYFUNCTION("IF(OR(TRIM(G277)="""",TRIM(H277)=""""),"""",TEXTJOIN("", "",TRUE,ARRAYFORMULA(TRANSPOSE(TRIM(SPLIT(G277,"","")))&amp;""_""&amp;TRIM(SPLIT(H277,"","")))))"),"Elf_Female, Human_Female, Orc_Female, Khajiit_Female")</f>
        <v>Elf_Female, Human_Female, Orc_Female, Khajiit_Female</v>
      </c>
      <c r="J277" s="6" t="s">
        <v>291</v>
      </c>
      <c r="K277" s="6" t="s">
        <v>726</v>
      </c>
      <c r="L277" s="12" t="str">
        <f t="shared" si="1"/>
        <v>KSSMP_Wine,2,2</v>
      </c>
    </row>
    <row r="278" ht="15.75" customHeight="1">
      <c r="A278" s="5" t="s">
        <v>723</v>
      </c>
      <c r="B278" s="17"/>
      <c r="C278" s="5" t="s">
        <v>940</v>
      </c>
      <c r="D278" s="5">
        <v>1.0</v>
      </c>
      <c r="E278" s="5">
        <f t="shared" si="21"/>
        <v>1</v>
      </c>
      <c r="F278" s="5" t="s">
        <v>941</v>
      </c>
      <c r="G278" s="4" t="s">
        <v>644</v>
      </c>
      <c r="H278" s="10" t="s">
        <v>41</v>
      </c>
      <c r="I278" s="5" t="str">
        <f>IFERROR(__xludf.DUMMYFUNCTION("IF(OR(TRIM(G278)="""",TRIM(H278)=""""),"""",TEXTJOIN("", "",TRUE,ARRAYFORMULA(TRANSPOSE(TRIM(SPLIT(G278,"","")))&amp;""_""&amp;TRIM(SPLIT(H278,"","")))))"),"Elf_Female, Human_Female, Orc_Female, Khajiit_Female")</f>
        <v>Elf_Female, Human_Female, Orc_Female, Khajiit_Female</v>
      </c>
      <c r="J278" s="6" t="s">
        <v>291</v>
      </c>
      <c r="K278" s="6" t="s">
        <v>726</v>
      </c>
      <c r="L278" s="12" t="str">
        <f t="shared" si="1"/>
        <v>KSSMP_XOXO,1,1</v>
      </c>
    </row>
    <row r="279" ht="15.75" customHeight="1">
      <c r="A279" s="5" t="s">
        <v>723</v>
      </c>
      <c r="B279" s="17"/>
      <c r="C279" s="5" t="s">
        <v>944</v>
      </c>
      <c r="D279" s="5">
        <v>2.0</v>
      </c>
      <c r="E279" s="5">
        <f t="shared" si="21"/>
        <v>2</v>
      </c>
      <c r="F279" s="5" t="s">
        <v>945</v>
      </c>
      <c r="G279" s="4" t="s">
        <v>644</v>
      </c>
      <c r="H279" s="10" t="s">
        <v>41</v>
      </c>
      <c r="I279" s="5" t="str">
        <f>IFERROR(__xludf.DUMMYFUNCTION("IF(OR(TRIM(G279)="""",TRIM(H279)=""""),"""",TEXTJOIN("", "",TRUE,ARRAYFORMULA(TRANSPOSE(TRIM(SPLIT(G279,"","")))&amp;""_""&amp;TRIM(SPLIT(H279,"","")))))"),"Elf_Female, Human_Female, Orc_Female, Khajiit_Female")</f>
        <v>Elf_Female, Human_Female, Orc_Female, Khajiit_Female</v>
      </c>
      <c r="J279" s="6" t="s">
        <v>291</v>
      </c>
      <c r="K279" s="6" t="s">
        <v>726</v>
      </c>
      <c r="L279" s="12" t="str">
        <f t="shared" si="1"/>
        <v>KSSMP_Youth,2,2</v>
      </c>
    </row>
    <row r="280" ht="15.75" customHeight="1">
      <c r="A280" s="5" t="s">
        <v>723</v>
      </c>
      <c r="B280" s="17"/>
      <c r="C280" s="5" t="s">
        <v>946</v>
      </c>
      <c r="D280" s="5">
        <v>2.0</v>
      </c>
      <c r="E280" s="5">
        <f t="shared" si="21"/>
        <v>2</v>
      </c>
      <c r="F280" s="5" t="s">
        <v>947</v>
      </c>
      <c r="G280" s="4" t="s">
        <v>644</v>
      </c>
      <c r="H280" s="10" t="s">
        <v>41</v>
      </c>
      <c r="I280" s="5" t="str">
        <f>IFERROR(__xludf.DUMMYFUNCTION("IF(OR(TRIM(G280)="""",TRIM(H280)=""""),"""",TEXTJOIN("", "",TRUE,ARRAYFORMULA(TRANSPOSE(TRIM(SPLIT(G280,"","")))&amp;""_""&amp;TRIM(SPLIT(H280,"","")))))"),"Elf_Female, Human_Female, Orc_Female, Khajiit_Female")</f>
        <v>Elf_Female, Human_Female, Orc_Female, Khajiit_Female</v>
      </c>
      <c r="J280" s="6" t="s">
        <v>291</v>
      </c>
      <c r="K280" s="6" t="s">
        <v>726</v>
      </c>
      <c r="L280" s="12" t="str">
        <f t="shared" si="1"/>
        <v>KSSMP_Zoella,2,2</v>
      </c>
    </row>
    <row r="281" ht="15.75" customHeight="1">
      <c r="A281" s="10" t="s">
        <v>948</v>
      </c>
      <c r="B281" s="17"/>
      <c r="C281" s="5" t="s">
        <v>949</v>
      </c>
      <c r="D281" s="5">
        <v>1.0</v>
      </c>
      <c r="E281" s="5">
        <f t="shared" si="21"/>
        <v>1</v>
      </c>
      <c r="F281" s="5" t="s">
        <v>950</v>
      </c>
      <c r="G281" s="5" t="s">
        <v>554</v>
      </c>
      <c r="H281" s="10" t="s">
        <v>562</v>
      </c>
      <c r="I281" s="5" t="str">
        <f>IFERROR(__xludf.DUMMYFUNCTION("IF(OR(TRIM(G281)="""",TRIM(H281)=""""),"""",TEXTJOIN("", "",TRUE,ARRAYFORMULA(TRANSPOSE(TRIM(SPLIT(G281,"","")))&amp;""_""&amp;TRIM(SPLIT(H281,"","")))))"),"Elf_Male, Elf_Female, Human_Male, Human_Female, Orc_Male, Orc_Female")</f>
        <v>Elf_Male, Elf_Female, Human_Male, Human_Female, Orc_Male, Orc_Female</v>
      </c>
      <c r="J281" s="6" t="s">
        <v>951</v>
      </c>
      <c r="L281" s="12" t="str">
        <f t="shared" si="1"/>
        <v>ModularSMPHair_Dove,1,1</v>
      </c>
    </row>
    <row r="282" ht="15.75" customHeight="1">
      <c r="A282" s="10" t="s">
        <v>948</v>
      </c>
      <c r="B282" s="17"/>
      <c r="C282" s="5" t="s">
        <v>952</v>
      </c>
      <c r="D282" s="5">
        <v>2.0</v>
      </c>
      <c r="E282" s="5">
        <v>3.0</v>
      </c>
      <c r="F282" s="5" t="s">
        <v>953</v>
      </c>
      <c r="G282" s="5" t="s">
        <v>644</v>
      </c>
      <c r="H282" s="10" t="s">
        <v>562</v>
      </c>
      <c r="I282" s="5" t="str">
        <f>IFERROR(__xludf.DUMMYFUNCTION("IF(OR(TRIM(G282)="""",TRIM(H282)=""""),"""",TEXTJOIN("", "",TRUE,ARRAYFORMULA(TRANSPOSE(TRIM(SPLIT(G282,"","")))&amp;""_""&amp;TRIM(SPLIT(H282,"","")))))"),"Elf_Male, Elf_Female, Human_Male, Human_Female, Orc_Male, Orc_Female, Khajiit_Male, Khajiit_Female")</f>
        <v>Elf_Male, Elf_Female, Human_Male, Human_Female, Orc_Male, Orc_Female, Khajiit_Male, Khajiit_Female</v>
      </c>
      <c r="J282" s="6" t="s">
        <v>951</v>
      </c>
      <c r="L282" s="12" t="str">
        <f t="shared" si="1"/>
        <v>ModularSMPHair_Eventually,2,3</v>
      </c>
    </row>
    <row r="283" ht="15.75" customHeight="1">
      <c r="A283" s="10" t="s">
        <v>948</v>
      </c>
      <c r="B283" s="17"/>
      <c r="C283" s="5" t="s">
        <v>954</v>
      </c>
      <c r="D283" s="5">
        <v>2.0</v>
      </c>
      <c r="E283" s="5">
        <v>3.0</v>
      </c>
      <c r="F283" s="5" t="s">
        <v>955</v>
      </c>
      <c r="G283" s="5" t="s">
        <v>644</v>
      </c>
      <c r="H283" s="10" t="s">
        <v>562</v>
      </c>
      <c r="I283" s="5" t="str">
        <f>IFERROR(__xludf.DUMMYFUNCTION("IF(OR(TRIM(G283)="""",TRIM(H283)=""""),"""",TEXTJOIN("", "",TRUE,ARRAYFORMULA(TRANSPOSE(TRIM(SPLIT(G283,"","")))&amp;""_""&amp;TRIM(SPLIT(H283,"","")))))"),"Elf_Male, Elf_Female, Human_Male, Human_Female, Orc_Male, Orc_Female, Khajiit_Male, Khajiit_Female")</f>
        <v>Elf_Male, Elf_Female, Human_Male, Human_Female, Orc_Male, Orc_Female, Khajiit_Male, Khajiit_Female</v>
      </c>
      <c r="J283" s="6" t="s">
        <v>951</v>
      </c>
      <c r="L283" s="12" t="str">
        <f t="shared" si="1"/>
        <v>ModularSMPHair_Intensity,2,3</v>
      </c>
    </row>
    <row r="284" ht="15.75" customHeight="1">
      <c r="A284" s="10" t="s">
        <v>948</v>
      </c>
      <c r="B284" s="17"/>
      <c r="C284" s="5" t="s">
        <v>956</v>
      </c>
      <c r="D284" s="5">
        <v>1.0</v>
      </c>
      <c r="E284" s="5">
        <v>3.0</v>
      </c>
      <c r="F284" s="5" t="s">
        <v>957</v>
      </c>
      <c r="G284" s="5" t="s">
        <v>644</v>
      </c>
      <c r="H284" s="10" t="s">
        <v>562</v>
      </c>
      <c r="I284" s="5" t="str">
        <f>IFERROR(__xludf.DUMMYFUNCTION("IF(OR(TRIM(G284)="""",TRIM(H284)=""""),"""",TEXTJOIN("", "",TRUE,ARRAYFORMULA(TRANSPOSE(TRIM(SPLIT(G284,"","")))&amp;""_""&amp;TRIM(SPLIT(H284,"","")))))"),"Elf_Male, Elf_Female, Human_Male, Human_Female, Orc_Male, Orc_Female, Khajiit_Male, Khajiit_Female")</f>
        <v>Elf_Male, Elf_Female, Human_Male, Human_Female, Orc_Male, Orc_Female, Khajiit_Male, Khajiit_Female</v>
      </c>
      <c r="J284" s="6" t="s">
        <v>951</v>
      </c>
      <c r="L284" s="12" t="str">
        <f t="shared" si="1"/>
        <v>ModularSMPHair_Oracle,1,3</v>
      </c>
    </row>
    <row r="285" ht="15.75" customHeight="1">
      <c r="A285" s="10" t="s">
        <v>948</v>
      </c>
      <c r="B285" s="17"/>
      <c r="C285" s="5" t="s">
        <v>958</v>
      </c>
      <c r="D285" s="5">
        <v>1.0</v>
      </c>
      <c r="E285" s="5">
        <v>2.0</v>
      </c>
      <c r="F285" s="5" t="s">
        <v>959</v>
      </c>
      <c r="G285" s="5" t="s">
        <v>554</v>
      </c>
      <c r="H285" s="10" t="s">
        <v>562</v>
      </c>
      <c r="I285" s="5" t="str">
        <f>IFERROR(__xludf.DUMMYFUNCTION("IF(OR(TRIM(G285)="""",TRIM(H285)=""""),"""",TEXTJOIN("", "",TRUE,ARRAYFORMULA(TRANSPOSE(TRIM(SPLIT(G285,"","")))&amp;""_""&amp;TRIM(SPLIT(H285,"","")))))"),"Elf_Male, Elf_Female, Human_Male, Human_Female, Orc_Male, Orc_Female")</f>
        <v>Elf_Male, Elf_Female, Human_Male, Human_Female, Orc_Male, Orc_Female</v>
      </c>
      <c r="J285" s="6" t="s">
        <v>951</v>
      </c>
      <c r="L285" s="12" t="str">
        <f t="shared" si="1"/>
        <v>ModularSMPHair_Rogueish,1,2</v>
      </c>
    </row>
    <row r="286" ht="15.75" customHeight="1">
      <c r="A286" s="10" t="s">
        <v>948</v>
      </c>
      <c r="B286" s="17"/>
      <c r="C286" s="5" t="s">
        <v>960</v>
      </c>
      <c r="D286" s="5">
        <v>1.0</v>
      </c>
      <c r="E286" s="5">
        <v>2.0</v>
      </c>
      <c r="F286" s="5" t="s">
        <v>961</v>
      </c>
      <c r="G286" s="5" t="s">
        <v>644</v>
      </c>
      <c r="H286" s="10" t="s">
        <v>562</v>
      </c>
      <c r="I286" s="5" t="str">
        <f>IFERROR(__xludf.DUMMYFUNCTION("IF(OR(TRIM(G286)="""",TRIM(H286)=""""),"""",TEXTJOIN("", "",TRUE,ARRAYFORMULA(TRANSPOSE(TRIM(SPLIT(G286,"","")))&amp;""_""&amp;TRIM(SPLIT(H286,"","")))))"),"Elf_Male, Elf_Female, Human_Male, Human_Female, Orc_Male, Orc_Female, Khajiit_Male, Khajiit_Female")</f>
        <v>Elf_Male, Elf_Female, Human_Male, Human_Female, Orc_Male, Orc_Female, Khajiit_Male, Khajiit_Female</v>
      </c>
      <c r="J286" s="6" t="s">
        <v>951</v>
      </c>
      <c r="L286" s="12" t="str">
        <f t="shared" si="1"/>
        <v>ModularSMPHair_Scryer,1,2</v>
      </c>
    </row>
    <row r="287" ht="15.75" customHeight="1">
      <c r="A287" s="10" t="s">
        <v>948</v>
      </c>
      <c r="B287" s="17"/>
      <c r="C287" s="5" t="s">
        <v>963</v>
      </c>
      <c r="D287" s="5">
        <v>1.0</v>
      </c>
      <c r="E287" s="5">
        <v>3.0</v>
      </c>
      <c r="F287" s="5" t="s">
        <v>965</v>
      </c>
      <c r="G287" s="5" t="s">
        <v>644</v>
      </c>
      <c r="H287" s="10" t="s">
        <v>562</v>
      </c>
      <c r="I287" s="5" t="str">
        <f>IFERROR(__xludf.DUMMYFUNCTION("IF(OR(TRIM(G287)="""",TRIM(H287)=""""),"""",TEXTJOIN("", "",TRUE,ARRAYFORMULA(TRANSPOSE(TRIM(SPLIT(G287,"","")))&amp;""_""&amp;TRIM(SPLIT(H287,"","")))))"),"Elf_Male, Elf_Female, Human_Male, Human_Female, Orc_Male, Orc_Female, Khajiit_Male, Khajiit_Female")</f>
        <v>Elf_Male, Elf_Female, Human_Male, Human_Female, Orc_Male, Orc_Female, Khajiit_Male, Khajiit_Female</v>
      </c>
      <c r="J287" s="6" t="s">
        <v>951</v>
      </c>
      <c r="L287" s="12" t="str">
        <f t="shared" si="1"/>
        <v>ModularSMPHair_A,1,3</v>
      </c>
    </row>
    <row r="288" ht="15.75" customHeight="1">
      <c r="A288" s="10" t="s">
        <v>948</v>
      </c>
      <c r="B288" s="17"/>
      <c r="C288" s="5" t="s">
        <v>966</v>
      </c>
      <c r="D288" s="5">
        <v>2.0</v>
      </c>
      <c r="E288" s="5">
        <v>3.0</v>
      </c>
      <c r="F288" s="5" t="s">
        <v>967</v>
      </c>
      <c r="G288" s="5" t="s">
        <v>554</v>
      </c>
      <c r="H288" s="10" t="s">
        <v>562</v>
      </c>
      <c r="I288" s="5" t="str">
        <f>IFERROR(__xludf.DUMMYFUNCTION("IF(OR(TRIM(G288)="""",TRIM(H288)=""""),"""",TEXTJOIN("", "",TRUE,ARRAYFORMULA(TRANSPOSE(TRIM(SPLIT(G288,"","")))&amp;""_""&amp;TRIM(SPLIT(H288,"","")))))"),"Elf_Male, Elf_Female, Human_Male, Human_Female, Orc_Male, Orc_Female")</f>
        <v>Elf_Male, Elf_Female, Human_Male, Human_Female, Orc_Male, Orc_Female</v>
      </c>
      <c r="J288" s="6" t="s">
        <v>951</v>
      </c>
      <c r="L288" s="12" t="str">
        <f t="shared" si="1"/>
        <v>ModularSMPHair_AA,2,3</v>
      </c>
    </row>
    <row r="289" ht="15.75" customHeight="1">
      <c r="A289" s="10" t="s">
        <v>948</v>
      </c>
      <c r="B289" s="17"/>
      <c r="C289" s="5" t="s">
        <v>968</v>
      </c>
      <c r="D289" s="5">
        <v>2.0</v>
      </c>
      <c r="E289" s="5">
        <v>3.0</v>
      </c>
      <c r="F289" s="5" t="s">
        <v>969</v>
      </c>
      <c r="G289" s="5" t="s">
        <v>554</v>
      </c>
      <c r="H289" s="10" t="s">
        <v>562</v>
      </c>
      <c r="I289" s="5" t="str">
        <f>IFERROR(__xludf.DUMMYFUNCTION("IF(OR(TRIM(G289)="""",TRIM(H289)=""""),"""",TEXTJOIN("", "",TRUE,ARRAYFORMULA(TRANSPOSE(TRIM(SPLIT(G289,"","")))&amp;""_""&amp;TRIM(SPLIT(H289,"","")))))"),"Elf_Male, Elf_Female, Human_Male, Human_Female, Orc_Male, Orc_Female")</f>
        <v>Elf_Male, Elf_Female, Human_Male, Human_Female, Orc_Male, Orc_Female</v>
      </c>
      <c r="J289" s="6" t="s">
        <v>951</v>
      </c>
      <c r="L289" s="12" t="str">
        <f t="shared" si="1"/>
        <v>ModularSMPHair_AB,2,3</v>
      </c>
    </row>
    <row r="290" ht="15.75" customHeight="1">
      <c r="A290" s="10" t="s">
        <v>948</v>
      </c>
      <c r="B290" s="17"/>
      <c r="C290" s="5" t="s">
        <v>970</v>
      </c>
      <c r="D290" s="5">
        <v>1.0</v>
      </c>
      <c r="E290" s="5">
        <v>3.0</v>
      </c>
      <c r="F290" s="5" t="s">
        <v>971</v>
      </c>
      <c r="G290" s="5" t="s">
        <v>554</v>
      </c>
      <c r="H290" s="10" t="s">
        <v>562</v>
      </c>
      <c r="I290" s="5" t="str">
        <f>IFERROR(__xludf.DUMMYFUNCTION("IF(OR(TRIM(G290)="""",TRIM(H290)=""""),"""",TEXTJOIN("", "",TRUE,ARRAYFORMULA(TRANSPOSE(TRIM(SPLIT(G290,"","")))&amp;""_""&amp;TRIM(SPLIT(H290,"","")))))"),"Elf_Male, Elf_Female, Human_Male, Human_Female, Orc_Male, Orc_Female")</f>
        <v>Elf_Male, Elf_Female, Human_Male, Human_Female, Orc_Male, Orc_Female</v>
      </c>
      <c r="J290" s="6" t="s">
        <v>951</v>
      </c>
      <c r="L290" s="12" t="str">
        <f t="shared" si="1"/>
        <v>ModularSMPHair_AC,1,3</v>
      </c>
    </row>
    <row r="291" ht="15.75" customHeight="1">
      <c r="A291" s="10" t="s">
        <v>948</v>
      </c>
      <c r="B291" s="17"/>
      <c r="C291" s="5" t="s">
        <v>972</v>
      </c>
      <c r="D291" s="5">
        <v>1.0</v>
      </c>
      <c r="E291" s="5">
        <v>3.0</v>
      </c>
      <c r="F291" s="5" t="s">
        <v>973</v>
      </c>
      <c r="G291" s="5" t="s">
        <v>554</v>
      </c>
      <c r="H291" s="10" t="s">
        <v>562</v>
      </c>
      <c r="I291" s="5" t="str">
        <f>IFERROR(__xludf.DUMMYFUNCTION("IF(OR(TRIM(G291)="""",TRIM(H291)=""""),"""",TEXTJOIN("", "",TRUE,ARRAYFORMULA(TRANSPOSE(TRIM(SPLIT(G291,"","")))&amp;""_""&amp;TRIM(SPLIT(H291,"","")))))"),"Elf_Male, Elf_Female, Human_Male, Human_Female, Orc_Male, Orc_Female")</f>
        <v>Elf_Male, Elf_Female, Human_Male, Human_Female, Orc_Male, Orc_Female</v>
      </c>
      <c r="J291" s="6" t="s">
        <v>951</v>
      </c>
      <c r="L291" s="12" t="str">
        <f t="shared" si="1"/>
        <v>ModularSMPHair_AD,1,3</v>
      </c>
    </row>
    <row r="292" ht="15.75" customHeight="1">
      <c r="A292" s="10" t="s">
        <v>948</v>
      </c>
      <c r="B292" s="17"/>
      <c r="C292" s="5" t="s">
        <v>974</v>
      </c>
      <c r="D292" s="5">
        <v>2.0</v>
      </c>
      <c r="E292" s="5">
        <v>3.0</v>
      </c>
      <c r="F292" s="5" t="s">
        <v>975</v>
      </c>
      <c r="G292" s="5" t="s">
        <v>554</v>
      </c>
      <c r="H292" s="10" t="s">
        <v>562</v>
      </c>
      <c r="I292" s="5" t="str">
        <f>IFERROR(__xludf.DUMMYFUNCTION("IF(OR(TRIM(G292)="""",TRIM(H292)=""""),"""",TEXTJOIN("", "",TRUE,ARRAYFORMULA(TRANSPOSE(TRIM(SPLIT(G292,"","")))&amp;""_""&amp;TRIM(SPLIT(H292,"","")))))"),"Elf_Male, Elf_Female, Human_Male, Human_Female, Orc_Male, Orc_Female")</f>
        <v>Elf_Male, Elf_Female, Human_Male, Human_Female, Orc_Male, Orc_Female</v>
      </c>
      <c r="J292" s="6" t="s">
        <v>951</v>
      </c>
      <c r="L292" s="12" t="str">
        <f t="shared" si="1"/>
        <v>ModularSMPHair_AE,2,3</v>
      </c>
    </row>
    <row r="293" ht="15.75" customHeight="1">
      <c r="A293" s="10" t="s">
        <v>948</v>
      </c>
      <c r="B293" s="17"/>
      <c r="C293" s="5" t="s">
        <v>976</v>
      </c>
      <c r="D293" s="5">
        <v>1.0</v>
      </c>
      <c r="E293" s="5">
        <v>3.0</v>
      </c>
      <c r="F293" s="5" t="s">
        <v>977</v>
      </c>
      <c r="G293" s="5" t="s">
        <v>554</v>
      </c>
      <c r="H293" s="10" t="s">
        <v>562</v>
      </c>
      <c r="I293" s="5" t="str">
        <f>IFERROR(__xludf.DUMMYFUNCTION("IF(OR(TRIM(G293)="""",TRIM(H293)=""""),"""",TEXTJOIN("", "",TRUE,ARRAYFORMULA(TRANSPOSE(TRIM(SPLIT(G293,"","")))&amp;""_""&amp;TRIM(SPLIT(H293,"","")))))"),"Elf_Male, Elf_Female, Human_Male, Human_Female, Orc_Male, Orc_Female")</f>
        <v>Elf_Male, Elf_Female, Human_Male, Human_Female, Orc_Male, Orc_Female</v>
      </c>
      <c r="J293" s="6" t="s">
        <v>951</v>
      </c>
      <c r="L293" s="12" t="str">
        <f t="shared" si="1"/>
        <v>ModularSMPHair_AF,1,3</v>
      </c>
    </row>
    <row r="294" ht="15.75" customHeight="1">
      <c r="A294" s="10" t="s">
        <v>948</v>
      </c>
      <c r="B294" s="17"/>
      <c r="C294" s="5" t="s">
        <v>978</v>
      </c>
      <c r="D294" s="5">
        <v>1.0</v>
      </c>
      <c r="E294" s="5">
        <v>3.0</v>
      </c>
      <c r="F294" s="5" t="s">
        <v>979</v>
      </c>
      <c r="G294" s="5" t="s">
        <v>554</v>
      </c>
      <c r="H294" s="10" t="s">
        <v>562</v>
      </c>
      <c r="I294" s="5" t="str">
        <f>IFERROR(__xludf.DUMMYFUNCTION("IF(OR(TRIM(G294)="""",TRIM(H294)=""""),"""",TEXTJOIN("", "",TRUE,ARRAYFORMULA(TRANSPOSE(TRIM(SPLIT(G294,"","")))&amp;""_""&amp;TRIM(SPLIT(H294,"","")))))"),"Elf_Male, Elf_Female, Human_Male, Human_Female, Orc_Male, Orc_Female")</f>
        <v>Elf_Male, Elf_Female, Human_Male, Human_Female, Orc_Male, Orc_Female</v>
      </c>
      <c r="J294" s="6" t="s">
        <v>951</v>
      </c>
      <c r="L294" s="12" t="str">
        <f t="shared" si="1"/>
        <v>ModularSMPHair_AG,1,3</v>
      </c>
    </row>
    <row r="295" ht="15.75" customHeight="1">
      <c r="A295" s="10" t="s">
        <v>948</v>
      </c>
      <c r="B295" s="17"/>
      <c r="C295" s="5" t="s">
        <v>980</v>
      </c>
      <c r="D295" s="5">
        <v>1.0</v>
      </c>
      <c r="E295" s="5">
        <v>3.0</v>
      </c>
      <c r="F295" s="5" t="s">
        <v>981</v>
      </c>
      <c r="G295" s="5" t="s">
        <v>554</v>
      </c>
      <c r="H295" s="10" t="s">
        <v>562</v>
      </c>
      <c r="I295" s="5" t="str">
        <f>IFERROR(__xludf.DUMMYFUNCTION("IF(OR(TRIM(G295)="""",TRIM(H295)=""""),"""",TEXTJOIN("", "",TRUE,ARRAYFORMULA(TRANSPOSE(TRIM(SPLIT(G295,"","")))&amp;""_""&amp;TRIM(SPLIT(H295,"","")))))"),"Elf_Male, Elf_Female, Human_Male, Human_Female, Orc_Male, Orc_Female")</f>
        <v>Elf_Male, Elf_Female, Human_Male, Human_Female, Orc_Male, Orc_Female</v>
      </c>
      <c r="J295" s="6" t="s">
        <v>951</v>
      </c>
      <c r="L295" s="12" t="str">
        <f t="shared" si="1"/>
        <v>ModularSMPHair_AI,1,3</v>
      </c>
    </row>
    <row r="296" ht="15.75" customHeight="1">
      <c r="A296" s="10" t="s">
        <v>948</v>
      </c>
      <c r="B296" s="17"/>
      <c r="C296" s="5" t="s">
        <v>982</v>
      </c>
      <c r="D296" s="5">
        <v>1.0</v>
      </c>
      <c r="E296" s="5">
        <v>3.0</v>
      </c>
      <c r="F296" s="5" t="s">
        <v>983</v>
      </c>
      <c r="G296" s="5" t="s">
        <v>554</v>
      </c>
      <c r="H296" s="10" t="s">
        <v>562</v>
      </c>
      <c r="I296" s="5" t="str">
        <f>IFERROR(__xludf.DUMMYFUNCTION("IF(OR(TRIM(G296)="""",TRIM(H296)=""""),"""",TEXTJOIN("", "",TRUE,ARRAYFORMULA(TRANSPOSE(TRIM(SPLIT(G296,"","")))&amp;""_""&amp;TRIM(SPLIT(H296,"","")))))"),"Elf_Male, Elf_Female, Human_Male, Human_Female, Orc_Male, Orc_Female")</f>
        <v>Elf_Male, Elf_Female, Human_Male, Human_Female, Orc_Male, Orc_Female</v>
      </c>
      <c r="J296" s="6" t="s">
        <v>951</v>
      </c>
      <c r="L296" s="12" t="str">
        <f t="shared" si="1"/>
        <v>ModularSMPHair_AJ,1,3</v>
      </c>
    </row>
    <row r="297" ht="15.75" customHeight="1">
      <c r="A297" s="10" t="s">
        <v>948</v>
      </c>
      <c r="B297" s="17"/>
      <c r="C297" s="5" t="s">
        <v>984</v>
      </c>
      <c r="D297" s="5">
        <v>1.0</v>
      </c>
      <c r="E297" s="5">
        <v>3.0</v>
      </c>
      <c r="F297" s="5" t="s">
        <v>985</v>
      </c>
      <c r="G297" s="5" t="s">
        <v>554</v>
      </c>
      <c r="H297" s="10" t="s">
        <v>562</v>
      </c>
      <c r="I297" s="5" t="str">
        <f>IFERROR(__xludf.DUMMYFUNCTION("IF(OR(TRIM(G297)="""",TRIM(H297)=""""),"""",TEXTJOIN("", "",TRUE,ARRAYFORMULA(TRANSPOSE(TRIM(SPLIT(G297,"","")))&amp;""_""&amp;TRIM(SPLIT(H297,"","")))))"),"Elf_Male, Elf_Female, Human_Male, Human_Female, Orc_Male, Orc_Female")</f>
        <v>Elf_Male, Elf_Female, Human_Male, Human_Female, Orc_Male, Orc_Female</v>
      </c>
      <c r="J297" s="6" t="s">
        <v>951</v>
      </c>
      <c r="L297" s="12" t="str">
        <f t="shared" si="1"/>
        <v>ModularSMPHair_AK,1,3</v>
      </c>
    </row>
    <row r="298" ht="15.75" customHeight="1">
      <c r="A298" s="10" t="s">
        <v>948</v>
      </c>
      <c r="B298" s="17"/>
      <c r="C298" s="5" t="s">
        <v>986</v>
      </c>
      <c r="D298" s="5">
        <v>1.0</v>
      </c>
      <c r="E298" s="5">
        <v>3.0</v>
      </c>
      <c r="F298" s="5" t="s">
        <v>987</v>
      </c>
      <c r="G298" s="5" t="s">
        <v>554</v>
      </c>
      <c r="H298" s="10" t="s">
        <v>562</v>
      </c>
      <c r="I298" s="5" t="str">
        <f>IFERROR(__xludf.DUMMYFUNCTION("IF(OR(TRIM(G298)="""",TRIM(H298)=""""),"""",TEXTJOIN("", "",TRUE,ARRAYFORMULA(TRANSPOSE(TRIM(SPLIT(G298,"","")))&amp;""_""&amp;TRIM(SPLIT(H298,"","")))))"),"Elf_Male, Elf_Female, Human_Male, Human_Female, Orc_Male, Orc_Female")</f>
        <v>Elf_Male, Elf_Female, Human_Male, Human_Female, Orc_Male, Orc_Female</v>
      </c>
      <c r="J298" s="6" t="s">
        <v>951</v>
      </c>
      <c r="L298" s="12" t="str">
        <f t="shared" si="1"/>
        <v>ModularSMPHair_AL,1,3</v>
      </c>
    </row>
    <row r="299" ht="15.75" customHeight="1">
      <c r="A299" s="10" t="s">
        <v>948</v>
      </c>
      <c r="B299" s="17"/>
      <c r="C299" s="5" t="s">
        <v>991</v>
      </c>
      <c r="D299" s="5">
        <v>1.0</v>
      </c>
      <c r="E299" s="5">
        <v>3.0</v>
      </c>
      <c r="F299" s="5" t="s">
        <v>992</v>
      </c>
      <c r="G299" s="5" t="s">
        <v>554</v>
      </c>
      <c r="H299" s="10" t="s">
        <v>562</v>
      </c>
      <c r="I299" s="5" t="str">
        <f>IFERROR(__xludf.DUMMYFUNCTION("IF(OR(TRIM(G299)="""",TRIM(H299)=""""),"""",TEXTJOIN("", "",TRUE,ARRAYFORMULA(TRANSPOSE(TRIM(SPLIT(G299,"","")))&amp;""_""&amp;TRIM(SPLIT(H299,"","")))))"),"Elf_Male, Elf_Female, Human_Male, Human_Female, Orc_Male, Orc_Female")</f>
        <v>Elf_Male, Elf_Female, Human_Male, Human_Female, Orc_Male, Orc_Female</v>
      </c>
      <c r="J299" s="6" t="s">
        <v>951</v>
      </c>
      <c r="L299" s="12" t="str">
        <f t="shared" si="1"/>
        <v>ModularSMPHair_AM1,1,3</v>
      </c>
    </row>
    <row r="300" ht="15.75" customHeight="1">
      <c r="A300" s="10" t="s">
        <v>948</v>
      </c>
      <c r="B300" s="17"/>
      <c r="C300" s="5" t="s">
        <v>993</v>
      </c>
      <c r="D300" s="5">
        <v>1.0</v>
      </c>
      <c r="E300" s="5">
        <v>3.0</v>
      </c>
      <c r="F300" s="5" t="s">
        <v>994</v>
      </c>
      <c r="G300" s="5" t="s">
        <v>554</v>
      </c>
      <c r="H300" s="10" t="s">
        <v>562</v>
      </c>
      <c r="I300" s="5" t="str">
        <f>IFERROR(__xludf.DUMMYFUNCTION("IF(OR(TRIM(G300)="""",TRIM(H300)=""""),"""",TEXTJOIN("", "",TRUE,ARRAYFORMULA(TRANSPOSE(TRIM(SPLIT(G300,"","")))&amp;""_""&amp;TRIM(SPLIT(H300,"","")))))"),"Elf_Male, Elf_Female, Human_Male, Human_Female, Orc_Male, Orc_Female")</f>
        <v>Elf_Male, Elf_Female, Human_Male, Human_Female, Orc_Male, Orc_Female</v>
      </c>
      <c r="J300" s="6" t="s">
        <v>951</v>
      </c>
      <c r="L300" s="12" t="str">
        <f t="shared" si="1"/>
        <v>ModularSMPHair_AM2,1,3</v>
      </c>
    </row>
    <row r="301" ht="15.75" customHeight="1">
      <c r="A301" s="10" t="s">
        <v>948</v>
      </c>
      <c r="B301" s="17"/>
      <c r="C301" s="5" t="s">
        <v>995</v>
      </c>
      <c r="D301" s="5">
        <v>1.0</v>
      </c>
      <c r="E301" s="5">
        <v>2.0</v>
      </c>
      <c r="F301" s="5" t="s">
        <v>996</v>
      </c>
      <c r="G301" s="5" t="s">
        <v>644</v>
      </c>
      <c r="H301" s="10" t="s">
        <v>562</v>
      </c>
      <c r="I301" s="5" t="str">
        <f>IFERROR(__xludf.DUMMYFUNCTION("IF(OR(TRIM(G301)="""",TRIM(H301)=""""),"""",TEXTJOIN("", "",TRUE,ARRAYFORMULA(TRANSPOSE(TRIM(SPLIT(G301,"","")))&amp;""_""&amp;TRIM(SPLIT(H301,"","")))))"),"Elf_Male, Elf_Female, Human_Male, Human_Female, Orc_Male, Orc_Female, Khajiit_Male, Khajiit_Female")</f>
        <v>Elf_Male, Elf_Female, Human_Male, Human_Female, Orc_Male, Orc_Female, Khajiit_Male, Khajiit_Female</v>
      </c>
      <c r="J301" s="6" t="s">
        <v>951</v>
      </c>
      <c r="L301" s="12" t="str">
        <f t="shared" si="1"/>
        <v>ModularSMPHair_B,1,2</v>
      </c>
    </row>
    <row r="302" ht="15.75" customHeight="1">
      <c r="A302" s="10" t="s">
        <v>948</v>
      </c>
      <c r="B302" s="17"/>
      <c r="C302" s="5" t="s">
        <v>997</v>
      </c>
      <c r="D302" s="5">
        <v>2.0</v>
      </c>
      <c r="E302" s="5">
        <v>2.0</v>
      </c>
      <c r="F302" s="5" t="s">
        <v>998</v>
      </c>
      <c r="G302" s="5" t="s">
        <v>554</v>
      </c>
      <c r="H302" s="10" t="s">
        <v>562</v>
      </c>
      <c r="I302" s="5" t="str">
        <f>IFERROR(__xludf.DUMMYFUNCTION("IF(OR(TRIM(G302)="""",TRIM(H302)=""""),"""",TEXTJOIN("", "",TRUE,ARRAYFORMULA(TRANSPOSE(TRIM(SPLIT(G302,"","")))&amp;""_""&amp;TRIM(SPLIT(H302,"","")))))"),"Elf_Male, Elf_Female, Human_Male, Human_Female, Orc_Male, Orc_Female")</f>
        <v>Elf_Male, Elf_Female, Human_Male, Human_Female, Orc_Male, Orc_Female</v>
      </c>
      <c r="J302" s="6" t="s">
        <v>951</v>
      </c>
      <c r="L302" s="12" t="str">
        <f t="shared" si="1"/>
        <v>ModularSMPHair_BA,2,2</v>
      </c>
    </row>
    <row r="303" ht="15.75" customHeight="1">
      <c r="A303" s="10" t="s">
        <v>948</v>
      </c>
      <c r="B303" s="17"/>
      <c r="C303" s="5" t="s">
        <v>999</v>
      </c>
      <c r="D303" s="5">
        <v>2.0</v>
      </c>
      <c r="E303" s="5">
        <v>2.0</v>
      </c>
      <c r="F303" s="5" t="s">
        <v>1000</v>
      </c>
      <c r="G303" s="5" t="s">
        <v>554</v>
      </c>
      <c r="H303" s="10" t="s">
        <v>562</v>
      </c>
      <c r="I303" s="5" t="str">
        <f>IFERROR(__xludf.DUMMYFUNCTION("IF(OR(TRIM(G303)="""",TRIM(H303)=""""),"""",TEXTJOIN("", "",TRUE,ARRAYFORMULA(TRANSPOSE(TRIM(SPLIT(G303,"","")))&amp;""_""&amp;TRIM(SPLIT(H303,"","")))))"),"Elf_Male, Elf_Female, Human_Male, Human_Female, Orc_Male, Orc_Female")</f>
        <v>Elf_Male, Elf_Female, Human_Male, Human_Female, Orc_Male, Orc_Female</v>
      </c>
      <c r="J303" s="6" t="s">
        <v>951</v>
      </c>
      <c r="L303" s="12" t="str">
        <f t="shared" si="1"/>
        <v>ModularSMPHair_BB,2,2</v>
      </c>
    </row>
    <row r="304" ht="15.75" customHeight="1">
      <c r="A304" s="10" t="s">
        <v>948</v>
      </c>
      <c r="B304" s="17"/>
      <c r="C304" s="5" t="s">
        <v>1001</v>
      </c>
      <c r="D304" s="5">
        <v>1.0</v>
      </c>
      <c r="E304" s="5">
        <v>2.0</v>
      </c>
      <c r="F304" s="5" t="s">
        <v>1002</v>
      </c>
      <c r="G304" s="5" t="s">
        <v>554</v>
      </c>
      <c r="H304" s="10" t="s">
        <v>562</v>
      </c>
      <c r="I304" s="5" t="str">
        <f>IFERROR(__xludf.DUMMYFUNCTION("IF(OR(TRIM(G304)="""",TRIM(H304)=""""),"""",TEXTJOIN("", "",TRUE,ARRAYFORMULA(TRANSPOSE(TRIM(SPLIT(G304,"","")))&amp;""_""&amp;TRIM(SPLIT(H304,"","")))))"),"Elf_Male, Elf_Female, Human_Male, Human_Female, Orc_Male, Orc_Female")</f>
        <v>Elf_Male, Elf_Female, Human_Male, Human_Female, Orc_Male, Orc_Female</v>
      </c>
      <c r="J304" s="6" t="s">
        <v>951</v>
      </c>
      <c r="L304" s="12" t="str">
        <f t="shared" si="1"/>
        <v>ModularSMPHair_BC,1,2</v>
      </c>
    </row>
    <row r="305" ht="15.75" customHeight="1">
      <c r="A305" s="10" t="s">
        <v>948</v>
      </c>
      <c r="B305" s="17"/>
      <c r="C305" s="5" t="s">
        <v>1003</v>
      </c>
      <c r="D305" s="5">
        <v>1.0</v>
      </c>
      <c r="E305" s="5">
        <v>2.0</v>
      </c>
      <c r="F305" s="5" t="s">
        <v>1004</v>
      </c>
      <c r="G305" s="5" t="s">
        <v>554</v>
      </c>
      <c r="H305" s="10" t="s">
        <v>562</v>
      </c>
      <c r="I305" s="5" t="str">
        <f>IFERROR(__xludf.DUMMYFUNCTION("IF(OR(TRIM(G305)="""",TRIM(H305)=""""),"""",TEXTJOIN("", "",TRUE,ARRAYFORMULA(TRANSPOSE(TRIM(SPLIT(G305,"","")))&amp;""_""&amp;TRIM(SPLIT(H305,"","")))))"),"Elf_Male, Elf_Female, Human_Male, Human_Female, Orc_Male, Orc_Female")</f>
        <v>Elf_Male, Elf_Female, Human_Male, Human_Female, Orc_Male, Orc_Female</v>
      </c>
      <c r="J305" s="6" t="s">
        <v>951</v>
      </c>
      <c r="L305" s="12" t="str">
        <f t="shared" si="1"/>
        <v>ModularSMPHair_BD,1,2</v>
      </c>
    </row>
    <row r="306" ht="15.75" customHeight="1">
      <c r="A306" s="10" t="s">
        <v>948</v>
      </c>
      <c r="B306" s="17"/>
      <c r="C306" s="5" t="s">
        <v>1005</v>
      </c>
      <c r="D306" s="5">
        <v>2.0</v>
      </c>
      <c r="E306" s="5">
        <v>2.0</v>
      </c>
      <c r="F306" s="5" t="s">
        <v>1006</v>
      </c>
      <c r="G306" s="5" t="s">
        <v>554</v>
      </c>
      <c r="H306" s="10" t="s">
        <v>562</v>
      </c>
      <c r="I306" s="5" t="str">
        <f>IFERROR(__xludf.DUMMYFUNCTION("IF(OR(TRIM(G306)="""",TRIM(H306)=""""),"""",TEXTJOIN("", "",TRUE,ARRAYFORMULA(TRANSPOSE(TRIM(SPLIT(G306,"","")))&amp;""_""&amp;TRIM(SPLIT(H306,"","")))))"),"Elf_Male, Elf_Female, Human_Male, Human_Female, Orc_Male, Orc_Female")</f>
        <v>Elf_Male, Elf_Female, Human_Male, Human_Female, Orc_Male, Orc_Female</v>
      </c>
      <c r="J306" s="6" t="s">
        <v>951</v>
      </c>
      <c r="L306" s="12" t="str">
        <f t="shared" si="1"/>
        <v>ModularSMPHair_BE,2,2</v>
      </c>
    </row>
    <row r="307" ht="15.75" customHeight="1">
      <c r="A307" s="10" t="s">
        <v>948</v>
      </c>
      <c r="B307" s="17"/>
      <c r="C307" s="5" t="s">
        <v>1007</v>
      </c>
      <c r="D307" s="5">
        <v>1.0</v>
      </c>
      <c r="E307" s="5">
        <v>2.0</v>
      </c>
      <c r="F307" s="5" t="s">
        <v>1008</v>
      </c>
      <c r="G307" s="5" t="s">
        <v>554</v>
      </c>
      <c r="H307" s="10" t="s">
        <v>562</v>
      </c>
      <c r="I307" s="5" t="str">
        <f>IFERROR(__xludf.DUMMYFUNCTION("IF(OR(TRIM(G307)="""",TRIM(H307)=""""),"""",TEXTJOIN("", "",TRUE,ARRAYFORMULA(TRANSPOSE(TRIM(SPLIT(G307,"","")))&amp;""_""&amp;TRIM(SPLIT(H307,"","")))))"),"Elf_Male, Elf_Female, Human_Male, Human_Female, Orc_Male, Orc_Female")</f>
        <v>Elf_Male, Elf_Female, Human_Male, Human_Female, Orc_Male, Orc_Female</v>
      </c>
      <c r="J307" s="6" t="s">
        <v>951</v>
      </c>
      <c r="L307" s="12" t="str">
        <f t="shared" si="1"/>
        <v>ModularSMPHair_BF,1,2</v>
      </c>
    </row>
    <row r="308" ht="15.75" customHeight="1">
      <c r="A308" s="10" t="s">
        <v>948</v>
      </c>
      <c r="B308" s="17"/>
      <c r="C308" s="5" t="s">
        <v>1009</v>
      </c>
      <c r="D308" s="5">
        <v>1.0</v>
      </c>
      <c r="E308" s="5">
        <v>2.0</v>
      </c>
      <c r="F308" s="5" t="s">
        <v>1010</v>
      </c>
      <c r="G308" s="5" t="s">
        <v>554</v>
      </c>
      <c r="H308" s="10" t="s">
        <v>562</v>
      </c>
      <c r="I308" s="5" t="str">
        <f>IFERROR(__xludf.DUMMYFUNCTION("IF(OR(TRIM(G308)="""",TRIM(H308)=""""),"""",TEXTJOIN("", "",TRUE,ARRAYFORMULA(TRANSPOSE(TRIM(SPLIT(G308,"","")))&amp;""_""&amp;TRIM(SPLIT(H308,"","")))))"),"Elf_Male, Elf_Female, Human_Male, Human_Female, Orc_Male, Orc_Female")</f>
        <v>Elf_Male, Elf_Female, Human_Male, Human_Female, Orc_Male, Orc_Female</v>
      </c>
      <c r="J308" s="6" t="s">
        <v>951</v>
      </c>
      <c r="L308" s="12" t="str">
        <f t="shared" si="1"/>
        <v>ModularSMPHair_BG,1,2</v>
      </c>
    </row>
    <row r="309" ht="15.75" customHeight="1">
      <c r="A309" s="10" t="s">
        <v>948</v>
      </c>
      <c r="B309" s="17"/>
      <c r="C309" s="5" t="s">
        <v>1011</v>
      </c>
      <c r="D309" s="5">
        <v>1.0</v>
      </c>
      <c r="E309" s="5">
        <v>2.0</v>
      </c>
      <c r="F309" s="5" t="s">
        <v>1012</v>
      </c>
      <c r="G309" s="5" t="s">
        <v>554</v>
      </c>
      <c r="H309" s="10" t="s">
        <v>562</v>
      </c>
      <c r="I309" s="5" t="str">
        <f>IFERROR(__xludf.DUMMYFUNCTION("IF(OR(TRIM(G309)="""",TRIM(H309)=""""),"""",TEXTJOIN("", "",TRUE,ARRAYFORMULA(TRANSPOSE(TRIM(SPLIT(G309,"","")))&amp;""_""&amp;TRIM(SPLIT(H309,"","")))))"),"Elf_Male, Elf_Female, Human_Male, Human_Female, Orc_Male, Orc_Female")</f>
        <v>Elf_Male, Elf_Female, Human_Male, Human_Female, Orc_Male, Orc_Female</v>
      </c>
      <c r="J309" s="6" t="s">
        <v>951</v>
      </c>
      <c r="L309" s="12" t="str">
        <f t="shared" si="1"/>
        <v>ModularSMPHair_BI,1,2</v>
      </c>
    </row>
    <row r="310" ht="15.75" customHeight="1">
      <c r="A310" s="10" t="s">
        <v>948</v>
      </c>
      <c r="B310" s="17"/>
      <c r="C310" s="5" t="s">
        <v>1015</v>
      </c>
      <c r="D310" s="5">
        <v>1.0</v>
      </c>
      <c r="E310" s="5">
        <v>2.0</v>
      </c>
      <c r="F310" s="5" t="s">
        <v>1016</v>
      </c>
      <c r="G310" s="5" t="s">
        <v>554</v>
      </c>
      <c r="H310" s="10" t="s">
        <v>562</v>
      </c>
      <c r="I310" s="5" t="str">
        <f>IFERROR(__xludf.DUMMYFUNCTION("IF(OR(TRIM(G310)="""",TRIM(H310)=""""),"""",TEXTJOIN("", "",TRUE,ARRAYFORMULA(TRANSPOSE(TRIM(SPLIT(G310,"","")))&amp;""_""&amp;TRIM(SPLIT(H310,"","")))))"),"Elf_Male, Elf_Female, Human_Male, Human_Female, Orc_Male, Orc_Female")</f>
        <v>Elf_Male, Elf_Female, Human_Male, Human_Female, Orc_Male, Orc_Female</v>
      </c>
      <c r="J310" s="6" t="s">
        <v>951</v>
      </c>
      <c r="L310" s="12" t="str">
        <f t="shared" si="1"/>
        <v>ModularSMPHair_BJ,1,2</v>
      </c>
    </row>
    <row r="311" ht="15.75" customHeight="1">
      <c r="A311" s="10" t="s">
        <v>948</v>
      </c>
      <c r="B311" s="17"/>
      <c r="C311" s="5" t="s">
        <v>1017</v>
      </c>
      <c r="D311" s="5">
        <v>1.0</v>
      </c>
      <c r="E311" s="5">
        <v>2.0</v>
      </c>
      <c r="F311" s="5" t="s">
        <v>1018</v>
      </c>
      <c r="G311" s="5" t="s">
        <v>554</v>
      </c>
      <c r="H311" s="10" t="s">
        <v>562</v>
      </c>
      <c r="I311" s="5" t="str">
        <f>IFERROR(__xludf.DUMMYFUNCTION("IF(OR(TRIM(G311)="""",TRIM(H311)=""""),"""",TEXTJOIN("", "",TRUE,ARRAYFORMULA(TRANSPOSE(TRIM(SPLIT(G311,"","")))&amp;""_""&amp;TRIM(SPLIT(H311,"","")))))"),"Elf_Male, Elf_Female, Human_Male, Human_Female, Orc_Male, Orc_Female")</f>
        <v>Elf_Male, Elf_Female, Human_Male, Human_Female, Orc_Male, Orc_Female</v>
      </c>
      <c r="J311" s="6" t="s">
        <v>951</v>
      </c>
      <c r="L311" s="12" t="str">
        <f t="shared" si="1"/>
        <v>ModularSMPHair_BK,1,2</v>
      </c>
    </row>
    <row r="312" ht="15.75" customHeight="1">
      <c r="A312" s="10" t="s">
        <v>948</v>
      </c>
      <c r="B312" s="17"/>
      <c r="C312" s="5" t="s">
        <v>1019</v>
      </c>
      <c r="D312" s="5">
        <v>1.0</v>
      </c>
      <c r="E312" s="5">
        <v>2.0</v>
      </c>
      <c r="F312" s="5" t="s">
        <v>1020</v>
      </c>
      <c r="G312" s="5" t="s">
        <v>554</v>
      </c>
      <c r="H312" s="10" t="s">
        <v>562</v>
      </c>
      <c r="I312" s="5" t="str">
        <f>IFERROR(__xludf.DUMMYFUNCTION("IF(OR(TRIM(G312)="""",TRIM(H312)=""""),"""",TEXTJOIN("", "",TRUE,ARRAYFORMULA(TRANSPOSE(TRIM(SPLIT(G312,"","")))&amp;""_""&amp;TRIM(SPLIT(H312,"","")))))"),"Elf_Male, Elf_Female, Human_Male, Human_Female, Orc_Male, Orc_Female")</f>
        <v>Elf_Male, Elf_Female, Human_Male, Human_Female, Orc_Male, Orc_Female</v>
      </c>
      <c r="J312" s="6" t="s">
        <v>951</v>
      </c>
      <c r="L312" s="12" t="str">
        <f t="shared" si="1"/>
        <v>ModularSMPHair_BL,1,2</v>
      </c>
    </row>
    <row r="313" ht="15.75" customHeight="1">
      <c r="A313" s="10" t="s">
        <v>948</v>
      </c>
      <c r="B313" s="17"/>
      <c r="C313" s="5" t="s">
        <v>1021</v>
      </c>
      <c r="D313" s="5">
        <v>1.0</v>
      </c>
      <c r="E313" s="5">
        <v>2.0</v>
      </c>
      <c r="F313" s="5" t="s">
        <v>1022</v>
      </c>
      <c r="G313" s="5" t="s">
        <v>554</v>
      </c>
      <c r="H313" s="10" t="s">
        <v>562</v>
      </c>
      <c r="I313" s="5" t="str">
        <f>IFERROR(__xludf.DUMMYFUNCTION("IF(OR(TRIM(G313)="""",TRIM(H313)=""""),"""",TEXTJOIN("", "",TRUE,ARRAYFORMULA(TRANSPOSE(TRIM(SPLIT(G313,"","")))&amp;""_""&amp;TRIM(SPLIT(H313,"","")))))"),"Elf_Male, Elf_Female, Human_Male, Human_Female, Orc_Male, Orc_Female")</f>
        <v>Elf_Male, Elf_Female, Human_Male, Human_Female, Orc_Male, Orc_Female</v>
      </c>
      <c r="J313" s="6" t="s">
        <v>951</v>
      </c>
      <c r="L313" s="12" t="str">
        <f t="shared" si="1"/>
        <v>ModularSMPHair_BM1,1,2</v>
      </c>
    </row>
    <row r="314" ht="15.75" customHeight="1">
      <c r="A314" s="10" t="s">
        <v>948</v>
      </c>
      <c r="B314" s="17"/>
      <c r="C314" s="5" t="s">
        <v>1023</v>
      </c>
      <c r="D314" s="5">
        <v>1.0</v>
      </c>
      <c r="E314" s="5">
        <v>2.0</v>
      </c>
      <c r="F314" s="5" t="s">
        <v>1024</v>
      </c>
      <c r="G314" s="5" t="s">
        <v>554</v>
      </c>
      <c r="H314" s="10" t="s">
        <v>562</v>
      </c>
      <c r="I314" s="5" t="str">
        <f>IFERROR(__xludf.DUMMYFUNCTION("IF(OR(TRIM(G314)="""",TRIM(H314)=""""),"""",TEXTJOIN("", "",TRUE,ARRAYFORMULA(TRANSPOSE(TRIM(SPLIT(G314,"","")))&amp;""_""&amp;TRIM(SPLIT(H314,"","")))))"),"Elf_Male, Elf_Female, Human_Male, Human_Female, Orc_Male, Orc_Female")</f>
        <v>Elf_Male, Elf_Female, Human_Male, Human_Female, Orc_Male, Orc_Female</v>
      </c>
      <c r="J314" s="6" t="s">
        <v>951</v>
      </c>
      <c r="L314" s="12" t="str">
        <f t="shared" si="1"/>
        <v>ModularSMPHair_BM2,1,2</v>
      </c>
    </row>
    <row r="315" ht="15.75" customHeight="1">
      <c r="A315" s="10" t="s">
        <v>948</v>
      </c>
      <c r="B315" s="17"/>
      <c r="C315" s="5" t="s">
        <v>1025</v>
      </c>
      <c r="D315" s="5">
        <v>1.0</v>
      </c>
      <c r="E315" s="5">
        <f t="shared" ref="E315:E367" si="22">D315</f>
        <v>1</v>
      </c>
      <c r="F315" s="5" t="s">
        <v>1026</v>
      </c>
      <c r="G315" s="5" t="s">
        <v>644</v>
      </c>
      <c r="H315" s="10" t="s">
        <v>562</v>
      </c>
      <c r="I315" s="5" t="str">
        <f>IFERROR(__xludf.DUMMYFUNCTION("IF(OR(TRIM(G315)="""",TRIM(H315)=""""),"""",TEXTJOIN("", "",TRUE,ARRAYFORMULA(TRANSPOSE(TRIM(SPLIT(G315,"","")))&amp;""_""&amp;TRIM(SPLIT(H315,"","")))))"),"Elf_Male, Elf_Female, Human_Male, Human_Female, Orc_Male, Orc_Female, Khajiit_Male, Khajiit_Female")</f>
        <v>Elf_Male, Elf_Female, Human_Male, Human_Female, Orc_Male, Orc_Female, Khajiit_Male, Khajiit_Female</v>
      </c>
      <c r="J315" s="6" t="s">
        <v>951</v>
      </c>
      <c r="L315" s="12" t="str">
        <f t="shared" si="1"/>
        <v>ModularSMPHair_C,1,1</v>
      </c>
    </row>
    <row r="316" ht="15.75" customHeight="1">
      <c r="A316" s="10" t="s">
        <v>948</v>
      </c>
      <c r="B316" s="17"/>
      <c r="C316" s="5" t="s">
        <v>1027</v>
      </c>
      <c r="D316" s="5">
        <v>2.0</v>
      </c>
      <c r="E316" s="5">
        <f t="shared" si="22"/>
        <v>2</v>
      </c>
      <c r="F316" s="5" t="s">
        <v>1028</v>
      </c>
      <c r="G316" s="5" t="s">
        <v>554</v>
      </c>
      <c r="H316" s="10" t="s">
        <v>562</v>
      </c>
      <c r="I316" s="5" t="str">
        <f>IFERROR(__xludf.DUMMYFUNCTION("IF(OR(TRIM(G316)="""",TRIM(H316)=""""),"""",TEXTJOIN("", "",TRUE,ARRAYFORMULA(TRANSPOSE(TRIM(SPLIT(G316,"","")))&amp;""_""&amp;TRIM(SPLIT(H316,"","")))))"),"Elf_Male, Elf_Female, Human_Male, Human_Female, Orc_Male, Orc_Female")</f>
        <v>Elf_Male, Elf_Female, Human_Male, Human_Female, Orc_Male, Orc_Female</v>
      </c>
      <c r="J316" s="6" t="s">
        <v>951</v>
      </c>
      <c r="L316" s="12" t="str">
        <f t="shared" si="1"/>
        <v>ModularSMPHair_CA,2,2</v>
      </c>
    </row>
    <row r="317" ht="15.75" customHeight="1">
      <c r="A317" s="10" t="s">
        <v>948</v>
      </c>
      <c r="B317" s="17"/>
      <c r="C317" s="5" t="s">
        <v>1029</v>
      </c>
      <c r="D317" s="5">
        <v>2.0</v>
      </c>
      <c r="E317" s="5">
        <f t="shared" si="22"/>
        <v>2</v>
      </c>
      <c r="F317" s="5" t="s">
        <v>1030</v>
      </c>
      <c r="G317" s="5" t="s">
        <v>554</v>
      </c>
      <c r="H317" s="10" t="s">
        <v>562</v>
      </c>
      <c r="I317" s="5" t="str">
        <f>IFERROR(__xludf.DUMMYFUNCTION("IF(OR(TRIM(G317)="""",TRIM(H317)=""""),"""",TEXTJOIN("", "",TRUE,ARRAYFORMULA(TRANSPOSE(TRIM(SPLIT(G317,"","")))&amp;""_""&amp;TRIM(SPLIT(H317,"","")))))"),"Elf_Male, Elf_Female, Human_Male, Human_Female, Orc_Male, Orc_Female")</f>
        <v>Elf_Male, Elf_Female, Human_Male, Human_Female, Orc_Male, Orc_Female</v>
      </c>
      <c r="J317" s="6" t="s">
        <v>951</v>
      </c>
      <c r="L317" s="12" t="str">
        <f t="shared" si="1"/>
        <v>ModularSMPHair_CB,2,2</v>
      </c>
    </row>
    <row r="318" ht="15.75" customHeight="1">
      <c r="A318" s="10" t="s">
        <v>948</v>
      </c>
      <c r="B318" s="17"/>
      <c r="C318" s="5" t="s">
        <v>1031</v>
      </c>
      <c r="D318" s="5">
        <v>1.0</v>
      </c>
      <c r="E318" s="5">
        <f t="shared" si="22"/>
        <v>1</v>
      </c>
      <c r="F318" s="5" t="s">
        <v>1032</v>
      </c>
      <c r="G318" s="5" t="s">
        <v>554</v>
      </c>
      <c r="H318" s="10" t="s">
        <v>562</v>
      </c>
      <c r="I318" s="5" t="str">
        <f>IFERROR(__xludf.DUMMYFUNCTION("IF(OR(TRIM(G318)="""",TRIM(H318)=""""),"""",TEXTJOIN("", "",TRUE,ARRAYFORMULA(TRANSPOSE(TRIM(SPLIT(G318,"","")))&amp;""_""&amp;TRIM(SPLIT(H318,"","")))))"),"Elf_Male, Elf_Female, Human_Male, Human_Female, Orc_Male, Orc_Female")</f>
        <v>Elf_Male, Elf_Female, Human_Male, Human_Female, Orc_Male, Orc_Female</v>
      </c>
      <c r="J318" s="6" t="s">
        <v>951</v>
      </c>
      <c r="L318" s="12" t="str">
        <f t="shared" si="1"/>
        <v>ModularSMPHair_CC,1,1</v>
      </c>
    </row>
    <row r="319" ht="15.75" customHeight="1">
      <c r="A319" s="10" t="s">
        <v>948</v>
      </c>
      <c r="B319" s="17"/>
      <c r="C319" s="5" t="s">
        <v>1033</v>
      </c>
      <c r="D319" s="5">
        <v>1.0</v>
      </c>
      <c r="E319" s="5">
        <f t="shared" si="22"/>
        <v>1</v>
      </c>
      <c r="F319" s="5" t="s">
        <v>1034</v>
      </c>
      <c r="G319" s="5" t="s">
        <v>554</v>
      </c>
      <c r="H319" s="10" t="s">
        <v>562</v>
      </c>
      <c r="I319" s="5" t="str">
        <f>IFERROR(__xludf.DUMMYFUNCTION("IF(OR(TRIM(G319)="""",TRIM(H319)=""""),"""",TEXTJOIN("", "",TRUE,ARRAYFORMULA(TRANSPOSE(TRIM(SPLIT(G319,"","")))&amp;""_""&amp;TRIM(SPLIT(H319,"","")))))"),"Elf_Male, Elf_Female, Human_Male, Human_Female, Orc_Male, Orc_Female")</f>
        <v>Elf_Male, Elf_Female, Human_Male, Human_Female, Orc_Male, Orc_Female</v>
      </c>
      <c r="J319" s="6" t="s">
        <v>951</v>
      </c>
      <c r="L319" s="12" t="str">
        <f t="shared" si="1"/>
        <v>ModularSMPHair_CD,1,1</v>
      </c>
    </row>
    <row r="320" ht="15.75" customHeight="1">
      <c r="A320" s="10" t="s">
        <v>948</v>
      </c>
      <c r="B320" s="17"/>
      <c r="C320" s="5" t="s">
        <v>1035</v>
      </c>
      <c r="D320" s="5">
        <v>2.0</v>
      </c>
      <c r="E320" s="5">
        <f t="shared" si="22"/>
        <v>2</v>
      </c>
      <c r="F320" s="5" t="s">
        <v>1036</v>
      </c>
      <c r="G320" s="5" t="s">
        <v>554</v>
      </c>
      <c r="H320" s="10" t="s">
        <v>562</v>
      </c>
      <c r="I320" s="5" t="str">
        <f>IFERROR(__xludf.DUMMYFUNCTION("IF(OR(TRIM(G320)="""",TRIM(H320)=""""),"""",TEXTJOIN("", "",TRUE,ARRAYFORMULA(TRANSPOSE(TRIM(SPLIT(G320,"","")))&amp;""_""&amp;TRIM(SPLIT(H320,"","")))))"),"Elf_Male, Elf_Female, Human_Male, Human_Female, Orc_Male, Orc_Female")</f>
        <v>Elf_Male, Elf_Female, Human_Male, Human_Female, Orc_Male, Orc_Female</v>
      </c>
      <c r="J320" s="6" t="s">
        <v>951</v>
      </c>
      <c r="L320" s="12" t="str">
        <f t="shared" si="1"/>
        <v>ModularSMPHair_CE,2,2</v>
      </c>
    </row>
    <row r="321" ht="15.75" customHeight="1">
      <c r="A321" s="10" t="s">
        <v>948</v>
      </c>
      <c r="B321" s="17"/>
      <c r="C321" s="5" t="s">
        <v>1040</v>
      </c>
      <c r="D321" s="5">
        <v>1.0</v>
      </c>
      <c r="E321" s="5">
        <f t="shared" si="22"/>
        <v>1</v>
      </c>
      <c r="F321" s="5" t="s">
        <v>1042</v>
      </c>
      <c r="G321" s="5" t="s">
        <v>554</v>
      </c>
      <c r="H321" s="10" t="s">
        <v>562</v>
      </c>
      <c r="I321" s="5" t="str">
        <f>IFERROR(__xludf.DUMMYFUNCTION("IF(OR(TRIM(G321)="""",TRIM(H321)=""""),"""",TEXTJOIN("", "",TRUE,ARRAYFORMULA(TRANSPOSE(TRIM(SPLIT(G321,"","")))&amp;""_""&amp;TRIM(SPLIT(H321,"","")))))"),"Elf_Male, Elf_Female, Human_Male, Human_Female, Orc_Male, Orc_Female")</f>
        <v>Elf_Male, Elf_Female, Human_Male, Human_Female, Orc_Male, Orc_Female</v>
      </c>
      <c r="J321" s="6" t="s">
        <v>951</v>
      </c>
      <c r="L321" s="12" t="str">
        <f t="shared" si="1"/>
        <v>ModularSMPHair_CF,1,1</v>
      </c>
    </row>
    <row r="322" ht="15.75" customHeight="1">
      <c r="A322" s="10" t="s">
        <v>948</v>
      </c>
      <c r="B322" s="17"/>
      <c r="C322" s="5" t="s">
        <v>1043</v>
      </c>
      <c r="D322" s="5">
        <v>1.0</v>
      </c>
      <c r="E322" s="5">
        <f t="shared" si="22"/>
        <v>1</v>
      </c>
      <c r="F322" s="5" t="s">
        <v>1044</v>
      </c>
      <c r="G322" s="5" t="s">
        <v>554</v>
      </c>
      <c r="H322" s="10" t="s">
        <v>562</v>
      </c>
      <c r="I322" s="5" t="str">
        <f>IFERROR(__xludf.DUMMYFUNCTION("IF(OR(TRIM(G322)="""",TRIM(H322)=""""),"""",TEXTJOIN("", "",TRUE,ARRAYFORMULA(TRANSPOSE(TRIM(SPLIT(G322,"","")))&amp;""_""&amp;TRIM(SPLIT(H322,"","")))))"),"Elf_Male, Elf_Female, Human_Male, Human_Female, Orc_Male, Orc_Female")</f>
        <v>Elf_Male, Elf_Female, Human_Male, Human_Female, Orc_Male, Orc_Female</v>
      </c>
      <c r="J322" s="6" t="s">
        <v>951</v>
      </c>
      <c r="L322" s="12" t="str">
        <f t="shared" si="1"/>
        <v>ModularSMPHair_CG,1,1</v>
      </c>
    </row>
    <row r="323" ht="15.75" customHeight="1">
      <c r="A323" s="10" t="s">
        <v>948</v>
      </c>
      <c r="B323" s="17"/>
      <c r="C323" s="5" t="s">
        <v>1045</v>
      </c>
      <c r="D323" s="5">
        <v>1.0</v>
      </c>
      <c r="E323" s="5">
        <f t="shared" si="22"/>
        <v>1</v>
      </c>
      <c r="F323" s="5" t="s">
        <v>1046</v>
      </c>
      <c r="G323" s="5" t="s">
        <v>554</v>
      </c>
      <c r="H323" s="10" t="s">
        <v>562</v>
      </c>
      <c r="I323" s="5" t="str">
        <f>IFERROR(__xludf.DUMMYFUNCTION("IF(OR(TRIM(G323)="""",TRIM(H323)=""""),"""",TEXTJOIN("", "",TRUE,ARRAYFORMULA(TRANSPOSE(TRIM(SPLIT(G323,"","")))&amp;""_""&amp;TRIM(SPLIT(H323,"","")))))"),"Elf_Male, Elf_Female, Human_Male, Human_Female, Orc_Male, Orc_Female")</f>
        <v>Elf_Male, Elf_Female, Human_Male, Human_Female, Orc_Male, Orc_Female</v>
      </c>
      <c r="J323" s="6" t="s">
        <v>951</v>
      </c>
      <c r="L323" s="12" t="str">
        <f t="shared" si="1"/>
        <v>ModularSMPHair_CI,1,1</v>
      </c>
    </row>
    <row r="324" ht="15.75" customHeight="1">
      <c r="A324" s="10" t="s">
        <v>948</v>
      </c>
      <c r="B324" s="17"/>
      <c r="C324" s="5" t="s">
        <v>1047</v>
      </c>
      <c r="D324" s="5">
        <v>1.0</v>
      </c>
      <c r="E324" s="5">
        <f t="shared" si="22"/>
        <v>1</v>
      </c>
      <c r="F324" s="5" t="s">
        <v>1048</v>
      </c>
      <c r="G324" s="5" t="s">
        <v>554</v>
      </c>
      <c r="H324" s="10" t="s">
        <v>562</v>
      </c>
      <c r="I324" s="5" t="str">
        <f>IFERROR(__xludf.DUMMYFUNCTION("IF(OR(TRIM(G324)="""",TRIM(H324)=""""),"""",TEXTJOIN("", "",TRUE,ARRAYFORMULA(TRANSPOSE(TRIM(SPLIT(G324,"","")))&amp;""_""&amp;TRIM(SPLIT(H324,"","")))))"),"Elf_Male, Elf_Female, Human_Male, Human_Female, Orc_Male, Orc_Female")</f>
        <v>Elf_Male, Elf_Female, Human_Male, Human_Female, Orc_Male, Orc_Female</v>
      </c>
      <c r="J324" s="6" t="s">
        <v>951</v>
      </c>
      <c r="L324" s="12" t="str">
        <f t="shared" si="1"/>
        <v>ModularSMPHair_CJ,1,1</v>
      </c>
    </row>
    <row r="325" ht="15.75" customHeight="1">
      <c r="A325" s="10" t="s">
        <v>948</v>
      </c>
      <c r="B325" s="17"/>
      <c r="C325" s="5" t="s">
        <v>1049</v>
      </c>
      <c r="D325" s="5">
        <v>1.0</v>
      </c>
      <c r="E325" s="5">
        <f t="shared" si="22"/>
        <v>1</v>
      </c>
      <c r="F325" s="5" t="s">
        <v>1050</v>
      </c>
      <c r="G325" s="5" t="s">
        <v>554</v>
      </c>
      <c r="H325" s="10" t="s">
        <v>562</v>
      </c>
      <c r="I325" s="5" t="str">
        <f>IFERROR(__xludf.DUMMYFUNCTION("IF(OR(TRIM(G325)="""",TRIM(H325)=""""),"""",TEXTJOIN("", "",TRUE,ARRAYFORMULA(TRANSPOSE(TRIM(SPLIT(G325,"","")))&amp;""_""&amp;TRIM(SPLIT(H325,"","")))))"),"Elf_Male, Elf_Female, Human_Male, Human_Female, Orc_Male, Orc_Female")</f>
        <v>Elf_Male, Elf_Female, Human_Male, Human_Female, Orc_Male, Orc_Female</v>
      </c>
      <c r="J325" s="6" t="s">
        <v>951</v>
      </c>
      <c r="L325" s="12" t="str">
        <f t="shared" si="1"/>
        <v>ModularSMPHair_CK,1,1</v>
      </c>
    </row>
    <row r="326" ht="15.75" customHeight="1">
      <c r="A326" s="10" t="s">
        <v>948</v>
      </c>
      <c r="B326" s="17"/>
      <c r="C326" s="5" t="s">
        <v>1051</v>
      </c>
      <c r="D326" s="5">
        <v>1.0</v>
      </c>
      <c r="E326" s="5">
        <f t="shared" si="22"/>
        <v>1</v>
      </c>
      <c r="F326" s="5" t="s">
        <v>1052</v>
      </c>
      <c r="G326" s="5" t="s">
        <v>554</v>
      </c>
      <c r="H326" s="10" t="s">
        <v>562</v>
      </c>
      <c r="I326" s="5" t="str">
        <f>IFERROR(__xludf.DUMMYFUNCTION("IF(OR(TRIM(G326)="""",TRIM(H326)=""""),"""",TEXTJOIN("", "",TRUE,ARRAYFORMULA(TRANSPOSE(TRIM(SPLIT(G326,"","")))&amp;""_""&amp;TRIM(SPLIT(H326,"","")))))"),"Elf_Male, Elf_Female, Human_Male, Human_Female, Orc_Male, Orc_Female")</f>
        <v>Elf_Male, Elf_Female, Human_Male, Human_Female, Orc_Male, Orc_Female</v>
      </c>
      <c r="J326" s="6" t="s">
        <v>951</v>
      </c>
      <c r="L326" s="12" t="str">
        <f t="shared" si="1"/>
        <v>ModularSMPHair_CL,1,1</v>
      </c>
    </row>
    <row r="327" ht="15.75" customHeight="1">
      <c r="A327" s="10" t="s">
        <v>948</v>
      </c>
      <c r="B327" s="17"/>
      <c r="C327" s="5" t="s">
        <v>1053</v>
      </c>
      <c r="D327" s="5">
        <v>1.0</v>
      </c>
      <c r="E327" s="5">
        <f t="shared" si="22"/>
        <v>1</v>
      </c>
      <c r="F327" s="5" t="s">
        <v>1054</v>
      </c>
      <c r="G327" s="5" t="s">
        <v>554</v>
      </c>
      <c r="H327" s="10" t="s">
        <v>562</v>
      </c>
      <c r="I327" s="5" t="str">
        <f>IFERROR(__xludf.DUMMYFUNCTION("IF(OR(TRIM(G327)="""",TRIM(H327)=""""),"""",TEXTJOIN("", "",TRUE,ARRAYFORMULA(TRANSPOSE(TRIM(SPLIT(G327,"","")))&amp;""_""&amp;TRIM(SPLIT(H327,"","")))))"),"Elf_Male, Elf_Female, Human_Male, Human_Female, Orc_Male, Orc_Female")</f>
        <v>Elf_Male, Elf_Female, Human_Male, Human_Female, Orc_Male, Orc_Female</v>
      </c>
      <c r="J327" s="6" t="s">
        <v>951</v>
      </c>
      <c r="L327" s="12" t="str">
        <f t="shared" si="1"/>
        <v>ModularSMPHair_CM1,1,1</v>
      </c>
    </row>
    <row r="328" ht="15.75" customHeight="1">
      <c r="A328" s="10" t="s">
        <v>948</v>
      </c>
      <c r="B328" s="17"/>
      <c r="C328" s="5" t="s">
        <v>1055</v>
      </c>
      <c r="D328" s="5">
        <v>1.0</v>
      </c>
      <c r="E328" s="5">
        <f t="shared" si="22"/>
        <v>1</v>
      </c>
      <c r="F328" s="5" t="s">
        <v>1056</v>
      </c>
      <c r="G328" s="5" t="s">
        <v>554</v>
      </c>
      <c r="H328" s="10" t="s">
        <v>562</v>
      </c>
      <c r="I328" s="5" t="str">
        <f>IFERROR(__xludf.DUMMYFUNCTION("IF(OR(TRIM(G328)="""",TRIM(H328)=""""),"""",TEXTJOIN("", "",TRUE,ARRAYFORMULA(TRANSPOSE(TRIM(SPLIT(G328,"","")))&amp;""_""&amp;TRIM(SPLIT(H328,"","")))))"),"Elf_Male, Elf_Female, Human_Male, Human_Female, Orc_Male, Orc_Female")</f>
        <v>Elf_Male, Elf_Female, Human_Male, Human_Female, Orc_Male, Orc_Female</v>
      </c>
      <c r="J328" s="6" t="s">
        <v>951</v>
      </c>
      <c r="L328" s="12" t="str">
        <f t="shared" si="1"/>
        <v>ModularSMPHair_CM2,1,1</v>
      </c>
    </row>
    <row r="329" ht="15.75" customHeight="1">
      <c r="A329" s="10" t="s">
        <v>948</v>
      </c>
      <c r="B329" s="17"/>
      <c r="C329" s="5" t="s">
        <v>1057</v>
      </c>
      <c r="D329" s="5">
        <v>1.0</v>
      </c>
      <c r="E329" s="5">
        <f t="shared" si="22"/>
        <v>1</v>
      </c>
      <c r="F329" s="5" t="s">
        <v>1058</v>
      </c>
      <c r="G329" s="5" t="s">
        <v>644</v>
      </c>
      <c r="H329" s="10" t="s">
        <v>562</v>
      </c>
      <c r="I329" s="5" t="str">
        <f>IFERROR(__xludf.DUMMYFUNCTION("IF(OR(TRIM(G329)="""",TRIM(H329)=""""),"""",TEXTJOIN("", "",TRUE,ARRAYFORMULA(TRANSPOSE(TRIM(SPLIT(G329,"","")))&amp;""_""&amp;TRIM(SPLIT(H329,"","")))))"),"Elf_Male, Elf_Female, Human_Male, Human_Female, Orc_Male, Orc_Female, Khajiit_Male, Khajiit_Female")</f>
        <v>Elf_Male, Elf_Female, Human_Male, Human_Female, Orc_Male, Orc_Female, Khajiit_Male, Khajiit_Female</v>
      </c>
      <c r="J329" s="6" t="s">
        <v>951</v>
      </c>
      <c r="L329" s="12" t="str">
        <f t="shared" si="1"/>
        <v>ModularSMPHair_D,1,1</v>
      </c>
    </row>
    <row r="330" ht="15.75" customHeight="1">
      <c r="A330" s="10" t="s">
        <v>948</v>
      </c>
      <c r="B330" s="17"/>
      <c r="C330" s="5" t="s">
        <v>1059</v>
      </c>
      <c r="D330" s="5">
        <v>2.0</v>
      </c>
      <c r="E330" s="5">
        <f t="shared" si="22"/>
        <v>2</v>
      </c>
      <c r="F330" s="5" t="s">
        <v>1062</v>
      </c>
      <c r="G330" s="5" t="s">
        <v>554</v>
      </c>
      <c r="H330" s="10" t="s">
        <v>562</v>
      </c>
      <c r="I330" s="5" t="str">
        <f>IFERROR(__xludf.DUMMYFUNCTION("IF(OR(TRIM(G330)="""",TRIM(H330)=""""),"""",TEXTJOIN("", "",TRUE,ARRAYFORMULA(TRANSPOSE(TRIM(SPLIT(G330,"","")))&amp;""_""&amp;TRIM(SPLIT(H330,"","")))))"),"Elf_Male, Elf_Female, Human_Male, Human_Female, Orc_Male, Orc_Female")</f>
        <v>Elf_Male, Elf_Female, Human_Male, Human_Female, Orc_Male, Orc_Female</v>
      </c>
      <c r="J330" s="6" t="s">
        <v>951</v>
      </c>
      <c r="L330" s="12" t="str">
        <f t="shared" si="1"/>
        <v>ModularSMPHair_DB,2,2</v>
      </c>
    </row>
    <row r="331" ht="15.75" customHeight="1">
      <c r="A331" s="10" t="s">
        <v>948</v>
      </c>
      <c r="B331" s="17"/>
      <c r="C331" s="5" t="s">
        <v>1064</v>
      </c>
      <c r="D331" s="5">
        <v>1.0</v>
      </c>
      <c r="E331" s="5">
        <f t="shared" si="22"/>
        <v>1</v>
      </c>
      <c r="F331" s="5" t="s">
        <v>1065</v>
      </c>
      <c r="G331" s="5" t="s">
        <v>554</v>
      </c>
      <c r="H331" s="10" t="s">
        <v>562</v>
      </c>
      <c r="I331" s="5" t="str">
        <f>IFERROR(__xludf.DUMMYFUNCTION("IF(OR(TRIM(G331)="""",TRIM(H331)=""""),"""",TEXTJOIN("", "",TRUE,ARRAYFORMULA(TRANSPOSE(TRIM(SPLIT(G331,"","")))&amp;""_""&amp;TRIM(SPLIT(H331,"","")))))"),"Elf_Male, Elf_Female, Human_Male, Human_Female, Orc_Male, Orc_Female")</f>
        <v>Elf_Male, Elf_Female, Human_Male, Human_Female, Orc_Male, Orc_Female</v>
      </c>
      <c r="J331" s="6" t="s">
        <v>951</v>
      </c>
      <c r="L331" s="12" t="str">
        <f t="shared" si="1"/>
        <v>ModularSMPHair_DC,1,1</v>
      </c>
    </row>
    <row r="332" ht="15.75" customHeight="1">
      <c r="A332" s="10" t="s">
        <v>948</v>
      </c>
      <c r="B332" s="17"/>
      <c r="C332" s="5" t="s">
        <v>1066</v>
      </c>
      <c r="D332" s="5">
        <v>2.0</v>
      </c>
      <c r="E332" s="5">
        <f t="shared" si="22"/>
        <v>2</v>
      </c>
      <c r="F332" s="5" t="s">
        <v>1067</v>
      </c>
      <c r="G332" s="5" t="s">
        <v>554</v>
      </c>
      <c r="H332" s="10" t="s">
        <v>562</v>
      </c>
      <c r="I332" s="5" t="str">
        <f>IFERROR(__xludf.DUMMYFUNCTION("IF(OR(TRIM(G332)="""",TRIM(H332)=""""),"""",TEXTJOIN("", "",TRUE,ARRAYFORMULA(TRANSPOSE(TRIM(SPLIT(G332,"","")))&amp;""_""&amp;TRIM(SPLIT(H332,"","")))))"),"Elf_Male, Elf_Female, Human_Male, Human_Female, Orc_Male, Orc_Female")</f>
        <v>Elf_Male, Elf_Female, Human_Male, Human_Female, Orc_Male, Orc_Female</v>
      </c>
      <c r="J332" s="6" t="s">
        <v>951</v>
      </c>
      <c r="L332" s="12" t="str">
        <f t="shared" si="1"/>
        <v>ModularSMPHair_DE,2,2</v>
      </c>
    </row>
    <row r="333" ht="15.75" customHeight="1">
      <c r="A333" s="10" t="s">
        <v>948</v>
      </c>
      <c r="B333" s="17"/>
      <c r="C333" s="5" t="s">
        <v>1068</v>
      </c>
      <c r="D333" s="5">
        <v>1.0</v>
      </c>
      <c r="E333" s="5">
        <f t="shared" si="22"/>
        <v>1</v>
      </c>
      <c r="F333" s="5" t="s">
        <v>1069</v>
      </c>
      <c r="G333" s="5" t="s">
        <v>554</v>
      </c>
      <c r="H333" s="10" t="s">
        <v>562</v>
      </c>
      <c r="I333" s="5" t="str">
        <f>IFERROR(__xludf.DUMMYFUNCTION("IF(OR(TRIM(G333)="""",TRIM(H333)=""""),"""",TEXTJOIN("", "",TRUE,ARRAYFORMULA(TRANSPOSE(TRIM(SPLIT(G333,"","")))&amp;""_""&amp;TRIM(SPLIT(H333,"","")))))"),"Elf_Male, Elf_Female, Human_Male, Human_Female, Orc_Male, Orc_Female")</f>
        <v>Elf_Male, Elf_Female, Human_Male, Human_Female, Orc_Male, Orc_Female</v>
      </c>
      <c r="J333" s="6" t="s">
        <v>951</v>
      </c>
      <c r="L333" s="12" t="str">
        <f t="shared" si="1"/>
        <v>ModularSMPHair_DF,1,1</v>
      </c>
    </row>
    <row r="334" ht="15.75" customHeight="1">
      <c r="A334" s="10" t="s">
        <v>948</v>
      </c>
      <c r="B334" s="17"/>
      <c r="C334" s="5" t="s">
        <v>1070</v>
      </c>
      <c r="D334" s="5">
        <v>1.0</v>
      </c>
      <c r="E334" s="5">
        <f t="shared" si="22"/>
        <v>1</v>
      </c>
      <c r="F334" s="5" t="s">
        <v>1071</v>
      </c>
      <c r="G334" s="5" t="s">
        <v>554</v>
      </c>
      <c r="H334" s="10" t="s">
        <v>562</v>
      </c>
      <c r="I334" s="5" t="str">
        <f>IFERROR(__xludf.DUMMYFUNCTION("IF(OR(TRIM(G334)="""",TRIM(H334)=""""),"""",TEXTJOIN("", "",TRUE,ARRAYFORMULA(TRANSPOSE(TRIM(SPLIT(G334,"","")))&amp;""_""&amp;TRIM(SPLIT(H334,"","")))))"),"Elf_Male, Elf_Female, Human_Male, Human_Female, Orc_Male, Orc_Female")</f>
        <v>Elf_Male, Elf_Female, Human_Male, Human_Female, Orc_Male, Orc_Female</v>
      </c>
      <c r="J334" s="6" t="s">
        <v>951</v>
      </c>
      <c r="L334" s="12" t="str">
        <f t="shared" si="1"/>
        <v>ModularSMPHair_DG,1,1</v>
      </c>
    </row>
    <row r="335" ht="15.75" customHeight="1">
      <c r="A335" s="10" t="s">
        <v>948</v>
      </c>
      <c r="B335" s="17"/>
      <c r="C335" s="5" t="s">
        <v>1072</v>
      </c>
      <c r="D335" s="5">
        <v>1.0</v>
      </c>
      <c r="E335" s="5">
        <f t="shared" si="22"/>
        <v>1</v>
      </c>
      <c r="F335" s="5" t="s">
        <v>1073</v>
      </c>
      <c r="G335" s="5" t="s">
        <v>554</v>
      </c>
      <c r="H335" s="10" t="s">
        <v>562</v>
      </c>
      <c r="I335" s="5" t="str">
        <f>IFERROR(__xludf.DUMMYFUNCTION("IF(OR(TRIM(G335)="""",TRIM(H335)=""""),"""",TEXTJOIN("", "",TRUE,ARRAYFORMULA(TRANSPOSE(TRIM(SPLIT(G335,"","")))&amp;""_""&amp;TRIM(SPLIT(H335,"","")))))"),"Elf_Male, Elf_Female, Human_Male, Human_Female, Orc_Male, Orc_Female")</f>
        <v>Elf_Male, Elf_Female, Human_Male, Human_Female, Orc_Male, Orc_Female</v>
      </c>
      <c r="J335" s="6" t="s">
        <v>951</v>
      </c>
      <c r="L335" s="12" t="str">
        <f t="shared" si="1"/>
        <v>ModularSMPHair_DH,1,1</v>
      </c>
    </row>
    <row r="336" ht="15.75" customHeight="1">
      <c r="A336" s="10" t="s">
        <v>948</v>
      </c>
      <c r="B336" s="17"/>
      <c r="C336" s="5" t="s">
        <v>1074</v>
      </c>
      <c r="D336" s="5">
        <v>1.0</v>
      </c>
      <c r="E336" s="5">
        <f t="shared" si="22"/>
        <v>1</v>
      </c>
      <c r="F336" s="5" t="s">
        <v>1075</v>
      </c>
      <c r="G336" s="5" t="s">
        <v>554</v>
      </c>
      <c r="H336" s="10" t="s">
        <v>562</v>
      </c>
      <c r="I336" s="5" t="str">
        <f>IFERROR(__xludf.DUMMYFUNCTION("IF(OR(TRIM(G336)="""",TRIM(H336)=""""),"""",TEXTJOIN("", "",TRUE,ARRAYFORMULA(TRANSPOSE(TRIM(SPLIT(G336,"","")))&amp;""_""&amp;TRIM(SPLIT(H336,"","")))))"),"Elf_Male, Elf_Female, Human_Male, Human_Female, Orc_Male, Orc_Female")</f>
        <v>Elf_Male, Elf_Female, Human_Male, Human_Female, Orc_Male, Orc_Female</v>
      </c>
      <c r="J336" s="6" t="s">
        <v>951</v>
      </c>
      <c r="L336" s="12" t="str">
        <f t="shared" si="1"/>
        <v>ModularSMPHair_DI,1,1</v>
      </c>
    </row>
    <row r="337" ht="15.75" customHeight="1">
      <c r="A337" s="10" t="s">
        <v>948</v>
      </c>
      <c r="B337" s="17"/>
      <c r="C337" s="5" t="s">
        <v>1076</v>
      </c>
      <c r="D337" s="5">
        <v>1.0</v>
      </c>
      <c r="E337" s="5">
        <f t="shared" si="22"/>
        <v>1</v>
      </c>
      <c r="F337" s="5" t="s">
        <v>1077</v>
      </c>
      <c r="G337" s="5" t="s">
        <v>554</v>
      </c>
      <c r="H337" s="10" t="s">
        <v>562</v>
      </c>
      <c r="I337" s="5" t="str">
        <f>IFERROR(__xludf.DUMMYFUNCTION("IF(OR(TRIM(G337)="""",TRIM(H337)=""""),"""",TEXTJOIN("", "",TRUE,ARRAYFORMULA(TRANSPOSE(TRIM(SPLIT(G337,"","")))&amp;""_""&amp;TRIM(SPLIT(H337,"","")))))"),"Elf_Male, Elf_Female, Human_Male, Human_Female, Orc_Male, Orc_Female")</f>
        <v>Elf_Male, Elf_Female, Human_Male, Human_Female, Orc_Male, Orc_Female</v>
      </c>
      <c r="J337" s="6" t="s">
        <v>951</v>
      </c>
      <c r="L337" s="12" t="str">
        <f t="shared" si="1"/>
        <v>ModularSMPHair_DJ,1,1</v>
      </c>
    </row>
    <row r="338" ht="15.75" customHeight="1">
      <c r="A338" s="10" t="s">
        <v>948</v>
      </c>
      <c r="B338" s="17"/>
      <c r="C338" s="5" t="s">
        <v>1078</v>
      </c>
      <c r="D338" s="5">
        <v>1.0</v>
      </c>
      <c r="E338" s="5">
        <f t="shared" si="22"/>
        <v>1</v>
      </c>
      <c r="F338" s="5" t="s">
        <v>1079</v>
      </c>
      <c r="G338" s="5" t="s">
        <v>554</v>
      </c>
      <c r="H338" s="10" t="s">
        <v>562</v>
      </c>
      <c r="I338" s="5" t="str">
        <f>IFERROR(__xludf.DUMMYFUNCTION("IF(OR(TRIM(G338)="""",TRIM(H338)=""""),"""",TEXTJOIN("", "",TRUE,ARRAYFORMULA(TRANSPOSE(TRIM(SPLIT(G338,"","")))&amp;""_""&amp;TRIM(SPLIT(H338,"","")))))"),"Elf_Male, Elf_Female, Human_Male, Human_Female, Orc_Male, Orc_Female")</f>
        <v>Elf_Male, Elf_Female, Human_Male, Human_Female, Orc_Male, Orc_Female</v>
      </c>
      <c r="J338" s="6" t="s">
        <v>951</v>
      </c>
      <c r="L338" s="12" t="str">
        <f t="shared" si="1"/>
        <v>ModularSMPHair_DK,1,1</v>
      </c>
    </row>
    <row r="339" ht="15.75" customHeight="1">
      <c r="A339" s="10" t="s">
        <v>948</v>
      </c>
      <c r="B339" s="17"/>
      <c r="C339" s="5" t="s">
        <v>1080</v>
      </c>
      <c r="D339" s="5">
        <v>1.0</v>
      </c>
      <c r="E339" s="5">
        <f t="shared" si="22"/>
        <v>1</v>
      </c>
      <c r="F339" s="5" t="s">
        <v>1081</v>
      </c>
      <c r="G339" s="5" t="s">
        <v>554</v>
      </c>
      <c r="H339" s="10" t="s">
        <v>562</v>
      </c>
      <c r="I339" s="5" t="str">
        <f>IFERROR(__xludf.DUMMYFUNCTION("IF(OR(TRIM(G339)="""",TRIM(H339)=""""),"""",TEXTJOIN("", "",TRUE,ARRAYFORMULA(TRANSPOSE(TRIM(SPLIT(G339,"","")))&amp;""_""&amp;TRIM(SPLIT(H339,"","")))))"),"Elf_Male, Elf_Female, Human_Male, Human_Female, Orc_Male, Orc_Female")</f>
        <v>Elf_Male, Elf_Female, Human_Male, Human_Female, Orc_Male, Orc_Female</v>
      </c>
      <c r="J339" s="6" t="s">
        <v>951</v>
      </c>
      <c r="L339" s="12" t="str">
        <f t="shared" si="1"/>
        <v>ModularSMPHair_DL,1,1</v>
      </c>
    </row>
    <row r="340" ht="15.75" customHeight="1">
      <c r="A340" s="10" t="s">
        <v>948</v>
      </c>
      <c r="B340" s="17"/>
      <c r="C340" s="5" t="s">
        <v>1082</v>
      </c>
      <c r="D340" s="5">
        <v>1.0</v>
      </c>
      <c r="E340" s="5">
        <f t="shared" si="22"/>
        <v>1</v>
      </c>
      <c r="F340" s="5" t="s">
        <v>1083</v>
      </c>
      <c r="G340" s="5" t="s">
        <v>554</v>
      </c>
      <c r="H340" s="10" t="s">
        <v>562</v>
      </c>
      <c r="I340" s="5" t="str">
        <f>IFERROR(__xludf.DUMMYFUNCTION("IF(OR(TRIM(G340)="""",TRIM(H340)=""""),"""",TEXTJOIN("", "",TRUE,ARRAYFORMULA(TRANSPOSE(TRIM(SPLIT(G340,"","")))&amp;""_""&amp;TRIM(SPLIT(H340,"","")))))"),"Elf_Male, Elf_Female, Human_Male, Human_Female, Orc_Male, Orc_Female")</f>
        <v>Elf_Male, Elf_Female, Human_Male, Human_Female, Orc_Male, Orc_Female</v>
      </c>
      <c r="J340" s="6" t="s">
        <v>951</v>
      </c>
      <c r="L340" s="12" t="str">
        <f t="shared" si="1"/>
        <v>ModularSMPHair_DM1,1,1</v>
      </c>
    </row>
    <row r="341" ht="15.75" customHeight="1">
      <c r="A341" s="10" t="s">
        <v>948</v>
      </c>
      <c r="B341" s="17"/>
      <c r="C341" s="5" t="s">
        <v>1084</v>
      </c>
      <c r="D341" s="5">
        <v>1.0</v>
      </c>
      <c r="E341" s="5">
        <f t="shared" si="22"/>
        <v>1</v>
      </c>
      <c r="F341" s="5" t="s">
        <v>1087</v>
      </c>
      <c r="G341" s="5" t="s">
        <v>554</v>
      </c>
      <c r="H341" s="10" t="s">
        <v>562</v>
      </c>
      <c r="I341" s="5" t="str">
        <f>IFERROR(__xludf.DUMMYFUNCTION("IF(OR(TRIM(G341)="""",TRIM(H341)=""""),"""",TEXTJOIN("", "",TRUE,ARRAYFORMULA(TRANSPOSE(TRIM(SPLIT(G341,"","")))&amp;""_""&amp;TRIM(SPLIT(H341,"","")))))"),"Elf_Male, Elf_Female, Human_Male, Human_Female, Orc_Male, Orc_Female")</f>
        <v>Elf_Male, Elf_Female, Human_Male, Human_Female, Orc_Male, Orc_Female</v>
      </c>
      <c r="J341" s="6" t="s">
        <v>951</v>
      </c>
      <c r="L341" s="12" t="str">
        <f t="shared" si="1"/>
        <v>ModularSMPHair_DM2,1,1</v>
      </c>
    </row>
    <row r="342" ht="15.75" customHeight="1">
      <c r="A342" s="10" t="s">
        <v>948</v>
      </c>
      <c r="B342" s="17"/>
      <c r="C342" s="5" t="s">
        <v>1089</v>
      </c>
      <c r="D342" s="5">
        <v>1.0</v>
      </c>
      <c r="E342" s="5">
        <f t="shared" si="22"/>
        <v>1</v>
      </c>
      <c r="F342" s="5" t="s">
        <v>1090</v>
      </c>
      <c r="G342" s="5" t="s">
        <v>644</v>
      </c>
      <c r="H342" s="10" t="s">
        <v>562</v>
      </c>
      <c r="I342" s="5" t="str">
        <f>IFERROR(__xludf.DUMMYFUNCTION("IF(OR(TRIM(G342)="""",TRIM(H342)=""""),"""",TEXTJOIN("", "",TRUE,ARRAYFORMULA(TRANSPOSE(TRIM(SPLIT(G342,"","")))&amp;""_""&amp;TRIM(SPLIT(H342,"","")))))"),"Elf_Male, Elf_Female, Human_Male, Human_Female, Orc_Male, Orc_Female, Khajiit_Male, Khajiit_Female")</f>
        <v>Elf_Male, Elf_Female, Human_Male, Human_Female, Orc_Male, Orc_Female, Khajiit_Male, Khajiit_Female</v>
      </c>
      <c r="J342" s="6" t="s">
        <v>951</v>
      </c>
      <c r="L342" s="12" t="str">
        <f t="shared" si="1"/>
        <v>ModularSMPHair_E,1,1</v>
      </c>
    </row>
    <row r="343" ht="15.75" customHeight="1">
      <c r="A343" s="10" t="s">
        <v>948</v>
      </c>
      <c r="B343" s="17"/>
      <c r="C343" s="5" t="s">
        <v>1091</v>
      </c>
      <c r="D343" s="5">
        <v>2.0</v>
      </c>
      <c r="E343" s="5">
        <f t="shared" si="22"/>
        <v>2</v>
      </c>
      <c r="F343" s="5" t="s">
        <v>1092</v>
      </c>
      <c r="G343" s="5" t="s">
        <v>554</v>
      </c>
      <c r="H343" s="10" t="s">
        <v>562</v>
      </c>
      <c r="I343" s="5" t="str">
        <f>IFERROR(__xludf.DUMMYFUNCTION("IF(OR(TRIM(G343)="""",TRIM(H343)=""""),"""",TEXTJOIN("", "",TRUE,ARRAYFORMULA(TRANSPOSE(TRIM(SPLIT(G343,"","")))&amp;""_""&amp;TRIM(SPLIT(H343,"","")))))"),"Elf_Male, Elf_Female, Human_Male, Human_Female, Orc_Male, Orc_Female")</f>
        <v>Elf_Male, Elf_Female, Human_Male, Human_Female, Orc_Male, Orc_Female</v>
      </c>
      <c r="J343" s="6" t="s">
        <v>951</v>
      </c>
      <c r="L343" s="12" t="str">
        <f t="shared" si="1"/>
        <v>ModularSMPHair_EB,2,2</v>
      </c>
    </row>
    <row r="344" ht="15.75" customHeight="1">
      <c r="A344" s="10" t="s">
        <v>948</v>
      </c>
      <c r="B344" s="17"/>
      <c r="C344" s="5" t="s">
        <v>1093</v>
      </c>
      <c r="D344" s="5">
        <v>1.0</v>
      </c>
      <c r="E344" s="5">
        <f t="shared" si="22"/>
        <v>1</v>
      </c>
      <c r="F344" s="5" t="s">
        <v>1094</v>
      </c>
      <c r="G344" s="5" t="s">
        <v>554</v>
      </c>
      <c r="H344" s="10" t="s">
        <v>562</v>
      </c>
      <c r="I344" s="5" t="str">
        <f>IFERROR(__xludf.DUMMYFUNCTION("IF(OR(TRIM(G344)="""",TRIM(H344)=""""),"""",TEXTJOIN("", "",TRUE,ARRAYFORMULA(TRANSPOSE(TRIM(SPLIT(G344,"","")))&amp;""_""&amp;TRIM(SPLIT(H344,"","")))))"),"Elf_Male, Elf_Female, Human_Male, Human_Female, Orc_Male, Orc_Female")</f>
        <v>Elf_Male, Elf_Female, Human_Male, Human_Female, Orc_Male, Orc_Female</v>
      </c>
      <c r="J344" s="6" t="s">
        <v>951</v>
      </c>
      <c r="L344" s="12" t="str">
        <f t="shared" si="1"/>
        <v>ModularSMPHair_EC,1,1</v>
      </c>
    </row>
    <row r="345" ht="15.75" customHeight="1">
      <c r="A345" s="10" t="s">
        <v>948</v>
      </c>
      <c r="B345" s="17"/>
      <c r="C345" s="5" t="s">
        <v>1095</v>
      </c>
      <c r="D345" s="5">
        <v>2.0</v>
      </c>
      <c r="E345" s="5">
        <f t="shared" si="22"/>
        <v>2</v>
      </c>
      <c r="F345" s="5" t="s">
        <v>1096</v>
      </c>
      <c r="G345" s="5" t="s">
        <v>554</v>
      </c>
      <c r="H345" s="10" t="s">
        <v>562</v>
      </c>
      <c r="I345" s="5" t="str">
        <f>IFERROR(__xludf.DUMMYFUNCTION("IF(OR(TRIM(G345)="""",TRIM(H345)=""""),"""",TEXTJOIN("", "",TRUE,ARRAYFORMULA(TRANSPOSE(TRIM(SPLIT(G345,"","")))&amp;""_""&amp;TRIM(SPLIT(H345,"","")))))"),"Elf_Male, Elf_Female, Human_Male, Human_Female, Orc_Male, Orc_Female")</f>
        <v>Elf_Male, Elf_Female, Human_Male, Human_Female, Orc_Male, Orc_Female</v>
      </c>
      <c r="J345" s="6" t="s">
        <v>951</v>
      </c>
      <c r="L345" s="12" t="str">
        <f t="shared" si="1"/>
        <v>ModularSMPHair_EE,2,2</v>
      </c>
    </row>
    <row r="346" ht="15.75" customHeight="1">
      <c r="A346" s="10" t="s">
        <v>948</v>
      </c>
      <c r="B346" s="17"/>
      <c r="C346" s="5" t="s">
        <v>1097</v>
      </c>
      <c r="D346" s="5">
        <v>1.0</v>
      </c>
      <c r="E346" s="5">
        <f t="shared" si="22"/>
        <v>1</v>
      </c>
      <c r="F346" s="5" t="s">
        <v>1098</v>
      </c>
      <c r="G346" s="5" t="s">
        <v>554</v>
      </c>
      <c r="H346" s="10" t="s">
        <v>562</v>
      </c>
      <c r="I346" s="5" t="str">
        <f>IFERROR(__xludf.DUMMYFUNCTION("IF(OR(TRIM(G346)="""",TRIM(H346)=""""),"""",TEXTJOIN("", "",TRUE,ARRAYFORMULA(TRANSPOSE(TRIM(SPLIT(G346,"","")))&amp;""_""&amp;TRIM(SPLIT(H346,"","")))))"),"Elf_Male, Elf_Female, Human_Male, Human_Female, Orc_Male, Orc_Female")</f>
        <v>Elf_Male, Elf_Female, Human_Male, Human_Female, Orc_Male, Orc_Female</v>
      </c>
      <c r="J346" s="6" t="s">
        <v>951</v>
      </c>
      <c r="L346" s="12" t="str">
        <f t="shared" si="1"/>
        <v>ModularSMPHair_EF,1,1</v>
      </c>
    </row>
    <row r="347" ht="15.75" customHeight="1">
      <c r="A347" s="10" t="s">
        <v>948</v>
      </c>
      <c r="B347" s="17"/>
      <c r="C347" s="5" t="s">
        <v>1099</v>
      </c>
      <c r="D347" s="5">
        <v>1.0</v>
      </c>
      <c r="E347" s="5">
        <f t="shared" si="22"/>
        <v>1</v>
      </c>
      <c r="F347" s="5" t="s">
        <v>1100</v>
      </c>
      <c r="G347" s="5" t="s">
        <v>554</v>
      </c>
      <c r="H347" s="10" t="s">
        <v>562</v>
      </c>
      <c r="I347" s="5" t="str">
        <f>IFERROR(__xludf.DUMMYFUNCTION("IF(OR(TRIM(G347)="""",TRIM(H347)=""""),"""",TEXTJOIN("", "",TRUE,ARRAYFORMULA(TRANSPOSE(TRIM(SPLIT(G347,"","")))&amp;""_""&amp;TRIM(SPLIT(H347,"","")))))"),"Elf_Male, Elf_Female, Human_Male, Human_Female, Orc_Male, Orc_Female")</f>
        <v>Elf_Male, Elf_Female, Human_Male, Human_Female, Orc_Male, Orc_Female</v>
      </c>
      <c r="J347" s="6" t="s">
        <v>951</v>
      </c>
      <c r="L347" s="12" t="str">
        <f t="shared" si="1"/>
        <v>ModularSMPHair_EG,1,1</v>
      </c>
    </row>
    <row r="348" ht="15.75" customHeight="1">
      <c r="A348" s="10" t="s">
        <v>948</v>
      </c>
      <c r="B348" s="17"/>
      <c r="C348" s="5" t="s">
        <v>1101</v>
      </c>
      <c r="D348" s="5">
        <v>1.0</v>
      </c>
      <c r="E348" s="5">
        <f t="shared" si="22"/>
        <v>1</v>
      </c>
      <c r="F348" s="5" t="s">
        <v>1102</v>
      </c>
      <c r="G348" s="5" t="s">
        <v>554</v>
      </c>
      <c r="H348" s="10" t="s">
        <v>562</v>
      </c>
      <c r="I348" s="5" t="str">
        <f>IFERROR(__xludf.DUMMYFUNCTION("IF(OR(TRIM(G348)="""",TRIM(H348)=""""),"""",TEXTJOIN("", "",TRUE,ARRAYFORMULA(TRANSPOSE(TRIM(SPLIT(G348,"","")))&amp;""_""&amp;TRIM(SPLIT(H348,"","")))))"),"Elf_Male, Elf_Female, Human_Male, Human_Female, Orc_Male, Orc_Female")</f>
        <v>Elf_Male, Elf_Female, Human_Male, Human_Female, Orc_Male, Orc_Female</v>
      </c>
      <c r="J348" s="6" t="s">
        <v>951</v>
      </c>
      <c r="L348" s="12" t="str">
        <f t="shared" si="1"/>
        <v>ModularSMPHair_EH,1,1</v>
      </c>
    </row>
    <row r="349" ht="15.75" customHeight="1">
      <c r="A349" s="10" t="s">
        <v>948</v>
      </c>
      <c r="B349" s="17"/>
      <c r="C349" s="5" t="s">
        <v>1103</v>
      </c>
      <c r="D349" s="5">
        <v>1.0</v>
      </c>
      <c r="E349" s="5">
        <f t="shared" si="22"/>
        <v>1</v>
      </c>
      <c r="F349" s="5" t="s">
        <v>1104</v>
      </c>
      <c r="G349" s="5" t="s">
        <v>554</v>
      </c>
      <c r="H349" s="10" t="s">
        <v>562</v>
      </c>
      <c r="I349" s="5" t="str">
        <f>IFERROR(__xludf.DUMMYFUNCTION("IF(OR(TRIM(G349)="""",TRIM(H349)=""""),"""",TEXTJOIN("", "",TRUE,ARRAYFORMULA(TRANSPOSE(TRIM(SPLIT(G349,"","")))&amp;""_""&amp;TRIM(SPLIT(H349,"","")))))"),"Elf_Male, Elf_Female, Human_Male, Human_Female, Orc_Male, Orc_Female")</f>
        <v>Elf_Male, Elf_Female, Human_Male, Human_Female, Orc_Male, Orc_Female</v>
      </c>
      <c r="J349" s="6" t="s">
        <v>951</v>
      </c>
      <c r="L349" s="12" t="str">
        <f t="shared" si="1"/>
        <v>ModularSMPHair_EI,1,1</v>
      </c>
    </row>
    <row r="350" ht="15.75" customHeight="1">
      <c r="A350" s="10" t="s">
        <v>948</v>
      </c>
      <c r="B350" s="17"/>
      <c r="C350" s="5" t="s">
        <v>1105</v>
      </c>
      <c r="D350" s="5">
        <v>1.0</v>
      </c>
      <c r="E350" s="5">
        <f t="shared" si="22"/>
        <v>1</v>
      </c>
      <c r="F350" s="5" t="s">
        <v>1106</v>
      </c>
      <c r="G350" s="5" t="s">
        <v>554</v>
      </c>
      <c r="H350" s="10" t="s">
        <v>562</v>
      </c>
      <c r="I350" s="5" t="str">
        <f>IFERROR(__xludf.DUMMYFUNCTION("IF(OR(TRIM(G350)="""",TRIM(H350)=""""),"""",TEXTJOIN("", "",TRUE,ARRAYFORMULA(TRANSPOSE(TRIM(SPLIT(G350,"","")))&amp;""_""&amp;TRIM(SPLIT(H350,"","")))))"),"Elf_Male, Elf_Female, Human_Male, Human_Female, Orc_Male, Orc_Female")</f>
        <v>Elf_Male, Elf_Female, Human_Male, Human_Female, Orc_Male, Orc_Female</v>
      </c>
      <c r="J350" s="6" t="s">
        <v>951</v>
      </c>
      <c r="L350" s="12" t="str">
        <f t="shared" si="1"/>
        <v>ModularSMPHair_EJ,1,1</v>
      </c>
    </row>
    <row r="351" ht="15.75" customHeight="1">
      <c r="A351" s="10" t="s">
        <v>948</v>
      </c>
      <c r="B351" s="17"/>
      <c r="C351" s="5" t="s">
        <v>1107</v>
      </c>
      <c r="D351" s="5">
        <v>1.0</v>
      </c>
      <c r="E351" s="5">
        <f t="shared" si="22"/>
        <v>1</v>
      </c>
      <c r="F351" s="5" t="s">
        <v>1108</v>
      </c>
      <c r="G351" s="5" t="s">
        <v>554</v>
      </c>
      <c r="H351" s="10" t="s">
        <v>562</v>
      </c>
      <c r="I351" s="5" t="str">
        <f>IFERROR(__xludf.DUMMYFUNCTION("IF(OR(TRIM(G351)="""",TRIM(H351)=""""),"""",TEXTJOIN("", "",TRUE,ARRAYFORMULA(TRANSPOSE(TRIM(SPLIT(G351,"","")))&amp;""_""&amp;TRIM(SPLIT(H351,"","")))))"),"Elf_Male, Elf_Female, Human_Male, Human_Female, Orc_Male, Orc_Female")</f>
        <v>Elf_Male, Elf_Female, Human_Male, Human_Female, Orc_Male, Orc_Female</v>
      </c>
      <c r="J351" s="6" t="s">
        <v>951</v>
      </c>
      <c r="L351" s="12" t="str">
        <f t="shared" si="1"/>
        <v>ModularSMPHair_EK,1,1</v>
      </c>
    </row>
    <row r="352" ht="15.75" customHeight="1">
      <c r="A352" s="10" t="s">
        <v>948</v>
      </c>
      <c r="B352" s="17"/>
      <c r="C352" s="5" t="s">
        <v>1109</v>
      </c>
      <c r="D352" s="5">
        <v>1.0</v>
      </c>
      <c r="E352" s="5">
        <f t="shared" si="22"/>
        <v>1</v>
      </c>
      <c r="F352" s="5" t="s">
        <v>1110</v>
      </c>
      <c r="G352" s="5" t="s">
        <v>554</v>
      </c>
      <c r="H352" s="10" t="s">
        <v>562</v>
      </c>
      <c r="I352" s="5" t="str">
        <f>IFERROR(__xludf.DUMMYFUNCTION("IF(OR(TRIM(G352)="""",TRIM(H352)=""""),"""",TEXTJOIN("", "",TRUE,ARRAYFORMULA(TRANSPOSE(TRIM(SPLIT(G352,"","")))&amp;""_""&amp;TRIM(SPLIT(H352,"","")))))"),"Elf_Male, Elf_Female, Human_Male, Human_Female, Orc_Male, Orc_Female")</f>
        <v>Elf_Male, Elf_Female, Human_Male, Human_Female, Orc_Male, Orc_Female</v>
      </c>
      <c r="J352" s="6" t="s">
        <v>951</v>
      </c>
      <c r="L352" s="12" t="str">
        <f t="shared" si="1"/>
        <v>ModularSMPHair_EL,1,1</v>
      </c>
    </row>
    <row r="353" ht="15.75" customHeight="1">
      <c r="A353" s="10" t="s">
        <v>948</v>
      </c>
      <c r="B353" s="17"/>
      <c r="C353" s="5" t="s">
        <v>1111</v>
      </c>
      <c r="D353" s="5">
        <v>1.0</v>
      </c>
      <c r="E353" s="5">
        <f t="shared" si="22"/>
        <v>1</v>
      </c>
      <c r="F353" s="5" t="s">
        <v>1112</v>
      </c>
      <c r="G353" s="5" t="s">
        <v>554</v>
      </c>
      <c r="H353" s="10" t="s">
        <v>562</v>
      </c>
      <c r="I353" s="5" t="str">
        <f>IFERROR(__xludf.DUMMYFUNCTION("IF(OR(TRIM(G353)="""",TRIM(H353)=""""),"""",TEXTJOIN("", "",TRUE,ARRAYFORMULA(TRANSPOSE(TRIM(SPLIT(G353,"","")))&amp;""_""&amp;TRIM(SPLIT(H353,"","")))))"),"Elf_Male, Elf_Female, Human_Male, Human_Female, Orc_Male, Orc_Female")</f>
        <v>Elf_Male, Elf_Female, Human_Male, Human_Female, Orc_Male, Orc_Female</v>
      </c>
      <c r="J353" s="6" t="s">
        <v>951</v>
      </c>
      <c r="L353" s="12" t="str">
        <f t="shared" si="1"/>
        <v>ModularSMPHair_EM1,1,1</v>
      </c>
    </row>
    <row r="354" ht="15.75" customHeight="1">
      <c r="A354" s="10" t="s">
        <v>948</v>
      </c>
      <c r="B354" s="17"/>
      <c r="C354" s="5" t="s">
        <v>1113</v>
      </c>
      <c r="D354" s="5">
        <v>1.0</v>
      </c>
      <c r="E354" s="5">
        <f t="shared" si="22"/>
        <v>1</v>
      </c>
      <c r="F354" s="5" t="s">
        <v>1114</v>
      </c>
      <c r="G354" s="5" t="s">
        <v>554</v>
      </c>
      <c r="H354" s="10" t="s">
        <v>562</v>
      </c>
      <c r="I354" s="5" t="str">
        <f>IFERROR(__xludf.DUMMYFUNCTION("IF(OR(TRIM(G354)="""",TRIM(H354)=""""),"""",TEXTJOIN("", "",TRUE,ARRAYFORMULA(TRANSPOSE(TRIM(SPLIT(G354,"","")))&amp;""_""&amp;TRIM(SPLIT(H354,"","")))))"),"Elf_Male, Elf_Female, Human_Male, Human_Female, Orc_Male, Orc_Female")</f>
        <v>Elf_Male, Elf_Female, Human_Male, Human_Female, Orc_Male, Orc_Female</v>
      </c>
      <c r="J354" s="6" t="s">
        <v>951</v>
      </c>
      <c r="L354" s="12" t="str">
        <f t="shared" si="1"/>
        <v>ModularSMPHair_EM2,1,1</v>
      </c>
    </row>
    <row r="355" ht="15.75" customHeight="1">
      <c r="A355" s="10" t="s">
        <v>948</v>
      </c>
      <c r="B355" s="17"/>
      <c r="C355" s="5" t="s">
        <v>1118</v>
      </c>
      <c r="D355" s="5">
        <v>1.0</v>
      </c>
      <c r="E355" s="5">
        <f t="shared" si="22"/>
        <v>1</v>
      </c>
      <c r="F355" s="5" t="s">
        <v>1119</v>
      </c>
      <c r="G355" s="5" t="s">
        <v>644</v>
      </c>
      <c r="H355" s="10" t="s">
        <v>562</v>
      </c>
      <c r="I355" s="5" t="str">
        <f>IFERROR(__xludf.DUMMYFUNCTION("IF(OR(TRIM(G355)="""",TRIM(H355)=""""),"""",TEXTJOIN("", "",TRUE,ARRAYFORMULA(TRANSPOSE(TRIM(SPLIT(G355,"","")))&amp;""_""&amp;TRIM(SPLIT(H355,"","")))))"),"Elf_Male, Elf_Female, Human_Male, Human_Female, Orc_Male, Orc_Female, Khajiit_Male, Khajiit_Female")</f>
        <v>Elf_Male, Elf_Female, Human_Male, Human_Female, Orc_Male, Orc_Female, Khajiit_Male, Khajiit_Female</v>
      </c>
      <c r="J355" s="6" t="s">
        <v>951</v>
      </c>
      <c r="L355" s="12" t="str">
        <f t="shared" si="1"/>
        <v>ModularSMPHair_F,1,1</v>
      </c>
    </row>
    <row r="356" ht="15.75" customHeight="1">
      <c r="A356" s="10" t="s">
        <v>948</v>
      </c>
      <c r="B356" s="17"/>
      <c r="C356" s="5" t="s">
        <v>1120</v>
      </c>
      <c r="D356" s="5">
        <v>2.0</v>
      </c>
      <c r="E356" s="5">
        <f t="shared" si="22"/>
        <v>2</v>
      </c>
      <c r="F356" s="5" t="s">
        <v>1121</v>
      </c>
      <c r="G356" s="5" t="s">
        <v>554</v>
      </c>
      <c r="H356" s="10" t="s">
        <v>562</v>
      </c>
      <c r="I356" s="5" t="str">
        <f>IFERROR(__xludf.DUMMYFUNCTION("IF(OR(TRIM(G356)="""",TRIM(H356)=""""),"""",TEXTJOIN("", "",TRUE,ARRAYFORMULA(TRANSPOSE(TRIM(SPLIT(G356,"","")))&amp;""_""&amp;TRIM(SPLIT(H356,"","")))))"),"Elf_Male, Elf_Female, Human_Male, Human_Female, Orc_Male, Orc_Female")</f>
        <v>Elf_Male, Elf_Female, Human_Male, Human_Female, Orc_Male, Orc_Female</v>
      </c>
      <c r="J356" s="6" t="s">
        <v>951</v>
      </c>
      <c r="L356" s="12" t="str">
        <f t="shared" si="1"/>
        <v>ModularSMPHair_FB,2,2</v>
      </c>
    </row>
    <row r="357" ht="15.75" customHeight="1">
      <c r="A357" s="10" t="s">
        <v>948</v>
      </c>
      <c r="B357" s="17"/>
      <c r="C357" s="5" t="s">
        <v>1122</v>
      </c>
      <c r="D357" s="5">
        <v>1.0</v>
      </c>
      <c r="E357" s="5">
        <f t="shared" si="22"/>
        <v>1</v>
      </c>
      <c r="F357" s="5" t="s">
        <v>1123</v>
      </c>
      <c r="G357" s="5" t="s">
        <v>554</v>
      </c>
      <c r="H357" s="10" t="s">
        <v>562</v>
      </c>
      <c r="I357" s="5" t="str">
        <f>IFERROR(__xludf.DUMMYFUNCTION("IF(OR(TRIM(G357)="""",TRIM(H357)=""""),"""",TEXTJOIN("", "",TRUE,ARRAYFORMULA(TRANSPOSE(TRIM(SPLIT(G357,"","")))&amp;""_""&amp;TRIM(SPLIT(H357,"","")))))"),"Elf_Male, Elf_Female, Human_Male, Human_Female, Orc_Male, Orc_Female")</f>
        <v>Elf_Male, Elf_Female, Human_Male, Human_Female, Orc_Male, Orc_Female</v>
      </c>
      <c r="J357" s="6" t="s">
        <v>951</v>
      </c>
      <c r="L357" s="12" t="str">
        <f t="shared" si="1"/>
        <v>ModularSMPHair_FC,1,1</v>
      </c>
    </row>
    <row r="358" ht="15.75" customHeight="1">
      <c r="A358" s="10" t="s">
        <v>948</v>
      </c>
      <c r="B358" s="17"/>
      <c r="C358" s="5" t="s">
        <v>1124</v>
      </c>
      <c r="D358" s="5">
        <v>2.0</v>
      </c>
      <c r="E358" s="5">
        <f t="shared" si="22"/>
        <v>2</v>
      </c>
      <c r="F358" s="5" t="s">
        <v>1125</v>
      </c>
      <c r="G358" s="5" t="s">
        <v>554</v>
      </c>
      <c r="H358" s="10" t="s">
        <v>562</v>
      </c>
      <c r="I358" s="5" t="str">
        <f>IFERROR(__xludf.DUMMYFUNCTION("IF(OR(TRIM(G358)="""",TRIM(H358)=""""),"""",TEXTJOIN("", "",TRUE,ARRAYFORMULA(TRANSPOSE(TRIM(SPLIT(G358,"","")))&amp;""_""&amp;TRIM(SPLIT(H358,"","")))))"),"Elf_Male, Elf_Female, Human_Male, Human_Female, Orc_Male, Orc_Female")</f>
        <v>Elf_Male, Elf_Female, Human_Male, Human_Female, Orc_Male, Orc_Female</v>
      </c>
      <c r="J358" s="6" t="s">
        <v>951</v>
      </c>
      <c r="L358" s="12" t="str">
        <f t="shared" si="1"/>
        <v>ModularSMPHair_FE,2,2</v>
      </c>
    </row>
    <row r="359" ht="15.75" customHeight="1">
      <c r="A359" s="10" t="s">
        <v>948</v>
      </c>
      <c r="B359" s="17"/>
      <c r="C359" s="5" t="s">
        <v>1126</v>
      </c>
      <c r="D359" s="5">
        <v>1.0</v>
      </c>
      <c r="E359" s="5">
        <f t="shared" si="22"/>
        <v>1</v>
      </c>
      <c r="F359" s="5" t="s">
        <v>1127</v>
      </c>
      <c r="G359" s="5" t="s">
        <v>554</v>
      </c>
      <c r="H359" s="10" t="s">
        <v>562</v>
      </c>
      <c r="I359" s="5" t="str">
        <f>IFERROR(__xludf.DUMMYFUNCTION("IF(OR(TRIM(G359)="""",TRIM(H359)=""""),"""",TEXTJOIN("", "",TRUE,ARRAYFORMULA(TRANSPOSE(TRIM(SPLIT(G359,"","")))&amp;""_""&amp;TRIM(SPLIT(H359,"","")))))"),"Elf_Male, Elf_Female, Human_Male, Human_Female, Orc_Male, Orc_Female")</f>
        <v>Elf_Male, Elf_Female, Human_Male, Human_Female, Orc_Male, Orc_Female</v>
      </c>
      <c r="J359" s="6" t="s">
        <v>951</v>
      </c>
      <c r="L359" s="12" t="str">
        <f t="shared" si="1"/>
        <v>ModularSMPHair_FF,1,1</v>
      </c>
    </row>
    <row r="360" ht="15.75" customHeight="1">
      <c r="A360" s="10" t="s">
        <v>948</v>
      </c>
      <c r="B360" s="17"/>
      <c r="C360" s="5" t="s">
        <v>1128</v>
      </c>
      <c r="D360" s="5">
        <v>1.0</v>
      </c>
      <c r="E360" s="5">
        <f t="shared" si="22"/>
        <v>1</v>
      </c>
      <c r="F360" s="5" t="s">
        <v>1129</v>
      </c>
      <c r="G360" s="5" t="s">
        <v>554</v>
      </c>
      <c r="H360" s="10" t="s">
        <v>562</v>
      </c>
      <c r="I360" s="5" t="str">
        <f>IFERROR(__xludf.DUMMYFUNCTION("IF(OR(TRIM(G360)="""",TRIM(H360)=""""),"""",TEXTJOIN("", "",TRUE,ARRAYFORMULA(TRANSPOSE(TRIM(SPLIT(G360,"","")))&amp;""_""&amp;TRIM(SPLIT(H360,"","")))))"),"Elf_Male, Elf_Female, Human_Male, Human_Female, Orc_Male, Orc_Female")</f>
        <v>Elf_Male, Elf_Female, Human_Male, Human_Female, Orc_Male, Orc_Female</v>
      </c>
      <c r="J360" s="6" t="s">
        <v>951</v>
      </c>
      <c r="L360" s="12" t="str">
        <f t="shared" si="1"/>
        <v>ModularSMPHair_FG,1,1</v>
      </c>
    </row>
    <row r="361" ht="15.75" customHeight="1">
      <c r="A361" s="10" t="s">
        <v>948</v>
      </c>
      <c r="B361" s="17"/>
      <c r="C361" s="5" t="s">
        <v>1130</v>
      </c>
      <c r="D361" s="5">
        <v>1.0</v>
      </c>
      <c r="E361" s="5">
        <f t="shared" si="22"/>
        <v>1</v>
      </c>
      <c r="F361" s="5" t="s">
        <v>1131</v>
      </c>
      <c r="G361" s="5" t="s">
        <v>554</v>
      </c>
      <c r="H361" s="10" t="s">
        <v>562</v>
      </c>
      <c r="I361" s="5" t="str">
        <f>IFERROR(__xludf.DUMMYFUNCTION("IF(OR(TRIM(G361)="""",TRIM(H361)=""""),"""",TEXTJOIN("", "",TRUE,ARRAYFORMULA(TRANSPOSE(TRIM(SPLIT(G361,"","")))&amp;""_""&amp;TRIM(SPLIT(H361,"","")))))"),"Elf_Male, Elf_Female, Human_Male, Human_Female, Orc_Male, Orc_Female")</f>
        <v>Elf_Male, Elf_Female, Human_Male, Human_Female, Orc_Male, Orc_Female</v>
      </c>
      <c r="J361" s="6" t="s">
        <v>951</v>
      </c>
      <c r="L361" s="12" t="str">
        <f t="shared" si="1"/>
        <v>ModularSMPHair_FH,1,1</v>
      </c>
    </row>
    <row r="362" ht="15.75" customHeight="1">
      <c r="A362" s="10" t="s">
        <v>948</v>
      </c>
      <c r="B362" s="17"/>
      <c r="C362" s="5" t="s">
        <v>1132</v>
      </c>
      <c r="D362" s="5">
        <v>1.0</v>
      </c>
      <c r="E362" s="5">
        <f t="shared" si="22"/>
        <v>1</v>
      </c>
      <c r="F362" s="5" t="s">
        <v>1133</v>
      </c>
      <c r="G362" s="5" t="s">
        <v>554</v>
      </c>
      <c r="H362" s="10" t="s">
        <v>562</v>
      </c>
      <c r="I362" s="5" t="str">
        <f>IFERROR(__xludf.DUMMYFUNCTION("IF(OR(TRIM(G362)="""",TRIM(H362)=""""),"""",TEXTJOIN("", "",TRUE,ARRAYFORMULA(TRANSPOSE(TRIM(SPLIT(G362,"","")))&amp;""_""&amp;TRIM(SPLIT(H362,"","")))))"),"Elf_Male, Elf_Female, Human_Male, Human_Female, Orc_Male, Orc_Female")</f>
        <v>Elf_Male, Elf_Female, Human_Male, Human_Female, Orc_Male, Orc_Female</v>
      </c>
      <c r="J362" s="6" t="s">
        <v>951</v>
      </c>
      <c r="L362" s="12" t="str">
        <f t="shared" si="1"/>
        <v>ModularSMPHair_FI,1,1</v>
      </c>
    </row>
    <row r="363" ht="15.75" customHeight="1">
      <c r="A363" s="10" t="s">
        <v>948</v>
      </c>
      <c r="B363" s="17"/>
      <c r="C363" s="5" t="s">
        <v>1134</v>
      </c>
      <c r="D363" s="5">
        <v>1.0</v>
      </c>
      <c r="E363" s="5">
        <f t="shared" si="22"/>
        <v>1</v>
      </c>
      <c r="F363" s="5" t="s">
        <v>1135</v>
      </c>
      <c r="G363" s="5" t="s">
        <v>554</v>
      </c>
      <c r="H363" s="10" t="s">
        <v>562</v>
      </c>
      <c r="I363" s="5" t="str">
        <f>IFERROR(__xludf.DUMMYFUNCTION("IF(OR(TRIM(G363)="""",TRIM(H363)=""""),"""",TEXTJOIN("", "",TRUE,ARRAYFORMULA(TRANSPOSE(TRIM(SPLIT(G363,"","")))&amp;""_""&amp;TRIM(SPLIT(H363,"","")))))"),"Elf_Male, Elf_Female, Human_Male, Human_Female, Orc_Male, Orc_Female")</f>
        <v>Elf_Male, Elf_Female, Human_Male, Human_Female, Orc_Male, Orc_Female</v>
      </c>
      <c r="J363" s="6" t="s">
        <v>951</v>
      </c>
      <c r="L363" s="12" t="str">
        <f t="shared" si="1"/>
        <v>ModularSMPHair_FJ,1,1</v>
      </c>
    </row>
    <row r="364" ht="15.75" customHeight="1">
      <c r="A364" s="10" t="s">
        <v>948</v>
      </c>
      <c r="B364" s="17"/>
      <c r="C364" s="5" t="s">
        <v>1136</v>
      </c>
      <c r="D364" s="5">
        <v>1.0</v>
      </c>
      <c r="E364" s="5">
        <f t="shared" si="22"/>
        <v>1</v>
      </c>
      <c r="F364" s="5" t="s">
        <v>1137</v>
      </c>
      <c r="G364" s="5" t="s">
        <v>554</v>
      </c>
      <c r="H364" s="10" t="s">
        <v>562</v>
      </c>
      <c r="I364" s="5" t="str">
        <f>IFERROR(__xludf.DUMMYFUNCTION("IF(OR(TRIM(G364)="""",TRIM(H364)=""""),"""",TEXTJOIN("", "",TRUE,ARRAYFORMULA(TRANSPOSE(TRIM(SPLIT(G364,"","")))&amp;""_""&amp;TRIM(SPLIT(H364,"","")))))"),"Elf_Male, Elf_Female, Human_Male, Human_Female, Orc_Male, Orc_Female")</f>
        <v>Elf_Male, Elf_Female, Human_Male, Human_Female, Orc_Male, Orc_Female</v>
      </c>
      <c r="J364" s="6" t="s">
        <v>951</v>
      </c>
      <c r="L364" s="12" t="str">
        <f t="shared" si="1"/>
        <v>ModularSMPHair_FK,1,1</v>
      </c>
    </row>
    <row r="365" ht="15.75" customHeight="1">
      <c r="A365" s="10" t="s">
        <v>948</v>
      </c>
      <c r="B365" s="17"/>
      <c r="C365" s="5" t="s">
        <v>1138</v>
      </c>
      <c r="D365" s="5">
        <v>1.0</v>
      </c>
      <c r="E365" s="5">
        <f t="shared" si="22"/>
        <v>1</v>
      </c>
      <c r="F365" s="5" t="s">
        <v>1139</v>
      </c>
      <c r="G365" s="5" t="s">
        <v>554</v>
      </c>
      <c r="H365" s="10" t="s">
        <v>562</v>
      </c>
      <c r="I365" s="5" t="str">
        <f>IFERROR(__xludf.DUMMYFUNCTION("IF(OR(TRIM(G365)="""",TRIM(H365)=""""),"""",TEXTJOIN("", "",TRUE,ARRAYFORMULA(TRANSPOSE(TRIM(SPLIT(G365,"","")))&amp;""_""&amp;TRIM(SPLIT(H365,"","")))))"),"Elf_Male, Elf_Female, Human_Male, Human_Female, Orc_Male, Orc_Female")</f>
        <v>Elf_Male, Elf_Female, Human_Male, Human_Female, Orc_Male, Orc_Female</v>
      </c>
      <c r="J365" s="6" t="s">
        <v>951</v>
      </c>
      <c r="L365" s="12" t="str">
        <f t="shared" si="1"/>
        <v>ModularSMPHair_FL,1,1</v>
      </c>
    </row>
    <row r="366" ht="15.75" customHeight="1">
      <c r="A366" s="10" t="s">
        <v>948</v>
      </c>
      <c r="B366" s="17"/>
      <c r="C366" s="5" t="s">
        <v>1140</v>
      </c>
      <c r="D366" s="5">
        <v>1.0</v>
      </c>
      <c r="E366" s="5">
        <f t="shared" si="22"/>
        <v>1</v>
      </c>
      <c r="F366" s="5" t="s">
        <v>1141</v>
      </c>
      <c r="G366" s="5" t="s">
        <v>554</v>
      </c>
      <c r="H366" s="10" t="s">
        <v>562</v>
      </c>
      <c r="I366" s="5" t="str">
        <f>IFERROR(__xludf.DUMMYFUNCTION("IF(OR(TRIM(G366)="""",TRIM(H366)=""""),"""",TEXTJOIN("", "",TRUE,ARRAYFORMULA(TRANSPOSE(TRIM(SPLIT(G366,"","")))&amp;""_""&amp;TRIM(SPLIT(H366,"","")))))"),"Elf_Male, Elf_Female, Human_Male, Human_Female, Orc_Male, Orc_Female")</f>
        <v>Elf_Male, Elf_Female, Human_Male, Human_Female, Orc_Male, Orc_Female</v>
      </c>
      <c r="J366" s="6" t="s">
        <v>951</v>
      </c>
      <c r="L366" s="12" t="str">
        <f t="shared" si="1"/>
        <v>ModularSMPHair_FM1,1,1</v>
      </c>
    </row>
    <row r="367" ht="15.75" customHeight="1">
      <c r="A367" s="10" t="s">
        <v>948</v>
      </c>
      <c r="B367" s="17"/>
      <c r="C367" s="5" t="s">
        <v>1142</v>
      </c>
      <c r="D367" s="5">
        <v>1.0</v>
      </c>
      <c r="E367" s="5">
        <f t="shared" si="22"/>
        <v>1</v>
      </c>
      <c r="F367" s="5" t="s">
        <v>1144</v>
      </c>
      <c r="G367" s="5" t="s">
        <v>554</v>
      </c>
      <c r="H367" s="10" t="s">
        <v>562</v>
      </c>
      <c r="I367" s="5" t="str">
        <f>IFERROR(__xludf.DUMMYFUNCTION("IF(OR(TRIM(G367)="""",TRIM(H367)=""""),"""",TEXTJOIN("", "",TRUE,ARRAYFORMULA(TRANSPOSE(TRIM(SPLIT(G367,"","")))&amp;""_""&amp;TRIM(SPLIT(H367,"","")))))"),"Elf_Male, Elf_Female, Human_Male, Human_Female, Orc_Male, Orc_Female")</f>
        <v>Elf_Male, Elf_Female, Human_Male, Human_Female, Orc_Male, Orc_Female</v>
      </c>
      <c r="J367" s="6" t="s">
        <v>951</v>
      </c>
      <c r="L367" s="12" t="str">
        <f t="shared" si="1"/>
        <v>ModularSMPHair_FM2,1,1</v>
      </c>
    </row>
    <row r="368" ht="15.75" customHeight="1">
      <c r="A368" s="10" t="s">
        <v>948</v>
      </c>
      <c r="B368" s="17"/>
      <c r="C368" s="5" t="s">
        <v>1147</v>
      </c>
      <c r="D368" s="5">
        <v>1.0</v>
      </c>
      <c r="E368" s="5">
        <v>2.0</v>
      </c>
      <c r="F368" s="5" t="s">
        <v>1148</v>
      </c>
      <c r="G368" s="5" t="s">
        <v>644</v>
      </c>
      <c r="H368" s="10" t="s">
        <v>562</v>
      </c>
      <c r="I368" s="5" t="str">
        <f>IFERROR(__xludf.DUMMYFUNCTION("IF(OR(TRIM(G368)="""",TRIM(H368)=""""),"""",TEXTJOIN("", "",TRUE,ARRAYFORMULA(TRANSPOSE(TRIM(SPLIT(G368,"","")))&amp;""_""&amp;TRIM(SPLIT(H368,"","")))))"),"Elf_Male, Elf_Female, Human_Male, Human_Female, Orc_Male, Orc_Female, Khajiit_Male, Khajiit_Female")</f>
        <v>Elf_Male, Elf_Female, Human_Male, Human_Female, Orc_Male, Orc_Female, Khajiit_Male, Khajiit_Female</v>
      </c>
      <c r="J368" s="6" t="s">
        <v>951</v>
      </c>
      <c r="L368" s="12" t="str">
        <f t="shared" si="1"/>
        <v>ModularSMPHair_G,1,2</v>
      </c>
    </row>
    <row r="369" ht="15.75" customHeight="1">
      <c r="A369" s="10" t="s">
        <v>948</v>
      </c>
      <c r="B369" s="17"/>
      <c r="C369" s="5" t="s">
        <v>1149</v>
      </c>
      <c r="D369" s="5">
        <v>2.0</v>
      </c>
      <c r="E369" s="5">
        <v>2.0</v>
      </c>
      <c r="F369" s="5" t="s">
        <v>1150</v>
      </c>
      <c r="G369" s="5" t="s">
        <v>554</v>
      </c>
      <c r="H369" s="10" t="s">
        <v>562</v>
      </c>
      <c r="I369" s="5" t="str">
        <f>IFERROR(__xludf.DUMMYFUNCTION("IF(OR(TRIM(G369)="""",TRIM(H369)=""""),"""",TEXTJOIN("", "",TRUE,ARRAYFORMULA(TRANSPOSE(TRIM(SPLIT(G369,"","")))&amp;""_""&amp;TRIM(SPLIT(H369,"","")))))"),"Elf_Male, Elf_Female, Human_Male, Human_Female, Orc_Male, Orc_Female")</f>
        <v>Elf_Male, Elf_Female, Human_Male, Human_Female, Orc_Male, Orc_Female</v>
      </c>
      <c r="J369" s="6" t="s">
        <v>951</v>
      </c>
      <c r="L369" s="12" t="str">
        <f t="shared" si="1"/>
        <v>ModularSMPHair_GB,2,2</v>
      </c>
    </row>
    <row r="370" ht="15.75" customHeight="1">
      <c r="A370" s="10" t="s">
        <v>948</v>
      </c>
      <c r="B370" s="17"/>
      <c r="C370" s="5" t="s">
        <v>1151</v>
      </c>
      <c r="D370" s="5">
        <v>1.0</v>
      </c>
      <c r="E370" s="5">
        <v>2.0</v>
      </c>
      <c r="F370" s="5" t="s">
        <v>1152</v>
      </c>
      <c r="G370" s="5" t="s">
        <v>554</v>
      </c>
      <c r="H370" s="10" t="s">
        <v>562</v>
      </c>
      <c r="I370" s="5" t="str">
        <f>IFERROR(__xludf.DUMMYFUNCTION("IF(OR(TRIM(G370)="""",TRIM(H370)=""""),"""",TEXTJOIN("", "",TRUE,ARRAYFORMULA(TRANSPOSE(TRIM(SPLIT(G370,"","")))&amp;""_""&amp;TRIM(SPLIT(H370,"","")))))"),"Elf_Male, Elf_Female, Human_Male, Human_Female, Orc_Male, Orc_Female")</f>
        <v>Elf_Male, Elf_Female, Human_Male, Human_Female, Orc_Male, Orc_Female</v>
      </c>
      <c r="J370" s="6" t="s">
        <v>951</v>
      </c>
      <c r="L370" s="12" t="str">
        <f t="shared" si="1"/>
        <v>ModularSMPHair_GC,1,2</v>
      </c>
    </row>
    <row r="371" ht="15.75" customHeight="1">
      <c r="A371" s="10" t="s">
        <v>948</v>
      </c>
      <c r="B371" s="17"/>
      <c r="C371" s="5" t="s">
        <v>1153</v>
      </c>
      <c r="D371" s="5">
        <v>2.0</v>
      </c>
      <c r="E371" s="5">
        <v>2.0</v>
      </c>
      <c r="F371" s="5" t="s">
        <v>1154</v>
      </c>
      <c r="G371" s="5" t="s">
        <v>554</v>
      </c>
      <c r="H371" s="10" t="s">
        <v>562</v>
      </c>
      <c r="I371" s="5" t="str">
        <f>IFERROR(__xludf.DUMMYFUNCTION("IF(OR(TRIM(G371)="""",TRIM(H371)=""""),"""",TEXTJOIN("", "",TRUE,ARRAYFORMULA(TRANSPOSE(TRIM(SPLIT(G371,"","")))&amp;""_""&amp;TRIM(SPLIT(H371,"","")))))"),"Elf_Male, Elf_Female, Human_Male, Human_Female, Orc_Male, Orc_Female")</f>
        <v>Elf_Male, Elf_Female, Human_Male, Human_Female, Orc_Male, Orc_Female</v>
      </c>
      <c r="J371" s="6" t="s">
        <v>951</v>
      </c>
      <c r="L371" s="12" t="str">
        <f t="shared" si="1"/>
        <v>ModularSMPHair_GE,2,2</v>
      </c>
    </row>
    <row r="372" ht="15.75" customHeight="1">
      <c r="A372" s="10" t="s">
        <v>948</v>
      </c>
      <c r="B372" s="17"/>
      <c r="C372" s="5" t="s">
        <v>1155</v>
      </c>
      <c r="D372" s="5">
        <v>1.0</v>
      </c>
      <c r="E372" s="5">
        <v>2.0</v>
      </c>
      <c r="F372" s="5" t="s">
        <v>1156</v>
      </c>
      <c r="G372" s="5" t="s">
        <v>554</v>
      </c>
      <c r="H372" s="10" t="s">
        <v>562</v>
      </c>
      <c r="I372" s="5" t="str">
        <f>IFERROR(__xludf.DUMMYFUNCTION("IF(OR(TRIM(G372)="""",TRIM(H372)=""""),"""",TEXTJOIN("", "",TRUE,ARRAYFORMULA(TRANSPOSE(TRIM(SPLIT(G372,"","")))&amp;""_""&amp;TRIM(SPLIT(H372,"","")))))"),"Elf_Male, Elf_Female, Human_Male, Human_Female, Orc_Male, Orc_Female")</f>
        <v>Elf_Male, Elf_Female, Human_Male, Human_Female, Orc_Male, Orc_Female</v>
      </c>
      <c r="J372" s="6" t="s">
        <v>951</v>
      </c>
      <c r="L372" s="12" t="str">
        <f t="shared" si="1"/>
        <v>ModularSMPHair_GF,1,2</v>
      </c>
    </row>
    <row r="373" ht="15.75" customHeight="1">
      <c r="A373" s="10" t="s">
        <v>948</v>
      </c>
      <c r="B373" s="17"/>
      <c r="C373" s="5" t="s">
        <v>1157</v>
      </c>
      <c r="D373" s="5">
        <v>1.0</v>
      </c>
      <c r="E373" s="5">
        <v>2.0</v>
      </c>
      <c r="F373" s="5" t="s">
        <v>1158</v>
      </c>
      <c r="G373" s="5" t="s">
        <v>554</v>
      </c>
      <c r="H373" s="10" t="s">
        <v>562</v>
      </c>
      <c r="I373" s="5" t="str">
        <f>IFERROR(__xludf.DUMMYFUNCTION("IF(OR(TRIM(G373)="""",TRIM(H373)=""""),"""",TEXTJOIN("", "",TRUE,ARRAYFORMULA(TRANSPOSE(TRIM(SPLIT(G373,"","")))&amp;""_""&amp;TRIM(SPLIT(H373,"","")))))"),"Elf_Male, Elf_Female, Human_Male, Human_Female, Orc_Male, Orc_Female")</f>
        <v>Elf_Male, Elf_Female, Human_Male, Human_Female, Orc_Male, Orc_Female</v>
      </c>
      <c r="J373" s="6" t="s">
        <v>951</v>
      </c>
      <c r="L373" s="12" t="str">
        <f t="shared" si="1"/>
        <v>ModularSMPHair_GG,1,2</v>
      </c>
    </row>
    <row r="374" ht="15.75" customHeight="1">
      <c r="A374" s="10" t="s">
        <v>948</v>
      </c>
      <c r="B374" s="17"/>
      <c r="C374" s="5" t="s">
        <v>1159</v>
      </c>
      <c r="D374" s="5">
        <v>1.0</v>
      </c>
      <c r="E374" s="5">
        <v>2.0</v>
      </c>
      <c r="F374" s="5" t="s">
        <v>1160</v>
      </c>
      <c r="G374" s="5" t="s">
        <v>554</v>
      </c>
      <c r="H374" s="10" t="s">
        <v>562</v>
      </c>
      <c r="I374" s="5" t="str">
        <f>IFERROR(__xludf.DUMMYFUNCTION("IF(OR(TRIM(G374)="""",TRIM(H374)=""""),"""",TEXTJOIN("", "",TRUE,ARRAYFORMULA(TRANSPOSE(TRIM(SPLIT(G374,"","")))&amp;""_""&amp;TRIM(SPLIT(H374,"","")))))"),"Elf_Male, Elf_Female, Human_Male, Human_Female, Orc_Male, Orc_Female")</f>
        <v>Elf_Male, Elf_Female, Human_Male, Human_Female, Orc_Male, Orc_Female</v>
      </c>
      <c r="J374" s="6" t="s">
        <v>951</v>
      </c>
      <c r="L374" s="12" t="str">
        <f t="shared" si="1"/>
        <v>ModularSMPHair_GH,1,2</v>
      </c>
    </row>
    <row r="375" ht="15.75" customHeight="1">
      <c r="A375" s="10" t="s">
        <v>948</v>
      </c>
      <c r="B375" s="17"/>
      <c r="C375" s="5" t="s">
        <v>1161</v>
      </c>
      <c r="D375" s="5">
        <v>1.0</v>
      </c>
      <c r="E375" s="5">
        <v>2.0</v>
      </c>
      <c r="F375" s="5" t="s">
        <v>1162</v>
      </c>
      <c r="G375" s="5" t="s">
        <v>554</v>
      </c>
      <c r="H375" s="10" t="s">
        <v>562</v>
      </c>
      <c r="I375" s="5" t="str">
        <f>IFERROR(__xludf.DUMMYFUNCTION("IF(OR(TRIM(G375)="""",TRIM(H375)=""""),"""",TEXTJOIN("", "",TRUE,ARRAYFORMULA(TRANSPOSE(TRIM(SPLIT(G375,"","")))&amp;""_""&amp;TRIM(SPLIT(H375,"","")))))"),"Elf_Male, Elf_Female, Human_Male, Human_Female, Orc_Male, Orc_Female")</f>
        <v>Elf_Male, Elf_Female, Human_Male, Human_Female, Orc_Male, Orc_Female</v>
      </c>
      <c r="J375" s="6" t="s">
        <v>951</v>
      </c>
      <c r="L375" s="12" t="str">
        <f t="shared" si="1"/>
        <v>ModularSMPHair_GI,1,2</v>
      </c>
    </row>
    <row r="376" ht="15.75" customHeight="1">
      <c r="A376" s="10" t="s">
        <v>948</v>
      </c>
      <c r="B376" s="17"/>
      <c r="C376" s="5" t="s">
        <v>1163</v>
      </c>
      <c r="D376" s="5">
        <v>1.0</v>
      </c>
      <c r="E376" s="5">
        <v>2.0</v>
      </c>
      <c r="F376" s="5" t="s">
        <v>1164</v>
      </c>
      <c r="G376" s="5" t="s">
        <v>554</v>
      </c>
      <c r="H376" s="10" t="s">
        <v>562</v>
      </c>
      <c r="I376" s="5" t="str">
        <f>IFERROR(__xludf.DUMMYFUNCTION("IF(OR(TRIM(G376)="""",TRIM(H376)=""""),"""",TEXTJOIN("", "",TRUE,ARRAYFORMULA(TRANSPOSE(TRIM(SPLIT(G376,"","")))&amp;""_""&amp;TRIM(SPLIT(H376,"","")))))"),"Elf_Male, Elf_Female, Human_Male, Human_Female, Orc_Male, Orc_Female")</f>
        <v>Elf_Male, Elf_Female, Human_Male, Human_Female, Orc_Male, Orc_Female</v>
      </c>
      <c r="J376" s="6" t="s">
        <v>951</v>
      </c>
      <c r="L376" s="12" t="str">
        <f t="shared" si="1"/>
        <v>ModularSMPHair_GJ,1,2</v>
      </c>
    </row>
    <row r="377" ht="15.75" customHeight="1">
      <c r="A377" s="10" t="s">
        <v>948</v>
      </c>
      <c r="B377" s="17"/>
      <c r="C377" s="5" t="s">
        <v>1168</v>
      </c>
      <c r="D377" s="5">
        <v>1.0</v>
      </c>
      <c r="E377" s="5">
        <v>2.0</v>
      </c>
      <c r="F377" s="5" t="s">
        <v>1169</v>
      </c>
      <c r="G377" s="5" t="s">
        <v>554</v>
      </c>
      <c r="H377" s="10" t="s">
        <v>562</v>
      </c>
      <c r="I377" s="5" t="str">
        <f>IFERROR(__xludf.DUMMYFUNCTION("IF(OR(TRIM(G377)="""",TRIM(H377)=""""),"""",TEXTJOIN("", "",TRUE,ARRAYFORMULA(TRANSPOSE(TRIM(SPLIT(G377,"","")))&amp;""_""&amp;TRIM(SPLIT(H377,"","")))))"),"Elf_Male, Elf_Female, Human_Male, Human_Female, Orc_Male, Orc_Female")</f>
        <v>Elf_Male, Elf_Female, Human_Male, Human_Female, Orc_Male, Orc_Female</v>
      </c>
      <c r="J377" s="6" t="s">
        <v>951</v>
      </c>
      <c r="L377" s="12" t="str">
        <f t="shared" si="1"/>
        <v>ModularSMPHair_GK,1,2</v>
      </c>
    </row>
    <row r="378" ht="15.75" customHeight="1">
      <c r="A378" s="10" t="s">
        <v>948</v>
      </c>
      <c r="B378" s="17"/>
      <c r="C378" s="5" t="s">
        <v>1170</v>
      </c>
      <c r="D378" s="5">
        <v>1.0</v>
      </c>
      <c r="E378" s="5">
        <v>2.0</v>
      </c>
      <c r="F378" s="5" t="s">
        <v>1171</v>
      </c>
      <c r="G378" s="5" t="s">
        <v>554</v>
      </c>
      <c r="H378" s="10" t="s">
        <v>562</v>
      </c>
      <c r="I378" s="5" t="str">
        <f>IFERROR(__xludf.DUMMYFUNCTION("IF(OR(TRIM(G378)="""",TRIM(H378)=""""),"""",TEXTJOIN("", "",TRUE,ARRAYFORMULA(TRANSPOSE(TRIM(SPLIT(G378,"","")))&amp;""_""&amp;TRIM(SPLIT(H378,"","")))))"),"Elf_Male, Elf_Female, Human_Male, Human_Female, Orc_Male, Orc_Female")</f>
        <v>Elf_Male, Elf_Female, Human_Male, Human_Female, Orc_Male, Orc_Female</v>
      </c>
      <c r="J378" s="6" t="s">
        <v>951</v>
      </c>
      <c r="L378" s="12" t="str">
        <f t="shared" si="1"/>
        <v>ModularSMPHair_GL,1,2</v>
      </c>
    </row>
    <row r="379" ht="15.75" customHeight="1">
      <c r="A379" s="10" t="s">
        <v>948</v>
      </c>
      <c r="B379" s="17"/>
      <c r="C379" s="5" t="s">
        <v>1172</v>
      </c>
      <c r="D379" s="5">
        <v>1.0</v>
      </c>
      <c r="E379" s="5">
        <v>2.0</v>
      </c>
      <c r="F379" s="5" t="s">
        <v>1173</v>
      </c>
      <c r="G379" s="5" t="s">
        <v>554</v>
      </c>
      <c r="H379" s="10" t="s">
        <v>562</v>
      </c>
      <c r="I379" s="5" t="str">
        <f>IFERROR(__xludf.DUMMYFUNCTION("IF(OR(TRIM(G379)="""",TRIM(H379)=""""),"""",TEXTJOIN("", "",TRUE,ARRAYFORMULA(TRANSPOSE(TRIM(SPLIT(G379,"","")))&amp;""_""&amp;TRIM(SPLIT(H379,"","")))))"),"Elf_Male, Elf_Female, Human_Male, Human_Female, Orc_Male, Orc_Female")</f>
        <v>Elf_Male, Elf_Female, Human_Male, Human_Female, Orc_Male, Orc_Female</v>
      </c>
      <c r="J379" s="6" t="s">
        <v>951</v>
      </c>
      <c r="L379" s="12" t="str">
        <f t="shared" si="1"/>
        <v>ModularSMPHair_GM1,1,2</v>
      </c>
    </row>
    <row r="380" ht="15.75" customHeight="1">
      <c r="A380" s="10" t="s">
        <v>948</v>
      </c>
      <c r="B380" s="17"/>
      <c r="C380" s="5" t="s">
        <v>1174</v>
      </c>
      <c r="D380" s="5">
        <v>1.0</v>
      </c>
      <c r="E380" s="5">
        <v>2.0</v>
      </c>
      <c r="F380" s="5" t="s">
        <v>1175</v>
      </c>
      <c r="G380" s="5" t="s">
        <v>554</v>
      </c>
      <c r="H380" s="10" t="s">
        <v>562</v>
      </c>
      <c r="I380" s="5" t="str">
        <f>IFERROR(__xludf.DUMMYFUNCTION("IF(OR(TRIM(G380)="""",TRIM(H380)=""""),"""",TEXTJOIN("", "",TRUE,ARRAYFORMULA(TRANSPOSE(TRIM(SPLIT(G380,"","")))&amp;""_""&amp;TRIM(SPLIT(H380,"","")))))"),"Elf_Male, Elf_Female, Human_Male, Human_Female, Orc_Male, Orc_Female")</f>
        <v>Elf_Male, Elf_Female, Human_Male, Human_Female, Orc_Male, Orc_Female</v>
      </c>
      <c r="J380" s="6" t="s">
        <v>951</v>
      </c>
      <c r="L380" s="12" t="str">
        <f t="shared" si="1"/>
        <v>ModularSMPHair_GM2,1,2</v>
      </c>
    </row>
    <row r="381" ht="15.75" customHeight="1">
      <c r="A381" s="10" t="s">
        <v>948</v>
      </c>
      <c r="B381" s="17"/>
      <c r="C381" s="5" t="s">
        <v>1176</v>
      </c>
      <c r="D381" s="5">
        <v>1.0</v>
      </c>
      <c r="E381" s="5">
        <v>2.0</v>
      </c>
      <c r="F381" s="5" t="s">
        <v>1177</v>
      </c>
      <c r="G381" s="5" t="s">
        <v>644</v>
      </c>
      <c r="H381" s="10" t="s">
        <v>562</v>
      </c>
      <c r="I381" s="5" t="str">
        <f>IFERROR(__xludf.DUMMYFUNCTION("IF(OR(TRIM(G381)="""",TRIM(H381)=""""),"""",TEXTJOIN("", "",TRUE,ARRAYFORMULA(TRANSPOSE(TRIM(SPLIT(G381,"","")))&amp;""_""&amp;TRIM(SPLIT(H381,"","")))))"),"Elf_Male, Elf_Female, Human_Male, Human_Female, Orc_Male, Orc_Female, Khajiit_Male, Khajiit_Female")</f>
        <v>Elf_Male, Elf_Female, Human_Male, Human_Female, Orc_Male, Orc_Female, Khajiit_Male, Khajiit_Female</v>
      </c>
      <c r="J381" s="6" t="s">
        <v>951</v>
      </c>
      <c r="L381" s="12" t="str">
        <f t="shared" si="1"/>
        <v>ModularSMPHair_H,1,2</v>
      </c>
    </row>
    <row r="382" ht="15.75" customHeight="1">
      <c r="A382" s="10" t="s">
        <v>948</v>
      </c>
      <c r="B382" s="17"/>
      <c r="C382" s="5" t="s">
        <v>1178</v>
      </c>
      <c r="D382" s="5">
        <v>2.0</v>
      </c>
      <c r="E382" s="5">
        <v>2.0</v>
      </c>
      <c r="F382" s="5" t="s">
        <v>1179</v>
      </c>
      <c r="G382" s="5" t="s">
        <v>554</v>
      </c>
      <c r="H382" s="10" t="s">
        <v>562</v>
      </c>
      <c r="I382" s="5" t="str">
        <f>IFERROR(__xludf.DUMMYFUNCTION("IF(OR(TRIM(G382)="""",TRIM(H382)=""""),"""",TEXTJOIN("", "",TRUE,ARRAYFORMULA(TRANSPOSE(TRIM(SPLIT(G382,"","")))&amp;""_""&amp;TRIM(SPLIT(H382,"","")))))"),"Elf_Male, Elf_Female, Human_Male, Human_Female, Orc_Male, Orc_Female")</f>
        <v>Elf_Male, Elf_Female, Human_Male, Human_Female, Orc_Male, Orc_Female</v>
      </c>
      <c r="J382" s="6" t="s">
        <v>951</v>
      </c>
      <c r="L382" s="12" t="str">
        <f t="shared" si="1"/>
        <v>ModularSMPHair_HB,2,2</v>
      </c>
    </row>
    <row r="383" ht="15.75" customHeight="1">
      <c r="A383" s="10" t="s">
        <v>948</v>
      </c>
      <c r="B383" s="17"/>
      <c r="C383" s="5" t="s">
        <v>1180</v>
      </c>
      <c r="D383" s="5">
        <v>1.0</v>
      </c>
      <c r="E383" s="5">
        <v>2.0</v>
      </c>
      <c r="F383" s="5" t="s">
        <v>1181</v>
      </c>
      <c r="G383" s="5" t="s">
        <v>554</v>
      </c>
      <c r="H383" s="10" t="s">
        <v>562</v>
      </c>
      <c r="I383" s="5" t="str">
        <f>IFERROR(__xludf.DUMMYFUNCTION("IF(OR(TRIM(G383)="""",TRIM(H383)=""""),"""",TEXTJOIN("", "",TRUE,ARRAYFORMULA(TRANSPOSE(TRIM(SPLIT(G383,"","")))&amp;""_""&amp;TRIM(SPLIT(H383,"","")))))"),"Elf_Male, Elf_Female, Human_Male, Human_Female, Orc_Male, Orc_Female")</f>
        <v>Elf_Male, Elf_Female, Human_Male, Human_Female, Orc_Male, Orc_Female</v>
      </c>
      <c r="J383" s="6" t="s">
        <v>951</v>
      </c>
      <c r="L383" s="12" t="str">
        <f t="shared" si="1"/>
        <v>ModularSMPHair_HC,1,2</v>
      </c>
    </row>
    <row r="384" ht="15.75" customHeight="1">
      <c r="A384" s="10" t="s">
        <v>948</v>
      </c>
      <c r="B384" s="17"/>
      <c r="C384" s="5" t="s">
        <v>1182</v>
      </c>
      <c r="D384" s="5">
        <v>2.0</v>
      </c>
      <c r="E384" s="5">
        <v>2.0</v>
      </c>
      <c r="F384" s="5" t="s">
        <v>1183</v>
      </c>
      <c r="G384" s="5" t="s">
        <v>554</v>
      </c>
      <c r="H384" s="10" t="s">
        <v>562</v>
      </c>
      <c r="I384" s="5" t="str">
        <f>IFERROR(__xludf.DUMMYFUNCTION("IF(OR(TRIM(G384)="""",TRIM(H384)=""""),"""",TEXTJOIN("", "",TRUE,ARRAYFORMULA(TRANSPOSE(TRIM(SPLIT(G384,"","")))&amp;""_""&amp;TRIM(SPLIT(H384,"","")))))"),"Elf_Male, Elf_Female, Human_Male, Human_Female, Orc_Male, Orc_Female")</f>
        <v>Elf_Male, Elf_Female, Human_Male, Human_Female, Orc_Male, Orc_Female</v>
      </c>
      <c r="J384" s="6" t="s">
        <v>951</v>
      </c>
      <c r="L384" s="12" t="str">
        <f t="shared" si="1"/>
        <v>ModularSMPHair_HE,2,2</v>
      </c>
    </row>
    <row r="385" ht="15.75" customHeight="1">
      <c r="A385" s="10" t="s">
        <v>948</v>
      </c>
      <c r="B385" s="17"/>
      <c r="C385" s="5" t="s">
        <v>1184</v>
      </c>
      <c r="D385" s="5">
        <v>1.0</v>
      </c>
      <c r="E385" s="5">
        <v>2.0</v>
      </c>
      <c r="F385" s="5" t="s">
        <v>1185</v>
      </c>
      <c r="G385" s="5" t="s">
        <v>554</v>
      </c>
      <c r="H385" s="10" t="s">
        <v>562</v>
      </c>
      <c r="I385" s="5" t="str">
        <f>IFERROR(__xludf.DUMMYFUNCTION("IF(OR(TRIM(G385)="""",TRIM(H385)=""""),"""",TEXTJOIN("", "",TRUE,ARRAYFORMULA(TRANSPOSE(TRIM(SPLIT(G385,"","")))&amp;""_""&amp;TRIM(SPLIT(H385,"","")))))"),"Elf_Male, Elf_Female, Human_Male, Human_Female, Orc_Male, Orc_Female")</f>
        <v>Elf_Male, Elf_Female, Human_Male, Human_Female, Orc_Male, Orc_Female</v>
      </c>
      <c r="J385" s="6" t="s">
        <v>951</v>
      </c>
      <c r="L385" s="12" t="str">
        <f t="shared" si="1"/>
        <v>ModularSMPHair_HF,1,2</v>
      </c>
    </row>
    <row r="386" ht="15.75" customHeight="1">
      <c r="A386" s="10" t="s">
        <v>948</v>
      </c>
      <c r="B386" s="17"/>
      <c r="C386" s="5" t="s">
        <v>1189</v>
      </c>
      <c r="D386" s="5">
        <v>1.0</v>
      </c>
      <c r="E386" s="5">
        <v>2.0</v>
      </c>
      <c r="F386" s="5" t="s">
        <v>1190</v>
      </c>
      <c r="G386" s="5" t="s">
        <v>554</v>
      </c>
      <c r="H386" s="10" t="s">
        <v>562</v>
      </c>
      <c r="I386" s="5" t="str">
        <f>IFERROR(__xludf.DUMMYFUNCTION("IF(OR(TRIM(G386)="""",TRIM(H386)=""""),"""",TEXTJOIN("", "",TRUE,ARRAYFORMULA(TRANSPOSE(TRIM(SPLIT(G386,"","")))&amp;""_""&amp;TRIM(SPLIT(H386,"","")))))"),"Elf_Male, Elf_Female, Human_Male, Human_Female, Orc_Male, Orc_Female")</f>
        <v>Elf_Male, Elf_Female, Human_Male, Human_Female, Orc_Male, Orc_Female</v>
      </c>
      <c r="J386" s="6" t="s">
        <v>951</v>
      </c>
      <c r="L386" s="12" t="str">
        <f t="shared" si="1"/>
        <v>ModularSMPHair_HG,1,2</v>
      </c>
    </row>
    <row r="387" ht="15.75" customHeight="1">
      <c r="A387" s="10" t="s">
        <v>948</v>
      </c>
      <c r="B387" s="17"/>
      <c r="C387" s="5" t="s">
        <v>1191</v>
      </c>
      <c r="D387" s="5">
        <v>1.0</v>
      </c>
      <c r="E387" s="5">
        <v>2.0</v>
      </c>
      <c r="F387" s="5" t="s">
        <v>1192</v>
      </c>
      <c r="G387" s="5" t="s">
        <v>554</v>
      </c>
      <c r="H387" s="10" t="s">
        <v>562</v>
      </c>
      <c r="I387" s="5" t="str">
        <f>IFERROR(__xludf.DUMMYFUNCTION("IF(OR(TRIM(G387)="""",TRIM(H387)=""""),"""",TEXTJOIN("", "",TRUE,ARRAYFORMULA(TRANSPOSE(TRIM(SPLIT(G387,"","")))&amp;""_""&amp;TRIM(SPLIT(H387,"","")))))"),"Elf_Male, Elf_Female, Human_Male, Human_Female, Orc_Male, Orc_Female")</f>
        <v>Elf_Male, Elf_Female, Human_Male, Human_Female, Orc_Male, Orc_Female</v>
      </c>
      <c r="J387" s="6" t="s">
        <v>951</v>
      </c>
      <c r="L387" s="12" t="str">
        <f t="shared" si="1"/>
        <v>ModularSMPHair_HH,1,2</v>
      </c>
    </row>
    <row r="388" ht="15.75" customHeight="1">
      <c r="A388" s="10" t="s">
        <v>948</v>
      </c>
      <c r="B388" s="17"/>
      <c r="C388" s="5" t="s">
        <v>1193</v>
      </c>
      <c r="D388" s="5">
        <v>1.0</v>
      </c>
      <c r="E388" s="5">
        <v>2.0</v>
      </c>
      <c r="F388" s="5" t="s">
        <v>1194</v>
      </c>
      <c r="G388" s="5" t="s">
        <v>554</v>
      </c>
      <c r="H388" s="10" t="s">
        <v>562</v>
      </c>
      <c r="I388" s="5" t="str">
        <f>IFERROR(__xludf.DUMMYFUNCTION("IF(OR(TRIM(G388)="""",TRIM(H388)=""""),"""",TEXTJOIN("", "",TRUE,ARRAYFORMULA(TRANSPOSE(TRIM(SPLIT(G388,"","")))&amp;""_""&amp;TRIM(SPLIT(H388,"","")))))"),"Elf_Male, Elf_Female, Human_Male, Human_Female, Orc_Male, Orc_Female")</f>
        <v>Elf_Male, Elf_Female, Human_Male, Human_Female, Orc_Male, Orc_Female</v>
      </c>
      <c r="J388" s="6" t="s">
        <v>951</v>
      </c>
      <c r="L388" s="12" t="str">
        <f t="shared" si="1"/>
        <v>ModularSMPHair_HI,1,2</v>
      </c>
    </row>
    <row r="389" ht="15.75" customHeight="1">
      <c r="A389" s="10" t="s">
        <v>948</v>
      </c>
      <c r="B389" s="17"/>
      <c r="C389" s="5" t="s">
        <v>1195</v>
      </c>
      <c r="D389" s="5">
        <v>1.0</v>
      </c>
      <c r="E389" s="5">
        <v>2.0</v>
      </c>
      <c r="F389" s="5" t="s">
        <v>1196</v>
      </c>
      <c r="G389" s="5" t="s">
        <v>554</v>
      </c>
      <c r="H389" s="10" t="s">
        <v>562</v>
      </c>
      <c r="I389" s="5" t="str">
        <f>IFERROR(__xludf.DUMMYFUNCTION("IF(OR(TRIM(G389)="""",TRIM(H389)=""""),"""",TEXTJOIN("", "",TRUE,ARRAYFORMULA(TRANSPOSE(TRIM(SPLIT(G389,"","")))&amp;""_""&amp;TRIM(SPLIT(H389,"","")))))"),"Elf_Male, Elf_Female, Human_Male, Human_Female, Orc_Male, Orc_Female")</f>
        <v>Elf_Male, Elf_Female, Human_Male, Human_Female, Orc_Male, Orc_Female</v>
      </c>
      <c r="J389" s="6" t="s">
        <v>951</v>
      </c>
      <c r="L389" s="12" t="str">
        <f t="shared" si="1"/>
        <v>ModularSMPHair_HJ,1,2</v>
      </c>
    </row>
    <row r="390" ht="15.75" customHeight="1">
      <c r="A390" s="10" t="s">
        <v>948</v>
      </c>
      <c r="B390" s="17"/>
      <c r="C390" s="5" t="s">
        <v>1197</v>
      </c>
      <c r="D390" s="5">
        <v>1.0</v>
      </c>
      <c r="E390" s="5">
        <v>2.0</v>
      </c>
      <c r="F390" s="5" t="s">
        <v>1198</v>
      </c>
      <c r="G390" s="5" t="s">
        <v>554</v>
      </c>
      <c r="H390" s="10" t="s">
        <v>562</v>
      </c>
      <c r="I390" s="5" t="str">
        <f>IFERROR(__xludf.DUMMYFUNCTION("IF(OR(TRIM(G390)="""",TRIM(H390)=""""),"""",TEXTJOIN("", "",TRUE,ARRAYFORMULA(TRANSPOSE(TRIM(SPLIT(G390,"","")))&amp;""_""&amp;TRIM(SPLIT(H390,"","")))))"),"Elf_Male, Elf_Female, Human_Male, Human_Female, Orc_Male, Orc_Female")</f>
        <v>Elf_Male, Elf_Female, Human_Male, Human_Female, Orc_Male, Orc_Female</v>
      </c>
      <c r="J390" s="6" t="s">
        <v>951</v>
      </c>
      <c r="L390" s="12" t="str">
        <f t="shared" si="1"/>
        <v>ModularSMPHair_HK,1,2</v>
      </c>
    </row>
    <row r="391" ht="15.75" customHeight="1">
      <c r="A391" s="10" t="s">
        <v>948</v>
      </c>
      <c r="B391" s="17"/>
      <c r="C391" s="5" t="s">
        <v>1199</v>
      </c>
      <c r="D391" s="5">
        <v>1.0</v>
      </c>
      <c r="E391" s="5">
        <v>2.0</v>
      </c>
      <c r="F391" s="5" t="s">
        <v>1200</v>
      </c>
      <c r="G391" s="5" t="s">
        <v>554</v>
      </c>
      <c r="H391" s="10" t="s">
        <v>562</v>
      </c>
      <c r="I391" s="5" t="str">
        <f>IFERROR(__xludf.DUMMYFUNCTION("IF(OR(TRIM(G391)="""",TRIM(H391)=""""),"""",TEXTJOIN("", "",TRUE,ARRAYFORMULA(TRANSPOSE(TRIM(SPLIT(G391,"","")))&amp;""_""&amp;TRIM(SPLIT(H391,"","")))))"),"Elf_Male, Elf_Female, Human_Male, Human_Female, Orc_Male, Orc_Female")</f>
        <v>Elf_Male, Elf_Female, Human_Male, Human_Female, Orc_Male, Orc_Female</v>
      </c>
      <c r="J391" s="6" t="s">
        <v>951</v>
      </c>
      <c r="L391" s="12" t="str">
        <f t="shared" si="1"/>
        <v>ModularSMPHair_HL,1,2</v>
      </c>
    </row>
    <row r="392" ht="15.75" customHeight="1">
      <c r="A392" s="10" t="s">
        <v>948</v>
      </c>
      <c r="B392" s="17"/>
      <c r="C392" s="5" t="s">
        <v>1201</v>
      </c>
      <c r="D392" s="5">
        <v>1.0</v>
      </c>
      <c r="E392" s="5">
        <v>2.0</v>
      </c>
      <c r="F392" s="5" t="s">
        <v>1202</v>
      </c>
      <c r="G392" s="5" t="s">
        <v>554</v>
      </c>
      <c r="H392" s="10" t="s">
        <v>562</v>
      </c>
      <c r="I392" s="5" t="str">
        <f>IFERROR(__xludf.DUMMYFUNCTION("IF(OR(TRIM(G392)="""",TRIM(H392)=""""),"""",TEXTJOIN("", "",TRUE,ARRAYFORMULA(TRANSPOSE(TRIM(SPLIT(G392,"","")))&amp;""_""&amp;TRIM(SPLIT(H392,"","")))))"),"Elf_Male, Elf_Female, Human_Male, Human_Female, Orc_Male, Orc_Female")</f>
        <v>Elf_Male, Elf_Female, Human_Male, Human_Female, Orc_Male, Orc_Female</v>
      </c>
      <c r="J392" s="6" t="s">
        <v>951</v>
      </c>
      <c r="L392" s="12" t="str">
        <f t="shared" si="1"/>
        <v>ModularSMPHair_HM1,1,2</v>
      </c>
    </row>
    <row r="393" ht="15.75" customHeight="1">
      <c r="A393" s="10" t="s">
        <v>948</v>
      </c>
      <c r="B393" s="17"/>
      <c r="C393" s="5" t="s">
        <v>1203</v>
      </c>
      <c r="D393" s="5">
        <v>1.0</v>
      </c>
      <c r="E393" s="5">
        <v>2.0</v>
      </c>
      <c r="F393" s="5" t="s">
        <v>1204</v>
      </c>
      <c r="G393" s="5" t="s">
        <v>554</v>
      </c>
      <c r="H393" s="10" t="s">
        <v>562</v>
      </c>
      <c r="I393" s="5" t="str">
        <f>IFERROR(__xludf.DUMMYFUNCTION("IF(OR(TRIM(G393)="""",TRIM(H393)=""""),"""",TEXTJOIN("", "",TRUE,ARRAYFORMULA(TRANSPOSE(TRIM(SPLIT(G393,"","")))&amp;""_""&amp;TRIM(SPLIT(H393,"","")))))"),"Elf_Male, Elf_Female, Human_Male, Human_Female, Orc_Male, Orc_Female")</f>
        <v>Elf_Male, Elf_Female, Human_Male, Human_Female, Orc_Male, Orc_Female</v>
      </c>
      <c r="J393" s="6" t="s">
        <v>951</v>
      </c>
      <c r="L393" s="12" t="str">
        <f t="shared" si="1"/>
        <v>ModularSMPHair_HM2,1,2</v>
      </c>
    </row>
    <row r="394" ht="15.75" customHeight="1">
      <c r="A394" s="10" t="s">
        <v>948</v>
      </c>
      <c r="B394" s="17"/>
      <c r="C394" s="5" t="s">
        <v>1205</v>
      </c>
      <c r="D394" s="5">
        <v>1.0</v>
      </c>
      <c r="E394" s="5">
        <f t="shared" ref="E394:E406" si="23">D394</f>
        <v>1</v>
      </c>
      <c r="F394" s="5" t="s">
        <v>1206</v>
      </c>
      <c r="G394" s="5" t="s">
        <v>644</v>
      </c>
      <c r="H394" s="10" t="s">
        <v>562</v>
      </c>
      <c r="I394" s="5" t="str">
        <f>IFERROR(__xludf.DUMMYFUNCTION("IF(OR(TRIM(G394)="""",TRIM(H394)=""""),"""",TEXTJOIN("", "",TRUE,ARRAYFORMULA(TRANSPOSE(TRIM(SPLIT(G394,"","")))&amp;""_""&amp;TRIM(SPLIT(H394,"","")))))"),"Elf_Male, Elf_Female, Human_Male, Human_Female, Orc_Male, Orc_Female, Khajiit_Male, Khajiit_Female")</f>
        <v>Elf_Male, Elf_Female, Human_Male, Human_Female, Orc_Male, Orc_Female, Khajiit_Male, Khajiit_Female</v>
      </c>
      <c r="J394" s="6" t="s">
        <v>951</v>
      </c>
      <c r="L394" s="12" t="str">
        <f t="shared" si="1"/>
        <v>ModularSMPHair_I,1,1</v>
      </c>
    </row>
    <row r="395" ht="15.75" customHeight="1">
      <c r="A395" s="10" t="s">
        <v>948</v>
      </c>
      <c r="B395" s="17"/>
      <c r="C395" s="5" t="s">
        <v>1207</v>
      </c>
      <c r="D395" s="5">
        <v>2.0</v>
      </c>
      <c r="E395" s="5">
        <f t="shared" si="23"/>
        <v>2</v>
      </c>
      <c r="F395" s="5" t="s">
        <v>1208</v>
      </c>
      <c r="G395" s="5" t="s">
        <v>554</v>
      </c>
      <c r="H395" s="10" t="s">
        <v>562</v>
      </c>
      <c r="I395" s="5" t="str">
        <f>IFERROR(__xludf.DUMMYFUNCTION("IF(OR(TRIM(G395)="""",TRIM(H395)=""""),"""",TEXTJOIN("", "",TRUE,ARRAYFORMULA(TRANSPOSE(TRIM(SPLIT(G395,"","")))&amp;""_""&amp;TRIM(SPLIT(H395,"","")))))"),"Elf_Male, Elf_Female, Human_Male, Human_Female, Orc_Male, Orc_Female")</f>
        <v>Elf_Male, Elf_Female, Human_Male, Human_Female, Orc_Male, Orc_Female</v>
      </c>
      <c r="J395" s="6" t="s">
        <v>951</v>
      </c>
      <c r="L395" s="12" t="str">
        <f t="shared" si="1"/>
        <v>ModularSMPHair_IB,2,2</v>
      </c>
    </row>
    <row r="396" ht="15.75" customHeight="1">
      <c r="A396" s="10" t="s">
        <v>948</v>
      </c>
      <c r="B396" s="17"/>
      <c r="C396" s="5" t="s">
        <v>1209</v>
      </c>
      <c r="D396" s="5">
        <v>1.0</v>
      </c>
      <c r="E396" s="5">
        <f t="shared" si="23"/>
        <v>1</v>
      </c>
      <c r="F396" s="5" t="s">
        <v>1210</v>
      </c>
      <c r="G396" s="5" t="s">
        <v>554</v>
      </c>
      <c r="H396" s="10" t="s">
        <v>562</v>
      </c>
      <c r="I396" s="5" t="str">
        <f>IFERROR(__xludf.DUMMYFUNCTION("IF(OR(TRIM(G396)="""",TRIM(H396)=""""),"""",TEXTJOIN("", "",TRUE,ARRAYFORMULA(TRANSPOSE(TRIM(SPLIT(G396,"","")))&amp;""_""&amp;TRIM(SPLIT(H396,"","")))))"),"Elf_Male, Elf_Female, Human_Male, Human_Female, Orc_Male, Orc_Female")</f>
        <v>Elf_Male, Elf_Female, Human_Male, Human_Female, Orc_Male, Orc_Female</v>
      </c>
      <c r="J396" s="6" t="s">
        <v>951</v>
      </c>
      <c r="L396" s="12" t="str">
        <f t="shared" si="1"/>
        <v>ModularSMPHair_IC,1,1</v>
      </c>
    </row>
    <row r="397" ht="15.75" customHeight="1">
      <c r="A397" s="10" t="s">
        <v>948</v>
      </c>
      <c r="B397" s="17"/>
      <c r="C397" s="5" t="s">
        <v>1211</v>
      </c>
      <c r="D397" s="5">
        <v>2.0</v>
      </c>
      <c r="E397" s="5">
        <f t="shared" si="23"/>
        <v>2</v>
      </c>
      <c r="F397" s="5" t="s">
        <v>1213</v>
      </c>
      <c r="G397" s="5" t="s">
        <v>554</v>
      </c>
      <c r="H397" s="10" t="s">
        <v>562</v>
      </c>
      <c r="I397" s="5" t="str">
        <f>IFERROR(__xludf.DUMMYFUNCTION("IF(OR(TRIM(G397)="""",TRIM(H397)=""""),"""",TEXTJOIN("", "",TRUE,ARRAYFORMULA(TRANSPOSE(TRIM(SPLIT(G397,"","")))&amp;""_""&amp;TRIM(SPLIT(H397,"","")))))"),"Elf_Male, Elf_Female, Human_Male, Human_Female, Orc_Male, Orc_Female")</f>
        <v>Elf_Male, Elf_Female, Human_Male, Human_Female, Orc_Male, Orc_Female</v>
      </c>
      <c r="J397" s="6" t="s">
        <v>951</v>
      </c>
      <c r="L397" s="12" t="str">
        <f t="shared" si="1"/>
        <v>ModularSMPHair_IE,2,2</v>
      </c>
    </row>
    <row r="398" ht="15.75" customHeight="1">
      <c r="A398" s="10" t="s">
        <v>948</v>
      </c>
      <c r="B398" s="17"/>
      <c r="C398" s="5" t="s">
        <v>1216</v>
      </c>
      <c r="D398" s="5">
        <v>1.0</v>
      </c>
      <c r="E398" s="5">
        <f t="shared" si="23"/>
        <v>1</v>
      </c>
      <c r="F398" s="5" t="s">
        <v>1217</v>
      </c>
      <c r="G398" s="5" t="s">
        <v>554</v>
      </c>
      <c r="H398" s="10" t="s">
        <v>562</v>
      </c>
      <c r="I398" s="5" t="str">
        <f>IFERROR(__xludf.DUMMYFUNCTION("IF(OR(TRIM(G398)="""",TRIM(H398)=""""),"""",TEXTJOIN("", "",TRUE,ARRAYFORMULA(TRANSPOSE(TRIM(SPLIT(G398,"","")))&amp;""_""&amp;TRIM(SPLIT(H398,"","")))))"),"Elf_Male, Elf_Female, Human_Male, Human_Female, Orc_Male, Orc_Female")</f>
        <v>Elf_Male, Elf_Female, Human_Male, Human_Female, Orc_Male, Orc_Female</v>
      </c>
      <c r="J398" s="6" t="s">
        <v>951</v>
      </c>
      <c r="L398" s="12" t="str">
        <f t="shared" si="1"/>
        <v>ModularSMPHair_IF,1,1</v>
      </c>
    </row>
    <row r="399" ht="15.75" customHeight="1">
      <c r="A399" s="10" t="s">
        <v>948</v>
      </c>
      <c r="B399" s="17"/>
      <c r="C399" s="5" t="s">
        <v>1218</v>
      </c>
      <c r="D399" s="5">
        <v>1.0</v>
      </c>
      <c r="E399" s="5">
        <f t="shared" si="23"/>
        <v>1</v>
      </c>
      <c r="F399" s="5" t="s">
        <v>1219</v>
      </c>
      <c r="G399" s="5" t="s">
        <v>554</v>
      </c>
      <c r="H399" s="10" t="s">
        <v>562</v>
      </c>
      <c r="I399" s="5" t="str">
        <f>IFERROR(__xludf.DUMMYFUNCTION("IF(OR(TRIM(G399)="""",TRIM(H399)=""""),"""",TEXTJOIN("", "",TRUE,ARRAYFORMULA(TRANSPOSE(TRIM(SPLIT(G399,"","")))&amp;""_""&amp;TRIM(SPLIT(H399,"","")))))"),"Elf_Male, Elf_Female, Human_Male, Human_Female, Orc_Male, Orc_Female")</f>
        <v>Elf_Male, Elf_Female, Human_Male, Human_Female, Orc_Male, Orc_Female</v>
      </c>
      <c r="J399" s="6" t="s">
        <v>951</v>
      </c>
      <c r="L399" s="12" t="str">
        <f t="shared" si="1"/>
        <v>ModularSMPHair_IG,1,1</v>
      </c>
    </row>
    <row r="400" ht="15.75" customHeight="1">
      <c r="A400" s="10" t="s">
        <v>948</v>
      </c>
      <c r="B400" s="17"/>
      <c r="C400" s="5" t="s">
        <v>1220</v>
      </c>
      <c r="D400" s="5">
        <v>1.0</v>
      </c>
      <c r="E400" s="5">
        <f t="shared" si="23"/>
        <v>1</v>
      </c>
      <c r="F400" s="5" t="s">
        <v>1221</v>
      </c>
      <c r="G400" s="5" t="s">
        <v>554</v>
      </c>
      <c r="H400" s="10" t="s">
        <v>562</v>
      </c>
      <c r="I400" s="5" t="str">
        <f>IFERROR(__xludf.DUMMYFUNCTION("IF(OR(TRIM(G400)="""",TRIM(H400)=""""),"""",TEXTJOIN("", "",TRUE,ARRAYFORMULA(TRANSPOSE(TRIM(SPLIT(G400,"","")))&amp;""_""&amp;TRIM(SPLIT(H400,"","")))))"),"Elf_Male, Elf_Female, Human_Male, Human_Female, Orc_Male, Orc_Female")</f>
        <v>Elf_Male, Elf_Female, Human_Male, Human_Female, Orc_Male, Orc_Female</v>
      </c>
      <c r="J400" s="6" t="s">
        <v>951</v>
      </c>
      <c r="L400" s="12" t="str">
        <f t="shared" si="1"/>
        <v>ModularSMPHair_IH,1,1</v>
      </c>
    </row>
    <row r="401" ht="15.75" customHeight="1">
      <c r="A401" s="10" t="s">
        <v>948</v>
      </c>
      <c r="B401" s="17"/>
      <c r="C401" s="5" t="s">
        <v>1222</v>
      </c>
      <c r="D401" s="5">
        <v>1.0</v>
      </c>
      <c r="E401" s="5">
        <f t="shared" si="23"/>
        <v>1</v>
      </c>
      <c r="F401" s="5" t="s">
        <v>1223</v>
      </c>
      <c r="G401" s="5" t="s">
        <v>554</v>
      </c>
      <c r="H401" s="10" t="s">
        <v>562</v>
      </c>
      <c r="I401" s="5" t="str">
        <f>IFERROR(__xludf.DUMMYFUNCTION("IF(OR(TRIM(G401)="""",TRIM(H401)=""""),"""",TEXTJOIN("", "",TRUE,ARRAYFORMULA(TRANSPOSE(TRIM(SPLIT(G401,"","")))&amp;""_""&amp;TRIM(SPLIT(H401,"","")))))"),"Elf_Male, Elf_Female, Human_Male, Human_Female, Orc_Male, Orc_Female")</f>
        <v>Elf_Male, Elf_Female, Human_Male, Human_Female, Orc_Male, Orc_Female</v>
      </c>
      <c r="J401" s="6" t="s">
        <v>951</v>
      </c>
      <c r="L401" s="12" t="str">
        <f t="shared" si="1"/>
        <v>ModularSMPHair_II,1,1</v>
      </c>
    </row>
    <row r="402" ht="15.75" customHeight="1">
      <c r="A402" s="10" t="s">
        <v>948</v>
      </c>
      <c r="B402" s="17"/>
      <c r="C402" s="5" t="s">
        <v>1224</v>
      </c>
      <c r="D402" s="5">
        <v>1.0</v>
      </c>
      <c r="E402" s="5">
        <f t="shared" si="23"/>
        <v>1</v>
      </c>
      <c r="F402" s="5" t="s">
        <v>1225</v>
      </c>
      <c r="G402" s="5" t="s">
        <v>554</v>
      </c>
      <c r="H402" s="10" t="s">
        <v>562</v>
      </c>
      <c r="I402" s="5" t="str">
        <f>IFERROR(__xludf.DUMMYFUNCTION("IF(OR(TRIM(G402)="""",TRIM(H402)=""""),"""",TEXTJOIN("", "",TRUE,ARRAYFORMULA(TRANSPOSE(TRIM(SPLIT(G402,"","")))&amp;""_""&amp;TRIM(SPLIT(H402,"","")))))"),"Elf_Male, Elf_Female, Human_Male, Human_Female, Orc_Male, Orc_Female")</f>
        <v>Elf_Male, Elf_Female, Human_Male, Human_Female, Orc_Male, Orc_Female</v>
      </c>
      <c r="J402" s="6" t="s">
        <v>951</v>
      </c>
      <c r="L402" s="12" t="str">
        <f t="shared" si="1"/>
        <v>ModularSMPHair_IJ,1,1</v>
      </c>
    </row>
    <row r="403" ht="15.75" customHeight="1">
      <c r="A403" s="10" t="s">
        <v>948</v>
      </c>
      <c r="B403" s="17"/>
      <c r="C403" s="5" t="s">
        <v>1226</v>
      </c>
      <c r="D403" s="5">
        <v>1.0</v>
      </c>
      <c r="E403" s="5">
        <f t="shared" si="23"/>
        <v>1</v>
      </c>
      <c r="F403" s="5" t="s">
        <v>1227</v>
      </c>
      <c r="G403" s="5" t="s">
        <v>554</v>
      </c>
      <c r="H403" s="10" t="s">
        <v>562</v>
      </c>
      <c r="I403" s="5" t="str">
        <f>IFERROR(__xludf.DUMMYFUNCTION("IF(OR(TRIM(G403)="""",TRIM(H403)=""""),"""",TEXTJOIN("", "",TRUE,ARRAYFORMULA(TRANSPOSE(TRIM(SPLIT(G403,"","")))&amp;""_""&amp;TRIM(SPLIT(H403,"","")))))"),"Elf_Male, Elf_Female, Human_Male, Human_Female, Orc_Male, Orc_Female")</f>
        <v>Elf_Male, Elf_Female, Human_Male, Human_Female, Orc_Male, Orc_Female</v>
      </c>
      <c r="J403" s="6" t="s">
        <v>951</v>
      </c>
      <c r="L403" s="12" t="str">
        <f t="shared" si="1"/>
        <v>ModularSMPHair_IK,1,1</v>
      </c>
    </row>
    <row r="404" ht="15.75" customHeight="1">
      <c r="A404" s="10" t="s">
        <v>948</v>
      </c>
      <c r="B404" s="17"/>
      <c r="C404" s="5" t="s">
        <v>1228</v>
      </c>
      <c r="D404" s="5">
        <v>1.0</v>
      </c>
      <c r="E404" s="5">
        <f t="shared" si="23"/>
        <v>1</v>
      </c>
      <c r="F404" s="5" t="s">
        <v>1229</v>
      </c>
      <c r="G404" s="5" t="s">
        <v>554</v>
      </c>
      <c r="H404" s="10" t="s">
        <v>562</v>
      </c>
      <c r="I404" s="5" t="str">
        <f>IFERROR(__xludf.DUMMYFUNCTION("IF(OR(TRIM(G404)="""",TRIM(H404)=""""),"""",TEXTJOIN("", "",TRUE,ARRAYFORMULA(TRANSPOSE(TRIM(SPLIT(G404,"","")))&amp;""_""&amp;TRIM(SPLIT(H404,"","")))))"),"Elf_Male, Elf_Female, Human_Male, Human_Female, Orc_Male, Orc_Female")</f>
        <v>Elf_Male, Elf_Female, Human_Male, Human_Female, Orc_Male, Orc_Female</v>
      </c>
      <c r="J404" s="6" t="s">
        <v>951</v>
      </c>
      <c r="L404" s="12" t="str">
        <f t="shared" si="1"/>
        <v>ModularSMPHair_IL,1,1</v>
      </c>
    </row>
    <row r="405" ht="15.75" customHeight="1">
      <c r="A405" s="10" t="s">
        <v>948</v>
      </c>
      <c r="B405" s="17"/>
      <c r="C405" s="5" t="s">
        <v>1230</v>
      </c>
      <c r="D405" s="5">
        <v>1.0</v>
      </c>
      <c r="E405" s="5">
        <f t="shared" si="23"/>
        <v>1</v>
      </c>
      <c r="F405" s="5" t="s">
        <v>1231</v>
      </c>
      <c r="G405" s="5" t="s">
        <v>554</v>
      </c>
      <c r="H405" s="10" t="s">
        <v>562</v>
      </c>
      <c r="I405" s="5" t="str">
        <f>IFERROR(__xludf.DUMMYFUNCTION("IF(OR(TRIM(G405)="""",TRIM(H405)=""""),"""",TEXTJOIN("", "",TRUE,ARRAYFORMULA(TRANSPOSE(TRIM(SPLIT(G405,"","")))&amp;""_""&amp;TRIM(SPLIT(H405,"","")))))"),"Elf_Male, Elf_Female, Human_Male, Human_Female, Orc_Male, Orc_Female")</f>
        <v>Elf_Male, Elf_Female, Human_Male, Human_Female, Orc_Male, Orc_Female</v>
      </c>
      <c r="J405" s="6" t="s">
        <v>951</v>
      </c>
      <c r="L405" s="12" t="str">
        <f t="shared" si="1"/>
        <v>ModularSMPHair_IM1,1,1</v>
      </c>
    </row>
    <row r="406" ht="15.75" customHeight="1">
      <c r="A406" s="10" t="s">
        <v>948</v>
      </c>
      <c r="B406" s="17"/>
      <c r="C406" s="5" t="s">
        <v>1234</v>
      </c>
      <c r="D406" s="5">
        <v>1.0</v>
      </c>
      <c r="E406" s="5">
        <f t="shared" si="23"/>
        <v>1</v>
      </c>
      <c r="F406" s="5" t="s">
        <v>1236</v>
      </c>
      <c r="G406" s="5" t="s">
        <v>554</v>
      </c>
      <c r="H406" s="10" t="s">
        <v>562</v>
      </c>
      <c r="I406" s="5" t="str">
        <f>IFERROR(__xludf.DUMMYFUNCTION("IF(OR(TRIM(G406)="""",TRIM(H406)=""""),"""",TEXTJOIN("", "",TRUE,ARRAYFORMULA(TRANSPOSE(TRIM(SPLIT(G406,"","")))&amp;""_""&amp;TRIM(SPLIT(H406,"","")))))"),"Elf_Male, Elf_Female, Human_Male, Human_Female, Orc_Male, Orc_Female")</f>
        <v>Elf_Male, Elf_Female, Human_Male, Human_Female, Orc_Male, Orc_Female</v>
      </c>
      <c r="J406" s="6" t="s">
        <v>951</v>
      </c>
      <c r="L406" s="12" t="str">
        <f t="shared" si="1"/>
        <v>ModularSMPHair_IM2,1,1</v>
      </c>
    </row>
    <row r="407" ht="15.75" customHeight="1">
      <c r="A407" s="10" t="s">
        <v>948</v>
      </c>
      <c r="B407" s="17"/>
      <c r="C407" s="5" t="s">
        <v>1237</v>
      </c>
      <c r="D407" s="5">
        <v>1.0</v>
      </c>
      <c r="E407" s="5">
        <v>3.0</v>
      </c>
      <c r="F407" s="5" t="s">
        <v>1238</v>
      </c>
      <c r="G407" s="5" t="s">
        <v>644</v>
      </c>
      <c r="H407" s="10" t="s">
        <v>562</v>
      </c>
      <c r="I407" s="5" t="str">
        <f>IFERROR(__xludf.DUMMYFUNCTION("IF(OR(TRIM(G407)="""",TRIM(H407)=""""),"""",TEXTJOIN("", "",TRUE,ARRAYFORMULA(TRANSPOSE(TRIM(SPLIT(G407,"","")))&amp;""_""&amp;TRIM(SPLIT(H407,"","")))))"),"Elf_Male, Elf_Female, Human_Male, Human_Female, Orc_Male, Orc_Female, Khajiit_Male, Khajiit_Female")</f>
        <v>Elf_Male, Elf_Female, Human_Male, Human_Female, Orc_Male, Orc_Female, Khajiit_Male, Khajiit_Female</v>
      </c>
      <c r="J407" s="6" t="s">
        <v>951</v>
      </c>
      <c r="L407" s="12" t="str">
        <f t="shared" si="1"/>
        <v>ModularSMPHair_J,1,3</v>
      </c>
    </row>
    <row r="408" ht="15.75" customHeight="1">
      <c r="A408" s="10" t="s">
        <v>948</v>
      </c>
      <c r="B408" s="17"/>
      <c r="C408" s="5" t="s">
        <v>1239</v>
      </c>
      <c r="D408" s="5">
        <v>2.0</v>
      </c>
      <c r="E408" s="5">
        <v>3.0</v>
      </c>
      <c r="F408" s="5" t="s">
        <v>1240</v>
      </c>
      <c r="G408" s="5" t="s">
        <v>554</v>
      </c>
      <c r="H408" s="10" t="s">
        <v>562</v>
      </c>
      <c r="I408" s="5" t="str">
        <f>IFERROR(__xludf.DUMMYFUNCTION("IF(OR(TRIM(G408)="""",TRIM(H408)=""""),"""",TEXTJOIN("", "",TRUE,ARRAYFORMULA(TRANSPOSE(TRIM(SPLIT(G408,"","")))&amp;""_""&amp;TRIM(SPLIT(H408,"","")))))"),"Elf_Male, Elf_Female, Human_Male, Human_Female, Orc_Male, Orc_Female")</f>
        <v>Elf_Male, Elf_Female, Human_Male, Human_Female, Orc_Male, Orc_Female</v>
      </c>
      <c r="J408" s="6" t="s">
        <v>951</v>
      </c>
      <c r="L408" s="12" t="str">
        <f t="shared" si="1"/>
        <v>ModularSMPHair_JA,2,3</v>
      </c>
    </row>
    <row r="409" ht="15.75" customHeight="1">
      <c r="A409" s="10" t="s">
        <v>948</v>
      </c>
      <c r="B409" s="17"/>
      <c r="C409" s="5" t="s">
        <v>1241</v>
      </c>
      <c r="D409" s="5">
        <v>2.0</v>
      </c>
      <c r="E409" s="5">
        <v>3.0</v>
      </c>
      <c r="F409" s="5" t="s">
        <v>1242</v>
      </c>
      <c r="G409" s="5" t="s">
        <v>554</v>
      </c>
      <c r="H409" s="10" t="s">
        <v>562</v>
      </c>
      <c r="I409" s="5" t="str">
        <f>IFERROR(__xludf.DUMMYFUNCTION("IF(OR(TRIM(G409)="""",TRIM(H409)=""""),"""",TEXTJOIN("", "",TRUE,ARRAYFORMULA(TRANSPOSE(TRIM(SPLIT(G409,"","")))&amp;""_""&amp;TRIM(SPLIT(H409,"","")))))"),"Elf_Male, Elf_Female, Human_Male, Human_Female, Orc_Male, Orc_Female")</f>
        <v>Elf_Male, Elf_Female, Human_Male, Human_Female, Orc_Male, Orc_Female</v>
      </c>
      <c r="J409" s="6" t="s">
        <v>951</v>
      </c>
      <c r="L409" s="12" t="str">
        <f t="shared" si="1"/>
        <v>ModularSMPHair_JB,2,3</v>
      </c>
    </row>
    <row r="410" ht="15.75" customHeight="1">
      <c r="A410" s="10" t="s">
        <v>948</v>
      </c>
      <c r="B410" s="17"/>
      <c r="C410" s="5" t="s">
        <v>1243</v>
      </c>
      <c r="D410" s="5">
        <v>1.0</v>
      </c>
      <c r="E410" s="5">
        <v>3.0</v>
      </c>
      <c r="F410" s="5" t="s">
        <v>1244</v>
      </c>
      <c r="G410" s="5" t="s">
        <v>554</v>
      </c>
      <c r="H410" s="10" t="s">
        <v>562</v>
      </c>
      <c r="I410" s="5" t="str">
        <f>IFERROR(__xludf.DUMMYFUNCTION("IF(OR(TRIM(G410)="""",TRIM(H410)=""""),"""",TEXTJOIN("", "",TRUE,ARRAYFORMULA(TRANSPOSE(TRIM(SPLIT(G410,"","")))&amp;""_""&amp;TRIM(SPLIT(H410,"","")))))"),"Elf_Male, Elf_Female, Human_Male, Human_Female, Orc_Male, Orc_Female")</f>
        <v>Elf_Male, Elf_Female, Human_Male, Human_Female, Orc_Male, Orc_Female</v>
      </c>
      <c r="J410" s="6" t="s">
        <v>951</v>
      </c>
      <c r="L410" s="12" t="str">
        <f t="shared" si="1"/>
        <v>ModularSMPHair_JC,1,3</v>
      </c>
    </row>
    <row r="411" ht="15.75" customHeight="1">
      <c r="A411" s="10" t="s">
        <v>948</v>
      </c>
      <c r="B411" s="17"/>
      <c r="C411" s="5" t="s">
        <v>1245</v>
      </c>
      <c r="D411" s="5">
        <v>1.0</v>
      </c>
      <c r="E411" s="5">
        <v>3.0</v>
      </c>
      <c r="F411" s="5" t="s">
        <v>1246</v>
      </c>
      <c r="G411" s="5" t="s">
        <v>554</v>
      </c>
      <c r="H411" s="10" t="s">
        <v>562</v>
      </c>
      <c r="I411" s="5" t="str">
        <f>IFERROR(__xludf.DUMMYFUNCTION("IF(OR(TRIM(G411)="""",TRIM(H411)=""""),"""",TEXTJOIN("", "",TRUE,ARRAYFORMULA(TRANSPOSE(TRIM(SPLIT(G411,"","")))&amp;""_""&amp;TRIM(SPLIT(H411,"","")))))"),"Elf_Male, Elf_Female, Human_Male, Human_Female, Orc_Male, Orc_Female")</f>
        <v>Elf_Male, Elf_Female, Human_Male, Human_Female, Orc_Male, Orc_Female</v>
      </c>
      <c r="J411" s="6" t="s">
        <v>951</v>
      </c>
      <c r="L411" s="12" t="str">
        <f t="shared" si="1"/>
        <v>ModularSMPHair_JD,1,3</v>
      </c>
    </row>
    <row r="412" ht="15.75" customHeight="1">
      <c r="A412" s="10" t="s">
        <v>948</v>
      </c>
      <c r="B412" s="17"/>
      <c r="C412" s="5" t="s">
        <v>1247</v>
      </c>
      <c r="D412" s="5">
        <v>2.0</v>
      </c>
      <c r="E412" s="5">
        <v>3.0</v>
      </c>
      <c r="F412" s="5" t="s">
        <v>1248</v>
      </c>
      <c r="G412" s="5" t="s">
        <v>554</v>
      </c>
      <c r="H412" s="10" t="s">
        <v>562</v>
      </c>
      <c r="I412" s="5" t="str">
        <f>IFERROR(__xludf.DUMMYFUNCTION("IF(OR(TRIM(G412)="""",TRIM(H412)=""""),"""",TEXTJOIN("", "",TRUE,ARRAYFORMULA(TRANSPOSE(TRIM(SPLIT(G412,"","")))&amp;""_""&amp;TRIM(SPLIT(H412,"","")))))"),"Elf_Male, Elf_Female, Human_Male, Human_Female, Orc_Male, Orc_Female")</f>
        <v>Elf_Male, Elf_Female, Human_Male, Human_Female, Orc_Male, Orc_Female</v>
      </c>
      <c r="J412" s="6" t="s">
        <v>951</v>
      </c>
      <c r="L412" s="12" t="str">
        <f t="shared" si="1"/>
        <v>ModularSMPHair_JE,2,3</v>
      </c>
    </row>
    <row r="413" ht="15.75" customHeight="1">
      <c r="A413" s="10" t="s">
        <v>948</v>
      </c>
      <c r="B413" s="17"/>
      <c r="C413" s="5" t="s">
        <v>1249</v>
      </c>
      <c r="D413" s="5">
        <v>1.0</v>
      </c>
      <c r="E413" s="5">
        <v>3.0</v>
      </c>
      <c r="F413" s="5" t="s">
        <v>1250</v>
      </c>
      <c r="G413" s="5" t="s">
        <v>554</v>
      </c>
      <c r="H413" s="10" t="s">
        <v>562</v>
      </c>
      <c r="I413" s="5" t="str">
        <f>IFERROR(__xludf.DUMMYFUNCTION("IF(OR(TRIM(G413)="""",TRIM(H413)=""""),"""",TEXTJOIN("", "",TRUE,ARRAYFORMULA(TRANSPOSE(TRIM(SPLIT(G413,"","")))&amp;""_""&amp;TRIM(SPLIT(H413,"","")))))"),"Elf_Male, Elf_Female, Human_Male, Human_Female, Orc_Male, Orc_Female")</f>
        <v>Elf_Male, Elf_Female, Human_Male, Human_Female, Orc_Male, Orc_Female</v>
      </c>
      <c r="J413" s="6" t="s">
        <v>951</v>
      </c>
      <c r="L413" s="12" t="str">
        <f t="shared" si="1"/>
        <v>ModularSMPHair_JF,1,3</v>
      </c>
    </row>
    <row r="414" ht="15.75" customHeight="1">
      <c r="A414" s="10" t="s">
        <v>948</v>
      </c>
      <c r="B414" s="17"/>
      <c r="C414" s="5" t="s">
        <v>1251</v>
      </c>
      <c r="D414" s="5">
        <v>1.0</v>
      </c>
      <c r="E414" s="5">
        <v>3.0</v>
      </c>
      <c r="F414" s="5" t="s">
        <v>1252</v>
      </c>
      <c r="G414" s="5" t="s">
        <v>554</v>
      </c>
      <c r="H414" s="10" t="s">
        <v>562</v>
      </c>
      <c r="I414" s="5" t="str">
        <f>IFERROR(__xludf.DUMMYFUNCTION("IF(OR(TRIM(G414)="""",TRIM(H414)=""""),"""",TEXTJOIN("", "",TRUE,ARRAYFORMULA(TRANSPOSE(TRIM(SPLIT(G414,"","")))&amp;""_""&amp;TRIM(SPLIT(H414,"","")))))"),"Elf_Male, Elf_Female, Human_Male, Human_Female, Orc_Male, Orc_Female")</f>
        <v>Elf_Male, Elf_Female, Human_Male, Human_Female, Orc_Male, Orc_Female</v>
      </c>
      <c r="J414" s="6" t="s">
        <v>951</v>
      </c>
      <c r="L414" s="12" t="str">
        <f t="shared" si="1"/>
        <v>ModularSMPHair_JG,1,3</v>
      </c>
    </row>
    <row r="415" ht="15.75" customHeight="1">
      <c r="A415" s="10" t="s">
        <v>948</v>
      </c>
      <c r="B415" s="17"/>
      <c r="C415" s="5" t="s">
        <v>1253</v>
      </c>
      <c r="D415" s="5">
        <v>1.0</v>
      </c>
      <c r="E415" s="5">
        <v>3.0</v>
      </c>
      <c r="F415" s="5" t="s">
        <v>1254</v>
      </c>
      <c r="G415" s="5" t="s">
        <v>554</v>
      </c>
      <c r="H415" s="10" t="s">
        <v>562</v>
      </c>
      <c r="I415" s="5" t="str">
        <f>IFERROR(__xludf.DUMMYFUNCTION("IF(OR(TRIM(G415)="""",TRIM(H415)=""""),"""",TEXTJOIN("", "",TRUE,ARRAYFORMULA(TRANSPOSE(TRIM(SPLIT(G415,"","")))&amp;""_""&amp;TRIM(SPLIT(H415,"","")))))"),"Elf_Male, Elf_Female, Human_Male, Human_Female, Orc_Male, Orc_Female")</f>
        <v>Elf_Male, Elf_Female, Human_Male, Human_Female, Orc_Male, Orc_Female</v>
      </c>
      <c r="J415" s="6" t="s">
        <v>951</v>
      </c>
      <c r="L415" s="12" t="str">
        <f t="shared" si="1"/>
        <v>ModularSMPHair_JI,1,3</v>
      </c>
    </row>
    <row r="416" ht="15.75" customHeight="1">
      <c r="A416" s="10" t="s">
        <v>948</v>
      </c>
      <c r="B416" s="17"/>
      <c r="C416" s="5" t="s">
        <v>1257</v>
      </c>
      <c r="D416" s="5">
        <v>1.0</v>
      </c>
      <c r="E416" s="5">
        <v>3.0</v>
      </c>
      <c r="F416" s="5" t="s">
        <v>1258</v>
      </c>
      <c r="G416" s="5" t="s">
        <v>554</v>
      </c>
      <c r="H416" s="10" t="s">
        <v>562</v>
      </c>
      <c r="I416" s="5" t="str">
        <f>IFERROR(__xludf.DUMMYFUNCTION("IF(OR(TRIM(G416)="""",TRIM(H416)=""""),"""",TEXTJOIN("", "",TRUE,ARRAYFORMULA(TRANSPOSE(TRIM(SPLIT(G416,"","")))&amp;""_""&amp;TRIM(SPLIT(H416,"","")))))"),"Elf_Male, Elf_Female, Human_Male, Human_Female, Orc_Male, Orc_Female")</f>
        <v>Elf_Male, Elf_Female, Human_Male, Human_Female, Orc_Male, Orc_Female</v>
      </c>
      <c r="J416" s="6" t="s">
        <v>951</v>
      </c>
      <c r="L416" s="12" t="str">
        <f t="shared" si="1"/>
        <v>ModularSMPHair_JJ,1,3</v>
      </c>
    </row>
    <row r="417" ht="15.75" customHeight="1">
      <c r="A417" s="10" t="s">
        <v>948</v>
      </c>
      <c r="B417" s="17"/>
      <c r="C417" s="5" t="s">
        <v>1259</v>
      </c>
      <c r="D417" s="5">
        <v>1.0</v>
      </c>
      <c r="E417" s="5">
        <v>3.0</v>
      </c>
      <c r="F417" s="5" t="s">
        <v>1260</v>
      </c>
      <c r="G417" s="5" t="s">
        <v>554</v>
      </c>
      <c r="H417" s="10" t="s">
        <v>562</v>
      </c>
      <c r="I417" s="5" t="str">
        <f>IFERROR(__xludf.DUMMYFUNCTION("IF(OR(TRIM(G417)="""",TRIM(H417)=""""),"""",TEXTJOIN("", "",TRUE,ARRAYFORMULA(TRANSPOSE(TRIM(SPLIT(G417,"","")))&amp;""_""&amp;TRIM(SPLIT(H417,"","")))))"),"Elf_Male, Elf_Female, Human_Male, Human_Female, Orc_Male, Orc_Female")</f>
        <v>Elf_Male, Elf_Female, Human_Male, Human_Female, Orc_Male, Orc_Female</v>
      </c>
      <c r="J417" s="6" t="s">
        <v>951</v>
      </c>
      <c r="L417" s="12" t="str">
        <f t="shared" si="1"/>
        <v>ModularSMPHair_JK,1,3</v>
      </c>
    </row>
    <row r="418" ht="15.75" customHeight="1">
      <c r="A418" s="10" t="s">
        <v>948</v>
      </c>
      <c r="B418" s="17"/>
      <c r="C418" s="5" t="s">
        <v>1261</v>
      </c>
      <c r="D418" s="5">
        <v>1.0</v>
      </c>
      <c r="E418" s="5">
        <v>3.0</v>
      </c>
      <c r="F418" s="5" t="s">
        <v>1262</v>
      </c>
      <c r="G418" s="5" t="s">
        <v>554</v>
      </c>
      <c r="H418" s="10" t="s">
        <v>562</v>
      </c>
      <c r="I418" s="5" t="str">
        <f>IFERROR(__xludf.DUMMYFUNCTION("IF(OR(TRIM(G418)="""",TRIM(H418)=""""),"""",TEXTJOIN("", "",TRUE,ARRAYFORMULA(TRANSPOSE(TRIM(SPLIT(G418,"","")))&amp;""_""&amp;TRIM(SPLIT(H418,"","")))))"),"Elf_Male, Elf_Female, Human_Male, Human_Female, Orc_Male, Orc_Female")</f>
        <v>Elf_Male, Elf_Female, Human_Male, Human_Female, Orc_Male, Orc_Female</v>
      </c>
      <c r="J418" s="6" t="s">
        <v>951</v>
      </c>
      <c r="L418" s="12" t="str">
        <f t="shared" si="1"/>
        <v>ModularSMPHair_JL,1,3</v>
      </c>
    </row>
    <row r="419" ht="15.75" customHeight="1">
      <c r="A419" s="10" t="s">
        <v>948</v>
      </c>
      <c r="B419" s="17"/>
      <c r="C419" s="5" t="s">
        <v>1263</v>
      </c>
      <c r="D419" s="5">
        <v>1.0</v>
      </c>
      <c r="E419" s="5">
        <v>3.0</v>
      </c>
      <c r="F419" s="5" t="s">
        <v>1264</v>
      </c>
      <c r="G419" s="5" t="s">
        <v>554</v>
      </c>
      <c r="H419" s="10" t="s">
        <v>562</v>
      </c>
      <c r="I419" s="5" t="str">
        <f>IFERROR(__xludf.DUMMYFUNCTION("IF(OR(TRIM(G419)="""",TRIM(H419)=""""),"""",TEXTJOIN("", "",TRUE,ARRAYFORMULA(TRANSPOSE(TRIM(SPLIT(G419,"","")))&amp;""_""&amp;TRIM(SPLIT(H419,"","")))))"),"Elf_Male, Elf_Female, Human_Male, Human_Female, Orc_Male, Orc_Female")</f>
        <v>Elf_Male, Elf_Female, Human_Male, Human_Female, Orc_Male, Orc_Female</v>
      </c>
      <c r="J419" s="6" t="s">
        <v>951</v>
      </c>
      <c r="L419" s="12" t="str">
        <f t="shared" si="1"/>
        <v>ModularSMPHair_JM1,1,3</v>
      </c>
    </row>
    <row r="420" ht="15.75" customHeight="1">
      <c r="A420" s="10" t="s">
        <v>948</v>
      </c>
      <c r="B420" s="17"/>
      <c r="C420" s="5" t="s">
        <v>1265</v>
      </c>
      <c r="D420" s="5">
        <v>1.0</v>
      </c>
      <c r="E420" s="5">
        <v>3.0</v>
      </c>
      <c r="F420" s="5" t="s">
        <v>1266</v>
      </c>
      <c r="G420" s="5" t="s">
        <v>554</v>
      </c>
      <c r="H420" s="10" t="s">
        <v>562</v>
      </c>
      <c r="I420" s="5" t="str">
        <f>IFERROR(__xludf.DUMMYFUNCTION("IF(OR(TRIM(G420)="""",TRIM(H420)=""""),"""",TEXTJOIN("", "",TRUE,ARRAYFORMULA(TRANSPOSE(TRIM(SPLIT(G420,"","")))&amp;""_""&amp;TRIM(SPLIT(H420,"","")))))"),"Elf_Male, Elf_Female, Human_Male, Human_Female, Orc_Male, Orc_Female")</f>
        <v>Elf_Male, Elf_Female, Human_Male, Human_Female, Orc_Male, Orc_Female</v>
      </c>
      <c r="J420" s="6" t="s">
        <v>951</v>
      </c>
      <c r="L420" s="12" t="str">
        <f t="shared" si="1"/>
        <v>ModularSMPHair_JM2,1,3</v>
      </c>
    </row>
    <row r="421" ht="15.75" customHeight="1">
      <c r="A421" s="10" t="s">
        <v>948</v>
      </c>
      <c r="B421" s="17"/>
      <c r="C421" s="5" t="s">
        <v>1267</v>
      </c>
      <c r="D421" s="5">
        <v>1.0</v>
      </c>
      <c r="E421" s="5">
        <v>3.0</v>
      </c>
      <c r="F421" s="5" t="s">
        <v>1268</v>
      </c>
      <c r="G421" s="5" t="s">
        <v>644</v>
      </c>
      <c r="H421" s="10" t="s">
        <v>562</v>
      </c>
      <c r="I421" s="5" t="str">
        <f>IFERROR(__xludf.DUMMYFUNCTION("IF(OR(TRIM(G421)="""",TRIM(H421)=""""),"""",TEXTJOIN("", "",TRUE,ARRAYFORMULA(TRANSPOSE(TRIM(SPLIT(G421,"","")))&amp;""_""&amp;TRIM(SPLIT(H421,"","")))))"),"Elf_Male, Elf_Female, Human_Male, Human_Female, Orc_Male, Orc_Female, Khajiit_Male, Khajiit_Female")</f>
        <v>Elf_Male, Elf_Female, Human_Male, Human_Female, Orc_Male, Orc_Female, Khajiit_Male, Khajiit_Female</v>
      </c>
      <c r="J421" s="6" t="s">
        <v>951</v>
      </c>
      <c r="L421" s="12" t="str">
        <f t="shared" si="1"/>
        <v>ModularSMPHair_L,1,3</v>
      </c>
    </row>
    <row r="422" ht="15.75" customHeight="1">
      <c r="A422" s="10" t="s">
        <v>948</v>
      </c>
      <c r="B422" s="17"/>
      <c r="C422" s="5" t="s">
        <v>1269</v>
      </c>
      <c r="D422" s="5">
        <v>2.0</v>
      </c>
      <c r="E422" s="5">
        <v>3.0</v>
      </c>
      <c r="F422" s="5" t="s">
        <v>1270</v>
      </c>
      <c r="G422" s="5" t="s">
        <v>554</v>
      </c>
      <c r="H422" s="10" t="s">
        <v>562</v>
      </c>
      <c r="I422" s="5" t="str">
        <f>IFERROR(__xludf.DUMMYFUNCTION("IF(OR(TRIM(G422)="""",TRIM(H422)=""""),"""",TEXTJOIN("", "",TRUE,ARRAYFORMULA(TRANSPOSE(TRIM(SPLIT(G422,"","")))&amp;""_""&amp;TRIM(SPLIT(H422,"","")))))"),"Elf_Male, Elf_Female, Human_Male, Human_Female, Orc_Male, Orc_Female")</f>
        <v>Elf_Male, Elf_Female, Human_Male, Human_Female, Orc_Male, Orc_Female</v>
      </c>
      <c r="J422" s="6" t="s">
        <v>951</v>
      </c>
      <c r="L422" s="12" t="str">
        <f t="shared" si="1"/>
        <v>ModularSMPHair_LA,2,3</v>
      </c>
    </row>
    <row r="423" ht="15.75" customHeight="1">
      <c r="A423" s="10" t="s">
        <v>948</v>
      </c>
      <c r="B423" s="17"/>
      <c r="C423" s="5" t="s">
        <v>1271</v>
      </c>
      <c r="D423" s="5">
        <v>2.0</v>
      </c>
      <c r="E423" s="5">
        <v>3.0</v>
      </c>
      <c r="F423" s="5" t="s">
        <v>1272</v>
      </c>
      <c r="G423" s="5" t="s">
        <v>554</v>
      </c>
      <c r="H423" s="10" t="s">
        <v>562</v>
      </c>
      <c r="I423" s="5" t="str">
        <f>IFERROR(__xludf.DUMMYFUNCTION("IF(OR(TRIM(G423)="""",TRIM(H423)=""""),"""",TEXTJOIN("", "",TRUE,ARRAYFORMULA(TRANSPOSE(TRIM(SPLIT(G423,"","")))&amp;""_""&amp;TRIM(SPLIT(H423,"","")))))"),"Elf_Male, Elf_Female, Human_Male, Human_Female, Orc_Male, Orc_Female")</f>
        <v>Elf_Male, Elf_Female, Human_Male, Human_Female, Orc_Male, Orc_Female</v>
      </c>
      <c r="J423" s="6" t="s">
        <v>951</v>
      </c>
      <c r="L423" s="12" t="str">
        <f t="shared" si="1"/>
        <v>ModularSMPHair_LB,2,3</v>
      </c>
    </row>
    <row r="424" ht="15.75" customHeight="1">
      <c r="A424" s="10" t="s">
        <v>948</v>
      </c>
      <c r="B424" s="17"/>
      <c r="C424" s="5" t="s">
        <v>1273</v>
      </c>
      <c r="D424" s="5">
        <v>1.0</v>
      </c>
      <c r="E424" s="5">
        <v>3.0</v>
      </c>
      <c r="F424" s="5" t="s">
        <v>1274</v>
      </c>
      <c r="G424" s="5" t="s">
        <v>554</v>
      </c>
      <c r="H424" s="10" t="s">
        <v>562</v>
      </c>
      <c r="I424" s="5" t="str">
        <f>IFERROR(__xludf.DUMMYFUNCTION("IF(OR(TRIM(G424)="""",TRIM(H424)=""""),"""",TEXTJOIN("", "",TRUE,ARRAYFORMULA(TRANSPOSE(TRIM(SPLIT(G424,"","")))&amp;""_""&amp;TRIM(SPLIT(H424,"","")))))"),"Elf_Male, Elf_Female, Human_Male, Human_Female, Orc_Male, Orc_Female")</f>
        <v>Elf_Male, Elf_Female, Human_Male, Human_Female, Orc_Male, Orc_Female</v>
      </c>
      <c r="J424" s="6" t="s">
        <v>951</v>
      </c>
      <c r="L424" s="12" t="str">
        <f t="shared" si="1"/>
        <v>ModularSMPHair_LC,1,3</v>
      </c>
    </row>
    <row r="425" ht="15.75" customHeight="1">
      <c r="A425" s="10" t="s">
        <v>948</v>
      </c>
      <c r="B425" s="17"/>
      <c r="C425" s="5" t="s">
        <v>1275</v>
      </c>
      <c r="D425" s="5">
        <v>1.0</v>
      </c>
      <c r="E425" s="5">
        <v>3.0</v>
      </c>
      <c r="F425" s="5" t="s">
        <v>1277</v>
      </c>
      <c r="G425" s="5" t="s">
        <v>554</v>
      </c>
      <c r="H425" s="10" t="s">
        <v>562</v>
      </c>
      <c r="I425" s="5" t="str">
        <f>IFERROR(__xludf.DUMMYFUNCTION("IF(OR(TRIM(G425)="""",TRIM(H425)=""""),"""",TEXTJOIN("", "",TRUE,ARRAYFORMULA(TRANSPOSE(TRIM(SPLIT(G425,"","")))&amp;""_""&amp;TRIM(SPLIT(H425,"","")))))"),"Elf_Male, Elf_Female, Human_Male, Human_Female, Orc_Male, Orc_Female")</f>
        <v>Elf_Male, Elf_Female, Human_Male, Human_Female, Orc_Male, Orc_Female</v>
      </c>
      <c r="J425" s="6" t="s">
        <v>951</v>
      </c>
      <c r="L425" s="12" t="str">
        <f t="shared" si="1"/>
        <v>ModularSMPHair_LD,1,3</v>
      </c>
    </row>
    <row r="426" ht="15.75" customHeight="1">
      <c r="A426" s="10" t="s">
        <v>948</v>
      </c>
      <c r="B426" s="17"/>
      <c r="C426" s="5" t="s">
        <v>1279</v>
      </c>
      <c r="D426" s="5">
        <v>2.0</v>
      </c>
      <c r="E426" s="5">
        <v>3.0</v>
      </c>
      <c r="F426" s="5" t="s">
        <v>1280</v>
      </c>
      <c r="G426" s="5" t="s">
        <v>554</v>
      </c>
      <c r="H426" s="10" t="s">
        <v>562</v>
      </c>
      <c r="I426" s="5" t="str">
        <f>IFERROR(__xludf.DUMMYFUNCTION("IF(OR(TRIM(G426)="""",TRIM(H426)=""""),"""",TEXTJOIN("", "",TRUE,ARRAYFORMULA(TRANSPOSE(TRIM(SPLIT(G426,"","")))&amp;""_""&amp;TRIM(SPLIT(H426,"","")))))"),"Elf_Male, Elf_Female, Human_Male, Human_Female, Orc_Male, Orc_Female")</f>
        <v>Elf_Male, Elf_Female, Human_Male, Human_Female, Orc_Male, Orc_Female</v>
      </c>
      <c r="J426" s="6" t="s">
        <v>951</v>
      </c>
      <c r="L426" s="12" t="str">
        <f t="shared" si="1"/>
        <v>ModularSMPHair_LE,2,3</v>
      </c>
    </row>
    <row r="427" ht="15.75" customHeight="1">
      <c r="A427" s="10" t="s">
        <v>948</v>
      </c>
      <c r="B427" s="17"/>
      <c r="C427" s="5" t="s">
        <v>1281</v>
      </c>
      <c r="D427" s="5">
        <v>1.0</v>
      </c>
      <c r="E427" s="5">
        <v>3.0</v>
      </c>
      <c r="F427" s="5" t="s">
        <v>1282</v>
      </c>
      <c r="G427" s="5" t="s">
        <v>554</v>
      </c>
      <c r="H427" s="10" t="s">
        <v>562</v>
      </c>
      <c r="I427" s="5" t="str">
        <f>IFERROR(__xludf.DUMMYFUNCTION("IF(OR(TRIM(G427)="""",TRIM(H427)=""""),"""",TEXTJOIN("", "",TRUE,ARRAYFORMULA(TRANSPOSE(TRIM(SPLIT(G427,"","")))&amp;""_""&amp;TRIM(SPLIT(H427,"","")))))"),"Elf_Male, Elf_Female, Human_Male, Human_Female, Orc_Male, Orc_Female")</f>
        <v>Elf_Male, Elf_Female, Human_Male, Human_Female, Orc_Male, Orc_Female</v>
      </c>
      <c r="J427" s="6" t="s">
        <v>951</v>
      </c>
      <c r="L427" s="12" t="str">
        <f t="shared" si="1"/>
        <v>ModularSMPHair_LF,1,3</v>
      </c>
    </row>
    <row r="428" ht="15.75" customHeight="1">
      <c r="A428" s="10" t="s">
        <v>948</v>
      </c>
      <c r="B428" s="17"/>
      <c r="C428" s="5" t="s">
        <v>1283</v>
      </c>
      <c r="D428" s="5">
        <v>1.0</v>
      </c>
      <c r="E428" s="5">
        <v>3.0</v>
      </c>
      <c r="F428" s="5" t="s">
        <v>1284</v>
      </c>
      <c r="G428" s="5" t="s">
        <v>554</v>
      </c>
      <c r="H428" s="10" t="s">
        <v>562</v>
      </c>
      <c r="I428" s="5" t="str">
        <f>IFERROR(__xludf.DUMMYFUNCTION("IF(OR(TRIM(G428)="""",TRIM(H428)=""""),"""",TEXTJOIN("", "",TRUE,ARRAYFORMULA(TRANSPOSE(TRIM(SPLIT(G428,"","")))&amp;""_""&amp;TRIM(SPLIT(H428,"","")))))"),"Elf_Male, Elf_Female, Human_Male, Human_Female, Orc_Male, Orc_Female")</f>
        <v>Elf_Male, Elf_Female, Human_Male, Human_Female, Orc_Male, Orc_Female</v>
      </c>
      <c r="J428" s="6" t="s">
        <v>951</v>
      </c>
      <c r="L428" s="12" t="str">
        <f t="shared" si="1"/>
        <v>ModularSMPHair_LG,1,3</v>
      </c>
    </row>
    <row r="429" ht="15.75" customHeight="1">
      <c r="A429" s="10" t="s">
        <v>948</v>
      </c>
      <c r="B429" s="17"/>
      <c r="C429" s="5" t="s">
        <v>1285</v>
      </c>
      <c r="D429" s="5">
        <v>1.0</v>
      </c>
      <c r="E429" s="5">
        <v>3.0</v>
      </c>
      <c r="F429" s="5" t="s">
        <v>1286</v>
      </c>
      <c r="G429" s="5" t="s">
        <v>554</v>
      </c>
      <c r="H429" s="10" t="s">
        <v>562</v>
      </c>
      <c r="I429" s="5" t="str">
        <f>IFERROR(__xludf.DUMMYFUNCTION("IF(OR(TRIM(G429)="""",TRIM(H429)=""""),"""",TEXTJOIN("", "",TRUE,ARRAYFORMULA(TRANSPOSE(TRIM(SPLIT(G429,"","")))&amp;""_""&amp;TRIM(SPLIT(H429,"","")))))"),"Elf_Male, Elf_Female, Human_Male, Human_Female, Orc_Male, Orc_Female")</f>
        <v>Elf_Male, Elf_Female, Human_Male, Human_Female, Orc_Male, Orc_Female</v>
      </c>
      <c r="J429" s="6" t="s">
        <v>951</v>
      </c>
      <c r="L429" s="12" t="str">
        <f t="shared" si="1"/>
        <v>ModularSMPHair_LI,1,3</v>
      </c>
    </row>
    <row r="430" ht="15.75" customHeight="1">
      <c r="A430" s="10" t="s">
        <v>948</v>
      </c>
      <c r="B430" s="17"/>
      <c r="C430" s="5" t="s">
        <v>1287</v>
      </c>
      <c r="D430" s="5">
        <v>1.0</v>
      </c>
      <c r="E430" s="5">
        <v>3.0</v>
      </c>
      <c r="F430" s="5" t="s">
        <v>1288</v>
      </c>
      <c r="G430" s="5" t="s">
        <v>554</v>
      </c>
      <c r="H430" s="10" t="s">
        <v>562</v>
      </c>
      <c r="I430" s="5" t="str">
        <f>IFERROR(__xludf.DUMMYFUNCTION("IF(OR(TRIM(G430)="""",TRIM(H430)=""""),"""",TEXTJOIN("", "",TRUE,ARRAYFORMULA(TRANSPOSE(TRIM(SPLIT(G430,"","")))&amp;""_""&amp;TRIM(SPLIT(H430,"","")))))"),"Elf_Male, Elf_Female, Human_Male, Human_Female, Orc_Male, Orc_Female")</f>
        <v>Elf_Male, Elf_Female, Human_Male, Human_Female, Orc_Male, Orc_Female</v>
      </c>
      <c r="J430" s="6" t="s">
        <v>951</v>
      </c>
      <c r="L430" s="12" t="str">
        <f t="shared" si="1"/>
        <v>ModularSMPHair_LJ,1,3</v>
      </c>
    </row>
    <row r="431" ht="15.75" customHeight="1">
      <c r="A431" s="10" t="s">
        <v>948</v>
      </c>
      <c r="B431" s="17"/>
      <c r="C431" s="5" t="s">
        <v>1289</v>
      </c>
      <c r="D431" s="5">
        <v>1.0</v>
      </c>
      <c r="E431" s="5">
        <v>3.0</v>
      </c>
      <c r="F431" s="5" t="s">
        <v>1290</v>
      </c>
      <c r="G431" s="5" t="s">
        <v>554</v>
      </c>
      <c r="H431" s="10" t="s">
        <v>562</v>
      </c>
      <c r="I431" s="5" t="str">
        <f>IFERROR(__xludf.DUMMYFUNCTION("IF(OR(TRIM(G431)="""",TRIM(H431)=""""),"""",TEXTJOIN("", "",TRUE,ARRAYFORMULA(TRANSPOSE(TRIM(SPLIT(G431,"","")))&amp;""_""&amp;TRIM(SPLIT(H431,"","")))))"),"Elf_Male, Elf_Female, Human_Male, Human_Female, Orc_Male, Orc_Female")</f>
        <v>Elf_Male, Elf_Female, Human_Male, Human_Female, Orc_Male, Orc_Female</v>
      </c>
      <c r="J431" s="6" t="s">
        <v>951</v>
      </c>
      <c r="L431" s="12" t="str">
        <f t="shared" si="1"/>
        <v>ModularSMPHair_LK,1,3</v>
      </c>
    </row>
    <row r="432" ht="15.75" customHeight="1">
      <c r="A432" s="10" t="s">
        <v>948</v>
      </c>
      <c r="B432" s="17"/>
      <c r="C432" s="5" t="s">
        <v>1291</v>
      </c>
      <c r="D432" s="5">
        <v>1.0</v>
      </c>
      <c r="E432" s="5">
        <v>3.0</v>
      </c>
      <c r="F432" s="5" t="s">
        <v>1292</v>
      </c>
      <c r="G432" s="5" t="s">
        <v>554</v>
      </c>
      <c r="H432" s="10" t="s">
        <v>562</v>
      </c>
      <c r="I432" s="5" t="str">
        <f>IFERROR(__xludf.DUMMYFUNCTION("IF(OR(TRIM(G432)="""",TRIM(H432)=""""),"""",TEXTJOIN("", "",TRUE,ARRAYFORMULA(TRANSPOSE(TRIM(SPLIT(G432,"","")))&amp;""_""&amp;TRIM(SPLIT(H432,"","")))))"),"Elf_Male, Elf_Female, Human_Male, Human_Female, Orc_Male, Orc_Female")</f>
        <v>Elf_Male, Elf_Female, Human_Male, Human_Female, Orc_Male, Orc_Female</v>
      </c>
      <c r="J432" s="6" t="s">
        <v>951</v>
      </c>
      <c r="L432" s="12" t="str">
        <f t="shared" si="1"/>
        <v>ModularSMPHair_LL,1,3</v>
      </c>
    </row>
    <row r="433" ht="15.75" customHeight="1">
      <c r="A433" s="10" t="s">
        <v>948</v>
      </c>
      <c r="B433" s="17"/>
      <c r="C433" s="5" t="s">
        <v>1293</v>
      </c>
      <c r="D433" s="5">
        <v>1.0</v>
      </c>
      <c r="E433" s="5">
        <v>3.0</v>
      </c>
      <c r="F433" s="5" t="s">
        <v>1294</v>
      </c>
      <c r="G433" s="5" t="s">
        <v>554</v>
      </c>
      <c r="H433" s="10" t="s">
        <v>562</v>
      </c>
      <c r="I433" s="5" t="str">
        <f>IFERROR(__xludf.DUMMYFUNCTION("IF(OR(TRIM(G433)="""",TRIM(H433)=""""),"""",TEXTJOIN("", "",TRUE,ARRAYFORMULA(TRANSPOSE(TRIM(SPLIT(G433,"","")))&amp;""_""&amp;TRIM(SPLIT(H433,"","")))))"),"Elf_Male, Elf_Female, Human_Male, Human_Female, Orc_Male, Orc_Female")</f>
        <v>Elf_Male, Elf_Female, Human_Male, Human_Female, Orc_Male, Orc_Female</v>
      </c>
      <c r="J433" s="6" t="s">
        <v>951</v>
      </c>
      <c r="L433" s="12" t="str">
        <f t="shared" si="1"/>
        <v>ModularSMPHair_LM1,1,3</v>
      </c>
    </row>
    <row r="434" ht="15.75" customHeight="1">
      <c r="A434" s="10" t="s">
        <v>948</v>
      </c>
      <c r="B434" s="17"/>
      <c r="C434" s="5" t="s">
        <v>1295</v>
      </c>
      <c r="D434" s="5">
        <v>1.0</v>
      </c>
      <c r="E434" s="5">
        <v>3.0</v>
      </c>
      <c r="F434" s="5" t="s">
        <v>1298</v>
      </c>
      <c r="G434" s="5" t="s">
        <v>554</v>
      </c>
      <c r="H434" s="10" t="s">
        <v>562</v>
      </c>
      <c r="I434" s="5" t="str">
        <f>IFERROR(__xludf.DUMMYFUNCTION("IF(OR(TRIM(G434)="""",TRIM(H434)=""""),"""",TEXTJOIN("", "",TRUE,ARRAYFORMULA(TRANSPOSE(TRIM(SPLIT(G434,"","")))&amp;""_""&amp;TRIM(SPLIT(H434,"","")))))"),"Elf_Male, Elf_Female, Human_Male, Human_Female, Orc_Male, Orc_Female")</f>
        <v>Elf_Male, Elf_Female, Human_Male, Human_Female, Orc_Male, Orc_Female</v>
      </c>
      <c r="J434" s="6" t="s">
        <v>951</v>
      </c>
      <c r="L434" s="12" t="str">
        <f t="shared" si="1"/>
        <v>ModularSMPHair_LM2,1,3</v>
      </c>
    </row>
    <row r="435" ht="15.75" customHeight="1">
      <c r="A435" s="10" t="s">
        <v>948</v>
      </c>
      <c r="B435" s="17"/>
      <c r="C435" s="5" t="s">
        <v>1299</v>
      </c>
      <c r="D435" s="5">
        <v>1.0</v>
      </c>
      <c r="E435" s="5">
        <v>2.0</v>
      </c>
      <c r="F435" s="5" t="s">
        <v>1300</v>
      </c>
      <c r="G435" s="5" t="s">
        <v>644</v>
      </c>
      <c r="H435" s="10" t="s">
        <v>562</v>
      </c>
      <c r="I435" s="5" t="str">
        <f>IFERROR(__xludf.DUMMYFUNCTION("IF(OR(TRIM(G435)="""",TRIM(H435)=""""),"""",TEXTJOIN("", "",TRUE,ARRAYFORMULA(TRANSPOSE(TRIM(SPLIT(G435,"","")))&amp;""_""&amp;TRIM(SPLIT(H435,"","")))))"),"Elf_Male, Elf_Female, Human_Male, Human_Female, Orc_Male, Orc_Female, Khajiit_Male, Khajiit_Female")</f>
        <v>Elf_Male, Elf_Female, Human_Male, Human_Female, Orc_Male, Orc_Female, Khajiit_Male, Khajiit_Female</v>
      </c>
      <c r="J435" s="6" t="s">
        <v>951</v>
      </c>
      <c r="L435" s="12" t="str">
        <f t="shared" si="1"/>
        <v>ModularSMPHair_M,1,2</v>
      </c>
    </row>
    <row r="436" ht="15.75" customHeight="1">
      <c r="A436" s="10" t="s">
        <v>948</v>
      </c>
      <c r="B436" s="17"/>
      <c r="C436" s="5" t="s">
        <v>1301</v>
      </c>
      <c r="D436" s="5">
        <v>2.0</v>
      </c>
      <c r="E436" s="5">
        <v>2.0</v>
      </c>
      <c r="F436" s="5" t="s">
        <v>1302</v>
      </c>
      <c r="G436" s="5" t="s">
        <v>554</v>
      </c>
      <c r="H436" s="10" t="s">
        <v>562</v>
      </c>
      <c r="I436" s="5" t="str">
        <f>IFERROR(__xludf.DUMMYFUNCTION("IF(OR(TRIM(G436)="""",TRIM(H436)=""""),"""",TEXTJOIN("", "",TRUE,ARRAYFORMULA(TRANSPOSE(TRIM(SPLIT(G436,"","")))&amp;""_""&amp;TRIM(SPLIT(H436,"","")))))"),"Elf_Male, Elf_Female, Human_Male, Human_Female, Orc_Male, Orc_Female")</f>
        <v>Elf_Male, Elf_Female, Human_Male, Human_Female, Orc_Male, Orc_Female</v>
      </c>
      <c r="J436" s="6" t="s">
        <v>951</v>
      </c>
      <c r="L436" s="12" t="str">
        <f t="shared" si="1"/>
        <v>ModularSMPHair_MB,2,2</v>
      </c>
    </row>
    <row r="437" ht="15.75" customHeight="1">
      <c r="A437" s="10" t="s">
        <v>948</v>
      </c>
      <c r="B437" s="17"/>
      <c r="C437" s="5" t="s">
        <v>1303</v>
      </c>
      <c r="D437" s="5">
        <v>1.0</v>
      </c>
      <c r="E437" s="5">
        <v>2.0</v>
      </c>
      <c r="F437" s="5" t="s">
        <v>1304</v>
      </c>
      <c r="G437" s="5" t="s">
        <v>554</v>
      </c>
      <c r="H437" s="10" t="s">
        <v>562</v>
      </c>
      <c r="I437" s="5" t="str">
        <f>IFERROR(__xludf.DUMMYFUNCTION("IF(OR(TRIM(G437)="""",TRIM(H437)=""""),"""",TEXTJOIN("", "",TRUE,ARRAYFORMULA(TRANSPOSE(TRIM(SPLIT(G437,"","")))&amp;""_""&amp;TRIM(SPLIT(H437,"","")))))"),"Elf_Male, Elf_Female, Human_Male, Human_Female, Orc_Male, Orc_Female")</f>
        <v>Elf_Male, Elf_Female, Human_Male, Human_Female, Orc_Male, Orc_Female</v>
      </c>
      <c r="J437" s="6" t="s">
        <v>951</v>
      </c>
      <c r="L437" s="12" t="str">
        <f t="shared" si="1"/>
        <v>ModularSMPHair_MC,1,2</v>
      </c>
    </row>
    <row r="438" ht="15.75" customHeight="1">
      <c r="A438" s="10" t="s">
        <v>948</v>
      </c>
      <c r="B438" s="17"/>
      <c r="C438" s="5" t="s">
        <v>1305</v>
      </c>
      <c r="D438" s="5">
        <v>2.0</v>
      </c>
      <c r="E438" s="5">
        <v>2.0</v>
      </c>
      <c r="F438" s="5" t="s">
        <v>1306</v>
      </c>
      <c r="G438" s="5" t="s">
        <v>554</v>
      </c>
      <c r="H438" s="10" t="s">
        <v>562</v>
      </c>
      <c r="I438" s="5" t="str">
        <f>IFERROR(__xludf.DUMMYFUNCTION("IF(OR(TRIM(G438)="""",TRIM(H438)=""""),"""",TEXTJOIN("", "",TRUE,ARRAYFORMULA(TRANSPOSE(TRIM(SPLIT(G438,"","")))&amp;""_""&amp;TRIM(SPLIT(H438,"","")))))"),"Elf_Male, Elf_Female, Human_Male, Human_Female, Orc_Male, Orc_Female")</f>
        <v>Elf_Male, Elf_Female, Human_Male, Human_Female, Orc_Male, Orc_Female</v>
      </c>
      <c r="J438" s="6" t="s">
        <v>951</v>
      </c>
      <c r="L438" s="12" t="str">
        <f t="shared" si="1"/>
        <v>ModularSMPHair_ME,2,2</v>
      </c>
    </row>
    <row r="439" ht="15.75" customHeight="1">
      <c r="A439" s="10" t="s">
        <v>948</v>
      </c>
      <c r="B439" s="17"/>
      <c r="C439" s="5" t="s">
        <v>1307</v>
      </c>
      <c r="D439" s="5">
        <v>1.0</v>
      </c>
      <c r="E439" s="5">
        <v>2.0</v>
      </c>
      <c r="F439" s="5" t="s">
        <v>1308</v>
      </c>
      <c r="G439" s="5" t="s">
        <v>554</v>
      </c>
      <c r="H439" s="10" t="s">
        <v>562</v>
      </c>
      <c r="I439" s="5" t="str">
        <f>IFERROR(__xludf.DUMMYFUNCTION("IF(OR(TRIM(G439)="""",TRIM(H439)=""""),"""",TEXTJOIN("", "",TRUE,ARRAYFORMULA(TRANSPOSE(TRIM(SPLIT(G439,"","")))&amp;""_""&amp;TRIM(SPLIT(H439,"","")))))"),"Elf_Male, Elf_Female, Human_Male, Human_Female, Orc_Male, Orc_Female")</f>
        <v>Elf_Male, Elf_Female, Human_Male, Human_Female, Orc_Male, Orc_Female</v>
      </c>
      <c r="J439" s="6" t="s">
        <v>951</v>
      </c>
      <c r="L439" s="12" t="str">
        <f t="shared" si="1"/>
        <v>ModularSMPHair_MF,1,2</v>
      </c>
    </row>
    <row r="440" ht="15.75" customHeight="1">
      <c r="A440" s="10" t="s">
        <v>948</v>
      </c>
      <c r="B440" s="17"/>
      <c r="C440" s="5" t="s">
        <v>1309</v>
      </c>
      <c r="D440" s="5">
        <v>1.0</v>
      </c>
      <c r="E440" s="5">
        <v>2.0</v>
      </c>
      <c r="F440" s="5" t="s">
        <v>1310</v>
      </c>
      <c r="G440" s="5" t="s">
        <v>554</v>
      </c>
      <c r="H440" s="10" t="s">
        <v>562</v>
      </c>
      <c r="I440" s="5" t="str">
        <f>IFERROR(__xludf.DUMMYFUNCTION("IF(OR(TRIM(G440)="""",TRIM(H440)=""""),"""",TEXTJOIN("", "",TRUE,ARRAYFORMULA(TRANSPOSE(TRIM(SPLIT(G440,"","")))&amp;""_""&amp;TRIM(SPLIT(H440,"","")))))"),"Elf_Male, Elf_Female, Human_Male, Human_Female, Orc_Male, Orc_Female")</f>
        <v>Elf_Male, Elf_Female, Human_Male, Human_Female, Orc_Male, Orc_Female</v>
      </c>
      <c r="J440" s="6" t="s">
        <v>951</v>
      </c>
      <c r="L440" s="12" t="str">
        <f t="shared" si="1"/>
        <v>ModularSMPHair_MG,1,2</v>
      </c>
    </row>
    <row r="441" ht="15.75" customHeight="1">
      <c r="A441" s="10" t="s">
        <v>948</v>
      </c>
      <c r="B441" s="17"/>
      <c r="C441" s="5" t="s">
        <v>1311</v>
      </c>
      <c r="D441" s="5">
        <v>1.0</v>
      </c>
      <c r="E441" s="5">
        <v>2.0</v>
      </c>
      <c r="F441" s="5" t="s">
        <v>1312</v>
      </c>
      <c r="G441" s="5" t="s">
        <v>554</v>
      </c>
      <c r="H441" s="10" t="s">
        <v>562</v>
      </c>
      <c r="I441" s="5" t="str">
        <f>IFERROR(__xludf.DUMMYFUNCTION("IF(OR(TRIM(G441)="""",TRIM(H441)=""""),"""",TEXTJOIN("", "",TRUE,ARRAYFORMULA(TRANSPOSE(TRIM(SPLIT(G441,"","")))&amp;""_""&amp;TRIM(SPLIT(H441,"","")))))"),"Elf_Male, Elf_Female, Human_Male, Human_Female, Orc_Male, Orc_Female")</f>
        <v>Elf_Male, Elf_Female, Human_Male, Human_Female, Orc_Male, Orc_Female</v>
      </c>
      <c r="J441" s="6" t="s">
        <v>951</v>
      </c>
      <c r="L441" s="12" t="str">
        <f t="shared" si="1"/>
        <v>ModularSMPHair_MH,1,2</v>
      </c>
    </row>
    <row r="442" ht="15.75" customHeight="1">
      <c r="A442" s="10" t="s">
        <v>948</v>
      </c>
      <c r="B442" s="17"/>
      <c r="C442" s="5" t="s">
        <v>1313</v>
      </c>
      <c r="D442" s="5">
        <v>1.0</v>
      </c>
      <c r="E442" s="5">
        <v>2.0</v>
      </c>
      <c r="F442" s="5" t="s">
        <v>1314</v>
      </c>
      <c r="G442" s="5" t="s">
        <v>554</v>
      </c>
      <c r="H442" s="10" t="s">
        <v>562</v>
      </c>
      <c r="I442" s="5" t="str">
        <f>IFERROR(__xludf.DUMMYFUNCTION("IF(OR(TRIM(G442)="""",TRIM(H442)=""""),"""",TEXTJOIN("", "",TRUE,ARRAYFORMULA(TRANSPOSE(TRIM(SPLIT(G442,"","")))&amp;""_""&amp;TRIM(SPLIT(H442,"","")))))"),"Elf_Male, Elf_Female, Human_Male, Human_Female, Orc_Male, Orc_Female")</f>
        <v>Elf_Male, Elf_Female, Human_Male, Human_Female, Orc_Male, Orc_Female</v>
      </c>
      <c r="J442" s="6" t="s">
        <v>951</v>
      </c>
      <c r="L442" s="12" t="str">
        <f t="shared" si="1"/>
        <v>ModularSMPHair_MI,1,2</v>
      </c>
    </row>
    <row r="443" ht="15.75" customHeight="1">
      <c r="A443" s="10" t="s">
        <v>948</v>
      </c>
      <c r="B443" s="17"/>
      <c r="C443" s="5" t="s">
        <v>1315</v>
      </c>
      <c r="D443" s="5">
        <v>1.0</v>
      </c>
      <c r="E443" s="5">
        <v>2.0</v>
      </c>
      <c r="F443" s="5" t="s">
        <v>1316</v>
      </c>
      <c r="G443" s="5" t="s">
        <v>554</v>
      </c>
      <c r="H443" s="10" t="s">
        <v>562</v>
      </c>
      <c r="I443" s="5" t="str">
        <f>IFERROR(__xludf.DUMMYFUNCTION("IF(OR(TRIM(G443)="""",TRIM(H443)=""""),"""",TEXTJOIN("", "",TRUE,ARRAYFORMULA(TRANSPOSE(TRIM(SPLIT(G443,"","")))&amp;""_""&amp;TRIM(SPLIT(H443,"","")))))"),"Elf_Male, Elf_Female, Human_Male, Human_Female, Orc_Male, Orc_Female")</f>
        <v>Elf_Male, Elf_Female, Human_Male, Human_Female, Orc_Male, Orc_Female</v>
      </c>
      <c r="J443" s="6" t="s">
        <v>951</v>
      </c>
      <c r="L443" s="12" t="str">
        <f t="shared" si="1"/>
        <v>ModularSMPHair_MJ,1,2</v>
      </c>
    </row>
    <row r="444" ht="15.75" customHeight="1">
      <c r="A444" s="10" t="s">
        <v>948</v>
      </c>
      <c r="B444" s="17"/>
      <c r="C444" s="5" t="s">
        <v>1320</v>
      </c>
      <c r="D444" s="5">
        <v>1.0</v>
      </c>
      <c r="E444" s="5">
        <v>2.0</v>
      </c>
      <c r="F444" s="5" t="s">
        <v>1321</v>
      </c>
      <c r="G444" s="5" t="s">
        <v>554</v>
      </c>
      <c r="H444" s="10" t="s">
        <v>562</v>
      </c>
      <c r="I444" s="5" t="str">
        <f>IFERROR(__xludf.DUMMYFUNCTION("IF(OR(TRIM(G444)="""",TRIM(H444)=""""),"""",TEXTJOIN("", "",TRUE,ARRAYFORMULA(TRANSPOSE(TRIM(SPLIT(G444,"","")))&amp;""_""&amp;TRIM(SPLIT(H444,"","")))))"),"Elf_Male, Elf_Female, Human_Male, Human_Female, Orc_Male, Orc_Female")</f>
        <v>Elf_Male, Elf_Female, Human_Male, Human_Female, Orc_Male, Orc_Female</v>
      </c>
      <c r="J444" s="6" t="s">
        <v>951</v>
      </c>
      <c r="L444" s="12" t="str">
        <f t="shared" si="1"/>
        <v>ModularSMPHair_MK,1,2</v>
      </c>
    </row>
    <row r="445" ht="15.75" customHeight="1">
      <c r="A445" s="10" t="s">
        <v>948</v>
      </c>
      <c r="B445" s="17"/>
      <c r="C445" s="5" t="s">
        <v>1322</v>
      </c>
      <c r="D445" s="5">
        <v>1.0</v>
      </c>
      <c r="E445" s="5">
        <v>2.0</v>
      </c>
      <c r="F445" s="5" t="s">
        <v>1323</v>
      </c>
      <c r="G445" s="5" t="s">
        <v>554</v>
      </c>
      <c r="H445" s="10" t="s">
        <v>562</v>
      </c>
      <c r="I445" s="5" t="str">
        <f>IFERROR(__xludf.DUMMYFUNCTION("IF(OR(TRIM(G445)="""",TRIM(H445)=""""),"""",TEXTJOIN("", "",TRUE,ARRAYFORMULA(TRANSPOSE(TRIM(SPLIT(G445,"","")))&amp;""_""&amp;TRIM(SPLIT(H445,"","")))))"),"Elf_Male, Elf_Female, Human_Male, Human_Female, Orc_Male, Orc_Female")</f>
        <v>Elf_Male, Elf_Female, Human_Male, Human_Female, Orc_Male, Orc_Female</v>
      </c>
      <c r="J445" s="6" t="s">
        <v>951</v>
      </c>
      <c r="L445" s="12" t="str">
        <f t="shared" si="1"/>
        <v>ModularSMPHair_ML,1,2</v>
      </c>
    </row>
    <row r="446" ht="15.75" customHeight="1">
      <c r="A446" s="10" t="s">
        <v>948</v>
      </c>
      <c r="B446" s="17"/>
      <c r="C446" s="5" t="s">
        <v>1324</v>
      </c>
      <c r="D446" s="5">
        <v>1.0</v>
      </c>
      <c r="E446" s="5">
        <v>2.0</v>
      </c>
      <c r="F446" s="5" t="s">
        <v>1325</v>
      </c>
      <c r="G446" s="5" t="s">
        <v>554</v>
      </c>
      <c r="H446" s="10" t="s">
        <v>562</v>
      </c>
      <c r="I446" s="5" t="str">
        <f>IFERROR(__xludf.DUMMYFUNCTION("IF(OR(TRIM(G446)="""",TRIM(H446)=""""),"""",TEXTJOIN("", "",TRUE,ARRAYFORMULA(TRANSPOSE(TRIM(SPLIT(G446,"","")))&amp;""_""&amp;TRIM(SPLIT(H446,"","")))))"),"Elf_Male, Elf_Female, Human_Male, Human_Female, Orc_Male, Orc_Female")</f>
        <v>Elf_Male, Elf_Female, Human_Male, Human_Female, Orc_Male, Orc_Female</v>
      </c>
      <c r="J446" s="6" t="s">
        <v>951</v>
      </c>
      <c r="L446" s="12" t="str">
        <f t="shared" si="1"/>
        <v>ModularSMPHair_MM1,1,2</v>
      </c>
    </row>
    <row r="447" ht="15.75" customHeight="1">
      <c r="A447" s="10" t="s">
        <v>948</v>
      </c>
      <c r="B447" s="17"/>
      <c r="C447" s="5" t="s">
        <v>1326</v>
      </c>
      <c r="D447" s="5">
        <v>1.0</v>
      </c>
      <c r="E447" s="5">
        <v>2.0</v>
      </c>
      <c r="F447" s="5" t="s">
        <v>1327</v>
      </c>
      <c r="G447" s="5" t="s">
        <v>554</v>
      </c>
      <c r="H447" s="10" t="s">
        <v>562</v>
      </c>
      <c r="I447" s="5" t="str">
        <f>IFERROR(__xludf.DUMMYFUNCTION("IF(OR(TRIM(G447)="""",TRIM(H447)=""""),"""",TEXTJOIN("", "",TRUE,ARRAYFORMULA(TRANSPOSE(TRIM(SPLIT(G447,"","")))&amp;""_""&amp;TRIM(SPLIT(H447,"","")))))"),"Elf_Male, Elf_Female, Human_Male, Human_Female, Orc_Male, Orc_Female")</f>
        <v>Elf_Male, Elf_Female, Human_Male, Human_Female, Orc_Male, Orc_Female</v>
      </c>
      <c r="J447" s="6" t="s">
        <v>951</v>
      </c>
      <c r="L447" s="12" t="str">
        <f t="shared" si="1"/>
        <v>ModularSMPHair_MM2,1,2</v>
      </c>
    </row>
    <row r="448" ht="15.75" customHeight="1">
      <c r="A448" s="5" t="s">
        <v>1328</v>
      </c>
      <c r="B448" s="17"/>
      <c r="C448" s="5" t="s">
        <v>1329</v>
      </c>
      <c r="D448" s="5">
        <v>3.0</v>
      </c>
      <c r="E448" s="5">
        <f t="shared" ref="E448:E459" si="24">D448</f>
        <v>3</v>
      </c>
      <c r="F448" s="5" t="s">
        <v>1330</v>
      </c>
      <c r="G448" s="5" t="s">
        <v>554</v>
      </c>
      <c r="H448" s="10" t="s">
        <v>562</v>
      </c>
      <c r="I448" s="5" t="str">
        <f>IFERROR(__xludf.DUMMYFUNCTION("IF(OR(TRIM(G448)="""",TRIM(H448)=""""),"""",TEXTJOIN("", "",TRUE,ARRAYFORMULA(TRANSPOSE(TRIM(SPLIT(G448,"","")))&amp;""_""&amp;TRIM(SPLIT(H448,"","")))))"),"Elf_Male, Elf_Female, Human_Male, Human_Female, Orc_Male, Orc_Female")</f>
        <v>Elf_Male, Elf_Female, Human_Male, Human_Female, Orc_Male, Orc_Female</v>
      </c>
      <c r="J448" s="6" t="s">
        <v>1331</v>
      </c>
      <c r="L448" s="12" t="str">
        <f t="shared" si="1"/>
        <v>Xing_FuseAlessoCookie,3,3</v>
      </c>
    </row>
    <row r="449" ht="15.75" customHeight="1">
      <c r="A449" s="5" t="s">
        <v>1328</v>
      </c>
      <c r="B449" s="17"/>
      <c r="C449" s="5" t="s">
        <v>1332</v>
      </c>
      <c r="D449" s="5">
        <v>3.0</v>
      </c>
      <c r="E449" s="5">
        <f t="shared" si="24"/>
        <v>3</v>
      </c>
      <c r="F449" s="5" t="s">
        <v>1333</v>
      </c>
      <c r="G449" s="5" t="s">
        <v>554</v>
      </c>
      <c r="H449" s="10" t="s">
        <v>562</v>
      </c>
      <c r="I449" s="5" t="str">
        <f>IFERROR(__xludf.DUMMYFUNCTION("IF(OR(TRIM(G449)="""",TRIM(H449)=""""),"""",TEXTJOIN("", "",TRUE,ARRAYFORMULA(TRANSPOSE(TRIM(SPLIT(G449,"","")))&amp;""_""&amp;TRIM(SPLIT(H449,"","")))))"),"Elf_Male, Elf_Female, Human_Male, Human_Female, Orc_Male, Orc_Female")</f>
        <v>Elf_Male, Elf_Female, Human_Male, Human_Female, Orc_Male, Orc_Female</v>
      </c>
      <c r="J449" s="6" t="s">
        <v>1331</v>
      </c>
      <c r="L449" s="12" t="str">
        <f t="shared" si="1"/>
        <v>Xing_FuseNightcrawler,3,3</v>
      </c>
    </row>
    <row r="450" ht="15.75" customHeight="1">
      <c r="A450" s="5" t="s">
        <v>1328</v>
      </c>
      <c r="B450" s="17"/>
      <c r="C450" s="5" t="s">
        <v>1334</v>
      </c>
      <c r="D450" s="5">
        <v>1.0</v>
      </c>
      <c r="E450" s="5">
        <f t="shared" si="24"/>
        <v>1</v>
      </c>
      <c r="F450" s="5" t="s">
        <v>1335</v>
      </c>
      <c r="G450" s="5" t="s">
        <v>554</v>
      </c>
      <c r="H450" s="10" t="s">
        <v>562</v>
      </c>
      <c r="I450" s="5" t="str">
        <f>IFERROR(__xludf.DUMMYFUNCTION("IF(OR(TRIM(G450)="""",TRIM(H450)=""""),"""",TEXTJOIN("", "",TRUE,ARRAYFORMULA(TRANSPOSE(TRIM(SPLIT(G450,"","")))&amp;""_""&amp;TRIM(SPLIT(H450,"","")))))"),"Elf_Male, Elf_Female, Human_Male, Human_Female, Orc_Male, Orc_Female")</f>
        <v>Elf_Male, Elf_Female, Human_Male, Human_Female, Orc_Male, Orc_Female</v>
      </c>
      <c r="J450" s="6" t="s">
        <v>1331</v>
      </c>
      <c r="L450" s="12" t="str">
        <f t="shared" si="1"/>
        <v>Xing_FuseNightcrawlerPuch,1,1</v>
      </c>
    </row>
    <row r="451" ht="15.75" customHeight="1">
      <c r="A451" s="5" t="s">
        <v>1328</v>
      </c>
      <c r="B451" s="17"/>
      <c r="C451" s="5" t="s">
        <v>1336</v>
      </c>
      <c r="D451" s="5">
        <v>3.0</v>
      </c>
      <c r="E451" s="5">
        <f t="shared" si="24"/>
        <v>3</v>
      </c>
      <c r="F451" s="5" t="s">
        <v>1337</v>
      </c>
      <c r="G451" s="5" t="s">
        <v>554</v>
      </c>
      <c r="H451" s="10" t="s">
        <v>562</v>
      </c>
      <c r="I451" s="5" t="str">
        <f>IFERROR(__xludf.DUMMYFUNCTION("IF(OR(TRIM(G451)="""",TRIM(H451)=""""),"""",TEXTJOIN("", "",TRUE,ARRAYFORMULA(TRANSPOSE(TRIM(SPLIT(G451,"","")))&amp;""_""&amp;TRIM(SPLIT(H451,"","")))))"),"Elf_Male, Elf_Female, Human_Male, Human_Female, Orc_Male, Orc_Female")</f>
        <v>Elf_Male, Elf_Female, Human_Male, Human_Female, Orc_Male, Orc_Female</v>
      </c>
      <c r="J451" s="6" t="s">
        <v>1331</v>
      </c>
      <c r="L451" s="12" t="str">
        <f t="shared" si="1"/>
        <v>Xing_FuseNightcrawlerStraight,3,3</v>
      </c>
    </row>
    <row r="452" ht="15.75" customHeight="1">
      <c r="A452" s="5" t="s">
        <v>1328</v>
      </c>
      <c r="B452" s="17"/>
      <c r="C452" s="5" t="s">
        <v>1338</v>
      </c>
      <c r="D452" s="5">
        <v>2.0</v>
      </c>
      <c r="E452" s="5">
        <f t="shared" si="24"/>
        <v>2</v>
      </c>
      <c r="F452" s="5" t="s">
        <v>1339</v>
      </c>
      <c r="G452" s="5" t="s">
        <v>554</v>
      </c>
      <c r="H452" s="10" t="s">
        <v>562</v>
      </c>
      <c r="I452" s="5" t="str">
        <f>IFERROR(__xludf.DUMMYFUNCTION("IF(OR(TRIM(G452)="""",TRIM(H452)=""""),"""",TEXTJOIN("", "",TRUE,ARRAYFORMULA(TRANSPOSE(TRIM(SPLIT(G452,"","")))&amp;""_""&amp;TRIM(SPLIT(H452,"","")))))"),"Elf_Male, Elf_Female, Human_Male, Human_Female, Orc_Male, Orc_Female")</f>
        <v>Elf_Male, Elf_Female, Human_Male, Human_Female, Orc_Male, Orc_Female</v>
      </c>
      <c r="J452" s="6" t="s">
        <v>1331</v>
      </c>
      <c r="L452" s="12" t="str">
        <f t="shared" si="1"/>
        <v>Xing_FuseSG35,2,2</v>
      </c>
    </row>
    <row r="453" ht="15.75" customHeight="1">
      <c r="A453" s="5" t="s">
        <v>1328</v>
      </c>
      <c r="B453" s="17"/>
      <c r="C453" s="5" t="s">
        <v>1340</v>
      </c>
      <c r="D453" s="5">
        <v>2.0</v>
      </c>
      <c r="E453" s="5">
        <f t="shared" si="24"/>
        <v>2</v>
      </c>
      <c r="F453" s="5" t="s">
        <v>1341</v>
      </c>
      <c r="G453" s="5" t="s">
        <v>554</v>
      </c>
      <c r="H453" s="10" t="s">
        <v>562</v>
      </c>
      <c r="I453" s="5" t="str">
        <f>IFERROR(__xludf.DUMMYFUNCTION("IF(OR(TRIM(G453)="""",TRIM(H453)=""""),"""",TEXTJOIN("", "",TRUE,ARRAYFORMULA(TRANSPOSE(TRIM(SPLIT(G453,"","")))&amp;""_""&amp;TRIM(SPLIT(H453,"","")))))"),"Elf_Male, Elf_Female, Human_Male, Human_Female, Orc_Male, Orc_Female")</f>
        <v>Elf_Male, Elf_Female, Human_Male, Human_Female, Orc_Male, Orc_Female</v>
      </c>
      <c r="J453" s="6" t="s">
        <v>1331</v>
      </c>
      <c r="L453" s="12" t="str">
        <f t="shared" si="1"/>
        <v>Xing_FuseSintikliaMR,2,2</v>
      </c>
    </row>
    <row r="454" ht="15.75" customHeight="1">
      <c r="A454" s="5" t="s">
        <v>1328</v>
      </c>
      <c r="B454" s="17"/>
      <c r="C454" s="5" t="s">
        <v>1346</v>
      </c>
      <c r="D454" s="5">
        <v>2.0</v>
      </c>
      <c r="E454" s="5">
        <f t="shared" si="24"/>
        <v>2</v>
      </c>
      <c r="F454" s="5" t="s">
        <v>1347</v>
      </c>
      <c r="G454" s="5" t="s">
        <v>554</v>
      </c>
      <c r="H454" s="10" t="s">
        <v>562</v>
      </c>
      <c r="I454" s="5" t="str">
        <f>IFERROR(__xludf.DUMMYFUNCTION("IF(OR(TRIM(G454)="""",TRIM(H454)=""""),"""",TEXTJOIN("", "",TRUE,ARRAYFORMULA(TRANSPOSE(TRIM(SPLIT(G454,"","")))&amp;""_""&amp;TRIM(SPLIT(H454,"","")))))"),"Elf_Male, Elf_Female, Human_Male, Human_Female, Orc_Male, Orc_Female")</f>
        <v>Elf_Male, Elf_Female, Human_Male, Human_Female, Orc_Male, Orc_Female</v>
      </c>
      <c r="J454" s="6" t="s">
        <v>1331</v>
      </c>
      <c r="L454" s="12" t="str">
        <f t="shared" si="1"/>
        <v>Xing_HGColdHeart,2,2</v>
      </c>
    </row>
    <row r="455" ht="15.75" customHeight="1">
      <c r="A455" s="5" t="s">
        <v>1328</v>
      </c>
      <c r="B455" s="17"/>
      <c r="C455" s="5" t="s">
        <v>1348</v>
      </c>
      <c r="D455" s="5">
        <v>1.0</v>
      </c>
      <c r="E455" s="5">
        <f t="shared" si="24"/>
        <v>1</v>
      </c>
      <c r="F455" s="5" t="s">
        <v>1349</v>
      </c>
      <c r="G455" s="5" t="s">
        <v>554</v>
      </c>
      <c r="H455" s="10" t="s">
        <v>562</v>
      </c>
      <c r="I455" s="5" t="str">
        <f>IFERROR(__xludf.DUMMYFUNCTION("IF(OR(TRIM(G455)="""",TRIM(H455)=""""),"""",TEXTJOIN("", "",TRUE,ARRAYFORMULA(TRANSPOSE(TRIM(SPLIT(G455,"","")))&amp;""_""&amp;TRIM(SPLIT(H455,"","")))))"),"Elf_Male, Elf_Female, Human_Male, Human_Female, Orc_Male, Orc_Female")</f>
        <v>Elf_Male, Elf_Female, Human_Male, Human_Female, Orc_Male, Orc_Female</v>
      </c>
      <c r="J455" s="6" t="s">
        <v>1331</v>
      </c>
      <c r="L455" s="12" t="str">
        <f t="shared" si="1"/>
        <v>Xing_HGColdHeart2,1,1</v>
      </c>
    </row>
    <row r="456" ht="15.75" customHeight="1">
      <c r="A456" s="5" t="s">
        <v>1328</v>
      </c>
      <c r="B456" s="17"/>
      <c r="C456" s="5" t="s">
        <v>1350</v>
      </c>
      <c r="D456" s="5">
        <v>1.0</v>
      </c>
      <c r="E456" s="5">
        <f t="shared" si="24"/>
        <v>1</v>
      </c>
      <c r="F456" s="5" t="s">
        <v>1351</v>
      </c>
      <c r="G456" s="5" t="s">
        <v>554</v>
      </c>
      <c r="H456" s="10" t="s">
        <v>562</v>
      </c>
      <c r="I456" s="5" t="str">
        <f>IFERROR(__xludf.DUMMYFUNCTION("IF(OR(TRIM(G456)="""",TRIM(H456)=""""),"""",TEXTJOIN("", "",TRUE,ARRAYFORMULA(TRANSPOSE(TRIM(SPLIT(G456,"","")))&amp;""_""&amp;TRIM(SPLIT(H456,"","")))))"),"Elf_Male, Elf_Female, Human_Male, Human_Female, Orc_Male, Orc_Female")</f>
        <v>Elf_Male, Elf_Female, Human_Male, Human_Female, Orc_Male, Orc_Female</v>
      </c>
      <c r="J456" s="6" t="s">
        <v>1331</v>
      </c>
      <c r="L456" s="12" t="str">
        <f t="shared" si="1"/>
        <v>Xing_HGEmori,1,1</v>
      </c>
    </row>
    <row r="457" ht="15.75" customHeight="1">
      <c r="A457" s="5" t="s">
        <v>1328</v>
      </c>
      <c r="B457" s="17"/>
      <c r="C457" s="5" t="s">
        <v>1352</v>
      </c>
      <c r="D457" s="5">
        <v>3.0</v>
      </c>
      <c r="E457" s="5">
        <f t="shared" si="24"/>
        <v>3</v>
      </c>
      <c r="F457" s="5" t="s">
        <v>1353</v>
      </c>
      <c r="G457" s="5" t="s">
        <v>554</v>
      </c>
      <c r="H457" s="10" t="s">
        <v>562</v>
      </c>
      <c r="I457" s="5" t="str">
        <f>IFERROR(__xludf.DUMMYFUNCTION("IF(OR(TRIM(G457)="""",TRIM(H457)=""""),"""",TEXTJOIN("", "",TRUE,ARRAYFORMULA(TRANSPOSE(TRIM(SPLIT(G457,"","")))&amp;""_""&amp;TRIM(SPLIT(H457,"","")))))"),"Elf_Male, Elf_Female, Human_Male, Human_Female, Orc_Male, Orc_Female")</f>
        <v>Elf_Male, Elf_Female, Human_Male, Human_Female, Orc_Male, Orc_Female</v>
      </c>
      <c r="J457" s="6" t="s">
        <v>1331</v>
      </c>
      <c r="L457" s="12" t="str">
        <f t="shared" si="1"/>
        <v>Xing_HGEsmerald,3,3</v>
      </c>
    </row>
    <row r="458" ht="15.75" customHeight="1">
      <c r="A458" s="5" t="s">
        <v>1328</v>
      </c>
      <c r="B458" s="17"/>
      <c r="C458" s="5" t="s">
        <v>1354</v>
      </c>
      <c r="D458" s="5">
        <v>2.0</v>
      </c>
      <c r="E458" s="5">
        <f t="shared" si="24"/>
        <v>2</v>
      </c>
      <c r="F458" s="5" t="s">
        <v>1355</v>
      </c>
      <c r="G458" s="5" t="s">
        <v>554</v>
      </c>
      <c r="H458" s="10" t="s">
        <v>562</v>
      </c>
      <c r="I458" s="5" t="str">
        <f>IFERROR(__xludf.DUMMYFUNCTION("IF(OR(TRIM(G458)="""",TRIM(H458)=""""),"""",TEXTJOIN("", "",TRUE,ARRAYFORMULA(TRANSPOSE(TRIM(SPLIT(G458,"","")))&amp;""_""&amp;TRIM(SPLIT(H458,"","")))))"),"Elf_Male, Elf_Female, Human_Male, Human_Female, Orc_Male, Orc_Female")</f>
        <v>Elf_Male, Elf_Female, Human_Male, Human_Female, Orc_Male, Orc_Female</v>
      </c>
      <c r="J458" s="6" t="s">
        <v>1331</v>
      </c>
      <c r="L458" s="12" t="str">
        <f t="shared" si="1"/>
        <v>Xing_HGFlyingMinaj,2,2</v>
      </c>
    </row>
    <row r="459" ht="15.75" customHeight="1">
      <c r="A459" s="5" t="s">
        <v>1328</v>
      </c>
      <c r="B459" s="17"/>
      <c r="C459" s="5" t="s">
        <v>1356</v>
      </c>
      <c r="D459" s="5">
        <v>3.0</v>
      </c>
      <c r="E459" s="5">
        <f t="shared" si="24"/>
        <v>3</v>
      </c>
      <c r="F459" s="5" t="s">
        <v>1357</v>
      </c>
      <c r="G459" s="5" t="s">
        <v>554</v>
      </c>
      <c r="H459" s="10" t="s">
        <v>562</v>
      </c>
      <c r="I459" s="5" t="str">
        <f>IFERROR(__xludf.DUMMYFUNCTION("IF(OR(TRIM(G459)="""",TRIM(H459)=""""),"""",TEXTJOIN("", "",TRUE,ARRAYFORMULA(TRANSPOSE(TRIM(SPLIT(G459,"","")))&amp;""_""&amp;TRIM(SPLIT(H459,"","")))))"),"Elf_Male, Elf_Female, Human_Male, Human_Female, Orc_Male, Orc_Female")</f>
        <v>Elf_Male, Elf_Female, Human_Male, Human_Female, Orc_Male, Orc_Female</v>
      </c>
      <c r="J459" s="6" t="s">
        <v>1331</v>
      </c>
      <c r="L459" s="12" t="str">
        <f t="shared" si="1"/>
        <v>Xing_HGFocus,3,3</v>
      </c>
    </row>
    <row r="460" ht="15.75" customHeight="1">
      <c r="A460" s="5" t="s">
        <v>1328</v>
      </c>
      <c r="B460" s="17"/>
      <c r="C460" s="5" t="s">
        <v>1358</v>
      </c>
      <c r="D460" s="5">
        <v>1.0</v>
      </c>
      <c r="E460" s="5">
        <v>3.0</v>
      </c>
      <c r="F460" s="5" t="s">
        <v>1359</v>
      </c>
      <c r="G460" s="5" t="s">
        <v>554</v>
      </c>
      <c r="H460" s="10" t="s">
        <v>562</v>
      </c>
      <c r="I460" s="5" t="str">
        <f>IFERROR(__xludf.DUMMYFUNCTION("IF(OR(TRIM(G460)="""",TRIM(H460)=""""),"""",TEXTJOIN("", "",TRUE,ARRAYFORMULA(TRANSPOSE(TRIM(SPLIT(G460,"","")))&amp;""_""&amp;TRIM(SPLIT(H460,"","")))))"),"Elf_Male, Elf_Female, Human_Male, Human_Female, Orc_Male, Orc_Female")</f>
        <v>Elf_Male, Elf_Female, Human_Male, Human_Female, Orc_Male, Orc_Female</v>
      </c>
      <c r="J460" s="6" t="s">
        <v>1331</v>
      </c>
      <c r="L460" s="12" t="str">
        <f t="shared" si="1"/>
        <v>Xing_HGFocus2,1,3</v>
      </c>
    </row>
    <row r="461" ht="15.75" customHeight="1">
      <c r="A461" s="5" t="s">
        <v>1328</v>
      </c>
      <c r="B461" s="17"/>
      <c r="C461" s="5" t="s">
        <v>1360</v>
      </c>
      <c r="D461" s="5">
        <v>1.0</v>
      </c>
      <c r="E461" s="5">
        <v>2.0</v>
      </c>
      <c r="F461" s="5" t="s">
        <v>1361</v>
      </c>
      <c r="G461" s="5" t="s">
        <v>554</v>
      </c>
      <c r="H461" s="10" t="s">
        <v>562</v>
      </c>
      <c r="I461" s="5" t="str">
        <f>IFERROR(__xludf.DUMMYFUNCTION("IF(OR(TRIM(G461)="""",TRIM(H461)=""""),"""",TEXTJOIN("", "",TRUE,ARRAYFORMULA(TRANSPOSE(TRIM(SPLIT(G461,"","")))&amp;""_""&amp;TRIM(SPLIT(H461,"","")))))"),"Elf_Male, Elf_Female, Human_Male, Human_Female, Orc_Male, Orc_Female")</f>
        <v>Elf_Male, Elf_Female, Human_Male, Human_Female, Orc_Male, Orc_Female</v>
      </c>
      <c r="J461" s="6" t="s">
        <v>1331</v>
      </c>
      <c r="L461" s="12" t="str">
        <f t="shared" si="1"/>
        <v>Xing_HGGorum,1,2</v>
      </c>
    </row>
    <row r="462" ht="15.75" customHeight="1">
      <c r="A462" s="5" t="s">
        <v>1328</v>
      </c>
      <c r="B462" s="17"/>
      <c r="C462" s="5" t="s">
        <v>1364</v>
      </c>
      <c r="D462" s="5">
        <v>3.0</v>
      </c>
      <c r="E462" s="5">
        <f t="shared" ref="E462:E467" si="25">D462</f>
        <v>3</v>
      </c>
      <c r="F462" s="5" t="s">
        <v>1366</v>
      </c>
      <c r="G462" s="5" t="s">
        <v>554</v>
      </c>
      <c r="H462" s="10" t="s">
        <v>562</v>
      </c>
      <c r="I462" s="5" t="str">
        <f>IFERROR(__xludf.DUMMYFUNCTION("IF(OR(TRIM(G462)="""",TRIM(H462)=""""),"""",TEXTJOIN("", "",TRUE,ARRAYFORMULA(TRANSPOSE(TRIM(SPLIT(G462,"","")))&amp;""_""&amp;TRIM(SPLIT(H462,"","")))))"),"Elf_Male, Elf_Female, Human_Male, Human_Female, Orc_Male, Orc_Female")</f>
        <v>Elf_Male, Elf_Female, Human_Male, Human_Female, Orc_Male, Orc_Female</v>
      </c>
      <c r="J462" s="6" t="s">
        <v>1331</v>
      </c>
      <c r="L462" s="12" t="str">
        <f t="shared" si="1"/>
        <v>Xing_HGGuineaPig,3,3</v>
      </c>
    </row>
    <row r="463" ht="15.75" customHeight="1">
      <c r="A463" s="5" t="s">
        <v>1328</v>
      </c>
      <c r="B463" s="17"/>
      <c r="C463" s="5" t="s">
        <v>1367</v>
      </c>
      <c r="D463" s="5">
        <v>3.0</v>
      </c>
      <c r="E463" s="5">
        <f t="shared" si="25"/>
        <v>3</v>
      </c>
      <c r="F463" s="5" t="s">
        <v>1368</v>
      </c>
      <c r="G463" s="5" t="s">
        <v>554</v>
      </c>
      <c r="H463" s="10" t="s">
        <v>562</v>
      </c>
      <c r="I463" s="5" t="str">
        <f>IFERROR(__xludf.DUMMYFUNCTION("IF(OR(TRIM(G463)="""",TRIM(H463)=""""),"""",TEXTJOIN("", "",TRUE,ARRAYFORMULA(TRANSPOSE(TRIM(SPLIT(G463,"","")))&amp;""_""&amp;TRIM(SPLIT(H463,"","")))))"),"Elf_Male, Elf_Female, Human_Male, Human_Female, Orc_Male, Orc_Female")</f>
        <v>Elf_Male, Elf_Female, Human_Male, Human_Female, Orc_Male, Orc_Female</v>
      </c>
      <c r="J463" s="6" t="s">
        <v>1331</v>
      </c>
      <c r="L463" s="12" t="str">
        <f t="shared" si="1"/>
        <v>Xing_HGGuineaPigBow,3,3</v>
      </c>
    </row>
    <row r="464" ht="15.75" customHeight="1">
      <c r="A464" s="5" t="s">
        <v>1328</v>
      </c>
      <c r="B464" s="17"/>
      <c r="C464" s="5" t="s">
        <v>1369</v>
      </c>
      <c r="D464" s="5">
        <v>2.0</v>
      </c>
      <c r="E464" s="5">
        <f t="shared" si="25"/>
        <v>2</v>
      </c>
      <c r="F464" s="5" t="s">
        <v>1370</v>
      </c>
      <c r="G464" s="5" t="s">
        <v>554</v>
      </c>
      <c r="H464" s="10" t="s">
        <v>562</v>
      </c>
      <c r="I464" s="5" t="str">
        <f>IFERROR(__xludf.DUMMYFUNCTION("IF(OR(TRIM(G464)="""",TRIM(H464)=""""),"""",TEXTJOIN("", "",TRUE,ARRAYFORMULA(TRANSPOSE(TRIM(SPLIT(G464,"","")))&amp;""_""&amp;TRIM(SPLIT(H464,"","")))))"),"Elf_Male, Elf_Female, Human_Male, Human_Female, Orc_Male, Orc_Female")</f>
        <v>Elf_Male, Elf_Female, Human_Male, Human_Female, Orc_Male, Orc_Female</v>
      </c>
      <c r="J464" s="6" t="s">
        <v>1331</v>
      </c>
      <c r="L464" s="12" t="str">
        <f t="shared" si="1"/>
        <v>Xing_HGKrissi,2,2</v>
      </c>
    </row>
    <row r="465" ht="15.75" customHeight="1">
      <c r="A465" s="5" t="s">
        <v>1328</v>
      </c>
      <c r="B465" s="17"/>
      <c r="C465" s="5" t="s">
        <v>1371</v>
      </c>
      <c r="D465" s="5">
        <v>3.0</v>
      </c>
      <c r="E465" s="5">
        <f t="shared" si="25"/>
        <v>3</v>
      </c>
      <c r="F465" s="5" t="s">
        <v>1372</v>
      </c>
      <c r="G465" s="5" t="s">
        <v>554</v>
      </c>
      <c r="H465" s="10" t="s">
        <v>562</v>
      </c>
      <c r="I465" s="5" t="str">
        <f>IFERROR(__xludf.DUMMYFUNCTION("IF(OR(TRIM(G465)="""",TRIM(H465)=""""),"""",TEXTJOIN("", "",TRUE,ARRAYFORMULA(TRANSPOSE(TRIM(SPLIT(G465,"","")))&amp;""_""&amp;TRIM(SPLIT(H465,"","")))))"),"Elf_Male, Elf_Female, Human_Male, Human_Female, Orc_Male, Orc_Female")</f>
        <v>Elf_Male, Elf_Female, Human_Male, Human_Female, Orc_Male, Orc_Female</v>
      </c>
      <c r="J465" s="6" t="s">
        <v>1331</v>
      </c>
      <c r="L465" s="12" t="str">
        <f t="shared" si="1"/>
        <v>Xing_HGLena,3,3</v>
      </c>
    </row>
    <row r="466" ht="15.75" customHeight="1">
      <c r="A466" s="5" t="s">
        <v>1328</v>
      </c>
      <c r="B466" s="17"/>
      <c r="C466" s="5" t="s">
        <v>1373</v>
      </c>
      <c r="D466" s="5">
        <v>2.0</v>
      </c>
      <c r="E466" s="5">
        <f t="shared" si="25"/>
        <v>2</v>
      </c>
      <c r="F466" s="5" t="s">
        <v>1374</v>
      </c>
      <c r="G466" s="5" t="s">
        <v>554</v>
      </c>
      <c r="H466" s="10" t="s">
        <v>562</v>
      </c>
      <c r="I466" s="5" t="str">
        <f>IFERROR(__xludf.DUMMYFUNCTION("IF(OR(TRIM(G466)="""",TRIM(H466)=""""),"""",TEXTJOIN("", "",TRUE,ARRAYFORMULA(TRANSPOSE(TRIM(SPLIT(G466,"","")))&amp;""_""&amp;TRIM(SPLIT(H466,"","")))))"),"Elf_Male, Elf_Female, Human_Male, Human_Female, Orc_Male, Orc_Female")</f>
        <v>Elf_Male, Elf_Female, Human_Male, Human_Female, Orc_Male, Orc_Female</v>
      </c>
      <c r="J466" s="6" t="s">
        <v>1331</v>
      </c>
      <c r="L466" s="12" t="str">
        <f t="shared" si="1"/>
        <v>Xing_HGLisa,2,2</v>
      </c>
    </row>
    <row r="467" ht="15.75" customHeight="1">
      <c r="A467" s="5" t="s">
        <v>1328</v>
      </c>
      <c r="B467" s="17"/>
      <c r="C467" s="5" t="s">
        <v>1375</v>
      </c>
      <c r="D467" s="5">
        <v>4.0</v>
      </c>
      <c r="E467" s="5">
        <f t="shared" si="25"/>
        <v>4</v>
      </c>
      <c r="F467" s="5" t="s">
        <v>1376</v>
      </c>
      <c r="G467" s="5" t="s">
        <v>554</v>
      </c>
      <c r="H467" s="10" t="s">
        <v>562</v>
      </c>
      <c r="I467" s="5" t="str">
        <f>IFERROR(__xludf.DUMMYFUNCTION("IF(OR(TRIM(G467)="""",TRIM(H467)=""""),"""",TEXTJOIN("", "",TRUE,ARRAYFORMULA(TRANSPOSE(TRIM(SPLIT(G467,"","")))&amp;""_""&amp;TRIM(SPLIT(H467,"","")))))"),"Elf_Male, Elf_Female, Human_Male, Human_Female, Orc_Male, Orc_Female")</f>
        <v>Elf_Male, Elf_Female, Human_Male, Human_Female, Orc_Male, Orc_Female</v>
      </c>
      <c r="J467" s="6" t="s">
        <v>1331</v>
      </c>
      <c r="L467" s="12" t="str">
        <f t="shared" si="1"/>
        <v>Xing_HGNoFrauds,4,4</v>
      </c>
    </row>
    <row r="468" ht="15.75" customHeight="1">
      <c r="A468" s="5" t="s">
        <v>1328</v>
      </c>
      <c r="B468" s="17"/>
      <c r="C468" s="5" t="s">
        <v>1377</v>
      </c>
      <c r="D468" s="5">
        <v>1.0</v>
      </c>
      <c r="E468" s="5">
        <v>3.0</v>
      </c>
      <c r="F468" s="5" t="s">
        <v>1378</v>
      </c>
      <c r="G468" s="5" t="s">
        <v>554</v>
      </c>
      <c r="H468" s="10" t="s">
        <v>562</v>
      </c>
      <c r="I468" s="5" t="str">
        <f>IFERROR(__xludf.DUMMYFUNCTION("IF(OR(TRIM(G468)="""",TRIM(H468)=""""),"""",TEXTJOIN("", "",TRUE,ARRAYFORMULA(TRANSPOSE(TRIM(SPLIT(G468,"","")))&amp;""_""&amp;TRIM(SPLIT(H468,"","")))))"),"Elf_Male, Elf_Female, Human_Male, Human_Female, Orc_Male, Orc_Female")</f>
        <v>Elf_Male, Elf_Female, Human_Male, Human_Female, Orc_Male, Orc_Female</v>
      </c>
      <c r="J468" s="6" t="s">
        <v>1331</v>
      </c>
      <c r="L468" s="12" t="str">
        <f t="shared" si="1"/>
        <v>Xing_HGPeach,1,3</v>
      </c>
    </row>
    <row r="469" ht="15.75" customHeight="1">
      <c r="A469" s="5" t="s">
        <v>1328</v>
      </c>
      <c r="B469" s="17"/>
      <c r="C469" s="5" t="s">
        <v>1379</v>
      </c>
      <c r="D469" s="5">
        <v>2.0</v>
      </c>
      <c r="E469" s="5">
        <v>3.0</v>
      </c>
      <c r="F469" s="5" t="s">
        <v>1380</v>
      </c>
      <c r="G469" s="5" t="s">
        <v>554</v>
      </c>
      <c r="H469" s="10" t="s">
        <v>562</v>
      </c>
      <c r="I469" s="5" t="str">
        <f>IFERROR(__xludf.DUMMYFUNCTION("IF(OR(TRIM(G469)="""",TRIM(H469)=""""),"""",TEXTJOIN("", "",TRUE,ARRAYFORMULA(TRANSPOSE(TRIM(SPLIT(G469,"","")))&amp;""_""&amp;TRIM(SPLIT(H469,"","")))))"),"Elf_Male, Elf_Female, Human_Male, Human_Female, Orc_Male, Orc_Female")</f>
        <v>Elf_Male, Elf_Female, Human_Male, Human_Female, Orc_Male, Orc_Female</v>
      </c>
      <c r="J469" s="6" t="s">
        <v>1331</v>
      </c>
      <c r="L469" s="12" t="str">
        <f t="shared" si="1"/>
        <v>Xing_HGVipress,2,3</v>
      </c>
    </row>
    <row r="470" ht="15.75" customHeight="1">
      <c r="A470" s="5" t="s">
        <v>1328</v>
      </c>
      <c r="B470" s="17"/>
      <c r="C470" s="5" t="s">
        <v>1381</v>
      </c>
      <c r="D470" s="5">
        <v>2.0</v>
      </c>
      <c r="E470" s="5">
        <v>3.0</v>
      </c>
      <c r="F470" s="5" t="s">
        <v>1382</v>
      </c>
      <c r="G470" s="5" t="s">
        <v>554</v>
      </c>
      <c r="H470" s="10" t="s">
        <v>562</v>
      </c>
      <c r="I470" s="5" t="str">
        <f>IFERROR(__xludf.DUMMYFUNCTION("IF(OR(TRIM(G470)="""",TRIM(H470)=""""),"""",TEXTJOIN("", "",TRUE,ARRAYFORMULA(TRANSPOSE(TRIM(SPLIT(G470,"","")))&amp;""_""&amp;TRIM(SPLIT(H470,"","")))))"),"Elf_Male, Elf_Female, Human_Male, Human_Female, Orc_Male, Orc_Female")</f>
        <v>Elf_Male, Elf_Female, Human_Male, Human_Female, Orc_Male, Orc_Female</v>
      </c>
      <c r="J470" s="6" t="s">
        <v>1331</v>
      </c>
      <c r="L470" s="12" t="str">
        <f t="shared" si="1"/>
        <v>Xing_HGVipressnolimits,2,3</v>
      </c>
    </row>
    <row r="471" ht="15.75" customHeight="1">
      <c r="A471" s="5" t="s">
        <v>1328</v>
      </c>
      <c r="B471" s="17"/>
      <c r="C471" s="5" t="s">
        <v>1385</v>
      </c>
      <c r="D471" s="5">
        <v>2.0</v>
      </c>
      <c r="E471" s="5">
        <f>D471</f>
        <v>2</v>
      </c>
      <c r="F471" s="5" t="s">
        <v>1386</v>
      </c>
      <c r="G471" s="5" t="s">
        <v>554</v>
      </c>
      <c r="H471" s="10" t="s">
        <v>562</v>
      </c>
      <c r="I471" s="5" t="str">
        <f>IFERROR(__xludf.DUMMYFUNCTION("IF(OR(TRIM(G471)="""",TRIM(H471)=""""),"""",TEXTJOIN("", "",TRUE,ARRAYFORMULA(TRANSPOSE(TRIM(SPLIT(G471,"","")))&amp;""_""&amp;TRIM(SPLIT(H471,"","")))))"),"Elf_Male, Elf_Female, Human_Male, Human_Female, Orc_Male, Orc_Female")</f>
        <v>Elf_Male, Elf_Female, Human_Male, Human_Female, Orc_Male, Orc_Female</v>
      </c>
      <c r="J471" s="6" t="s">
        <v>1331</v>
      </c>
      <c r="L471" s="12" t="str">
        <f t="shared" si="1"/>
        <v>Xing_HGWen,2,2</v>
      </c>
    </row>
    <row r="472" ht="15.75" customHeight="1">
      <c r="A472" s="5" t="s">
        <v>1328</v>
      </c>
      <c r="B472" s="17"/>
      <c r="C472" s="5" t="s">
        <v>1387</v>
      </c>
      <c r="D472" s="5">
        <v>2.0</v>
      </c>
      <c r="E472" s="5">
        <v>3.0</v>
      </c>
      <c r="F472" s="5" t="s">
        <v>1388</v>
      </c>
      <c r="G472" s="5" t="s">
        <v>554</v>
      </c>
      <c r="H472" s="10" t="s">
        <v>562</v>
      </c>
      <c r="I472" s="5" t="str">
        <f>IFERROR(__xludf.DUMMYFUNCTION("IF(OR(TRIM(G472)="""",TRIM(H472)=""""),"""",TEXTJOIN("", "",TRUE,ARRAYFORMULA(TRANSPOSE(TRIM(SPLIT(G472,"","")))&amp;""_""&amp;TRIM(SPLIT(H472,"","")))))"),"Elf_Male, Elf_Female, Human_Male, Human_Female, Orc_Male, Orc_Female")</f>
        <v>Elf_Male, Elf_Female, Human_Male, Human_Female, Orc_Male, Orc_Female</v>
      </c>
      <c r="J472" s="6" t="s">
        <v>1331</v>
      </c>
      <c r="L472" s="12" t="str">
        <f t="shared" si="1"/>
        <v>Xing_HGWing109,2,3</v>
      </c>
    </row>
    <row r="473" ht="15.75" customHeight="1">
      <c r="A473" s="5" t="s">
        <v>1328</v>
      </c>
      <c r="B473" s="17"/>
      <c r="C473" s="5" t="s">
        <v>1389</v>
      </c>
      <c r="D473" s="5">
        <v>3.0</v>
      </c>
      <c r="E473" s="5">
        <f t="shared" ref="E473:E474" si="26">D473</f>
        <v>3</v>
      </c>
      <c r="F473" s="5" t="s">
        <v>1390</v>
      </c>
      <c r="G473" s="5" t="s">
        <v>554</v>
      </c>
      <c r="H473" s="10" t="s">
        <v>562</v>
      </c>
      <c r="I473" s="5" t="str">
        <f>IFERROR(__xludf.DUMMYFUNCTION("IF(OR(TRIM(G473)="""",TRIM(H473)=""""),"""",TEXTJOIN("", "",TRUE,ARRAYFORMULA(TRANSPOSE(TRIM(SPLIT(G473,"","")))&amp;""_""&amp;TRIM(SPLIT(H473,"","")))))"),"Elf_Male, Elf_Female, Human_Male, Human_Female, Orc_Male, Orc_Female")</f>
        <v>Elf_Male, Elf_Female, Human_Male, Human_Female, Orc_Male, Orc_Female</v>
      </c>
      <c r="J473" s="6" t="s">
        <v>1331</v>
      </c>
      <c r="L473" s="12" t="str">
        <f t="shared" si="1"/>
        <v>Xing_HGWing1111,3,3</v>
      </c>
    </row>
    <row r="474" ht="15.75" customHeight="1">
      <c r="A474" s="5" t="s">
        <v>1328</v>
      </c>
      <c r="B474" s="17"/>
      <c r="C474" s="5" t="s">
        <v>1391</v>
      </c>
      <c r="D474" s="5">
        <v>3.0</v>
      </c>
      <c r="E474" s="5">
        <f t="shared" si="26"/>
        <v>3</v>
      </c>
      <c r="F474" s="5" t="s">
        <v>1392</v>
      </c>
      <c r="G474" s="5" t="s">
        <v>554</v>
      </c>
      <c r="H474" s="10" t="s">
        <v>562</v>
      </c>
      <c r="I474" s="5" t="str">
        <f>IFERROR(__xludf.DUMMYFUNCTION("IF(OR(TRIM(G474)="""",TRIM(H474)=""""),"""",TEXTJOIN("", "",TRUE,ARRAYFORMULA(TRANSPOSE(TRIM(SPLIT(G474,"","")))&amp;""_""&amp;TRIM(SPLIT(H474,"","")))))"),"Elf_Male, Elf_Female, Human_Male, Human_Female, Orc_Male, Orc_Female")</f>
        <v>Elf_Male, Elf_Female, Human_Male, Human_Female, Orc_Male, Orc_Female</v>
      </c>
      <c r="J474" s="6" t="s">
        <v>1331</v>
      </c>
      <c r="L474" s="12" t="str">
        <f t="shared" si="1"/>
        <v>Xing_HGWing614,3,3</v>
      </c>
    </row>
    <row r="475" ht="15.75" customHeight="1">
      <c r="A475" s="5" t="s">
        <v>1328</v>
      </c>
      <c r="B475" s="17"/>
      <c r="C475" s="5" t="s">
        <v>1393</v>
      </c>
      <c r="D475" s="5">
        <v>2.0</v>
      </c>
      <c r="E475" s="5">
        <v>4.0</v>
      </c>
      <c r="F475" s="5" t="s">
        <v>1394</v>
      </c>
      <c r="G475" s="5" t="s">
        <v>554</v>
      </c>
      <c r="H475" s="10" t="s">
        <v>562</v>
      </c>
      <c r="I475" s="5" t="str">
        <f>IFERROR(__xludf.DUMMYFUNCTION("IF(OR(TRIM(G475)="""",TRIM(H475)=""""),"""",TEXTJOIN("", "",TRUE,ARRAYFORMULA(TRANSPOSE(TRIM(SPLIT(G475,"","")))&amp;""_""&amp;TRIM(SPLIT(H475,"","")))))"),"Elf_Male, Elf_Female, Human_Male, Human_Female, Orc_Male, Orc_Female")</f>
        <v>Elf_Male, Elf_Female, Human_Male, Human_Female, Orc_Male, Orc_Female</v>
      </c>
      <c r="J475" s="6" t="s">
        <v>1331</v>
      </c>
      <c r="L475" s="12" t="str">
        <f t="shared" si="1"/>
        <v>Xing_HGWing722,2,4</v>
      </c>
    </row>
    <row r="476" ht="15.75" customHeight="1">
      <c r="A476" s="5" t="s">
        <v>1328</v>
      </c>
      <c r="B476" s="17"/>
      <c r="C476" s="5" t="s">
        <v>1395</v>
      </c>
      <c r="D476" s="5">
        <v>1.0</v>
      </c>
      <c r="E476" s="5">
        <v>2.0</v>
      </c>
      <c r="F476" s="5" t="s">
        <v>1396</v>
      </c>
      <c r="G476" s="5" t="s">
        <v>554</v>
      </c>
      <c r="H476" s="10" t="s">
        <v>562</v>
      </c>
      <c r="I476" s="5" t="str">
        <f>IFERROR(__xludf.DUMMYFUNCTION("IF(OR(TRIM(G476)="""",TRIM(H476)=""""),"""",TEXTJOIN("", "",TRUE,ARRAYFORMULA(TRANSPOSE(TRIM(SPLIT(G476,"","")))&amp;""_""&amp;TRIM(SPLIT(H476,"","")))))"),"Elf_Male, Elf_Female, Human_Male, Human_Female, Orc_Male, Orc_Female")</f>
        <v>Elf_Male, Elf_Female, Human_Male, Human_Female, Orc_Male, Orc_Female</v>
      </c>
      <c r="J476" s="6" t="s">
        <v>1331</v>
      </c>
      <c r="L476" s="12" t="str">
        <f t="shared" si="1"/>
        <v>Xing_HHPonytail,1,2</v>
      </c>
    </row>
    <row r="477" ht="15.75" customHeight="1">
      <c r="A477" s="5" t="s">
        <v>1328</v>
      </c>
      <c r="B477" s="17"/>
      <c r="C477" s="5" t="s">
        <v>1397</v>
      </c>
      <c r="D477" s="5">
        <v>1.0</v>
      </c>
      <c r="E477" s="5">
        <v>2.0</v>
      </c>
      <c r="F477" s="5" t="s">
        <v>1398</v>
      </c>
      <c r="G477" s="5" t="s">
        <v>554</v>
      </c>
      <c r="H477" s="10" t="s">
        <v>562</v>
      </c>
      <c r="I477" s="5" t="str">
        <f>IFERROR(__xludf.DUMMYFUNCTION("IF(OR(TRIM(G477)="""",TRIM(H477)=""""),"""",TEXTJOIN("", "",TRUE,ARRAYFORMULA(TRANSPOSE(TRIM(SPLIT(G477,"","")))&amp;""_""&amp;TRIM(SPLIT(H477,"","")))))"),"Elf_Male, Elf_Female, Human_Male, Human_Female, Orc_Male, Orc_Female")</f>
        <v>Elf_Male, Elf_Female, Human_Male, Human_Female, Orc_Male, Orc_Female</v>
      </c>
      <c r="J477" s="6" t="s">
        <v>1331</v>
      </c>
      <c r="L477" s="12" t="str">
        <f t="shared" si="1"/>
        <v>Xing_HHPonytailSideSwept,1,2</v>
      </c>
    </row>
    <row r="478" ht="15.75" customHeight="1">
      <c r="A478" s="5" t="s">
        <v>1328</v>
      </c>
      <c r="B478" s="17"/>
      <c r="C478" s="5" t="s">
        <v>1399</v>
      </c>
      <c r="D478" s="5">
        <v>1.0</v>
      </c>
      <c r="E478" s="5">
        <f t="shared" ref="E478:E491" si="27">D478</f>
        <v>1</v>
      </c>
      <c r="F478" s="5" t="s">
        <v>1400</v>
      </c>
      <c r="G478" s="5" t="s">
        <v>554</v>
      </c>
      <c r="H478" s="10" t="s">
        <v>562</v>
      </c>
      <c r="I478" s="5" t="str">
        <f>IFERROR(__xludf.DUMMYFUNCTION("IF(OR(TRIM(G478)="""",TRIM(H478)=""""),"""",TEXTJOIN("", "",TRUE,ARRAYFORMULA(TRANSPOSE(TRIM(SPLIT(G478,"","")))&amp;""_""&amp;TRIM(SPLIT(H478,"","")))))"),"Elf_Male, Elf_Female, Human_Male, Human_Female, Orc_Male, Orc_Female")</f>
        <v>Elf_Male, Elf_Female, Human_Male, Human_Female, Orc_Male, Orc_Female</v>
      </c>
      <c r="J478" s="6" t="s">
        <v>1331</v>
      </c>
      <c r="L478" s="12" t="str">
        <f t="shared" si="1"/>
        <v>Xing_HHShortBob,1,1</v>
      </c>
    </row>
    <row r="479" ht="15.75" customHeight="1">
      <c r="A479" s="5" t="s">
        <v>1328</v>
      </c>
      <c r="B479" s="17"/>
      <c r="C479" s="5" t="s">
        <v>1403</v>
      </c>
      <c r="D479" s="5">
        <v>1.0</v>
      </c>
      <c r="E479" s="5">
        <f t="shared" si="27"/>
        <v>1</v>
      </c>
      <c r="F479" s="5" t="s">
        <v>1404</v>
      </c>
      <c r="G479" s="5" t="s">
        <v>554</v>
      </c>
      <c r="H479" s="10" t="s">
        <v>562</v>
      </c>
      <c r="I479" s="5" t="str">
        <f>IFERROR(__xludf.DUMMYFUNCTION("IF(OR(TRIM(G479)="""",TRIM(H479)=""""),"""",TEXTJOIN("", "",TRUE,ARRAYFORMULA(TRANSPOSE(TRIM(SPLIT(G479,"","")))&amp;""_""&amp;TRIM(SPLIT(H479,"","")))))"),"Elf_Male, Elf_Female, Human_Male, Human_Female, Orc_Male, Orc_Female")</f>
        <v>Elf_Male, Elf_Female, Human_Male, Human_Female, Orc_Male, Orc_Female</v>
      </c>
      <c r="J479" s="6" t="s">
        <v>1331</v>
      </c>
      <c r="L479" s="12" t="str">
        <f t="shared" si="1"/>
        <v>Xing_HHShortBobSideSwept,1,1</v>
      </c>
    </row>
    <row r="480" ht="15.75" customHeight="1">
      <c r="A480" s="5" t="s">
        <v>1328</v>
      </c>
      <c r="B480" s="17"/>
      <c r="C480" s="5" t="s">
        <v>1405</v>
      </c>
      <c r="D480" s="5">
        <v>1.0</v>
      </c>
      <c r="E480" s="5">
        <f t="shared" si="27"/>
        <v>1</v>
      </c>
      <c r="F480" s="5" t="s">
        <v>1406</v>
      </c>
      <c r="G480" s="5" t="s">
        <v>554</v>
      </c>
      <c r="H480" s="10" t="s">
        <v>562</v>
      </c>
      <c r="I480" s="5" t="str">
        <f>IFERROR(__xludf.DUMMYFUNCTION("IF(OR(TRIM(G480)="""",TRIM(H480)=""""),"""",TEXTJOIN("", "",TRUE,ARRAYFORMULA(TRANSPOSE(TRIM(SPLIT(G480,"","")))&amp;""_""&amp;TRIM(SPLIT(H480,"","")))))"),"Elf_Male, Elf_Female, Human_Male, Human_Female, Orc_Male, Orc_Female")</f>
        <v>Elf_Male, Elf_Female, Human_Male, Human_Female, Orc_Male, Orc_Female</v>
      </c>
      <c r="J480" s="6" t="s">
        <v>1331</v>
      </c>
      <c r="L480" s="12" t="str">
        <f t="shared" si="1"/>
        <v>Xing_HHShortBobTucked,1,1</v>
      </c>
    </row>
    <row r="481" ht="15.75" customHeight="1">
      <c r="A481" s="5" t="s">
        <v>1328</v>
      </c>
      <c r="B481" s="17"/>
      <c r="C481" s="5" t="s">
        <v>1407</v>
      </c>
      <c r="D481" s="5">
        <v>3.0</v>
      </c>
      <c r="E481" s="5">
        <f t="shared" si="27"/>
        <v>3</v>
      </c>
      <c r="F481" s="5" t="s">
        <v>1408</v>
      </c>
      <c r="G481" s="5" t="s">
        <v>554</v>
      </c>
      <c r="H481" s="10" t="s">
        <v>562</v>
      </c>
      <c r="I481" s="5" t="str">
        <f>IFERROR(__xludf.DUMMYFUNCTION("IF(OR(TRIM(G481)="""",TRIM(H481)=""""),"""",TEXTJOIN("", "",TRUE,ARRAYFORMULA(TRANSPOSE(TRIM(SPLIT(G481,"","")))&amp;""_""&amp;TRIM(SPLIT(H481,"","")))))"),"Elf_Male, Elf_Female, Human_Male, Human_Female, Orc_Male, Orc_Female")</f>
        <v>Elf_Male, Elf_Female, Human_Male, Human_Female, Orc_Male, Orc_Female</v>
      </c>
      <c r="J481" s="6" t="s">
        <v>1331</v>
      </c>
      <c r="L481" s="12" t="str">
        <f t="shared" si="1"/>
        <v>Xing_KSAmberLights,3,3</v>
      </c>
    </row>
    <row r="482" ht="15.75" customHeight="1">
      <c r="A482" s="5" t="s">
        <v>1328</v>
      </c>
      <c r="B482" s="17"/>
      <c r="C482" s="5" t="s">
        <v>1409</v>
      </c>
      <c r="D482" s="5">
        <v>3.0</v>
      </c>
      <c r="E482" s="5">
        <f t="shared" si="27"/>
        <v>3</v>
      </c>
      <c r="F482" s="5" t="s">
        <v>1410</v>
      </c>
      <c r="G482" s="5" t="s">
        <v>554</v>
      </c>
      <c r="H482" s="10" t="s">
        <v>562</v>
      </c>
      <c r="I482" s="5" t="str">
        <f>IFERROR(__xludf.DUMMYFUNCTION("IF(OR(TRIM(G482)="""",TRIM(H482)=""""),"""",TEXTJOIN("", "",TRUE,ARRAYFORMULA(TRANSPOSE(TRIM(SPLIT(G482,"","")))&amp;""_""&amp;TRIM(SPLIT(H482,"","")))))"),"Elf_Male, Elf_Female, Human_Male, Human_Female, Orc_Male, Orc_Female")</f>
        <v>Elf_Male, Elf_Female, Human_Male, Human_Female, Orc_Male, Orc_Female</v>
      </c>
      <c r="J482" s="6" t="s">
        <v>1331</v>
      </c>
      <c r="L482" s="12" t="str">
        <f t="shared" si="1"/>
        <v>Xing_KSAnchor,3,3</v>
      </c>
    </row>
    <row r="483" ht="15.75" customHeight="1">
      <c r="A483" s="5" t="s">
        <v>1328</v>
      </c>
      <c r="B483" s="17"/>
      <c r="C483" s="5" t="s">
        <v>1411</v>
      </c>
      <c r="D483" s="5">
        <v>3.0</v>
      </c>
      <c r="E483" s="5">
        <f t="shared" si="27"/>
        <v>3</v>
      </c>
      <c r="F483" s="5" t="s">
        <v>1412</v>
      </c>
      <c r="G483" s="5" t="s">
        <v>554</v>
      </c>
      <c r="H483" s="10" t="s">
        <v>562</v>
      </c>
      <c r="I483" s="5" t="str">
        <f>IFERROR(__xludf.DUMMYFUNCTION("IF(OR(TRIM(G483)="""",TRIM(H483)=""""),"""",TEXTJOIN("", "",TRUE,ARRAYFORMULA(TRANSPOSE(TRIM(SPLIT(G483,"","")))&amp;""_""&amp;TRIM(SPLIT(H483,"","")))))"),"Elf_Male, Elf_Female, Human_Male, Human_Female, Orc_Male, Orc_Female")</f>
        <v>Elf_Male, Elf_Female, Human_Male, Human_Female, Orc_Male, Orc_Female</v>
      </c>
      <c r="J483" s="6" t="s">
        <v>1331</v>
      </c>
      <c r="L483" s="12" t="str">
        <f t="shared" si="1"/>
        <v>Xing_KSAquaria,3,3</v>
      </c>
    </row>
    <row r="484" ht="15.75" customHeight="1">
      <c r="A484" s="5" t="s">
        <v>1328</v>
      </c>
      <c r="B484" s="17"/>
      <c r="C484" s="5" t="s">
        <v>1413</v>
      </c>
      <c r="D484" s="5">
        <v>1.0</v>
      </c>
      <c r="E484" s="5">
        <f t="shared" si="27"/>
        <v>1</v>
      </c>
      <c r="F484" s="5" t="s">
        <v>1414</v>
      </c>
      <c r="G484" s="5" t="s">
        <v>554</v>
      </c>
      <c r="H484" s="10" t="s">
        <v>562</v>
      </c>
      <c r="I484" s="5" t="str">
        <f>IFERROR(__xludf.DUMMYFUNCTION("IF(OR(TRIM(G484)="""",TRIM(H484)=""""),"""",TEXTJOIN("", "",TRUE,ARRAYFORMULA(TRANSPOSE(TRIM(SPLIT(G484,"","")))&amp;""_""&amp;TRIM(SPLIT(H484,"","")))))"),"Elf_Male, Elf_Female, Human_Male, Human_Female, Orc_Male, Orc_Female")</f>
        <v>Elf_Male, Elf_Female, Human_Male, Human_Female, Orc_Male, Orc_Female</v>
      </c>
      <c r="J484" s="6" t="s">
        <v>1331</v>
      </c>
      <c r="L484" s="12" t="str">
        <f t="shared" si="1"/>
        <v>Xing_KSBlackBullet,1,1</v>
      </c>
    </row>
    <row r="485" ht="15.75" customHeight="1">
      <c r="A485" s="5" t="s">
        <v>1328</v>
      </c>
      <c r="B485" s="17"/>
      <c r="C485" s="5" t="s">
        <v>1415</v>
      </c>
      <c r="D485" s="5">
        <v>1.0</v>
      </c>
      <c r="E485" s="5">
        <f t="shared" si="27"/>
        <v>1</v>
      </c>
      <c r="F485" s="5" t="s">
        <v>1416</v>
      </c>
      <c r="G485" s="5" t="s">
        <v>554</v>
      </c>
      <c r="H485" s="10" t="s">
        <v>562</v>
      </c>
      <c r="I485" s="5" t="str">
        <f>IFERROR(__xludf.DUMMYFUNCTION("IF(OR(TRIM(G485)="""",TRIM(H485)=""""),"""",TEXTJOIN("", "",TRUE,ARRAYFORMULA(TRANSPOSE(TRIM(SPLIT(G485,"","")))&amp;""_""&amp;TRIM(SPLIT(H485,"","")))))"),"Elf_Male, Elf_Female, Human_Male, Human_Female, Orc_Male, Orc_Female")</f>
        <v>Elf_Male, Elf_Female, Human_Male, Human_Female, Orc_Male, Orc_Female</v>
      </c>
      <c r="J485" s="6" t="s">
        <v>1331</v>
      </c>
      <c r="L485" s="12" t="str">
        <f t="shared" si="1"/>
        <v>Xing_KSBlossomStory,1,1</v>
      </c>
    </row>
    <row r="486" ht="15.75" customHeight="1">
      <c r="A486" s="5" t="s">
        <v>1328</v>
      </c>
      <c r="B486" s="17"/>
      <c r="C486" s="5" t="s">
        <v>1417</v>
      </c>
      <c r="D486" s="5">
        <v>3.0</v>
      </c>
      <c r="E486" s="5">
        <f t="shared" si="27"/>
        <v>3</v>
      </c>
      <c r="F486" s="5" t="s">
        <v>1418</v>
      </c>
      <c r="G486" s="5" t="s">
        <v>554</v>
      </c>
      <c r="H486" s="10" t="s">
        <v>562</v>
      </c>
      <c r="I486" s="5" t="str">
        <f>IFERROR(__xludf.DUMMYFUNCTION("IF(OR(TRIM(G486)="""",TRIM(H486)=""""),"""",TEXTJOIN("", "",TRUE,ARRAYFORMULA(TRANSPOSE(TRIM(SPLIT(G486,"","")))&amp;""_""&amp;TRIM(SPLIT(H486,"","")))))"),"Elf_Male, Elf_Female, Human_Male, Human_Female, Orc_Male, Orc_Female")</f>
        <v>Elf_Male, Elf_Female, Human_Male, Human_Female, Orc_Male, Orc_Female</v>
      </c>
      <c r="J486" s="6" t="s">
        <v>1331</v>
      </c>
      <c r="L486" s="12" t="str">
        <f t="shared" si="1"/>
        <v>Xing_KSButterfly098,3,3</v>
      </c>
    </row>
    <row r="487" ht="15.75" customHeight="1">
      <c r="A487" s="5" t="s">
        <v>1328</v>
      </c>
      <c r="B487" s="17"/>
      <c r="C487" s="5" t="s">
        <v>1421</v>
      </c>
      <c r="D487" s="5">
        <v>1.0</v>
      </c>
      <c r="E487" s="5">
        <f t="shared" si="27"/>
        <v>1</v>
      </c>
      <c r="F487" s="5" t="s">
        <v>1422</v>
      </c>
      <c r="G487" s="5" t="s">
        <v>554</v>
      </c>
      <c r="H487" s="10" t="s">
        <v>562</v>
      </c>
      <c r="I487" s="5" t="str">
        <f>IFERROR(__xludf.DUMMYFUNCTION("IF(OR(TRIM(G487)="""",TRIM(H487)=""""),"""",TEXTJOIN("", "",TRUE,ARRAYFORMULA(TRANSPOSE(TRIM(SPLIT(G487,"","")))&amp;""_""&amp;TRIM(SPLIT(H487,"","")))))"),"Elf_Male, Elf_Female, Human_Male, Human_Female, Orc_Male, Orc_Female")</f>
        <v>Elf_Male, Elf_Female, Human_Male, Human_Female, Orc_Male, Orc_Female</v>
      </c>
      <c r="J487" s="6" t="s">
        <v>1331</v>
      </c>
      <c r="L487" s="12" t="str">
        <f t="shared" si="1"/>
        <v>Xing_KSCambrian,1,1</v>
      </c>
    </row>
    <row r="488" ht="15.75" customHeight="1">
      <c r="A488" s="5" t="s">
        <v>1328</v>
      </c>
      <c r="B488" s="17"/>
      <c r="C488" s="5" t="s">
        <v>1423</v>
      </c>
      <c r="D488" s="5">
        <v>3.0</v>
      </c>
      <c r="E488" s="5">
        <f t="shared" si="27"/>
        <v>3</v>
      </c>
      <c r="F488" s="5" t="s">
        <v>1424</v>
      </c>
      <c r="G488" s="5" t="s">
        <v>554</v>
      </c>
      <c r="H488" s="10" t="s">
        <v>562</v>
      </c>
      <c r="I488" s="5" t="str">
        <f>IFERROR(__xludf.DUMMYFUNCTION("IF(OR(TRIM(G488)="""",TRIM(H488)=""""),"""",TEXTJOIN("", "",TRUE,ARRAYFORMULA(TRANSPOSE(TRIM(SPLIT(G488,"","")))&amp;""_""&amp;TRIM(SPLIT(H488,"","")))))"),"Elf_Male, Elf_Female, Human_Male, Human_Female, Orc_Male, Orc_Female")</f>
        <v>Elf_Male, Elf_Female, Human_Male, Human_Female, Orc_Male, Orc_Female</v>
      </c>
      <c r="J488" s="6" t="s">
        <v>1331</v>
      </c>
      <c r="L488" s="12" t="str">
        <f t="shared" si="1"/>
        <v>Xing_KSCaramella,3,3</v>
      </c>
    </row>
    <row r="489" ht="15.75" customHeight="1">
      <c r="A489" s="5" t="s">
        <v>1328</v>
      </c>
      <c r="B489" s="17"/>
      <c r="C489" s="5" t="s">
        <v>1425</v>
      </c>
      <c r="D489" s="5">
        <v>1.0</v>
      </c>
      <c r="E489" s="5">
        <f t="shared" si="27"/>
        <v>1</v>
      </c>
      <c r="F489" s="5" t="s">
        <v>1426</v>
      </c>
      <c r="G489" s="5" t="s">
        <v>554</v>
      </c>
      <c r="H489" s="10" t="s">
        <v>562</v>
      </c>
      <c r="I489" s="5" t="str">
        <f>IFERROR(__xludf.DUMMYFUNCTION("IF(OR(TRIM(G489)="""",TRIM(H489)=""""),"""",TEXTJOIN("", "",TRUE,ARRAYFORMULA(TRANSPOSE(TRIM(SPLIT(G489,"","")))&amp;""_""&amp;TRIM(SPLIT(H489,"","")))))"),"Elf_Male, Elf_Female, Human_Male, Human_Female, Orc_Male, Orc_Female")</f>
        <v>Elf_Male, Elf_Female, Human_Male, Human_Female, Orc_Male, Orc_Female</v>
      </c>
      <c r="J489" s="6" t="s">
        <v>1331</v>
      </c>
      <c r="L489" s="12" t="str">
        <f t="shared" si="1"/>
        <v>Xing_KSChainReaction,1,1</v>
      </c>
    </row>
    <row r="490" ht="15.75" customHeight="1">
      <c r="A490" s="5" t="s">
        <v>1328</v>
      </c>
      <c r="B490" s="17"/>
      <c r="C490" s="5" t="s">
        <v>1427</v>
      </c>
      <c r="D490" s="5">
        <v>3.0</v>
      </c>
      <c r="E490" s="5">
        <f t="shared" si="27"/>
        <v>3</v>
      </c>
      <c r="F490" s="5" t="s">
        <v>1428</v>
      </c>
      <c r="G490" s="5" t="s">
        <v>554</v>
      </c>
      <c r="H490" s="10" t="s">
        <v>562</v>
      </c>
      <c r="I490" s="5" t="str">
        <f>IFERROR(__xludf.DUMMYFUNCTION("IF(OR(TRIM(G490)="""",TRIM(H490)=""""),"""",TEXTJOIN("", "",TRUE,ARRAYFORMULA(TRANSPOSE(TRIM(SPLIT(G490,"","")))&amp;""_""&amp;TRIM(SPLIT(H490,"","")))))"),"Elf_Male, Elf_Female, Human_Male, Human_Female, Orc_Male, Orc_Female")</f>
        <v>Elf_Male, Elf_Female, Human_Male, Human_Female, Orc_Male, Orc_Female</v>
      </c>
      <c r="J490" s="6" t="s">
        <v>1331</v>
      </c>
      <c r="L490" s="12" t="str">
        <f t="shared" si="1"/>
        <v>Xing_KSClover,3,3</v>
      </c>
    </row>
    <row r="491" ht="15.75" customHeight="1">
      <c r="A491" s="5" t="s">
        <v>1328</v>
      </c>
      <c r="B491" s="17"/>
      <c r="C491" s="5" t="s">
        <v>1429</v>
      </c>
      <c r="D491" s="5">
        <v>2.0</v>
      </c>
      <c r="E491" s="5">
        <f t="shared" si="27"/>
        <v>2</v>
      </c>
      <c r="F491" s="5" t="s">
        <v>1430</v>
      </c>
      <c r="G491" s="5" t="s">
        <v>554</v>
      </c>
      <c r="H491" s="10" t="s">
        <v>562</v>
      </c>
      <c r="I491" s="5" t="str">
        <f>IFERROR(__xludf.DUMMYFUNCTION("IF(OR(TRIM(G491)="""",TRIM(H491)=""""),"""",TEXTJOIN("", "",TRUE,ARRAYFORMULA(TRANSPOSE(TRIM(SPLIT(G491,"","")))&amp;""_""&amp;TRIM(SPLIT(H491,"","")))))"),"Elf_Male, Elf_Female, Human_Male, Human_Female, Orc_Male, Orc_Female")</f>
        <v>Elf_Male, Elf_Female, Human_Male, Human_Female, Orc_Male, Orc_Female</v>
      </c>
      <c r="J491" s="6" t="s">
        <v>1331</v>
      </c>
      <c r="L491" s="12" t="str">
        <f t="shared" si="1"/>
        <v>Xing_KSCraxyLove,2,2</v>
      </c>
    </row>
    <row r="492" ht="15.75" customHeight="1">
      <c r="A492" s="5" t="s">
        <v>1328</v>
      </c>
      <c r="B492" s="17"/>
      <c r="C492" s="5" t="s">
        <v>1431</v>
      </c>
      <c r="D492" s="5">
        <v>2.0</v>
      </c>
      <c r="E492" s="5">
        <v>3.0</v>
      </c>
      <c r="F492" s="5" t="s">
        <v>1432</v>
      </c>
      <c r="G492" s="5" t="s">
        <v>554</v>
      </c>
      <c r="H492" s="10" t="s">
        <v>562</v>
      </c>
      <c r="I492" s="5" t="str">
        <f>IFERROR(__xludf.DUMMYFUNCTION("IF(OR(TRIM(G492)="""",TRIM(H492)=""""),"""",TEXTJOIN("", "",TRUE,ARRAYFORMULA(TRANSPOSE(TRIM(SPLIT(G492,"","")))&amp;""_""&amp;TRIM(SPLIT(H492,"","")))))"),"Elf_Male, Elf_Female, Human_Male, Human_Female, Orc_Male, Orc_Female")</f>
        <v>Elf_Male, Elf_Female, Human_Male, Human_Female, Orc_Male, Orc_Female</v>
      </c>
      <c r="J492" s="6" t="s">
        <v>1331</v>
      </c>
      <c r="L492" s="12" t="str">
        <f t="shared" si="1"/>
        <v>Xing_KSDawn,2,3</v>
      </c>
    </row>
    <row r="493" ht="15.75" customHeight="1">
      <c r="A493" s="5" t="s">
        <v>1328</v>
      </c>
      <c r="B493" s="17"/>
      <c r="C493" s="5" t="s">
        <v>1433</v>
      </c>
      <c r="D493" s="5">
        <v>2.0</v>
      </c>
      <c r="E493" s="5">
        <v>3.0</v>
      </c>
      <c r="F493" s="5" t="s">
        <v>1434</v>
      </c>
      <c r="G493" s="5" t="s">
        <v>554</v>
      </c>
      <c r="H493" s="10" t="s">
        <v>562</v>
      </c>
      <c r="I493" s="5" t="str">
        <f>IFERROR(__xludf.DUMMYFUNCTION("IF(OR(TRIM(G493)="""",TRIM(H493)=""""),"""",TEXTJOIN("", "",TRUE,ARRAYFORMULA(TRANSPOSE(TRIM(SPLIT(G493,"","")))&amp;""_""&amp;TRIM(SPLIT(H493,"","")))))"),"Elf_Male, Elf_Female, Human_Male, Human_Female, Orc_Male, Orc_Female")</f>
        <v>Elf_Male, Elf_Female, Human_Male, Human_Female, Orc_Male, Orc_Female</v>
      </c>
      <c r="J493" s="6" t="s">
        <v>1331</v>
      </c>
      <c r="L493" s="12" t="str">
        <f t="shared" si="1"/>
        <v>Xing_KSDaydream,2,3</v>
      </c>
    </row>
    <row r="494" ht="15.75" customHeight="1">
      <c r="A494" s="5" t="s">
        <v>1328</v>
      </c>
      <c r="B494" s="17"/>
      <c r="C494" s="5" t="s">
        <v>1435</v>
      </c>
      <c r="D494" s="5">
        <v>1.0</v>
      </c>
      <c r="E494" s="5">
        <v>3.0</v>
      </c>
      <c r="F494" s="5" t="s">
        <v>1436</v>
      </c>
      <c r="G494" s="5" t="s">
        <v>554</v>
      </c>
      <c r="H494" s="10" t="s">
        <v>562</v>
      </c>
      <c r="I494" s="5" t="str">
        <f>IFERROR(__xludf.DUMMYFUNCTION("IF(OR(TRIM(G494)="""",TRIM(H494)=""""),"""",TEXTJOIN("", "",TRUE,ARRAYFORMULA(TRANSPOSE(TRIM(SPLIT(G494,"","")))&amp;""_""&amp;TRIM(SPLIT(H494,"","")))))"),"Elf_Male, Elf_Female, Human_Male, Human_Female, Orc_Male, Orc_Female")</f>
        <v>Elf_Male, Elf_Female, Human_Male, Human_Female, Orc_Male, Orc_Female</v>
      </c>
      <c r="J494" s="6" t="s">
        <v>1331</v>
      </c>
      <c r="L494" s="12" t="str">
        <f t="shared" si="1"/>
        <v>Xing_KSDracarys,1,3</v>
      </c>
    </row>
    <row r="495" ht="15.75" customHeight="1">
      <c r="A495" s="5" t="s">
        <v>1328</v>
      </c>
      <c r="B495" s="17"/>
      <c r="C495" s="5" t="s">
        <v>1437</v>
      </c>
      <c r="D495" s="5">
        <v>1.0</v>
      </c>
      <c r="E495" s="5">
        <v>3.0</v>
      </c>
      <c r="F495" s="5" t="s">
        <v>1438</v>
      </c>
      <c r="G495" s="5" t="s">
        <v>554</v>
      </c>
      <c r="H495" s="10" t="s">
        <v>562</v>
      </c>
      <c r="I495" s="5" t="str">
        <f>IFERROR(__xludf.DUMMYFUNCTION("IF(OR(TRIM(G495)="""",TRIM(H495)=""""),"""",TEXTJOIN("", "",TRUE,ARRAYFORMULA(TRANSPOSE(TRIM(SPLIT(G495,"","")))&amp;""_""&amp;TRIM(SPLIT(H495,"","")))))"),"Elf_Male, Elf_Female, Human_Male, Human_Female, Orc_Male, Orc_Female")</f>
        <v>Elf_Male, Elf_Female, Human_Male, Human_Female, Orc_Male, Orc_Female</v>
      </c>
      <c r="J495" s="6" t="s">
        <v>1331</v>
      </c>
      <c r="L495" s="12" t="str">
        <f t="shared" si="1"/>
        <v>Xing_KSDragonStone,1,3</v>
      </c>
    </row>
    <row r="496" ht="15.75" customHeight="1">
      <c r="A496" s="5" t="s">
        <v>1328</v>
      </c>
      <c r="B496" s="17"/>
      <c r="C496" s="5" t="s">
        <v>1442</v>
      </c>
      <c r="D496" s="5">
        <v>1.0</v>
      </c>
      <c r="E496" s="5">
        <f t="shared" ref="E496:E498" si="28">D496</f>
        <v>1</v>
      </c>
      <c r="F496" s="5" t="s">
        <v>1443</v>
      </c>
      <c r="G496" s="5" t="s">
        <v>554</v>
      </c>
      <c r="H496" s="10" t="s">
        <v>562</v>
      </c>
      <c r="I496" s="5" t="str">
        <f>IFERROR(__xludf.DUMMYFUNCTION("IF(OR(TRIM(G496)="""",TRIM(H496)=""""),"""",TEXTJOIN("", "",TRUE,ARRAYFORMULA(TRANSPOSE(TRIM(SPLIT(G496,"","")))&amp;""_""&amp;TRIM(SPLIT(H496,"","")))))"),"Elf_Male, Elf_Female, Human_Male, Human_Female, Orc_Male, Orc_Female")</f>
        <v>Elf_Male, Elf_Female, Human_Male, Human_Female, Orc_Male, Orc_Female</v>
      </c>
      <c r="J496" s="6" t="s">
        <v>1331</v>
      </c>
      <c r="L496" s="12" t="str">
        <f t="shared" si="1"/>
        <v>Xing_KSDreamgirl,1,1</v>
      </c>
    </row>
    <row r="497" ht="15.75" customHeight="1">
      <c r="A497" s="5" t="s">
        <v>1328</v>
      </c>
      <c r="B497" s="17"/>
      <c r="C497" s="5" t="s">
        <v>1444</v>
      </c>
      <c r="D497" s="5">
        <v>3.0</v>
      </c>
      <c r="E497" s="5">
        <f t="shared" si="28"/>
        <v>3</v>
      </c>
      <c r="F497" s="5" t="s">
        <v>1445</v>
      </c>
      <c r="G497" s="5" t="s">
        <v>554</v>
      </c>
      <c r="H497" s="10" t="s">
        <v>562</v>
      </c>
      <c r="I497" s="5" t="str">
        <f>IFERROR(__xludf.DUMMYFUNCTION("IF(OR(TRIM(G497)="""",TRIM(H497)=""""),"""",TEXTJOIN("", "",TRUE,ARRAYFORMULA(TRANSPOSE(TRIM(SPLIT(G497,"","")))&amp;""_""&amp;TRIM(SPLIT(H497,"","")))))"),"Elf_Male, Elf_Female, Human_Male, Human_Female, Orc_Male, Orc_Female")</f>
        <v>Elf_Male, Elf_Female, Human_Male, Human_Female, Orc_Male, Orc_Female</v>
      </c>
      <c r="J497" s="6" t="s">
        <v>1331</v>
      </c>
      <c r="L497" s="12" t="str">
        <f t="shared" si="1"/>
        <v>Xing_KSEden,3,3</v>
      </c>
    </row>
    <row r="498" ht="15.75" customHeight="1">
      <c r="A498" s="5" t="s">
        <v>1328</v>
      </c>
      <c r="B498" s="17"/>
      <c r="C498" s="5" t="s">
        <v>1446</v>
      </c>
      <c r="D498" s="5">
        <v>1.0</v>
      </c>
      <c r="E498" s="5">
        <f t="shared" si="28"/>
        <v>1</v>
      </c>
      <c r="F498" s="5" t="s">
        <v>1447</v>
      </c>
      <c r="G498" s="5" t="s">
        <v>554</v>
      </c>
      <c r="H498" s="10" t="s">
        <v>562</v>
      </c>
      <c r="I498" s="5" t="str">
        <f>IFERROR(__xludf.DUMMYFUNCTION("IF(OR(TRIM(G498)="""",TRIM(H498)=""""),"""",TEXTJOIN("", "",TRUE,ARRAYFORMULA(TRANSPOSE(TRIM(SPLIT(G498,"","")))&amp;""_""&amp;TRIM(SPLIT(H498,"","")))))"),"Elf_Male, Elf_Female, Human_Male, Human_Female, Orc_Male, Orc_Female")</f>
        <v>Elf_Male, Elf_Female, Human_Male, Human_Female, Orc_Male, Orc_Female</v>
      </c>
      <c r="J498" s="6" t="s">
        <v>1331</v>
      </c>
      <c r="L498" s="12" t="str">
        <f t="shared" si="1"/>
        <v>Xing_KSEquanimity,1,1</v>
      </c>
    </row>
    <row r="499" ht="15.75" customHeight="1">
      <c r="A499" s="5" t="s">
        <v>1328</v>
      </c>
      <c r="B499" s="17"/>
      <c r="C499" s="5" t="s">
        <v>1448</v>
      </c>
      <c r="D499" s="5">
        <v>1.0</v>
      </c>
      <c r="E499" s="5">
        <v>3.0</v>
      </c>
      <c r="F499" s="5" t="s">
        <v>1449</v>
      </c>
      <c r="G499" s="5" t="s">
        <v>554</v>
      </c>
      <c r="H499" s="10" t="s">
        <v>562</v>
      </c>
      <c r="I499" s="5" t="str">
        <f>IFERROR(__xludf.DUMMYFUNCTION("IF(OR(TRIM(G499)="""",TRIM(H499)=""""),"""",TEXTJOIN("", "",TRUE,ARRAYFORMULA(TRANSPOSE(TRIM(SPLIT(G499,"","")))&amp;""_""&amp;TRIM(SPLIT(H499,"","")))))"),"Elf_Male, Elf_Female, Human_Male, Human_Female, Orc_Male, Orc_Female")</f>
        <v>Elf_Male, Elf_Female, Human_Male, Human_Female, Orc_Male, Orc_Female</v>
      </c>
      <c r="J499" s="6" t="s">
        <v>1331</v>
      </c>
      <c r="L499" s="12" t="str">
        <f t="shared" si="1"/>
        <v>Xing_KSFirenze,1,3</v>
      </c>
    </row>
    <row r="500" ht="15.75" customHeight="1">
      <c r="A500" s="5" t="s">
        <v>1328</v>
      </c>
      <c r="B500" s="17"/>
      <c r="C500" s="5" t="s">
        <v>1450</v>
      </c>
      <c r="D500" s="5">
        <v>1.0</v>
      </c>
      <c r="E500" s="5">
        <f>D500</f>
        <v>1</v>
      </c>
      <c r="F500" s="5" t="s">
        <v>1451</v>
      </c>
      <c r="G500" s="5" t="s">
        <v>554</v>
      </c>
      <c r="H500" s="10" t="s">
        <v>562</v>
      </c>
      <c r="I500" s="5" t="str">
        <f>IFERROR(__xludf.DUMMYFUNCTION("IF(OR(TRIM(G500)="""",TRIM(H500)=""""),"""",TEXTJOIN("", "",TRUE,ARRAYFORMULA(TRANSPOSE(TRIM(SPLIT(G500,"","")))&amp;""_""&amp;TRIM(SPLIT(H500,"","")))))"),"Elf_Male, Elf_Female, Human_Male, Human_Female, Orc_Male, Orc_Female")</f>
        <v>Elf_Male, Elf_Female, Human_Male, Human_Female, Orc_Male, Orc_Female</v>
      </c>
      <c r="J500" s="6" t="s">
        <v>1331</v>
      </c>
      <c r="L500" s="12" t="str">
        <f t="shared" si="1"/>
        <v>Xing_KSFragile,1,1</v>
      </c>
    </row>
    <row r="501" ht="15.75" customHeight="1">
      <c r="A501" s="5" t="s">
        <v>1328</v>
      </c>
      <c r="B501" s="17"/>
      <c r="C501" s="5" t="s">
        <v>1452</v>
      </c>
      <c r="D501" s="5">
        <v>1.0</v>
      </c>
      <c r="E501" s="5">
        <v>4.0</v>
      </c>
      <c r="F501" s="5" t="s">
        <v>1453</v>
      </c>
      <c r="G501" s="5" t="s">
        <v>554</v>
      </c>
      <c r="H501" s="10" t="s">
        <v>562</v>
      </c>
      <c r="I501" s="5" t="str">
        <f>IFERROR(__xludf.DUMMYFUNCTION("IF(OR(TRIM(G501)="""",TRIM(H501)=""""),"""",TEXTJOIN("", "",TRUE,ARRAYFORMULA(TRANSPOSE(TRIM(SPLIT(G501,"","")))&amp;""_""&amp;TRIM(SPLIT(H501,"","")))))"),"Elf_Male, Elf_Female, Human_Male, Human_Female, Orc_Male, Orc_Female")</f>
        <v>Elf_Male, Elf_Female, Human_Male, Human_Female, Orc_Male, Orc_Female</v>
      </c>
      <c r="J501" s="6" t="s">
        <v>1331</v>
      </c>
      <c r="L501" s="12" t="str">
        <f t="shared" si="1"/>
        <v>Xing_KSGalactic,1,4</v>
      </c>
    </row>
    <row r="502" ht="15.75" customHeight="1">
      <c r="A502" s="5" t="s">
        <v>1328</v>
      </c>
      <c r="B502" s="17"/>
      <c r="C502" s="5" t="s">
        <v>1454</v>
      </c>
      <c r="D502" s="5">
        <v>1.0</v>
      </c>
      <c r="E502" s="5">
        <v>3.0</v>
      </c>
      <c r="F502" s="5" t="s">
        <v>1455</v>
      </c>
      <c r="G502" s="5" t="s">
        <v>554</v>
      </c>
      <c r="H502" s="10" t="s">
        <v>562</v>
      </c>
      <c r="I502" s="5" t="str">
        <f>IFERROR(__xludf.DUMMYFUNCTION("IF(OR(TRIM(G502)="""",TRIM(H502)=""""),"""",TEXTJOIN("", "",TRUE,ARRAYFORMULA(TRANSPOSE(TRIM(SPLIT(G502,"","")))&amp;""_""&amp;TRIM(SPLIT(H502,"","")))))"),"Elf_Male, Elf_Female, Human_Male, Human_Female, Orc_Male, Orc_Female")</f>
        <v>Elf_Male, Elf_Female, Human_Male, Human_Female, Orc_Male, Orc_Female</v>
      </c>
      <c r="J502" s="6" t="s">
        <v>1331</v>
      </c>
      <c r="L502" s="12" t="str">
        <f t="shared" si="1"/>
        <v>Xing_KSGem,1,3</v>
      </c>
    </row>
    <row r="503" ht="15.75" customHeight="1">
      <c r="A503" s="5" t="s">
        <v>1328</v>
      </c>
      <c r="B503" s="17"/>
      <c r="C503" s="5" t="s">
        <v>1456</v>
      </c>
      <c r="D503" s="5">
        <v>3.0</v>
      </c>
      <c r="E503" s="5">
        <f t="shared" ref="E503:E505" si="29">D503</f>
        <v>3</v>
      </c>
      <c r="F503" s="5" t="s">
        <v>1457</v>
      </c>
      <c r="G503" s="5" t="s">
        <v>554</v>
      </c>
      <c r="H503" s="10" t="s">
        <v>562</v>
      </c>
      <c r="I503" s="5" t="str">
        <f>IFERROR(__xludf.DUMMYFUNCTION("IF(OR(TRIM(G503)="""",TRIM(H503)=""""),"""",TEXTJOIN("", "",TRUE,ARRAYFORMULA(TRANSPOSE(TRIM(SPLIT(G503,"","")))&amp;""_""&amp;TRIM(SPLIT(H503,"","")))))"),"Elf_Male, Elf_Female, Human_Male, Human_Female, Orc_Male, Orc_Female")</f>
        <v>Elf_Male, Elf_Female, Human_Male, Human_Female, Orc_Male, Orc_Female</v>
      </c>
      <c r="J503" s="6" t="s">
        <v>1331</v>
      </c>
      <c r="L503" s="12" t="str">
        <f t="shared" si="1"/>
        <v>Xing_KSGlow,3,3</v>
      </c>
    </row>
    <row r="504" ht="15.75" customHeight="1">
      <c r="A504" s="5" t="s">
        <v>1328</v>
      </c>
      <c r="B504" s="17"/>
      <c r="C504" s="5" t="s">
        <v>1458</v>
      </c>
      <c r="D504" s="5">
        <v>1.0</v>
      </c>
      <c r="E504" s="5">
        <f t="shared" si="29"/>
        <v>1</v>
      </c>
      <c r="F504" s="5" t="s">
        <v>1459</v>
      </c>
      <c r="G504" s="5" t="s">
        <v>554</v>
      </c>
      <c r="H504" s="10" t="s">
        <v>562</v>
      </c>
      <c r="I504" s="5" t="str">
        <f>IFERROR(__xludf.DUMMYFUNCTION("IF(OR(TRIM(G504)="""",TRIM(H504)=""""),"""",TEXTJOIN("", "",TRUE,ARRAYFORMULA(TRANSPOSE(TRIM(SPLIT(G504,"","")))&amp;""_""&amp;TRIM(SPLIT(H504,"","")))))"),"Elf_Male, Elf_Female, Human_Male, Human_Female, Orc_Male, Orc_Female")</f>
        <v>Elf_Male, Elf_Female, Human_Male, Human_Female, Orc_Male, Orc_Female</v>
      </c>
      <c r="J504" s="6" t="s">
        <v>1331</v>
      </c>
      <c r="L504" s="12" t="str">
        <f t="shared" si="1"/>
        <v>Xing_SGHaircoolsims89,1,1</v>
      </c>
    </row>
    <row r="505" ht="15.75" customHeight="1">
      <c r="A505" s="5" t="s">
        <v>1328</v>
      </c>
      <c r="B505" s="17"/>
      <c r="C505" s="5" t="s">
        <v>1462</v>
      </c>
      <c r="D505" s="5">
        <v>1.0</v>
      </c>
      <c r="E505" s="5">
        <f t="shared" si="29"/>
        <v>1</v>
      </c>
      <c r="F505" s="5" t="s">
        <v>1463</v>
      </c>
      <c r="G505" s="5" t="s">
        <v>554</v>
      </c>
      <c r="H505" s="10" t="s">
        <v>562</v>
      </c>
      <c r="I505" s="5" t="str">
        <f>IFERROR(__xludf.DUMMYFUNCTION("IF(OR(TRIM(G505)="""",TRIM(H505)=""""),"""",TEXTJOIN("", "",TRUE,ARRAYFORMULA(TRANSPOSE(TRIM(SPLIT(G505,"","")))&amp;""_""&amp;TRIM(SPLIT(H505,"","")))))"),"Elf_Male, Elf_Female, Human_Male, Human_Female, Orc_Male, Orc_Female")</f>
        <v>Elf_Male, Elf_Female, Human_Male, Human_Female, Orc_Male, Orc_Female</v>
      </c>
      <c r="J505" s="6" t="s">
        <v>1331</v>
      </c>
      <c r="L505" s="12" t="str">
        <f t="shared" si="1"/>
        <v>Xing_KSHeartquake,1,1</v>
      </c>
    </row>
    <row r="506" ht="15.75" customHeight="1">
      <c r="A506" s="5" t="s">
        <v>1328</v>
      </c>
      <c r="B506" s="17"/>
      <c r="C506" s="5" t="s">
        <v>1464</v>
      </c>
      <c r="D506" s="5">
        <v>2.0</v>
      </c>
      <c r="E506" s="5">
        <v>3.0</v>
      </c>
      <c r="F506" s="5" t="s">
        <v>1465</v>
      </c>
      <c r="G506" s="5" t="s">
        <v>554</v>
      </c>
      <c r="H506" s="10" t="s">
        <v>562</v>
      </c>
      <c r="I506" s="5" t="str">
        <f>IFERROR(__xludf.DUMMYFUNCTION("IF(OR(TRIM(G506)="""",TRIM(H506)=""""),"""",TEXTJOIN("", "",TRUE,ARRAYFORMULA(TRANSPOSE(TRIM(SPLIT(G506,"","")))&amp;""_""&amp;TRIM(SPLIT(H506,"","")))))"),"Elf_Male, Elf_Female, Human_Male, Human_Female, Orc_Male, Orc_Female")</f>
        <v>Elf_Male, Elf_Female, Human_Male, Human_Female, Orc_Male, Orc_Female</v>
      </c>
      <c r="J506" s="6" t="s">
        <v>1331</v>
      </c>
      <c r="L506" s="12" t="str">
        <f t="shared" si="1"/>
        <v>Xing_KSHello,2,3</v>
      </c>
    </row>
    <row r="507" ht="15.75" customHeight="1">
      <c r="A507" s="5" t="s">
        <v>1328</v>
      </c>
      <c r="B507" s="17"/>
      <c r="C507" s="5" t="s">
        <v>1466</v>
      </c>
      <c r="D507" s="5">
        <v>3.0</v>
      </c>
      <c r="E507" s="5">
        <f>D507</f>
        <v>3</v>
      </c>
      <c r="F507" s="5" t="s">
        <v>1467</v>
      </c>
      <c r="G507" s="5" t="s">
        <v>554</v>
      </c>
      <c r="H507" s="10" t="s">
        <v>562</v>
      </c>
      <c r="I507" s="5" t="str">
        <f>IFERROR(__xludf.DUMMYFUNCTION("IF(OR(TRIM(G507)="""",TRIM(H507)=""""),"""",TEXTJOIN("", "",TRUE,ARRAYFORMULA(TRANSPOSE(TRIM(SPLIT(G507,"","")))&amp;""_""&amp;TRIM(SPLIT(H507,"","")))))"),"Elf_Male, Elf_Female, Human_Male, Human_Female, Orc_Male, Orc_Female")</f>
        <v>Elf_Male, Elf_Female, Human_Male, Human_Female, Orc_Male, Orc_Female</v>
      </c>
      <c r="J507" s="6" t="s">
        <v>1331</v>
      </c>
      <c r="L507" s="12" t="str">
        <f t="shared" si="1"/>
        <v>Xing_KSHourglass,3,3</v>
      </c>
    </row>
    <row r="508" ht="15.75" customHeight="1">
      <c r="A508" s="5" t="s">
        <v>1328</v>
      </c>
      <c r="B508" s="17"/>
      <c r="C508" s="5" t="s">
        <v>1468</v>
      </c>
      <c r="D508" s="5">
        <v>2.0</v>
      </c>
      <c r="E508" s="5">
        <v>3.0</v>
      </c>
      <c r="F508" s="5" t="s">
        <v>1469</v>
      </c>
      <c r="G508" s="5" t="s">
        <v>554</v>
      </c>
      <c r="H508" s="10" t="s">
        <v>562</v>
      </c>
      <c r="I508" s="5" t="str">
        <f>IFERROR(__xludf.DUMMYFUNCTION("IF(OR(TRIM(G508)="""",TRIM(H508)=""""),"""",TEXTJOIN("", "",TRUE,ARRAYFORMULA(TRANSPOSE(TRIM(SPLIT(G508,"","")))&amp;""_""&amp;TRIM(SPLIT(H508,"","")))))"),"Elf_Male, Elf_Female, Human_Male, Human_Female, Orc_Male, Orc_Female")</f>
        <v>Elf_Male, Elf_Female, Human_Male, Human_Female, Orc_Male, Orc_Female</v>
      </c>
      <c r="J508" s="6" t="s">
        <v>1331</v>
      </c>
      <c r="L508" s="12" t="str">
        <f t="shared" si="1"/>
        <v>Xing_KSKaysa,2,3</v>
      </c>
    </row>
    <row r="509" ht="15.75" customHeight="1">
      <c r="A509" s="5" t="s">
        <v>1328</v>
      </c>
      <c r="B509" s="17"/>
      <c r="C509" s="5" t="s">
        <v>1470</v>
      </c>
      <c r="D509" s="5">
        <v>3.0</v>
      </c>
      <c r="E509" s="5">
        <f t="shared" ref="E509:E510" si="30">D509</f>
        <v>3</v>
      </c>
      <c r="F509" s="5" t="s">
        <v>1471</v>
      </c>
      <c r="G509" s="5" t="s">
        <v>554</v>
      </c>
      <c r="H509" s="10" t="s">
        <v>562</v>
      </c>
      <c r="I509" s="5" t="str">
        <f>IFERROR(__xludf.DUMMYFUNCTION("IF(OR(TRIM(G509)="""",TRIM(H509)=""""),"""",TEXTJOIN("", "",TRUE,ARRAYFORMULA(TRANSPOSE(TRIM(SPLIT(G509,"","")))&amp;""_""&amp;TRIM(SPLIT(H509,"","")))))"),"Elf_Male, Elf_Female, Human_Male, Human_Female, Orc_Male, Orc_Female")</f>
        <v>Elf_Male, Elf_Female, Human_Male, Human_Female, Orc_Male, Orc_Female</v>
      </c>
      <c r="J509" s="6" t="s">
        <v>1331</v>
      </c>
      <c r="L509" s="12" t="str">
        <f t="shared" si="1"/>
        <v>Xing_KSMhysa,3,3</v>
      </c>
    </row>
    <row r="510" ht="15.75" customHeight="1">
      <c r="A510" s="5" t="s">
        <v>1328</v>
      </c>
      <c r="B510" s="17"/>
      <c r="C510" s="5" t="s">
        <v>1472</v>
      </c>
      <c r="D510" s="5">
        <v>2.0</v>
      </c>
      <c r="E510" s="5">
        <f t="shared" si="30"/>
        <v>2</v>
      </c>
      <c r="F510" s="5" t="s">
        <v>1473</v>
      </c>
      <c r="G510" s="5" t="s">
        <v>554</v>
      </c>
      <c r="H510" s="10" t="s">
        <v>562</v>
      </c>
      <c r="I510" s="5" t="str">
        <f>IFERROR(__xludf.DUMMYFUNCTION("IF(OR(TRIM(G510)="""",TRIM(H510)=""""),"""",TEXTJOIN("", "",TRUE,ARRAYFORMULA(TRANSPOSE(TRIM(SPLIT(G510,"","")))&amp;""_""&amp;TRIM(SPLIT(H510,"","")))))"),"Elf_Male, Elf_Female, Human_Male, Human_Female, Orc_Male, Orc_Female")</f>
        <v>Elf_Male, Elf_Female, Human_Male, Human_Female, Orc_Male, Orc_Female</v>
      </c>
      <c r="J510" s="6" t="s">
        <v>1331</v>
      </c>
      <c r="L510" s="12" t="str">
        <f t="shared" si="1"/>
        <v>Xing_KSPeppermint,2,2</v>
      </c>
    </row>
    <row r="511" ht="15.75" customHeight="1">
      <c r="A511" s="5" t="s">
        <v>1328</v>
      </c>
      <c r="B511" s="17"/>
      <c r="C511" s="5" t="s">
        <v>1474</v>
      </c>
      <c r="D511" s="5">
        <v>2.0</v>
      </c>
      <c r="E511" s="5">
        <v>3.0</v>
      </c>
      <c r="F511" s="5" t="s">
        <v>1475</v>
      </c>
      <c r="G511" s="5" t="s">
        <v>554</v>
      </c>
      <c r="H511" s="10" t="s">
        <v>562</v>
      </c>
      <c r="I511" s="5" t="str">
        <f>IFERROR(__xludf.DUMMYFUNCTION("IF(OR(TRIM(G511)="""",TRIM(H511)=""""),"""",TEXTJOIN("", "",TRUE,ARRAYFORMULA(TRANSPOSE(TRIM(SPLIT(G511,"","")))&amp;""_""&amp;TRIM(SPLIT(H511,"","")))))"),"Elf_Male, Elf_Female, Human_Male, Human_Female, Orc_Male, Orc_Female")</f>
        <v>Elf_Male, Elf_Female, Human_Male, Human_Female, Orc_Male, Orc_Female</v>
      </c>
      <c r="J511" s="6" t="s">
        <v>1331</v>
      </c>
      <c r="L511" s="12" t="str">
        <f t="shared" si="1"/>
        <v>Xing_KSRenata,2,3</v>
      </c>
    </row>
    <row r="512" ht="15.75" customHeight="1">
      <c r="A512" s="5" t="s">
        <v>1328</v>
      </c>
      <c r="B512" s="17"/>
      <c r="C512" s="5" t="s">
        <v>1476</v>
      </c>
      <c r="D512" s="5">
        <v>2.0</v>
      </c>
      <c r="E512" s="5">
        <v>3.0</v>
      </c>
      <c r="F512" s="5" t="s">
        <v>1477</v>
      </c>
      <c r="G512" s="5" t="s">
        <v>554</v>
      </c>
      <c r="H512" s="10" t="s">
        <v>562</v>
      </c>
      <c r="I512" s="5" t="str">
        <f>IFERROR(__xludf.DUMMYFUNCTION("IF(OR(TRIM(G512)="""",TRIM(H512)=""""),"""",TEXTJOIN("", "",TRUE,ARRAYFORMULA(TRANSPOSE(TRIM(SPLIT(G512,"","")))&amp;""_""&amp;TRIM(SPLIT(H512,"","")))))"),"Elf_Male, Elf_Female, Human_Male, Human_Female, Orc_Male, Orc_Female")</f>
        <v>Elf_Male, Elf_Female, Human_Male, Human_Female, Orc_Male, Orc_Female</v>
      </c>
      <c r="J512" s="6" t="s">
        <v>1331</v>
      </c>
      <c r="L512" s="12" t="str">
        <f t="shared" si="1"/>
        <v>Xing_KSRunaway,2,3</v>
      </c>
    </row>
    <row r="513" ht="15.75" customHeight="1">
      <c r="A513" s="5" t="s">
        <v>1328</v>
      </c>
      <c r="B513" s="17"/>
      <c r="C513" s="5" t="s">
        <v>1478</v>
      </c>
      <c r="D513" s="5">
        <v>3.0</v>
      </c>
      <c r="E513" s="5">
        <f t="shared" ref="E513:E514" si="31">D513</f>
        <v>3</v>
      </c>
      <c r="F513" s="5" t="s">
        <v>1481</v>
      </c>
      <c r="G513" s="5" t="s">
        <v>554</v>
      </c>
      <c r="H513" s="10" t="s">
        <v>562</v>
      </c>
      <c r="I513" s="5" t="str">
        <f>IFERROR(__xludf.DUMMYFUNCTION("IF(OR(TRIM(G513)="""",TRIM(H513)=""""),"""",TEXTJOIN("", "",TRUE,ARRAYFORMULA(TRANSPOSE(TRIM(SPLIT(G513,"","")))&amp;""_""&amp;TRIM(SPLIT(H513,"","")))))"),"Elf_Male, Elf_Female, Human_Male, Human_Female, Orc_Male, Orc_Female")</f>
        <v>Elf_Male, Elf_Female, Human_Male, Human_Female, Orc_Male, Orc_Female</v>
      </c>
      <c r="J513" s="6" t="s">
        <v>1331</v>
      </c>
      <c r="L513" s="12" t="str">
        <f t="shared" si="1"/>
        <v>Xing_KSSailAway,3,3</v>
      </c>
    </row>
    <row r="514" ht="15.75" customHeight="1">
      <c r="A514" s="5" t="s">
        <v>1328</v>
      </c>
      <c r="B514" s="17"/>
      <c r="C514" s="5" t="s">
        <v>1482</v>
      </c>
      <c r="D514" s="5">
        <v>3.0</v>
      </c>
      <c r="E514" s="5">
        <f t="shared" si="31"/>
        <v>3</v>
      </c>
      <c r="F514" s="5" t="s">
        <v>1483</v>
      </c>
      <c r="G514" s="5" t="s">
        <v>554</v>
      </c>
      <c r="H514" s="10" t="s">
        <v>562</v>
      </c>
      <c r="I514" s="5" t="str">
        <f>IFERROR(__xludf.DUMMYFUNCTION("IF(OR(TRIM(G514)="""",TRIM(H514)=""""),"""",TEXTJOIN("", "",TRUE,ARRAYFORMULA(TRANSPOSE(TRIM(SPLIT(G514,"","")))&amp;""_""&amp;TRIM(SPLIT(H514,"","")))))"),"Elf_Male, Elf_Female, Human_Male, Human_Female, Orc_Male, Orc_Female")</f>
        <v>Elf_Male, Elf_Female, Human_Male, Human_Female, Orc_Male, Orc_Female</v>
      </c>
      <c r="J514" s="6" t="s">
        <v>1331</v>
      </c>
      <c r="L514" s="12" t="str">
        <f t="shared" si="1"/>
        <v>Xing_KSShepherd,3,3</v>
      </c>
    </row>
    <row r="515" ht="15.75" customHeight="1">
      <c r="A515" s="5" t="s">
        <v>1328</v>
      </c>
      <c r="B515" s="17"/>
      <c r="C515" s="5" t="s">
        <v>1484</v>
      </c>
      <c r="D515" s="5">
        <v>1.0</v>
      </c>
      <c r="E515" s="5">
        <v>3.0</v>
      </c>
      <c r="F515" s="5" t="s">
        <v>1485</v>
      </c>
      <c r="G515" s="5" t="s">
        <v>554</v>
      </c>
      <c r="H515" s="10" t="s">
        <v>562</v>
      </c>
      <c r="I515" s="5" t="str">
        <f>IFERROR(__xludf.DUMMYFUNCTION("IF(OR(TRIM(G515)="""",TRIM(H515)=""""),"""",TEXTJOIN("", "",TRUE,ARRAYFORMULA(TRANSPOSE(TRIM(SPLIT(G515,"","")))&amp;""_""&amp;TRIM(SPLIT(H515,"","")))))"),"Elf_Male, Elf_Female, Human_Male, Human_Female, Orc_Male, Orc_Female")</f>
        <v>Elf_Male, Elf_Female, Human_Male, Human_Female, Orc_Male, Orc_Female</v>
      </c>
      <c r="J515" s="6" t="s">
        <v>1331</v>
      </c>
      <c r="L515" s="12" t="str">
        <f t="shared" si="1"/>
        <v>Xing_KSShieldmaiden,1,3</v>
      </c>
    </row>
    <row r="516" ht="15.75" customHeight="1">
      <c r="A516" s="5" t="s">
        <v>1328</v>
      </c>
      <c r="B516" s="17"/>
      <c r="C516" s="5" t="s">
        <v>1486</v>
      </c>
      <c r="D516" s="5">
        <v>3.0</v>
      </c>
      <c r="E516" s="5">
        <v>4.0</v>
      </c>
      <c r="F516" s="5" t="s">
        <v>1487</v>
      </c>
      <c r="G516" s="5" t="s">
        <v>554</v>
      </c>
      <c r="H516" s="10" t="s">
        <v>562</v>
      </c>
      <c r="I516" s="5" t="str">
        <f>IFERROR(__xludf.DUMMYFUNCTION("IF(OR(TRIM(G516)="""",TRIM(H516)=""""),"""",TEXTJOIN("", "",TRUE,ARRAYFORMULA(TRANSPOSE(TRIM(SPLIT(G516,"","")))&amp;""_""&amp;TRIM(SPLIT(H516,"","")))))"),"Elf_Male, Elf_Female, Human_Male, Human_Female, Orc_Male, Orc_Female")</f>
        <v>Elf_Male, Elf_Female, Human_Male, Human_Female, Orc_Male, Orc_Female</v>
      </c>
      <c r="J516" s="6" t="s">
        <v>1331</v>
      </c>
      <c r="L516" s="12" t="str">
        <f t="shared" si="1"/>
        <v>Xing_KSSirenForest,3,4</v>
      </c>
    </row>
    <row r="517" ht="15.75" customHeight="1">
      <c r="A517" s="5" t="s">
        <v>1328</v>
      </c>
      <c r="B517" s="17"/>
      <c r="C517" s="5" t="s">
        <v>1488</v>
      </c>
      <c r="D517" s="5">
        <v>3.0</v>
      </c>
      <c r="E517" s="5">
        <f>D517</f>
        <v>3</v>
      </c>
      <c r="F517" s="5" t="s">
        <v>1489</v>
      </c>
      <c r="G517" s="5" t="s">
        <v>554</v>
      </c>
      <c r="H517" s="10" t="s">
        <v>562</v>
      </c>
      <c r="I517" s="5" t="str">
        <f>IFERROR(__xludf.DUMMYFUNCTION("IF(OR(TRIM(G517)="""",TRIM(H517)=""""),"""",TEXTJOIN("", "",TRUE,ARRAYFORMULA(TRANSPOSE(TRIM(SPLIT(G517,"","")))&amp;""_""&amp;TRIM(SPLIT(H517,"","")))))"),"Elf_Male, Elf_Female, Human_Male, Human_Female, Orc_Male, Orc_Female")</f>
        <v>Elf_Male, Elf_Female, Human_Male, Human_Female, Orc_Male, Orc_Female</v>
      </c>
      <c r="J517" s="6" t="s">
        <v>1331</v>
      </c>
      <c r="L517" s="12" t="str">
        <f t="shared" si="1"/>
        <v>Xing_KSSky084,3,3</v>
      </c>
    </row>
    <row r="518" ht="15.75" customHeight="1">
      <c r="A518" s="5" t="s">
        <v>1328</v>
      </c>
      <c r="B518" s="17"/>
      <c r="C518" s="5" t="s">
        <v>1490</v>
      </c>
      <c r="D518" s="5">
        <v>1.0</v>
      </c>
      <c r="E518" s="5">
        <v>2.0</v>
      </c>
      <c r="F518" s="5" t="s">
        <v>1491</v>
      </c>
      <c r="G518" s="5" t="s">
        <v>554</v>
      </c>
      <c r="H518" s="10" t="s">
        <v>562</v>
      </c>
      <c r="I518" s="5" t="str">
        <f>IFERROR(__xludf.DUMMYFUNCTION("IF(OR(TRIM(G518)="""",TRIM(H518)=""""),"""",TEXTJOIN("", "",TRUE,ARRAYFORMULA(TRANSPOSE(TRIM(SPLIT(G518,"","")))&amp;""_""&amp;TRIM(SPLIT(H518,"","")))))"),"Elf_Male, Elf_Female, Human_Male, Human_Female, Orc_Male, Orc_Female")</f>
        <v>Elf_Male, Elf_Female, Human_Male, Human_Female, Orc_Male, Orc_Female</v>
      </c>
      <c r="J518" s="6" t="s">
        <v>1331</v>
      </c>
      <c r="L518" s="12" t="str">
        <f t="shared" si="1"/>
        <v>Xing_KSSky161,1,2</v>
      </c>
    </row>
    <row r="519" ht="15.75" customHeight="1">
      <c r="A519" s="5" t="s">
        <v>1328</v>
      </c>
      <c r="B519" s="17"/>
      <c r="C519" s="5" t="s">
        <v>1492</v>
      </c>
      <c r="D519" s="5">
        <v>3.0</v>
      </c>
      <c r="E519" s="5">
        <f t="shared" ref="E519:E523" si="32">D519</f>
        <v>3</v>
      </c>
      <c r="F519" s="5" t="s">
        <v>1493</v>
      </c>
      <c r="G519" s="5" t="s">
        <v>554</v>
      </c>
      <c r="H519" s="10" t="s">
        <v>562</v>
      </c>
      <c r="I519" s="5" t="str">
        <f>IFERROR(__xludf.DUMMYFUNCTION("IF(OR(TRIM(G519)="""",TRIM(H519)=""""),"""",TEXTJOIN("", "",TRUE,ARRAYFORMULA(TRANSPOSE(TRIM(SPLIT(G519,"","")))&amp;""_""&amp;TRIM(SPLIT(H519,"","")))))"),"Elf_Male, Elf_Female, Human_Male, Human_Female, Orc_Male, Orc_Female")</f>
        <v>Elf_Male, Elf_Female, Human_Male, Human_Female, Orc_Male, Orc_Female</v>
      </c>
      <c r="J519" s="6" t="s">
        <v>1331</v>
      </c>
      <c r="L519" s="12" t="str">
        <f t="shared" si="1"/>
        <v>Xing_KSSky207,3,3</v>
      </c>
    </row>
    <row r="520" ht="15.75" customHeight="1">
      <c r="A520" s="5" t="s">
        <v>1328</v>
      </c>
      <c r="B520" s="17"/>
      <c r="C520" s="5" t="s">
        <v>1494</v>
      </c>
      <c r="D520" s="5">
        <v>3.0</v>
      </c>
      <c r="E520" s="5">
        <f t="shared" si="32"/>
        <v>3</v>
      </c>
      <c r="F520" s="5" t="s">
        <v>1495</v>
      </c>
      <c r="G520" s="5" t="s">
        <v>554</v>
      </c>
      <c r="H520" s="10" t="s">
        <v>562</v>
      </c>
      <c r="I520" s="5" t="str">
        <f>IFERROR(__xludf.DUMMYFUNCTION("IF(OR(TRIM(G520)="""",TRIM(H520)=""""),"""",TEXTJOIN("", "",TRUE,ARRAYFORMULA(TRANSPOSE(TRIM(SPLIT(G520,"","")))&amp;""_""&amp;TRIM(SPLIT(H520,"","")))))"),"Elf_Male, Elf_Female, Human_Male, Human_Female, Orc_Male, Orc_Female")</f>
        <v>Elf_Male, Elf_Female, Human_Male, Human_Female, Orc_Male, Orc_Female</v>
      </c>
      <c r="J520" s="6" t="s">
        <v>1331</v>
      </c>
      <c r="L520" s="12" t="str">
        <f t="shared" si="1"/>
        <v>Xing_KSSleeper,3,3</v>
      </c>
    </row>
    <row r="521" ht="15.75" customHeight="1">
      <c r="A521" s="5" t="s">
        <v>1328</v>
      </c>
      <c r="B521" s="17"/>
      <c r="C521" s="5" t="s">
        <v>1496</v>
      </c>
      <c r="D521" s="5">
        <v>2.0</v>
      </c>
      <c r="E521" s="5">
        <f t="shared" si="32"/>
        <v>2</v>
      </c>
      <c r="F521" s="5" t="s">
        <v>1497</v>
      </c>
      <c r="G521" s="5" t="s">
        <v>554</v>
      </c>
      <c r="H521" s="10" t="s">
        <v>562</v>
      </c>
      <c r="I521" s="5" t="str">
        <f>IFERROR(__xludf.DUMMYFUNCTION("IF(OR(TRIM(G521)="""",TRIM(H521)=""""),"""",TEXTJOIN("", "",TRUE,ARRAYFORMULA(TRANSPOSE(TRIM(SPLIT(G521,"","")))&amp;""_""&amp;TRIM(SPLIT(H521,"","")))))"),"Elf_Male, Elf_Female, Human_Male, Human_Female, Orc_Male, Orc_Female")</f>
        <v>Elf_Male, Elf_Female, Human_Male, Human_Female, Orc_Male, Orc_Female</v>
      </c>
      <c r="J521" s="6" t="s">
        <v>1331</v>
      </c>
      <c r="L521" s="12" t="str">
        <f t="shared" si="1"/>
        <v>Xing_KSSomali,2,2</v>
      </c>
    </row>
    <row r="522" ht="15.75" customHeight="1">
      <c r="A522" s="5" t="s">
        <v>1328</v>
      </c>
      <c r="B522" s="17"/>
      <c r="C522" s="5" t="s">
        <v>1501</v>
      </c>
      <c r="D522" s="5">
        <v>1.0</v>
      </c>
      <c r="E522" s="5">
        <f t="shared" si="32"/>
        <v>1</v>
      </c>
      <c r="F522" s="5" t="s">
        <v>1502</v>
      </c>
      <c r="G522" s="5" t="s">
        <v>554</v>
      </c>
      <c r="H522" s="10" t="s">
        <v>562</v>
      </c>
      <c r="I522" s="5" t="str">
        <f>IFERROR(__xludf.DUMMYFUNCTION("IF(OR(TRIM(G522)="""",TRIM(H522)=""""),"""",TEXTJOIN("", "",TRUE,ARRAYFORMULA(TRANSPOSE(TRIM(SPLIT(G522,"","")))&amp;""_""&amp;TRIM(SPLIT(H522,"","")))))"),"Elf_Male, Elf_Female, Human_Male, Human_Female, Orc_Male, Orc_Female")</f>
        <v>Elf_Male, Elf_Female, Human_Male, Human_Female, Orc_Male, Orc_Female</v>
      </c>
      <c r="J522" s="6" t="s">
        <v>1331</v>
      </c>
      <c r="L522" s="12" t="str">
        <f t="shared" si="1"/>
        <v>Xing_KSSoundwave,1,1</v>
      </c>
    </row>
    <row r="523" ht="15.75" customHeight="1">
      <c r="A523" s="5" t="s">
        <v>1328</v>
      </c>
      <c r="B523" s="17"/>
      <c r="C523" s="5" t="s">
        <v>1503</v>
      </c>
      <c r="D523" s="5">
        <v>3.0</v>
      </c>
      <c r="E523" s="5">
        <f t="shared" si="32"/>
        <v>3</v>
      </c>
      <c r="F523" s="5" t="s">
        <v>1504</v>
      </c>
      <c r="G523" s="5" t="s">
        <v>554</v>
      </c>
      <c r="H523" s="10" t="s">
        <v>562</v>
      </c>
      <c r="I523" s="5" t="str">
        <f>IFERROR(__xludf.DUMMYFUNCTION("IF(OR(TRIM(G523)="""",TRIM(H523)=""""),"""",TEXTJOIN("", "",TRUE,ARRAYFORMULA(TRANSPOSE(TRIM(SPLIT(G523,"","")))&amp;""_""&amp;TRIM(SPLIT(H523,"","")))))"),"Elf_Male, Elf_Female, Human_Male, Human_Female, Orc_Male, Orc_Female")</f>
        <v>Elf_Male, Elf_Female, Human_Male, Human_Female, Orc_Male, Orc_Female</v>
      </c>
      <c r="J523" s="6" t="s">
        <v>1331</v>
      </c>
      <c r="L523" s="12" t="str">
        <f t="shared" si="1"/>
        <v>Xing_KSSparks,3,3</v>
      </c>
    </row>
    <row r="524" ht="15.75" customHeight="1">
      <c r="A524" s="5" t="s">
        <v>1328</v>
      </c>
      <c r="B524" s="17"/>
      <c r="C524" s="5" t="s">
        <v>1505</v>
      </c>
      <c r="D524" s="5">
        <v>2.0</v>
      </c>
      <c r="E524" s="5">
        <v>3.0</v>
      </c>
      <c r="F524" s="5" t="s">
        <v>1506</v>
      </c>
      <c r="G524" s="5" t="s">
        <v>554</v>
      </c>
      <c r="H524" s="10" t="s">
        <v>562</v>
      </c>
      <c r="I524" s="5" t="str">
        <f>IFERROR(__xludf.DUMMYFUNCTION("IF(OR(TRIM(G524)="""",TRIM(H524)=""""),"""",TEXTJOIN("", "",TRUE,ARRAYFORMULA(TRANSPOSE(TRIM(SPLIT(G524,"","")))&amp;""_""&amp;TRIM(SPLIT(H524,"","")))))"),"Elf_Male, Elf_Female, Human_Male, Human_Female, Orc_Male, Orc_Female")</f>
        <v>Elf_Male, Elf_Female, Human_Male, Human_Female, Orc_Male, Orc_Female</v>
      </c>
      <c r="J524" s="6" t="s">
        <v>1331</v>
      </c>
      <c r="L524" s="12" t="str">
        <f t="shared" si="1"/>
        <v>Xing_KSSpectrum,2,3</v>
      </c>
    </row>
    <row r="525" ht="15.75" customHeight="1">
      <c r="A525" s="5" t="s">
        <v>1328</v>
      </c>
      <c r="B525" s="17"/>
      <c r="C525" s="5" t="s">
        <v>1507</v>
      </c>
      <c r="D525" s="5">
        <v>3.0</v>
      </c>
      <c r="E525" s="5">
        <v>4.0</v>
      </c>
      <c r="F525" s="5" t="s">
        <v>1508</v>
      </c>
      <c r="G525" s="5" t="s">
        <v>554</v>
      </c>
      <c r="H525" s="10" t="s">
        <v>562</v>
      </c>
      <c r="I525" s="5" t="str">
        <f>IFERROR(__xludf.DUMMYFUNCTION("IF(OR(TRIM(G525)="""",TRIM(H525)=""""),"""",TEXTJOIN("", "",TRUE,ARRAYFORMULA(TRANSPOSE(TRIM(SPLIT(G525,"","")))&amp;""_""&amp;TRIM(SPLIT(H525,"","")))))"),"Elf_Male, Elf_Female, Human_Male, Human_Female, Orc_Male, Orc_Female")</f>
        <v>Elf_Male, Elf_Female, Human_Male, Human_Female, Orc_Male, Orc_Female</v>
      </c>
      <c r="J525" s="6" t="s">
        <v>1331</v>
      </c>
      <c r="L525" s="12" t="str">
        <f t="shared" si="1"/>
        <v>Xing_KSSteammist,3,4</v>
      </c>
    </row>
    <row r="526" ht="15.75" customHeight="1">
      <c r="A526" s="5" t="s">
        <v>1328</v>
      </c>
      <c r="B526" s="17"/>
      <c r="C526" s="5" t="s">
        <v>1509</v>
      </c>
      <c r="D526" s="5">
        <v>2.0</v>
      </c>
      <c r="E526" s="5">
        <f>D526</f>
        <v>2</v>
      </c>
      <c r="F526" s="5" t="s">
        <v>1510</v>
      </c>
      <c r="G526" s="5" t="s">
        <v>554</v>
      </c>
      <c r="H526" s="10" t="s">
        <v>562</v>
      </c>
      <c r="I526" s="5" t="str">
        <f>IFERROR(__xludf.DUMMYFUNCTION("IF(OR(TRIM(G526)="""",TRIM(H526)=""""),"""",TEXTJOIN("", "",TRUE,ARRAYFORMULA(TRANSPOSE(TRIM(SPLIT(G526,"","")))&amp;""_""&amp;TRIM(SPLIT(H526,"","")))))"),"Elf_Male, Elf_Female, Human_Male, Human_Female, Orc_Male, Orc_Female")</f>
        <v>Elf_Male, Elf_Female, Human_Male, Human_Female, Orc_Male, Orc_Female</v>
      </c>
      <c r="J526" s="6" t="s">
        <v>1331</v>
      </c>
      <c r="L526" s="12" t="str">
        <f t="shared" si="1"/>
        <v>Xing_KSSunshine,2,2</v>
      </c>
    </row>
    <row r="527" ht="15.75" customHeight="1">
      <c r="A527" s="5" t="s">
        <v>1328</v>
      </c>
      <c r="B527" s="17"/>
      <c r="C527" s="5" t="s">
        <v>1511</v>
      </c>
      <c r="D527" s="5">
        <v>2.0</v>
      </c>
      <c r="E527" s="5">
        <v>3.0</v>
      </c>
      <c r="F527" s="5" t="s">
        <v>1512</v>
      </c>
      <c r="G527" s="5" t="s">
        <v>554</v>
      </c>
      <c r="H527" s="10" t="s">
        <v>562</v>
      </c>
      <c r="I527" s="5" t="str">
        <f>IFERROR(__xludf.DUMMYFUNCTION("IF(OR(TRIM(G527)="""",TRIM(H527)=""""),"""",TEXTJOIN("", "",TRUE,ARRAYFORMULA(TRANSPOSE(TRIM(SPLIT(G527,"","")))&amp;""_""&amp;TRIM(SPLIT(H527,"","")))))"),"Elf_Male, Elf_Female, Human_Male, Human_Female, Orc_Male, Orc_Female")</f>
        <v>Elf_Male, Elf_Female, Human_Male, Human_Female, Orc_Male, Orc_Female</v>
      </c>
      <c r="J527" s="6" t="s">
        <v>1331</v>
      </c>
      <c r="L527" s="12" t="str">
        <f t="shared" si="1"/>
        <v>Xing_KSTemptress,2,3</v>
      </c>
    </row>
    <row r="528" ht="15.75" customHeight="1">
      <c r="A528" s="5" t="s">
        <v>1328</v>
      </c>
      <c r="B528" s="17"/>
      <c r="C528" s="5" t="s">
        <v>1513</v>
      </c>
      <c r="D528" s="5">
        <v>3.0</v>
      </c>
      <c r="E528" s="5">
        <f>D528</f>
        <v>3</v>
      </c>
      <c r="F528" s="5" t="s">
        <v>1514</v>
      </c>
      <c r="G528" s="5" t="s">
        <v>554</v>
      </c>
      <c r="H528" s="10" t="s">
        <v>562</v>
      </c>
      <c r="I528" s="5" t="str">
        <f>IFERROR(__xludf.DUMMYFUNCTION("IF(OR(TRIM(G528)="""",TRIM(H528)=""""),"""",TEXTJOIN("", "",TRUE,ARRAYFORMULA(TRANSPOSE(TRIM(SPLIT(G528,"","")))&amp;""_""&amp;TRIM(SPLIT(H528,"","")))))"),"Elf_Male, Elf_Female, Human_Male, Human_Female, Orc_Male, Orc_Female")</f>
        <v>Elf_Male, Elf_Female, Human_Male, Human_Female, Orc_Male, Orc_Female</v>
      </c>
      <c r="J528" s="6" t="s">
        <v>1331</v>
      </c>
      <c r="L528" s="12" t="str">
        <f t="shared" si="1"/>
        <v>Xing_KSTitanium,3,3</v>
      </c>
    </row>
    <row r="529" ht="15.75" customHeight="1">
      <c r="A529" s="5" t="s">
        <v>1328</v>
      </c>
      <c r="B529" s="17"/>
      <c r="C529" s="5" t="s">
        <v>1515</v>
      </c>
      <c r="D529" s="5">
        <v>1.0</v>
      </c>
      <c r="E529" s="5">
        <v>2.0</v>
      </c>
      <c r="F529" s="5" t="s">
        <v>1516</v>
      </c>
      <c r="G529" s="5" t="s">
        <v>554</v>
      </c>
      <c r="H529" s="10" t="s">
        <v>562</v>
      </c>
      <c r="I529" s="5" t="str">
        <f>IFERROR(__xludf.DUMMYFUNCTION("IF(OR(TRIM(G529)="""",TRIM(H529)=""""),"""",TEXTJOIN("", "",TRUE,ARRAYFORMULA(TRANSPOSE(TRIM(SPLIT(G529,"","")))&amp;""_""&amp;TRIM(SPLIT(H529,"","")))))"),"Elf_Male, Elf_Female, Human_Male, Human_Female, Orc_Male, Orc_Female")</f>
        <v>Elf_Male, Elf_Female, Human_Male, Human_Female, Orc_Male, Orc_Female</v>
      </c>
      <c r="J529" s="6" t="s">
        <v>1331</v>
      </c>
      <c r="L529" s="12" t="str">
        <f t="shared" si="1"/>
        <v>Xing_KSTsugumi1,1,2</v>
      </c>
    </row>
    <row r="530" ht="15.75" customHeight="1">
      <c r="A530" s="5" t="s">
        <v>1328</v>
      </c>
      <c r="B530" s="17"/>
      <c r="C530" s="5" t="s">
        <v>1518</v>
      </c>
      <c r="D530" s="5">
        <v>1.0</v>
      </c>
      <c r="E530" s="5">
        <v>3.0</v>
      </c>
      <c r="F530" s="5" t="s">
        <v>1521</v>
      </c>
      <c r="G530" s="5" t="s">
        <v>554</v>
      </c>
      <c r="H530" s="10" t="s">
        <v>562</v>
      </c>
      <c r="I530" s="5" t="str">
        <f>IFERROR(__xludf.DUMMYFUNCTION("IF(OR(TRIM(G530)="""",TRIM(H530)=""""),"""",TEXTJOIN("", "",TRUE,ARRAYFORMULA(TRANSPOSE(TRIM(SPLIT(G530,"","")))&amp;""_""&amp;TRIM(SPLIT(H530,"","")))))"),"Elf_Male, Elf_Female, Human_Male, Human_Female, Orc_Male, Orc_Female")</f>
        <v>Elf_Male, Elf_Female, Human_Male, Human_Female, Orc_Male, Orc_Female</v>
      </c>
      <c r="J530" s="6" t="s">
        <v>1331</v>
      </c>
      <c r="L530" s="12" t="str">
        <f t="shared" si="1"/>
        <v>Xing_KSTsugumi2,1,3</v>
      </c>
    </row>
    <row r="531" ht="15.75" customHeight="1">
      <c r="A531" s="5" t="s">
        <v>1328</v>
      </c>
      <c r="B531" s="17"/>
      <c r="C531" s="5" t="s">
        <v>1522</v>
      </c>
      <c r="D531" s="5">
        <v>1.0</v>
      </c>
      <c r="E531" s="5">
        <v>4.0</v>
      </c>
      <c r="F531" s="5" t="s">
        <v>1523</v>
      </c>
      <c r="G531" s="5" t="s">
        <v>554</v>
      </c>
      <c r="H531" s="10" t="s">
        <v>562</v>
      </c>
      <c r="I531" s="5" t="str">
        <f>IFERROR(__xludf.DUMMYFUNCTION("IF(OR(TRIM(G531)="""",TRIM(H531)=""""),"""",TEXTJOIN("", "",TRUE,ARRAYFORMULA(TRANSPOSE(TRIM(SPLIT(G531,"","")))&amp;""_""&amp;TRIM(SPLIT(H531,"","")))))"),"Elf_Male, Elf_Female, Human_Male, Human_Female, Orc_Male, Orc_Female")</f>
        <v>Elf_Male, Elf_Female, Human_Male, Human_Female, Orc_Male, Orc_Female</v>
      </c>
      <c r="J531" s="6" t="s">
        <v>1331</v>
      </c>
      <c r="L531" s="12" t="str">
        <f t="shared" si="1"/>
        <v>Xing_KSTsugumi3,1,4</v>
      </c>
    </row>
    <row r="532" ht="15.75" customHeight="1">
      <c r="A532" s="5" t="s">
        <v>1328</v>
      </c>
      <c r="B532" s="17"/>
      <c r="C532" s="5" t="s">
        <v>1524</v>
      </c>
      <c r="D532" s="5">
        <v>3.0</v>
      </c>
      <c r="E532" s="5">
        <f t="shared" ref="E532:E535" si="33">D532</f>
        <v>3</v>
      </c>
      <c r="F532" s="5" t="s">
        <v>1525</v>
      </c>
      <c r="G532" s="5" t="s">
        <v>554</v>
      </c>
      <c r="H532" s="10" t="s">
        <v>562</v>
      </c>
      <c r="I532" s="5" t="str">
        <f>IFERROR(__xludf.DUMMYFUNCTION("IF(OR(TRIM(G532)="""",TRIM(H532)=""""),"""",TEXTJOIN("", "",TRUE,ARRAYFORMULA(TRANSPOSE(TRIM(SPLIT(G532,"","")))&amp;""_""&amp;TRIM(SPLIT(H532,"","")))))"),"Elf_Male, Elf_Female, Human_Male, Human_Female, Orc_Male, Orc_Female")</f>
        <v>Elf_Male, Elf_Female, Human_Male, Human_Female, Orc_Male, Orc_Female</v>
      </c>
      <c r="J532" s="6" t="s">
        <v>1331</v>
      </c>
      <c r="L532" s="12" t="str">
        <f t="shared" si="1"/>
        <v>Xing_KSVeneris,3,3</v>
      </c>
    </row>
    <row r="533" ht="15.75" customHeight="1">
      <c r="A533" s="5" t="s">
        <v>1328</v>
      </c>
      <c r="B533" s="17"/>
      <c r="C533" s="5" t="s">
        <v>1526</v>
      </c>
      <c r="D533" s="5">
        <v>3.0</v>
      </c>
      <c r="E533" s="5">
        <f t="shared" si="33"/>
        <v>3</v>
      </c>
      <c r="F533" s="5" t="s">
        <v>1527</v>
      </c>
      <c r="G533" s="5" t="s">
        <v>554</v>
      </c>
      <c r="H533" s="10" t="s">
        <v>562</v>
      </c>
      <c r="I533" s="5" t="str">
        <f>IFERROR(__xludf.DUMMYFUNCTION("IF(OR(TRIM(G533)="""",TRIM(H533)=""""),"""",TEXTJOIN("", "",TRUE,ARRAYFORMULA(TRANSPOSE(TRIM(SPLIT(G533,"","")))&amp;""_""&amp;TRIM(SPLIT(H533,"","")))))"),"Elf_Male, Elf_Female, Human_Male, Human_Female, Orc_Male, Orc_Female")</f>
        <v>Elf_Male, Elf_Female, Human_Male, Human_Female, Orc_Male, Orc_Female</v>
      </c>
      <c r="J533" s="6" t="s">
        <v>1331</v>
      </c>
      <c r="L533" s="12" t="str">
        <f t="shared" si="1"/>
        <v>Xing_KSVenus,3,3</v>
      </c>
    </row>
    <row r="534" ht="15.75" customHeight="1">
      <c r="A534" s="5" t="s">
        <v>1328</v>
      </c>
      <c r="B534" s="17"/>
      <c r="C534" s="5" t="s">
        <v>1528</v>
      </c>
      <c r="D534" s="5">
        <v>1.0</v>
      </c>
      <c r="E534" s="5">
        <f t="shared" si="33"/>
        <v>1</v>
      </c>
      <c r="F534" s="5" t="s">
        <v>1529</v>
      </c>
      <c r="G534" s="5" t="s">
        <v>554</v>
      </c>
      <c r="H534" s="10" t="s">
        <v>562</v>
      </c>
      <c r="I534" s="5" t="str">
        <f>IFERROR(__xludf.DUMMYFUNCTION("IF(OR(TRIM(G534)="""",TRIM(H534)=""""),"""",TEXTJOIN("", "",TRUE,ARRAYFORMULA(TRANSPOSE(TRIM(SPLIT(G534,"","")))&amp;""_""&amp;TRIM(SPLIT(H534,"","")))))"),"Elf_Male, Elf_Female, Human_Male, Human_Female, Orc_Male, Orc_Female")</f>
        <v>Elf_Male, Elf_Female, Human_Male, Human_Female, Orc_Male, Orc_Female</v>
      </c>
      <c r="J534" s="6" t="s">
        <v>1331</v>
      </c>
      <c r="L534" s="12" t="str">
        <f t="shared" si="1"/>
        <v>Xing_SGGinko02,1,1</v>
      </c>
    </row>
    <row r="535" ht="15.75" customHeight="1">
      <c r="A535" s="5" t="s">
        <v>1328</v>
      </c>
      <c r="B535" s="17"/>
      <c r="C535" s="5" t="s">
        <v>1530</v>
      </c>
      <c r="D535" s="5">
        <v>2.0</v>
      </c>
      <c r="E535" s="5">
        <f t="shared" si="33"/>
        <v>2</v>
      </c>
      <c r="F535" s="5" t="s">
        <v>1531</v>
      </c>
      <c r="G535" s="5" t="s">
        <v>554</v>
      </c>
      <c r="H535" s="10" t="s">
        <v>562</v>
      </c>
      <c r="I535" s="5" t="str">
        <f>IFERROR(__xludf.DUMMYFUNCTION("IF(OR(TRIM(G535)="""",TRIM(H535)=""""),"""",TEXTJOIN("", "",TRUE,ARRAYFORMULA(TRANSPOSE(TRIM(SPLIT(G535,"","")))&amp;""_""&amp;TRIM(SPLIT(H535,"","")))))"),"Elf_Male, Elf_Female, Human_Male, Human_Female, Orc_Male, Orc_Female")</f>
        <v>Elf_Male, Elf_Female, Human_Male, Human_Female, Orc_Male, Orc_Female</v>
      </c>
      <c r="J535" s="6" t="s">
        <v>1331</v>
      </c>
      <c r="L535" s="12" t="str">
        <f t="shared" si="1"/>
        <v>Xing_SGhair25,2,2</v>
      </c>
    </row>
    <row r="536" ht="15.75" customHeight="1">
      <c r="A536" s="5" t="s">
        <v>1328</v>
      </c>
      <c r="B536" s="17"/>
      <c r="C536" s="5" t="s">
        <v>1532</v>
      </c>
      <c r="D536" s="5">
        <v>2.0</v>
      </c>
      <c r="E536" s="5">
        <v>3.0</v>
      </c>
      <c r="F536" s="5" t="s">
        <v>1533</v>
      </c>
      <c r="G536" s="5" t="s">
        <v>554</v>
      </c>
      <c r="H536" s="10" t="s">
        <v>562</v>
      </c>
      <c r="I536" s="5" t="str">
        <f>IFERROR(__xludf.DUMMYFUNCTION("IF(OR(TRIM(G536)="""",TRIM(H536)=""""),"""",TEXTJOIN("", "",TRUE,ARRAYFORMULA(TRANSPOSE(TRIM(SPLIT(G536,"","")))&amp;""_""&amp;TRIM(SPLIT(H536,"","")))))"),"Elf_Male, Elf_Female, Human_Male, Human_Female, Orc_Male, Orc_Female")</f>
        <v>Elf_Male, Elf_Female, Human_Male, Human_Female, Orc_Male, Orc_Female</v>
      </c>
      <c r="J536" s="6" t="s">
        <v>1331</v>
      </c>
      <c r="L536" s="12" t="str">
        <f t="shared" si="1"/>
        <v>Xing_SGhairpg4385,2,3</v>
      </c>
    </row>
    <row r="537" ht="15.75" customHeight="1">
      <c r="A537" s="5" t="s">
        <v>1328</v>
      </c>
      <c r="B537" s="17"/>
      <c r="C537" s="5" t="s">
        <v>1534</v>
      </c>
      <c r="D537" s="5">
        <v>3.0</v>
      </c>
      <c r="E537" s="5">
        <v>3.0</v>
      </c>
      <c r="F537" s="5" t="s">
        <v>1535</v>
      </c>
      <c r="G537" s="5" t="s">
        <v>554</v>
      </c>
      <c r="H537" s="10" t="s">
        <v>562</v>
      </c>
      <c r="I537" s="5" t="str">
        <f>IFERROR(__xludf.DUMMYFUNCTION("IF(OR(TRIM(G537)="""",TRIM(H537)=""""),"""",TEXTJOIN("", "",TRUE,ARRAYFORMULA(TRANSPOSE(TRIM(SPLIT(G537,"","")))&amp;""_""&amp;TRIM(SPLIT(H537,"","")))))"),"Elf_Male, Elf_Female, Human_Male, Human_Female, Orc_Male, Orc_Female")</f>
        <v>Elf_Male, Elf_Female, Human_Male, Human_Female, Orc_Male, Orc_Female</v>
      </c>
      <c r="J537" s="6" t="s">
        <v>1331</v>
      </c>
      <c r="L537" s="12" t="str">
        <f t="shared" si="1"/>
        <v>Xing_SGLovelution,3,3</v>
      </c>
    </row>
    <row r="538" ht="15.75" customHeight="1">
      <c r="A538" s="5" t="s">
        <v>1328</v>
      </c>
      <c r="B538" s="17"/>
      <c r="C538" s="5" t="s">
        <v>1536</v>
      </c>
      <c r="D538" s="5">
        <v>2.0</v>
      </c>
      <c r="E538" s="5">
        <f t="shared" ref="E538:E539" si="34">D538</f>
        <v>2</v>
      </c>
      <c r="F538" s="5" t="s">
        <v>1540</v>
      </c>
      <c r="G538" s="5" t="s">
        <v>554</v>
      </c>
      <c r="H538" s="10" t="s">
        <v>562</v>
      </c>
      <c r="I538" s="5" t="str">
        <f>IFERROR(__xludf.DUMMYFUNCTION("IF(OR(TRIM(G538)="""",TRIM(H538)=""""),"""",TEXTJOIN("", "",TRUE,ARRAYFORMULA(TRANSPOSE(TRIM(SPLIT(G538,"","")))&amp;""_""&amp;TRIM(SPLIT(H538,"","")))))"),"Elf_Male, Elf_Female, Human_Male, Human_Female, Orc_Male, Orc_Female")</f>
        <v>Elf_Male, Elf_Female, Human_Male, Human_Female, Orc_Male, Orc_Female</v>
      </c>
      <c r="J538" s="6" t="s">
        <v>1331</v>
      </c>
      <c r="L538" s="12" t="str">
        <f t="shared" si="1"/>
        <v>Xing_SGMisa,2,2</v>
      </c>
    </row>
    <row r="539" ht="15.75" customHeight="1">
      <c r="A539" s="5" t="s">
        <v>1328</v>
      </c>
      <c r="B539" s="17"/>
      <c r="C539" s="5" t="s">
        <v>1542</v>
      </c>
      <c r="D539" s="5">
        <v>2.0</v>
      </c>
      <c r="E539" s="5">
        <f t="shared" si="34"/>
        <v>2</v>
      </c>
      <c r="F539" s="5" t="s">
        <v>1543</v>
      </c>
      <c r="G539" s="5" t="s">
        <v>554</v>
      </c>
      <c r="H539" s="10" t="s">
        <v>562</v>
      </c>
      <c r="I539" s="5" t="str">
        <f>IFERROR(__xludf.DUMMYFUNCTION("IF(OR(TRIM(G539)="""",TRIM(H539)=""""),"""",TEXTJOIN("", "",TRUE,ARRAYFORMULA(TRANSPOSE(TRIM(SPLIT(G539,"","")))&amp;""_""&amp;TRIM(SPLIT(H539,"","")))))"),"Elf_Male, Elf_Female, Human_Male, Human_Female, Orc_Male, Orc_Female")</f>
        <v>Elf_Male, Elf_Female, Human_Male, Human_Female, Orc_Male, Orc_Female</v>
      </c>
      <c r="J539" s="6" t="s">
        <v>1331</v>
      </c>
      <c r="L539" s="12" t="str">
        <f t="shared" si="1"/>
        <v>Xing_SGMisa2,2,2</v>
      </c>
    </row>
    <row r="540" ht="15.75" customHeight="1">
      <c r="A540" s="5" t="s">
        <v>1328</v>
      </c>
      <c r="B540" s="17"/>
      <c r="C540" s="5" t="s">
        <v>1544</v>
      </c>
      <c r="D540" s="5">
        <v>1.0</v>
      </c>
      <c r="E540" s="5">
        <v>2.0</v>
      </c>
      <c r="F540" s="5" t="s">
        <v>1545</v>
      </c>
      <c r="G540" s="5" t="s">
        <v>554</v>
      </c>
      <c r="H540" s="10" t="s">
        <v>562</v>
      </c>
      <c r="I540" s="5" t="str">
        <f>IFERROR(__xludf.DUMMYFUNCTION("IF(OR(TRIM(G540)="""",TRIM(H540)=""""),"""",TEXTJOIN("", "",TRUE,ARRAYFORMULA(TRANSPOSE(TRIM(SPLIT(G540,"","")))&amp;""_""&amp;TRIM(SPLIT(H540,"","")))))"),"Elf_Male, Elf_Female, Human_Male, Human_Female, Orc_Male, Orc_Female")</f>
        <v>Elf_Male, Elf_Female, Human_Male, Human_Female, Orc_Male, Orc_Female</v>
      </c>
      <c r="J540" s="6" t="s">
        <v>1331</v>
      </c>
      <c r="L540" s="12" t="str">
        <f t="shared" si="1"/>
        <v>Xing_SGSidebraids,1,2</v>
      </c>
    </row>
    <row r="541" ht="15.75" customHeight="1">
      <c r="A541" s="5" t="s">
        <v>1328</v>
      </c>
      <c r="B541" s="17"/>
      <c r="C541" s="5" t="s">
        <v>1546</v>
      </c>
      <c r="D541" s="5">
        <v>2.0</v>
      </c>
      <c r="E541" s="5">
        <f>D541</f>
        <v>2</v>
      </c>
      <c r="F541" s="5" t="s">
        <v>1547</v>
      </c>
      <c r="G541" s="5" t="s">
        <v>554</v>
      </c>
      <c r="H541" s="10" t="s">
        <v>562</v>
      </c>
      <c r="I541" s="5" t="str">
        <f>IFERROR(__xludf.DUMMYFUNCTION("IF(OR(TRIM(G541)="""",TRIM(H541)=""""),"""",TEXTJOIN("", "",TRUE,ARRAYFORMULA(TRANSPOSE(TRIM(SPLIT(G541,"","")))&amp;""_""&amp;TRIM(SPLIT(H541,"","")))))"),"Elf_Male, Elf_Female, Human_Male, Human_Female, Orc_Male, Orc_Female")</f>
        <v>Elf_Male, Elf_Female, Human_Male, Human_Female, Orc_Male, Orc_Female</v>
      </c>
      <c r="J541" s="6" t="s">
        <v>1331</v>
      </c>
      <c r="L541" s="12" t="str">
        <f t="shared" si="1"/>
        <v>Xing_SGWildsoul,2,2</v>
      </c>
    </row>
    <row r="542" ht="15.75" customHeight="1">
      <c r="A542" s="5" t="s">
        <v>1328</v>
      </c>
      <c r="B542" s="17"/>
      <c r="C542" s="5" t="s">
        <v>1548</v>
      </c>
      <c r="D542" s="5">
        <v>1.0</v>
      </c>
      <c r="E542" s="5">
        <v>3.0</v>
      </c>
      <c r="F542" s="5" t="s">
        <v>1549</v>
      </c>
      <c r="G542" s="5" t="s">
        <v>554</v>
      </c>
      <c r="H542" s="10" t="s">
        <v>562</v>
      </c>
      <c r="I542" s="5" t="str">
        <f>IFERROR(__xludf.DUMMYFUNCTION("IF(OR(TRIM(G542)="""",TRIM(H542)=""""),"""",TEXTJOIN("", "",TRUE,ARRAYFORMULA(TRANSPOSE(TRIM(SPLIT(G542,"","")))&amp;""_""&amp;TRIM(SPLIT(H542,"","")))))"),"Elf_Male, Elf_Female, Human_Male, Human_Female, Orc_Male, Orc_Female")</f>
        <v>Elf_Male, Elf_Female, Human_Male, Human_Female, Orc_Male, Orc_Female</v>
      </c>
      <c r="J542" s="6" t="s">
        <v>1331</v>
      </c>
      <c r="L542" s="12" t="str">
        <f t="shared" si="1"/>
        <v>Xing_KSShieldbrother,1,3</v>
      </c>
    </row>
    <row r="543" ht="16.5" customHeight="1">
      <c r="A543" s="5"/>
      <c r="B543" s="17"/>
      <c r="C543" s="5"/>
      <c r="D543" s="5"/>
      <c r="E543" s="5"/>
      <c r="F543" s="5"/>
      <c r="G543" s="5"/>
      <c r="H543" s="10"/>
      <c r="I543" s="5"/>
    </row>
    <row r="544" ht="15.75" customHeight="1">
      <c r="B544" s="17"/>
      <c r="I544" s="5" t="str">
        <f t="array" ref="I544">IFERROR(TEXTJOIN(", ", TRUE, MAKEARRAY(COLUMNS(TEXTSPLIT(G544, ",",, TRUE)), COLUMNS(TEXTSPLIT(H544, ",",, TRUE)), LAMBDA(_xlpm.ri,_xlpm.gi, TRIM(INDEX(TEXTSPLIT(G544, ",",, TRUE), 1, _xlpm.ri)) &amp; "_" &amp; TRIM(INDEX(TEXTSPLIT(H544, ",",, TRUE), 1, _xlpm.gi))))), "")</f>
        <v/>
      </c>
    </row>
    <row r="545" ht="15.75" customHeight="1">
      <c r="B545" s="17"/>
      <c r="I545" s="5" t="str">
        <f t="array" ref="I545">IFERROR(TEXTJOIN(", ", TRUE, MAKEARRAY(COLUMNS(TEXTSPLIT(G545, ",",, TRUE)), COLUMNS(TEXTSPLIT(H545, ",",, TRUE)), LAMBDA(_xlpm.ri,_xlpm.gi, TRIM(INDEX(TEXTSPLIT(G545, ",",, TRUE), 1, _xlpm.ri)) &amp; "_" &amp; TRIM(INDEX(TEXTSPLIT(H545, ",",, TRUE), 1, _xlpm.gi))))), "")</f>
        <v/>
      </c>
    </row>
    <row r="546" ht="15.75" customHeight="1">
      <c r="B546" s="17"/>
      <c r="I546" s="5" t="str">
        <f t="array" ref="I546">IFERROR(TEXTJOIN(", ", TRUE, MAKEARRAY(COLUMNS(TEXTSPLIT(G546, ",",, TRUE)), COLUMNS(TEXTSPLIT(H546, ",",, TRUE)), LAMBDA(_xlpm.ri,_xlpm.gi, TRIM(INDEX(TEXTSPLIT(G546, ",",, TRUE), 1, _xlpm.ri)) &amp; "_" &amp; TRIM(INDEX(TEXTSPLIT(H546, ",",, TRUE), 1, _xlpm.gi))))), "")</f>
        <v/>
      </c>
    </row>
    <row r="547" ht="15.75" customHeight="1">
      <c r="B547" s="17"/>
      <c r="I547" s="5" t="str">
        <f t="array" ref="I547">IFERROR(TEXTJOIN(", ", TRUE, MAKEARRAY(COLUMNS(TEXTSPLIT(G547, ",",, TRUE)), COLUMNS(TEXTSPLIT(H547, ",",, TRUE)), LAMBDA(_xlpm.ri,_xlpm.gi, TRIM(INDEX(TEXTSPLIT(G547, ",",, TRUE), 1, _xlpm.ri)) &amp; "_" &amp; TRIM(INDEX(TEXTSPLIT(H547, ",",, TRUE), 1, _xlpm.gi))))), "")</f>
        <v/>
      </c>
    </row>
    <row r="548" ht="15.75" customHeight="1">
      <c r="B548" s="17"/>
      <c r="I548" s="5" t="str">
        <f t="array" ref="I548">IFERROR(TEXTJOIN(", ", TRUE, MAKEARRAY(COLUMNS(TEXTSPLIT(G548, ",",, TRUE)), COLUMNS(TEXTSPLIT(H548, ",",, TRUE)), LAMBDA(_xlpm.ri,_xlpm.gi, TRIM(INDEX(TEXTSPLIT(G548, ",",, TRUE), 1, _xlpm.ri)) &amp; "_" &amp; TRIM(INDEX(TEXTSPLIT(H548, ",",, TRUE), 1, _xlpm.gi))))), "")</f>
        <v/>
      </c>
    </row>
    <row r="549" ht="15.75" customHeight="1">
      <c r="B549" s="17"/>
      <c r="I549" s="5" t="str">
        <f t="array" ref="I549">IFERROR(TEXTJOIN(", ", TRUE, MAKEARRAY(COLUMNS(TEXTSPLIT(G549, ",",, TRUE)), COLUMNS(TEXTSPLIT(H549, ",",, TRUE)), LAMBDA(_xlpm.ri,_xlpm.gi, TRIM(INDEX(TEXTSPLIT(G549, ",",, TRUE), 1, _xlpm.ri)) &amp; "_" &amp; TRIM(INDEX(TEXTSPLIT(H549, ",",, TRUE), 1, _xlpm.gi))))), "")</f>
        <v/>
      </c>
    </row>
    <row r="550" ht="15.75" customHeight="1">
      <c r="B550" s="17"/>
      <c r="I550" s="5" t="str">
        <f t="array" ref="I550">IFERROR(TEXTJOIN(", ", TRUE, MAKEARRAY(COLUMNS(TEXTSPLIT(G550, ",",, TRUE)), COLUMNS(TEXTSPLIT(H550, ",",, TRUE)), LAMBDA(_xlpm.ri,_xlpm.gi, TRIM(INDEX(TEXTSPLIT(G550, ",",, TRUE), 1, _xlpm.ri)) &amp; "_" &amp; TRIM(INDEX(TEXTSPLIT(H550, ",",, TRUE), 1, _xlpm.gi))))), "")</f>
        <v/>
      </c>
    </row>
    <row r="551" ht="15.75" customHeight="1">
      <c r="B551" s="17"/>
      <c r="I551" s="5" t="str">
        <f t="array" ref="I551">IFERROR(TEXTJOIN(", ", TRUE, MAKEARRAY(COLUMNS(TEXTSPLIT(G551, ",",, TRUE)), COLUMNS(TEXTSPLIT(H551, ",",, TRUE)), LAMBDA(_xlpm.ri,_xlpm.gi, TRIM(INDEX(TEXTSPLIT(G551, ",",, TRUE), 1, _xlpm.ri)) &amp; "_" &amp; TRIM(INDEX(TEXTSPLIT(H551, ",",, TRUE), 1, _xlpm.gi))))), "")</f>
        <v/>
      </c>
    </row>
    <row r="552" ht="15.75" customHeight="1">
      <c r="B552" s="17"/>
      <c r="I552" s="5" t="str">
        <f t="array" ref="I552">IFERROR(TEXTJOIN(", ", TRUE, MAKEARRAY(COLUMNS(TEXTSPLIT(G552, ",",, TRUE)), COLUMNS(TEXTSPLIT(H552, ",",, TRUE)), LAMBDA(_xlpm.ri,_xlpm.gi, TRIM(INDEX(TEXTSPLIT(G552, ",",, TRUE), 1, _xlpm.ri)) &amp; "_" &amp; TRIM(INDEX(TEXTSPLIT(H552, ",",, TRUE), 1, _xlpm.gi))))), "")</f>
        <v/>
      </c>
    </row>
    <row r="553" ht="15.75" customHeight="1">
      <c r="B553" s="17"/>
      <c r="I553" s="5" t="str">
        <f t="array" ref="I553">IFERROR(TEXTJOIN(", ", TRUE, MAKEARRAY(COLUMNS(TEXTSPLIT(G553, ",",, TRUE)), COLUMNS(TEXTSPLIT(H553, ",",, TRUE)), LAMBDA(_xlpm.ri,_xlpm.gi, TRIM(INDEX(TEXTSPLIT(G553, ",",, TRUE), 1, _xlpm.ri)) &amp; "_" &amp; TRIM(INDEX(TEXTSPLIT(H553, ",",, TRUE), 1, _xlpm.gi))))), "")</f>
        <v/>
      </c>
    </row>
    <row r="554" ht="15.75" customHeight="1">
      <c r="B554" s="17"/>
      <c r="I554" s="5" t="str">
        <f t="array" ref="I554">IFERROR(TEXTJOIN(", ", TRUE, MAKEARRAY(COLUMNS(TEXTSPLIT(G554, ",",, TRUE)), COLUMNS(TEXTSPLIT(H554, ",",, TRUE)), LAMBDA(_xlpm.ri,_xlpm.gi, TRIM(INDEX(TEXTSPLIT(G554, ",",, TRUE), 1, _xlpm.ri)) &amp; "_" &amp; TRIM(INDEX(TEXTSPLIT(H554, ",",, TRUE), 1, _xlpm.gi))))), "")</f>
        <v/>
      </c>
    </row>
    <row r="555" ht="15.75" customHeight="1">
      <c r="B555" s="17"/>
      <c r="I555" s="5" t="str">
        <f t="array" ref="I555">IFERROR(TEXTJOIN(", ", TRUE, MAKEARRAY(COLUMNS(TEXTSPLIT(G555, ",",, TRUE)), COLUMNS(TEXTSPLIT(H555, ",",, TRUE)), LAMBDA(_xlpm.ri,_xlpm.gi, TRIM(INDEX(TEXTSPLIT(G555, ",",, TRUE), 1, _xlpm.ri)) &amp; "_" &amp; TRIM(INDEX(TEXTSPLIT(H555, ",",, TRUE), 1, _xlpm.gi))))), "")</f>
        <v/>
      </c>
    </row>
    <row r="556" ht="15.75" customHeight="1">
      <c r="B556" s="17"/>
      <c r="I556" s="5" t="str">
        <f t="array" ref="I556">IFERROR(TEXTJOIN(", ", TRUE, MAKEARRAY(COLUMNS(TEXTSPLIT(G556, ",",, TRUE)), COLUMNS(TEXTSPLIT(H556, ",",, TRUE)), LAMBDA(_xlpm.ri,_xlpm.gi, TRIM(INDEX(TEXTSPLIT(G556, ",",, TRUE), 1, _xlpm.ri)) &amp; "_" &amp; TRIM(INDEX(TEXTSPLIT(H556, ",",, TRUE), 1, _xlpm.gi))))), "")</f>
        <v/>
      </c>
    </row>
    <row r="557" ht="15.75" customHeight="1">
      <c r="B557" s="17"/>
      <c r="I557" s="5" t="str">
        <f t="array" ref="I557">IFERROR(TEXTJOIN(", ", TRUE, MAKEARRAY(COLUMNS(TEXTSPLIT(G557, ",",, TRUE)), COLUMNS(TEXTSPLIT(H557, ",",, TRUE)), LAMBDA(_xlpm.ri,_xlpm.gi, TRIM(INDEX(TEXTSPLIT(G557, ",",, TRUE), 1, _xlpm.ri)) &amp; "_" &amp; TRIM(INDEX(TEXTSPLIT(H557, ",",, TRUE), 1, _xlpm.gi))))), "")</f>
        <v/>
      </c>
    </row>
    <row r="558" ht="15.75" customHeight="1">
      <c r="B558" s="17"/>
      <c r="I558" s="5" t="str">
        <f t="array" ref="I558">IFERROR(TEXTJOIN(", ", TRUE, MAKEARRAY(COLUMNS(TEXTSPLIT(G558, ",",, TRUE)), COLUMNS(TEXTSPLIT(H558, ",",, TRUE)), LAMBDA(_xlpm.ri,_xlpm.gi, TRIM(INDEX(TEXTSPLIT(G558, ",",, TRUE), 1, _xlpm.ri)) &amp; "_" &amp; TRIM(INDEX(TEXTSPLIT(H558, ",",, TRUE), 1, _xlpm.gi))))), "")</f>
        <v/>
      </c>
    </row>
    <row r="559" ht="15.75" customHeight="1">
      <c r="B559" s="17"/>
      <c r="I559" s="5" t="str">
        <f t="array" ref="I559">IFERROR(TEXTJOIN(", ", TRUE, MAKEARRAY(COLUMNS(TEXTSPLIT(G559, ",",, TRUE)), COLUMNS(TEXTSPLIT(H559, ",",, TRUE)), LAMBDA(_xlpm.ri,_xlpm.gi, TRIM(INDEX(TEXTSPLIT(G559, ",",, TRUE), 1, _xlpm.ri)) &amp; "_" &amp; TRIM(INDEX(TEXTSPLIT(H559, ",",, TRUE), 1, _xlpm.gi))))), "")</f>
        <v/>
      </c>
    </row>
    <row r="560" ht="15.75" customHeight="1">
      <c r="B560" s="17"/>
      <c r="I560" s="5" t="str">
        <f t="array" ref="I560">IFERROR(TEXTJOIN(", ", TRUE, MAKEARRAY(COLUMNS(TEXTSPLIT(G560, ",",, TRUE)), COLUMNS(TEXTSPLIT(H560, ",",, TRUE)), LAMBDA(_xlpm.ri,_xlpm.gi, TRIM(INDEX(TEXTSPLIT(G560, ",",, TRUE), 1, _xlpm.ri)) &amp; "_" &amp; TRIM(INDEX(TEXTSPLIT(H560, ",",, TRUE), 1, _xlpm.gi))))), "")</f>
        <v/>
      </c>
    </row>
    <row r="561" ht="15.75" customHeight="1">
      <c r="B561" s="17"/>
      <c r="I561" s="5" t="str">
        <f t="array" ref="I561">IFERROR(TEXTJOIN(", ", TRUE, MAKEARRAY(COLUMNS(TEXTSPLIT(G561, ",",, TRUE)), COLUMNS(TEXTSPLIT(H561, ",",, TRUE)), LAMBDA(_xlpm.ri,_xlpm.gi, TRIM(INDEX(TEXTSPLIT(G561, ",",, TRUE), 1, _xlpm.ri)) &amp; "_" &amp; TRIM(INDEX(TEXTSPLIT(H561, ",",, TRUE), 1, _xlpm.gi))))), "")</f>
        <v/>
      </c>
    </row>
    <row r="562" ht="15.75" customHeight="1">
      <c r="B562" s="17"/>
      <c r="I562" s="5" t="str">
        <f t="array" ref="I562">IFERROR(TEXTJOIN(", ", TRUE, MAKEARRAY(COLUMNS(TEXTSPLIT(G562, ",",, TRUE)), COLUMNS(TEXTSPLIT(H562, ",",, TRUE)), LAMBDA(_xlpm.ri,_xlpm.gi, TRIM(INDEX(TEXTSPLIT(G562, ",",, TRUE), 1, _xlpm.ri)) &amp; "_" &amp; TRIM(INDEX(TEXTSPLIT(H562, ",",, TRUE), 1, _xlpm.gi))))), "")</f>
        <v/>
      </c>
    </row>
    <row r="563" ht="15.75" customHeight="1">
      <c r="B563" s="17"/>
      <c r="I563" s="5" t="str">
        <f t="array" ref="I563">IFERROR(TEXTJOIN(", ", TRUE, MAKEARRAY(COLUMNS(TEXTSPLIT(G563, ",",, TRUE)), COLUMNS(TEXTSPLIT(H563, ",",, TRUE)), LAMBDA(_xlpm.ri,_xlpm.gi, TRIM(INDEX(TEXTSPLIT(G563, ",",, TRUE), 1, _xlpm.ri)) &amp; "_" &amp; TRIM(INDEX(TEXTSPLIT(H563, ",",, TRUE), 1, _xlpm.gi))))), "")</f>
        <v/>
      </c>
    </row>
    <row r="564" ht="15.75" customHeight="1">
      <c r="B564" s="17"/>
      <c r="I564" s="5" t="str">
        <f t="array" ref="I564">IFERROR(TEXTJOIN(", ", TRUE, MAKEARRAY(COLUMNS(TEXTSPLIT(G564, ",",, TRUE)), COLUMNS(TEXTSPLIT(H564, ",",, TRUE)), LAMBDA(_xlpm.ri,_xlpm.gi, TRIM(INDEX(TEXTSPLIT(G564, ",",, TRUE), 1, _xlpm.ri)) &amp; "_" &amp; TRIM(INDEX(TEXTSPLIT(H564, ",",, TRUE), 1, _xlpm.gi))))), "")</f>
        <v/>
      </c>
    </row>
    <row r="565" ht="15.75" customHeight="1">
      <c r="B565" s="17"/>
      <c r="I565" s="5" t="str">
        <f t="array" ref="I565">IFERROR(TEXTJOIN(", ", TRUE, MAKEARRAY(COLUMNS(TEXTSPLIT(G565, ",",, TRUE)), COLUMNS(TEXTSPLIT(H565, ",",, TRUE)), LAMBDA(_xlpm.ri,_xlpm.gi, TRIM(INDEX(TEXTSPLIT(G565, ",",, TRUE), 1, _xlpm.ri)) &amp; "_" &amp; TRIM(INDEX(TEXTSPLIT(H565, ",",, TRUE), 1, _xlpm.gi))))), "")</f>
        <v/>
      </c>
    </row>
    <row r="566" ht="15.75" customHeight="1">
      <c r="B566" s="17"/>
      <c r="I566" s="5" t="str">
        <f t="array" ref="I566">IFERROR(TEXTJOIN(", ", TRUE, MAKEARRAY(COLUMNS(TEXTSPLIT(G566, ",",, TRUE)), COLUMNS(TEXTSPLIT(H566, ",",, TRUE)), LAMBDA(_xlpm.ri,_xlpm.gi, TRIM(INDEX(TEXTSPLIT(G566, ",",, TRUE), 1, _xlpm.ri)) &amp; "_" &amp; TRIM(INDEX(TEXTSPLIT(H566, ",",, TRUE), 1, _xlpm.gi))))), "")</f>
        <v/>
      </c>
    </row>
    <row r="567" ht="15.75" customHeight="1">
      <c r="B567" s="17"/>
      <c r="I567" s="5" t="str">
        <f t="array" ref="I567">IFERROR(TEXTJOIN(", ", TRUE, MAKEARRAY(COLUMNS(TEXTSPLIT(G567, ",",, TRUE)), COLUMNS(TEXTSPLIT(H567, ",",, TRUE)), LAMBDA(_xlpm.ri,_xlpm.gi, TRIM(INDEX(TEXTSPLIT(G567, ",",, TRUE), 1, _xlpm.ri)) &amp; "_" &amp; TRIM(INDEX(TEXTSPLIT(H567, ",",, TRUE), 1, _xlpm.gi))))), "")</f>
        <v/>
      </c>
    </row>
    <row r="568" ht="15.75" customHeight="1">
      <c r="B568" s="17"/>
      <c r="I568" s="5" t="str">
        <f t="array" ref="I568">IFERROR(TEXTJOIN(", ", TRUE, MAKEARRAY(COLUMNS(TEXTSPLIT(G568, ",",, TRUE)), COLUMNS(TEXTSPLIT(H568, ",",, TRUE)), LAMBDA(_xlpm.ri,_xlpm.gi, TRIM(INDEX(TEXTSPLIT(G568, ",",, TRUE), 1, _xlpm.ri)) &amp; "_" &amp; TRIM(INDEX(TEXTSPLIT(H568, ",",, TRUE), 1, _xlpm.gi))))), "")</f>
        <v/>
      </c>
    </row>
    <row r="569" ht="15.75" customHeight="1">
      <c r="B569" s="17"/>
      <c r="I569" s="5" t="str">
        <f t="array" ref="I569">IFERROR(TEXTJOIN(", ", TRUE, MAKEARRAY(COLUMNS(TEXTSPLIT(G569, ",",, TRUE)), COLUMNS(TEXTSPLIT(H569, ",",, TRUE)), LAMBDA(_xlpm.ri,_xlpm.gi, TRIM(INDEX(TEXTSPLIT(G569, ",",, TRUE), 1, _xlpm.ri)) &amp; "_" &amp; TRIM(INDEX(TEXTSPLIT(H569, ",",, TRUE), 1, _xlpm.gi))))), "")</f>
        <v/>
      </c>
    </row>
    <row r="570" ht="15.75" customHeight="1">
      <c r="B570" s="17"/>
      <c r="I570" s="5" t="str">
        <f t="array" ref="I570">IFERROR(TEXTJOIN(", ", TRUE, MAKEARRAY(COLUMNS(TEXTSPLIT(G570, ",",, TRUE)), COLUMNS(TEXTSPLIT(H570, ",",, TRUE)), LAMBDA(_xlpm.ri,_xlpm.gi, TRIM(INDEX(TEXTSPLIT(G570, ",",, TRUE), 1, _xlpm.ri)) &amp; "_" &amp; TRIM(INDEX(TEXTSPLIT(H570, ",",, TRUE), 1, _xlpm.gi))))), "")</f>
        <v/>
      </c>
    </row>
    <row r="571" ht="15.75" customHeight="1">
      <c r="B571" s="17"/>
      <c r="I571" s="5" t="str">
        <f t="array" ref="I571">IFERROR(TEXTJOIN(", ", TRUE, MAKEARRAY(COLUMNS(TEXTSPLIT(G571, ",",, TRUE)), COLUMNS(TEXTSPLIT(H571, ",",, TRUE)), LAMBDA(_xlpm.ri,_xlpm.gi, TRIM(INDEX(TEXTSPLIT(G571, ",",, TRUE), 1, _xlpm.ri)) &amp; "_" &amp; TRIM(INDEX(TEXTSPLIT(H571, ",",, TRUE), 1, _xlpm.gi))))), "")</f>
        <v/>
      </c>
    </row>
    <row r="572" ht="15.75" customHeight="1">
      <c r="B572" s="17"/>
      <c r="I572" s="5" t="str">
        <f t="array" ref="I572">IFERROR(TEXTJOIN(", ", TRUE, MAKEARRAY(COLUMNS(TEXTSPLIT(G572, ",",, TRUE)), COLUMNS(TEXTSPLIT(H572, ",",, TRUE)), LAMBDA(_xlpm.ri,_xlpm.gi, TRIM(INDEX(TEXTSPLIT(G572, ",",, TRUE), 1, _xlpm.ri)) &amp; "_" &amp; TRIM(INDEX(TEXTSPLIT(H572, ",",, TRUE), 1, _xlpm.gi))))), "")</f>
        <v/>
      </c>
    </row>
    <row r="573" ht="15.75" customHeight="1">
      <c r="B573" s="17"/>
      <c r="I573" s="5" t="str">
        <f t="array" ref="I573">IFERROR(TEXTJOIN(", ", TRUE, MAKEARRAY(COLUMNS(TEXTSPLIT(G573, ",",, TRUE)), COLUMNS(TEXTSPLIT(H573, ",",, TRUE)), LAMBDA(_xlpm.ri,_xlpm.gi, TRIM(INDEX(TEXTSPLIT(G573, ",",, TRUE), 1, _xlpm.ri)) &amp; "_" &amp; TRIM(INDEX(TEXTSPLIT(H573, ",",, TRUE), 1, _xlpm.gi))))), "")</f>
        <v/>
      </c>
    </row>
    <row r="574" ht="15.75" customHeight="1">
      <c r="B574" s="17"/>
      <c r="I574" s="5" t="str">
        <f t="array" ref="I574">IFERROR(TEXTJOIN(", ", TRUE, MAKEARRAY(COLUMNS(TEXTSPLIT(G574, ",",, TRUE)), COLUMNS(TEXTSPLIT(H574, ",",, TRUE)), LAMBDA(_xlpm.ri,_xlpm.gi, TRIM(INDEX(TEXTSPLIT(G574, ",",, TRUE), 1, _xlpm.ri)) &amp; "_" &amp; TRIM(INDEX(TEXTSPLIT(H574, ",",, TRUE), 1, _xlpm.gi))))), "")</f>
        <v/>
      </c>
    </row>
    <row r="575" ht="15.75" customHeight="1">
      <c r="B575" s="17"/>
      <c r="I575" s="5" t="str">
        <f t="array" ref="I575">IFERROR(TEXTJOIN(", ", TRUE, MAKEARRAY(COLUMNS(TEXTSPLIT(G575, ",",, TRUE)), COLUMNS(TEXTSPLIT(H575, ",",, TRUE)), LAMBDA(_xlpm.ri,_xlpm.gi, TRIM(INDEX(TEXTSPLIT(G575, ",",, TRUE), 1, _xlpm.ri)) &amp; "_" &amp; TRIM(INDEX(TEXTSPLIT(H575, ",",, TRUE), 1, _xlpm.gi))))), "")</f>
        <v/>
      </c>
    </row>
    <row r="576" ht="15.75" customHeight="1">
      <c r="B576" s="17"/>
      <c r="I576" s="5" t="str">
        <f t="array" ref="I576">IFERROR(TEXTJOIN(", ", TRUE, MAKEARRAY(COLUMNS(TEXTSPLIT(G576, ",",, TRUE)), COLUMNS(TEXTSPLIT(H576, ",",, TRUE)), LAMBDA(_xlpm.ri,_xlpm.gi, TRIM(INDEX(TEXTSPLIT(G576, ",",, TRUE), 1, _xlpm.ri)) &amp; "_" &amp; TRIM(INDEX(TEXTSPLIT(H576, ",",, TRUE), 1, _xlpm.gi))))), "")</f>
        <v/>
      </c>
    </row>
    <row r="577" ht="15.75" customHeight="1">
      <c r="B577" s="17"/>
      <c r="I577" s="5" t="str">
        <f t="array" ref="I577">IFERROR(TEXTJOIN(", ", TRUE, MAKEARRAY(COLUMNS(TEXTSPLIT(G577, ",",, TRUE)), COLUMNS(TEXTSPLIT(H577, ",",, TRUE)), LAMBDA(_xlpm.ri,_xlpm.gi, TRIM(INDEX(TEXTSPLIT(G577, ",",, TRUE), 1, _xlpm.ri)) &amp; "_" &amp; TRIM(INDEX(TEXTSPLIT(H577, ",",, TRUE), 1, _xlpm.gi))))), "")</f>
        <v/>
      </c>
    </row>
    <row r="578" ht="15.75" customHeight="1">
      <c r="B578" s="17"/>
      <c r="I578" s="5" t="str">
        <f t="array" ref="I578">IFERROR(TEXTJOIN(", ", TRUE, MAKEARRAY(COLUMNS(TEXTSPLIT(G578, ",",, TRUE)), COLUMNS(TEXTSPLIT(H578, ",",, TRUE)), LAMBDA(_xlpm.ri,_xlpm.gi, TRIM(INDEX(TEXTSPLIT(G578, ",",, TRUE), 1, _xlpm.ri)) &amp; "_" &amp; TRIM(INDEX(TEXTSPLIT(H578, ",",, TRUE), 1, _xlpm.gi))))), "")</f>
        <v/>
      </c>
    </row>
    <row r="579" ht="15.75" customHeight="1">
      <c r="B579" s="17"/>
      <c r="I579" s="5" t="str">
        <f t="array" ref="I579">IFERROR(TEXTJOIN(", ", TRUE, MAKEARRAY(COLUMNS(TEXTSPLIT(G579, ",",, TRUE)), COLUMNS(TEXTSPLIT(H579, ",",, TRUE)), LAMBDA(_xlpm.ri,_xlpm.gi, TRIM(INDEX(TEXTSPLIT(G579, ",",, TRUE), 1, _xlpm.ri)) &amp; "_" &amp; TRIM(INDEX(TEXTSPLIT(H579, ",",, TRUE), 1, _xlpm.gi))))), "")</f>
        <v/>
      </c>
    </row>
    <row r="580" ht="15.75" customHeight="1">
      <c r="B580" s="17"/>
      <c r="I580" s="5" t="str">
        <f t="array" ref="I580">IFERROR(TEXTJOIN(", ", TRUE, MAKEARRAY(COLUMNS(TEXTSPLIT(G580, ",",, TRUE)), COLUMNS(TEXTSPLIT(H580, ",",, TRUE)), LAMBDA(_xlpm.ri,_xlpm.gi, TRIM(INDEX(TEXTSPLIT(G580, ",",, TRUE), 1, _xlpm.ri)) &amp; "_" &amp; TRIM(INDEX(TEXTSPLIT(H580, ",",, TRUE), 1, _xlpm.gi))))), "")</f>
        <v/>
      </c>
    </row>
    <row r="581" ht="15.75" customHeight="1">
      <c r="B581" s="17"/>
      <c r="I581" s="5" t="str">
        <f t="array" ref="I581">IFERROR(TEXTJOIN(", ", TRUE, MAKEARRAY(COLUMNS(TEXTSPLIT(G581, ",",, TRUE)), COLUMNS(TEXTSPLIT(H581, ",",, TRUE)), LAMBDA(_xlpm.ri,_xlpm.gi, TRIM(INDEX(TEXTSPLIT(G581, ",",, TRUE), 1, _xlpm.ri)) &amp; "_" &amp; TRIM(INDEX(TEXTSPLIT(H581, ",",, TRUE), 1, _xlpm.gi))))), "")</f>
        <v/>
      </c>
    </row>
    <row r="582" ht="15.75" customHeight="1">
      <c r="B582" s="17"/>
      <c r="I582" s="5" t="str">
        <f t="array" ref="I582">IFERROR(TEXTJOIN(", ", TRUE, MAKEARRAY(COLUMNS(TEXTSPLIT(G582, ",",, TRUE)), COLUMNS(TEXTSPLIT(H582, ",",, TRUE)), LAMBDA(_xlpm.ri,_xlpm.gi, TRIM(INDEX(TEXTSPLIT(G582, ",",, TRUE), 1, _xlpm.ri)) &amp; "_" &amp; TRIM(INDEX(TEXTSPLIT(H582, ",",, TRUE), 1, _xlpm.gi))))), "")</f>
        <v/>
      </c>
    </row>
    <row r="583" ht="15.75" customHeight="1">
      <c r="B583" s="17"/>
      <c r="I583" s="5" t="str">
        <f t="array" ref="I583">IFERROR(TEXTJOIN(", ", TRUE, MAKEARRAY(COLUMNS(TEXTSPLIT(G583, ",",, TRUE)), COLUMNS(TEXTSPLIT(H583, ",",, TRUE)), LAMBDA(_xlpm.ri,_xlpm.gi, TRIM(INDEX(TEXTSPLIT(G583, ",",, TRUE), 1, _xlpm.ri)) &amp; "_" &amp; TRIM(INDEX(TEXTSPLIT(H583, ",",, TRUE), 1, _xlpm.gi))))), "")</f>
        <v/>
      </c>
    </row>
    <row r="584" ht="15.75" customHeight="1">
      <c r="B584" s="17"/>
      <c r="I584" s="5" t="str">
        <f t="array" ref="I584">IFERROR(TEXTJOIN(", ", TRUE, MAKEARRAY(COLUMNS(TEXTSPLIT(G584, ",",, TRUE)), COLUMNS(TEXTSPLIT(H584, ",",, TRUE)), LAMBDA(_xlpm.ri,_xlpm.gi, TRIM(INDEX(TEXTSPLIT(G584, ",",, TRUE), 1, _xlpm.ri)) &amp; "_" &amp; TRIM(INDEX(TEXTSPLIT(H584, ",",, TRUE), 1, _xlpm.gi))))), "")</f>
        <v/>
      </c>
    </row>
    <row r="585" ht="15.75" customHeight="1">
      <c r="B585" s="17"/>
      <c r="I585" s="5" t="str">
        <f t="array" ref="I585">IFERROR(TEXTJOIN(", ", TRUE, MAKEARRAY(COLUMNS(TEXTSPLIT(G585, ",",, TRUE)), COLUMNS(TEXTSPLIT(H585, ",",, TRUE)), LAMBDA(_xlpm.ri,_xlpm.gi, TRIM(INDEX(TEXTSPLIT(G585, ",",, TRUE), 1, _xlpm.ri)) &amp; "_" &amp; TRIM(INDEX(TEXTSPLIT(H585, ",",, TRUE), 1, _xlpm.gi))))), "")</f>
        <v/>
      </c>
    </row>
    <row r="586" ht="15.75" customHeight="1">
      <c r="B586" s="17"/>
      <c r="I586" s="5" t="str">
        <f t="array" ref="I586">IFERROR(TEXTJOIN(", ", TRUE, MAKEARRAY(COLUMNS(TEXTSPLIT(G586, ",",, TRUE)), COLUMNS(TEXTSPLIT(H586, ",",, TRUE)), LAMBDA(_xlpm.ri,_xlpm.gi, TRIM(INDEX(TEXTSPLIT(G586, ",",, TRUE), 1, _xlpm.ri)) &amp; "_" &amp; TRIM(INDEX(TEXTSPLIT(H586, ",",, TRUE), 1, _xlpm.gi))))), "")</f>
        <v/>
      </c>
    </row>
    <row r="587" ht="15.75" customHeight="1">
      <c r="B587" s="17"/>
      <c r="I587" s="5" t="str">
        <f t="array" ref="I587">IFERROR(TEXTJOIN(", ", TRUE, MAKEARRAY(COLUMNS(TEXTSPLIT(G587, ",",, TRUE)), COLUMNS(TEXTSPLIT(H587, ",",, TRUE)), LAMBDA(_xlpm.ri,_xlpm.gi, TRIM(INDEX(TEXTSPLIT(G587, ",",, TRUE), 1, _xlpm.ri)) &amp; "_" &amp; TRIM(INDEX(TEXTSPLIT(H587, ",",, TRUE), 1, _xlpm.gi))))), "")</f>
        <v/>
      </c>
    </row>
    <row r="588" ht="15.75" customHeight="1">
      <c r="B588" s="17"/>
      <c r="I588" s="5" t="str">
        <f t="array" ref="I588">IFERROR(TEXTJOIN(", ", TRUE, MAKEARRAY(COLUMNS(TEXTSPLIT(G588, ",",, TRUE)), COLUMNS(TEXTSPLIT(H588, ",",, TRUE)), LAMBDA(_xlpm.ri,_xlpm.gi, TRIM(INDEX(TEXTSPLIT(G588, ",",, TRUE), 1, _xlpm.ri)) &amp; "_" &amp; TRIM(INDEX(TEXTSPLIT(H588, ",",, TRUE), 1, _xlpm.gi))))), "")</f>
        <v/>
      </c>
    </row>
    <row r="589" ht="15.75" customHeight="1">
      <c r="B589" s="17"/>
      <c r="I589" s="5" t="str">
        <f t="array" ref="I589">IFERROR(TEXTJOIN(", ", TRUE, MAKEARRAY(COLUMNS(TEXTSPLIT(G589, ",",, TRUE)), COLUMNS(TEXTSPLIT(H589, ",",, TRUE)), LAMBDA(_xlpm.ri,_xlpm.gi, TRIM(INDEX(TEXTSPLIT(G589, ",",, TRUE), 1, _xlpm.ri)) &amp; "_" &amp; TRIM(INDEX(TEXTSPLIT(H589, ",",, TRUE), 1, _xlpm.gi))))), "")</f>
        <v/>
      </c>
    </row>
    <row r="590" ht="15.75" customHeight="1">
      <c r="B590" s="17"/>
      <c r="I590" s="5" t="str">
        <f t="array" ref="I590">IFERROR(TEXTJOIN(", ", TRUE, MAKEARRAY(COLUMNS(TEXTSPLIT(G590, ",",, TRUE)), COLUMNS(TEXTSPLIT(H590, ",",, TRUE)), LAMBDA(_xlpm.ri,_xlpm.gi, TRIM(INDEX(TEXTSPLIT(G590, ",",, TRUE), 1, _xlpm.ri)) &amp; "_" &amp; TRIM(INDEX(TEXTSPLIT(H590, ",",, TRUE), 1, _xlpm.gi))))), "")</f>
        <v/>
      </c>
    </row>
    <row r="591" ht="15.75" customHeight="1">
      <c r="B591" s="17"/>
      <c r="I591" s="5" t="str">
        <f t="array" ref="I591">IFERROR(TEXTJOIN(", ", TRUE, MAKEARRAY(COLUMNS(TEXTSPLIT(G591, ",",, TRUE)), COLUMNS(TEXTSPLIT(H591, ",",, TRUE)), LAMBDA(_xlpm.ri,_xlpm.gi, TRIM(INDEX(TEXTSPLIT(G591, ",",, TRUE), 1, _xlpm.ri)) &amp; "_" &amp; TRIM(INDEX(TEXTSPLIT(H591, ",",, TRUE), 1, _xlpm.gi))))), "")</f>
        <v/>
      </c>
    </row>
    <row r="592" ht="15.75" customHeight="1">
      <c r="B592" s="17"/>
      <c r="I592" s="5" t="str">
        <f t="array" ref="I592">IFERROR(TEXTJOIN(", ", TRUE, MAKEARRAY(COLUMNS(TEXTSPLIT(G592, ",",, TRUE)), COLUMNS(TEXTSPLIT(H592, ",",, TRUE)), LAMBDA(_xlpm.ri,_xlpm.gi, TRIM(INDEX(TEXTSPLIT(G592, ",",, TRUE), 1, _xlpm.ri)) &amp; "_" &amp; TRIM(INDEX(TEXTSPLIT(H592, ",",, TRUE), 1, _xlpm.gi))))), "")</f>
        <v/>
      </c>
    </row>
    <row r="593" ht="15.75" customHeight="1">
      <c r="B593" s="17"/>
      <c r="I593" s="5" t="str">
        <f t="array" ref="I593">IFERROR(TEXTJOIN(", ", TRUE, MAKEARRAY(COLUMNS(TEXTSPLIT(G593, ",",, TRUE)), COLUMNS(TEXTSPLIT(H593, ",",, TRUE)), LAMBDA(_xlpm.ri,_xlpm.gi, TRIM(INDEX(TEXTSPLIT(G593, ",",, TRUE), 1, _xlpm.ri)) &amp; "_" &amp; TRIM(INDEX(TEXTSPLIT(H593, ",",, TRUE), 1, _xlpm.gi))))), "")</f>
        <v/>
      </c>
    </row>
    <row r="594" ht="15.75" customHeight="1">
      <c r="B594" s="17"/>
      <c r="I594" s="5" t="str">
        <f t="array" ref="I594">IFERROR(TEXTJOIN(", ", TRUE, MAKEARRAY(COLUMNS(TEXTSPLIT(G594, ",",, TRUE)), COLUMNS(TEXTSPLIT(H594, ",",, TRUE)), LAMBDA(_xlpm.ri,_xlpm.gi, TRIM(INDEX(TEXTSPLIT(G594, ",",, TRUE), 1, _xlpm.ri)) &amp; "_" &amp; TRIM(INDEX(TEXTSPLIT(H594, ",",, TRUE), 1, _xlpm.gi))))), "")</f>
        <v/>
      </c>
    </row>
    <row r="595" ht="15.75" customHeight="1">
      <c r="B595" s="17"/>
      <c r="I595" s="5" t="str">
        <f t="array" ref="I595">IFERROR(TEXTJOIN(", ", TRUE, MAKEARRAY(COLUMNS(TEXTSPLIT(G595, ",",, TRUE)), COLUMNS(TEXTSPLIT(H595, ",",, TRUE)), LAMBDA(_xlpm.ri,_xlpm.gi, TRIM(INDEX(TEXTSPLIT(G595, ",",, TRUE), 1, _xlpm.ri)) &amp; "_" &amp; TRIM(INDEX(TEXTSPLIT(H595, ",",, TRUE), 1, _xlpm.gi))))), "")</f>
        <v/>
      </c>
    </row>
    <row r="596" ht="15.75" customHeight="1">
      <c r="B596" s="17"/>
      <c r="I596" s="5" t="str">
        <f t="array" ref="I596">IFERROR(TEXTJOIN(", ", TRUE, MAKEARRAY(COLUMNS(TEXTSPLIT(G596, ",",, TRUE)), COLUMNS(TEXTSPLIT(H596, ",",, TRUE)), LAMBDA(_xlpm.ri,_xlpm.gi, TRIM(INDEX(TEXTSPLIT(G596, ",",, TRUE), 1, _xlpm.ri)) &amp; "_" &amp; TRIM(INDEX(TEXTSPLIT(H596, ",",, TRUE), 1, _xlpm.gi))))), "")</f>
        <v/>
      </c>
    </row>
    <row r="597" ht="15.75" customHeight="1">
      <c r="B597" s="17"/>
      <c r="I597" s="5" t="str">
        <f t="array" ref="I597">IFERROR(TEXTJOIN(", ", TRUE, MAKEARRAY(COLUMNS(TEXTSPLIT(G597, ",",, TRUE)), COLUMNS(TEXTSPLIT(H597, ",",, TRUE)), LAMBDA(_xlpm.ri,_xlpm.gi, TRIM(INDEX(TEXTSPLIT(G597, ",",, TRUE), 1, _xlpm.ri)) &amp; "_" &amp; TRIM(INDEX(TEXTSPLIT(H597, ",",, TRUE), 1, _xlpm.gi))))), "")</f>
        <v/>
      </c>
    </row>
    <row r="598" ht="15.75" customHeight="1">
      <c r="B598" s="17"/>
      <c r="I598" s="5" t="str">
        <f t="array" ref="I598">IFERROR(TEXTJOIN(", ", TRUE, MAKEARRAY(COLUMNS(TEXTSPLIT(G598, ",",, TRUE)), COLUMNS(TEXTSPLIT(H598, ",",, TRUE)), LAMBDA(_xlpm.ri,_xlpm.gi, TRIM(INDEX(TEXTSPLIT(G598, ",",, TRUE), 1, _xlpm.ri)) &amp; "_" &amp; TRIM(INDEX(TEXTSPLIT(H598, ",",, TRUE), 1, _xlpm.gi))))), "")</f>
        <v/>
      </c>
    </row>
    <row r="599" ht="15.75" customHeight="1">
      <c r="B599" s="17"/>
      <c r="I599" s="5" t="str">
        <f t="array" ref="I599">IFERROR(TEXTJOIN(", ", TRUE, MAKEARRAY(COLUMNS(TEXTSPLIT(G599, ",",, TRUE)), COLUMNS(TEXTSPLIT(H599, ",",, TRUE)), LAMBDA(_xlpm.ri,_xlpm.gi, TRIM(INDEX(TEXTSPLIT(G599, ",",, TRUE), 1, _xlpm.ri)) &amp; "_" &amp; TRIM(INDEX(TEXTSPLIT(H599, ",",, TRUE), 1, _xlpm.gi))))), "")</f>
        <v/>
      </c>
    </row>
    <row r="600" ht="15.75" customHeight="1">
      <c r="B600" s="17"/>
      <c r="I600" s="5" t="str">
        <f t="array" ref="I600">IFERROR(TEXTJOIN(", ", TRUE, MAKEARRAY(COLUMNS(TEXTSPLIT(G600, ",",, TRUE)), COLUMNS(TEXTSPLIT(H600, ",",, TRUE)), LAMBDA(_xlpm.ri,_xlpm.gi, TRIM(INDEX(TEXTSPLIT(G600, ",",, TRUE), 1, _xlpm.ri)) &amp; "_" &amp; TRIM(INDEX(TEXTSPLIT(H600, ",",, TRUE), 1, _xlpm.gi))))), "")</f>
        <v/>
      </c>
    </row>
    <row r="601" ht="15.75" customHeight="1">
      <c r="B601" s="17"/>
      <c r="I601" s="5" t="str">
        <f t="array" ref="I601">IFERROR(TEXTJOIN(", ", TRUE, MAKEARRAY(COLUMNS(TEXTSPLIT(G601, ",",, TRUE)), COLUMNS(TEXTSPLIT(H601, ",",, TRUE)), LAMBDA(_xlpm.ri,_xlpm.gi, TRIM(INDEX(TEXTSPLIT(G601, ",",, TRUE), 1, _xlpm.ri)) &amp; "_" &amp; TRIM(INDEX(TEXTSPLIT(H601, ",",, TRUE), 1, _xlpm.gi))))), "")</f>
        <v/>
      </c>
    </row>
    <row r="602" ht="15.75" customHeight="1">
      <c r="B602" s="17"/>
      <c r="I602" s="5" t="str">
        <f t="array" ref="I602">IFERROR(TEXTJOIN(", ", TRUE, MAKEARRAY(COLUMNS(TEXTSPLIT(G602, ",",, TRUE)), COLUMNS(TEXTSPLIT(H602, ",",, TRUE)), LAMBDA(_xlpm.ri,_xlpm.gi, TRIM(INDEX(TEXTSPLIT(G602, ",",, TRUE), 1, _xlpm.ri)) &amp; "_" &amp; TRIM(INDEX(TEXTSPLIT(H602, ",",, TRUE), 1, _xlpm.gi))))), "")</f>
        <v/>
      </c>
    </row>
    <row r="603" ht="15.75" customHeight="1">
      <c r="B603" s="17"/>
      <c r="I603" s="5" t="str">
        <f t="array" ref="I603">IFERROR(TEXTJOIN(", ", TRUE, MAKEARRAY(COLUMNS(TEXTSPLIT(G603, ",",, TRUE)), COLUMNS(TEXTSPLIT(H603, ",",, TRUE)), LAMBDA(_xlpm.ri,_xlpm.gi, TRIM(INDEX(TEXTSPLIT(G603, ",",, TRUE), 1, _xlpm.ri)) &amp; "_" &amp; TRIM(INDEX(TEXTSPLIT(H603, ",",, TRUE), 1, _xlpm.gi))))), "")</f>
        <v/>
      </c>
    </row>
    <row r="604" ht="15.75" customHeight="1">
      <c r="B604" s="17"/>
      <c r="I604" s="5" t="str">
        <f t="array" ref="I604">IFERROR(TEXTJOIN(", ", TRUE, MAKEARRAY(COLUMNS(TEXTSPLIT(G604, ",",, TRUE)), COLUMNS(TEXTSPLIT(H604, ",",, TRUE)), LAMBDA(_xlpm.ri,_xlpm.gi, TRIM(INDEX(TEXTSPLIT(G604, ",",, TRUE), 1, _xlpm.ri)) &amp; "_" &amp; TRIM(INDEX(TEXTSPLIT(H604, ",",, TRUE), 1, _xlpm.gi))))), "")</f>
        <v/>
      </c>
    </row>
    <row r="605" ht="15.75" customHeight="1">
      <c r="B605" s="17"/>
      <c r="I605" s="5" t="str">
        <f t="array" ref="I605">IFERROR(TEXTJOIN(", ", TRUE, MAKEARRAY(COLUMNS(TEXTSPLIT(G605, ",",, TRUE)), COLUMNS(TEXTSPLIT(H605, ",",, TRUE)), LAMBDA(_xlpm.ri,_xlpm.gi, TRIM(INDEX(TEXTSPLIT(G605, ",",, TRUE), 1, _xlpm.ri)) &amp; "_" &amp; TRIM(INDEX(TEXTSPLIT(H605, ",",, TRUE), 1, _xlpm.gi))))), "")</f>
        <v/>
      </c>
    </row>
    <row r="606" ht="15.75" customHeight="1">
      <c r="B606" s="17"/>
      <c r="I606" s="5" t="str">
        <f t="array" ref="I606">IFERROR(TEXTJOIN(", ", TRUE, MAKEARRAY(COLUMNS(TEXTSPLIT(G606, ",",, TRUE)), COLUMNS(TEXTSPLIT(H606, ",",, TRUE)), LAMBDA(_xlpm.ri,_xlpm.gi, TRIM(INDEX(TEXTSPLIT(G606, ",",, TRUE), 1, _xlpm.ri)) &amp; "_" &amp; TRIM(INDEX(TEXTSPLIT(H606, ",",, TRUE), 1, _xlpm.gi))))), "")</f>
        <v/>
      </c>
    </row>
    <row r="607" ht="15.75" customHeight="1">
      <c r="B607" s="17"/>
      <c r="I607" s="5" t="str">
        <f t="array" ref="I607">IFERROR(TEXTJOIN(", ", TRUE, MAKEARRAY(COLUMNS(TEXTSPLIT(G607, ",",, TRUE)), COLUMNS(TEXTSPLIT(H607, ",",, TRUE)), LAMBDA(_xlpm.ri,_xlpm.gi, TRIM(INDEX(TEXTSPLIT(G607, ",",, TRUE), 1, _xlpm.ri)) &amp; "_" &amp; TRIM(INDEX(TEXTSPLIT(H607, ",",, TRUE), 1, _xlpm.gi))))), "")</f>
        <v/>
      </c>
    </row>
    <row r="608" ht="15.75" customHeight="1">
      <c r="B608" s="17"/>
      <c r="I608" s="5" t="str">
        <f t="array" ref="I608">IFERROR(TEXTJOIN(", ", TRUE, MAKEARRAY(COLUMNS(TEXTSPLIT(G608, ",",, TRUE)), COLUMNS(TEXTSPLIT(H608, ",",, TRUE)), LAMBDA(_xlpm.ri,_xlpm.gi, TRIM(INDEX(TEXTSPLIT(G608, ",",, TRUE), 1, _xlpm.ri)) &amp; "_" &amp; TRIM(INDEX(TEXTSPLIT(H608, ",",, TRUE), 1, _xlpm.gi))))), "")</f>
        <v/>
      </c>
    </row>
    <row r="609" ht="15.75" customHeight="1">
      <c r="B609" s="17"/>
      <c r="I609" s="5" t="str">
        <f t="array" ref="I609">IFERROR(TEXTJOIN(", ", TRUE, MAKEARRAY(COLUMNS(TEXTSPLIT(G609, ",",, TRUE)), COLUMNS(TEXTSPLIT(H609, ",",, TRUE)), LAMBDA(_xlpm.ri,_xlpm.gi, TRIM(INDEX(TEXTSPLIT(G609, ",",, TRUE), 1, _xlpm.ri)) &amp; "_" &amp; TRIM(INDEX(TEXTSPLIT(H609, ",",, TRUE), 1, _xlpm.gi))))), "")</f>
        <v/>
      </c>
    </row>
    <row r="610" ht="15.75" customHeight="1">
      <c r="B610" s="17"/>
      <c r="I610" s="5" t="str">
        <f t="array" ref="I610">IFERROR(TEXTJOIN(", ", TRUE, MAKEARRAY(COLUMNS(TEXTSPLIT(G610, ",",, TRUE)), COLUMNS(TEXTSPLIT(H610, ",",, TRUE)), LAMBDA(_xlpm.ri,_xlpm.gi, TRIM(INDEX(TEXTSPLIT(G610, ",",, TRUE), 1, _xlpm.ri)) &amp; "_" &amp; TRIM(INDEX(TEXTSPLIT(H610, ",",, TRUE), 1, _xlpm.gi))))), "")</f>
        <v/>
      </c>
    </row>
    <row r="611" ht="15.75" customHeight="1">
      <c r="B611" s="17"/>
      <c r="I611" s="5" t="str">
        <f t="array" ref="I611">IFERROR(TEXTJOIN(", ", TRUE, MAKEARRAY(COLUMNS(TEXTSPLIT(G611, ",",, TRUE)), COLUMNS(TEXTSPLIT(H611, ",",, TRUE)), LAMBDA(_xlpm.ri,_xlpm.gi, TRIM(INDEX(TEXTSPLIT(G611, ",",, TRUE), 1, _xlpm.ri)) &amp; "_" &amp; TRIM(INDEX(TEXTSPLIT(H611, ",",, TRUE), 1, _xlpm.gi))))), "")</f>
        <v/>
      </c>
    </row>
    <row r="612" ht="15.75" customHeight="1">
      <c r="B612" s="17"/>
      <c r="I612" s="5" t="str">
        <f t="array" ref="I612">IFERROR(TEXTJOIN(", ", TRUE, MAKEARRAY(COLUMNS(TEXTSPLIT(G612, ",",, TRUE)), COLUMNS(TEXTSPLIT(H612, ",",, TRUE)), LAMBDA(_xlpm.ri,_xlpm.gi, TRIM(INDEX(TEXTSPLIT(G612, ",",, TRUE), 1, _xlpm.ri)) &amp; "_" &amp; TRIM(INDEX(TEXTSPLIT(H612, ",",, TRUE), 1, _xlpm.gi))))), "")</f>
        <v/>
      </c>
    </row>
    <row r="613" ht="15.75" customHeight="1">
      <c r="B613" s="17"/>
      <c r="I613" s="5" t="str">
        <f t="array" ref="I613">IFERROR(TEXTJOIN(", ", TRUE, MAKEARRAY(COLUMNS(TEXTSPLIT(G613, ",",, TRUE)), COLUMNS(TEXTSPLIT(H613, ",",, TRUE)), LAMBDA(_xlpm.ri,_xlpm.gi, TRIM(INDEX(TEXTSPLIT(G613, ",",, TRUE), 1, _xlpm.ri)) &amp; "_" &amp; TRIM(INDEX(TEXTSPLIT(H613, ",",, TRUE), 1, _xlpm.gi))))), "")</f>
        <v/>
      </c>
    </row>
    <row r="614" ht="15.75" customHeight="1">
      <c r="B614" s="17"/>
      <c r="I614" s="5" t="str">
        <f t="array" ref="I614">IFERROR(TEXTJOIN(", ", TRUE, MAKEARRAY(COLUMNS(TEXTSPLIT(G614, ",",, TRUE)), COLUMNS(TEXTSPLIT(H614, ",",, TRUE)), LAMBDA(_xlpm.ri,_xlpm.gi, TRIM(INDEX(TEXTSPLIT(G614, ",",, TRUE), 1, _xlpm.ri)) &amp; "_" &amp; TRIM(INDEX(TEXTSPLIT(H614, ",",, TRUE), 1, _xlpm.gi))))), "")</f>
        <v/>
      </c>
    </row>
    <row r="615" ht="15.75" customHeight="1">
      <c r="B615" s="17"/>
      <c r="I615" s="5" t="str">
        <f t="array" ref="I615">IFERROR(TEXTJOIN(", ", TRUE, MAKEARRAY(COLUMNS(TEXTSPLIT(G615, ",",, TRUE)), COLUMNS(TEXTSPLIT(H615, ",",, TRUE)), LAMBDA(_xlpm.ri,_xlpm.gi, TRIM(INDEX(TEXTSPLIT(G615, ",",, TRUE), 1, _xlpm.ri)) &amp; "_" &amp; TRIM(INDEX(TEXTSPLIT(H615, ",",, TRUE), 1, _xlpm.gi))))), "")</f>
        <v/>
      </c>
    </row>
    <row r="616" ht="15.75" customHeight="1">
      <c r="B616" s="17"/>
      <c r="I616" s="5" t="str">
        <f t="array" ref="I616">IFERROR(TEXTJOIN(", ", TRUE, MAKEARRAY(COLUMNS(TEXTSPLIT(G616, ",",, TRUE)), COLUMNS(TEXTSPLIT(H616, ",",, TRUE)), LAMBDA(_xlpm.ri,_xlpm.gi, TRIM(INDEX(TEXTSPLIT(G616, ",",, TRUE), 1, _xlpm.ri)) &amp; "_" &amp; TRIM(INDEX(TEXTSPLIT(H616, ",",, TRUE), 1, _xlpm.gi))))), "")</f>
        <v/>
      </c>
    </row>
    <row r="617" ht="15.75" customHeight="1">
      <c r="B617" s="17"/>
      <c r="I617" s="5" t="str">
        <f t="array" ref="I617">IFERROR(TEXTJOIN(", ", TRUE, MAKEARRAY(COLUMNS(TEXTSPLIT(G617, ",",, TRUE)), COLUMNS(TEXTSPLIT(H617, ",",, TRUE)), LAMBDA(_xlpm.ri,_xlpm.gi, TRIM(INDEX(TEXTSPLIT(G617, ",",, TRUE), 1, _xlpm.ri)) &amp; "_" &amp; TRIM(INDEX(TEXTSPLIT(H617, ",",, TRUE), 1, _xlpm.gi))))), "")</f>
        <v/>
      </c>
    </row>
    <row r="618" ht="15.75" customHeight="1">
      <c r="B618" s="17"/>
      <c r="I618" s="5" t="str">
        <f t="array" ref="I618">IFERROR(TEXTJOIN(", ", TRUE, MAKEARRAY(COLUMNS(TEXTSPLIT(G618, ",",, TRUE)), COLUMNS(TEXTSPLIT(H618, ",",, TRUE)), LAMBDA(_xlpm.ri,_xlpm.gi, TRIM(INDEX(TEXTSPLIT(G618, ",",, TRUE), 1, _xlpm.ri)) &amp; "_" &amp; TRIM(INDEX(TEXTSPLIT(H618, ",",, TRUE), 1, _xlpm.gi))))), "")</f>
        <v/>
      </c>
    </row>
    <row r="619" ht="15.75" customHeight="1">
      <c r="B619" s="17"/>
      <c r="I619" s="5" t="str">
        <f t="array" ref="I619">IFERROR(TEXTJOIN(", ", TRUE, MAKEARRAY(COLUMNS(TEXTSPLIT(G619, ",",, TRUE)), COLUMNS(TEXTSPLIT(H619, ",",, TRUE)), LAMBDA(_xlpm.ri,_xlpm.gi, TRIM(INDEX(TEXTSPLIT(G619, ",",, TRUE), 1, _xlpm.ri)) &amp; "_" &amp; TRIM(INDEX(TEXTSPLIT(H619, ",",, TRUE), 1, _xlpm.gi))))), "")</f>
        <v/>
      </c>
    </row>
    <row r="620" ht="15.75" customHeight="1">
      <c r="B620" s="17"/>
      <c r="I620" s="5" t="str">
        <f t="array" ref="I620">IFERROR(TEXTJOIN(", ", TRUE, MAKEARRAY(COLUMNS(TEXTSPLIT(G620, ",",, TRUE)), COLUMNS(TEXTSPLIT(H620, ",",, TRUE)), LAMBDA(_xlpm.ri,_xlpm.gi, TRIM(INDEX(TEXTSPLIT(G620, ",",, TRUE), 1, _xlpm.ri)) &amp; "_" &amp; TRIM(INDEX(TEXTSPLIT(H620, ",",, TRUE), 1, _xlpm.gi))))), "")</f>
        <v/>
      </c>
    </row>
    <row r="621" ht="15.75" customHeight="1">
      <c r="B621" s="17"/>
      <c r="I621" s="5" t="str">
        <f t="array" ref="I621">IFERROR(TEXTJOIN(", ", TRUE, MAKEARRAY(COLUMNS(TEXTSPLIT(G621, ",",, TRUE)), COLUMNS(TEXTSPLIT(H621, ",",, TRUE)), LAMBDA(_xlpm.ri,_xlpm.gi, TRIM(INDEX(TEXTSPLIT(G621, ",",, TRUE), 1, _xlpm.ri)) &amp; "_" &amp; TRIM(INDEX(TEXTSPLIT(H621, ",",, TRUE), 1, _xlpm.gi))))), "")</f>
        <v/>
      </c>
    </row>
    <row r="622" ht="15.75" customHeight="1">
      <c r="B622" s="17"/>
      <c r="I622" s="5" t="str">
        <f t="array" ref="I622">IFERROR(TEXTJOIN(", ", TRUE, MAKEARRAY(COLUMNS(TEXTSPLIT(G622, ",",, TRUE)), COLUMNS(TEXTSPLIT(H622, ",",, TRUE)), LAMBDA(_xlpm.ri,_xlpm.gi, TRIM(INDEX(TEXTSPLIT(G622, ",",, TRUE), 1, _xlpm.ri)) &amp; "_" &amp; TRIM(INDEX(TEXTSPLIT(H622, ",",, TRUE), 1, _xlpm.gi))))), "")</f>
        <v/>
      </c>
    </row>
    <row r="623" ht="15.75" customHeight="1">
      <c r="B623" s="17"/>
      <c r="I623" s="5" t="str">
        <f t="array" ref="I623">IFERROR(TEXTJOIN(", ", TRUE, MAKEARRAY(COLUMNS(TEXTSPLIT(G623, ",",, TRUE)), COLUMNS(TEXTSPLIT(H623, ",",, TRUE)), LAMBDA(_xlpm.ri,_xlpm.gi, TRIM(INDEX(TEXTSPLIT(G623, ",",, TRUE), 1, _xlpm.ri)) &amp; "_" &amp; TRIM(INDEX(TEXTSPLIT(H623, ",",, TRUE), 1, _xlpm.gi))))), "")</f>
        <v/>
      </c>
    </row>
    <row r="624" ht="15.75" customHeight="1">
      <c r="B624" s="17"/>
      <c r="I624" s="5" t="str">
        <f t="array" ref="I624">IFERROR(TEXTJOIN(", ", TRUE, MAKEARRAY(COLUMNS(TEXTSPLIT(G624, ",",, TRUE)), COLUMNS(TEXTSPLIT(H624, ",",, TRUE)), LAMBDA(_xlpm.ri,_xlpm.gi, TRIM(INDEX(TEXTSPLIT(G624, ",",, TRUE), 1, _xlpm.ri)) &amp; "_" &amp; TRIM(INDEX(TEXTSPLIT(H624, ",",, TRUE), 1, _xlpm.gi))))), "")</f>
        <v/>
      </c>
    </row>
    <row r="625" ht="15.75" customHeight="1">
      <c r="B625" s="17"/>
      <c r="I625" s="5" t="str">
        <f t="array" ref="I625">IFERROR(TEXTJOIN(", ", TRUE, MAKEARRAY(COLUMNS(TEXTSPLIT(G625, ",",, TRUE)), COLUMNS(TEXTSPLIT(H625, ",",, TRUE)), LAMBDA(_xlpm.ri,_xlpm.gi, TRIM(INDEX(TEXTSPLIT(G625, ",",, TRUE), 1, _xlpm.ri)) &amp; "_" &amp; TRIM(INDEX(TEXTSPLIT(H625, ",",, TRUE), 1, _xlpm.gi))))), "")</f>
        <v/>
      </c>
    </row>
    <row r="626" ht="15.75" customHeight="1">
      <c r="B626" s="17"/>
      <c r="I626" s="5" t="str">
        <f t="array" ref="I626">IFERROR(TEXTJOIN(", ", TRUE, MAKEARRAY(COLUMNS(TEXTSPLIT(G626, ",",, TRUE)), COLUMNS(TEXTSPLIT(H626, ",",, TRUE)), LAMBDA(_xlpm.ri,_xlpm.gi, TRIM(INDEX(TEXTSPLIT(G626, ",",, TRUE), 1, _xlpm.ri)) &amp; "_" &amp; TRIM(INDEX(TEXTSPLIT(H626, ",",, TRUE), 1, _xlpm.gi))))), "")</f>
        <v/>
      </c>
    </row>
    <row r="627" ht="15.75" customHeight="1">
      <c r="B627" s="17"/>
      <c r="I627" s="5" t="str">
        <f t="array" ref="I627">IFERROR(TEXTJOIN(", ", TRUE, MAKEARRAY(COLUMNS(TEXTSPLIT(G627, ",",, TRUE)), COLUMNS(TEXTSPLIT(H627, ",",, TRUE)), LAMBDA(_xlpm.ri,_xlpm.gi, TRIM(INDEX(TEXTSPLIT(G627, ",",, TRUE), 1, _xlpm.ri)) &amp; "_" &amp; TRIM(INDEX(TEXTSPLIT(H627, ",",, TRUE), 1, _xlpm.gi))))), "")</f>
        <v/>
      </c>
    </row>
    <row r="628" ht="15.75" customHeight="1">
      <c r="B628" s="17"/>
      <c r="I628" s="5" t="str">
        <f t="array" ref="I628">IFERROR(TEXTJOIN(", ", TRUE, MAKEARRAY(COLUMNS(TEXTSPLIT(G628, ",",, TRUE)), COLUMNS(TEXTSPLIT(H628, ",",, TRUE)), LAMBDA(_xlpm.ri,_xlpm.gi, TRIM(INDEX(TEXTSPLIT(G628, ",",, TRUE), 1, _xlpm.ri)) &amp; "_" &amp; TRIM(INDEX(TEXTSPLIT(H628, ",",, TRUE), 1, _xlpm.gi))))), "")</f>
        <v/>
      </c>
    </row>
    <row r="629" ht="15.75" customHeight="1">
      <c r="B629" s="17"/>
      <c r="I629" s="5" t="str">
        <f t="array" ref="I629">IFERROR(TEXTJOIN(", ", TRUE, MAKEARRAY(COLUMNS(TEXTSPLIT(G629, ",",, TRUE)), COLUMNS(TEXTSPLIT(H629, ",",, TRUE)), LAMBDA(_xlpm.ri,_xlpm.gi, TRIM(INDEX(TEXTSPLIT(G629, ",",, TRUE), 1, _xlpm.ri)) &amp; "_" &amp; TRIM(INDEX(TEXTSPLIT(H629, ",",, TRUE), 1, _xlpm.gi))))), "")</f>
        <v/>
      </c>
    </row>
    <row r="630" ht="15.75" customHeight="1">
      <c r="B630" s="17"/>
      <c r="I630" s="5" t="str">
        <f t="array" ref="I630">IFERROR(TEXTJOIN(", ", TRUE, MAKEARRAY(COLUMNS(TEXTSPLIT(G630, ",",, TRUE)), COLUMNS(TEXTSPLIT(H630, ",",, TRUE)), LAMBDA(_xlpm.ri,_xlpm.gi, TRIM(INDEX(TEXTSPLIT(G630, ",",, TRUE), 1, _xlpm.ri)) &amp; "_" &amp; TRIM(INDEX(TEXTSPLIT(H630, ",",, TRUE), 1, _xlpm.gi))))), "")</f>
        <v/>
      </c>
    </row>
    <row r="631" ht="15.75" customHeight="1">
      <c r="B631" s="17"/>
      <c r="I631" s="5" t="str">
        <f t="array" ref="I631">IFERROR(TEXTJOIN(", ", TRUE, MAKEARRAY(COLUMNS(TEXTSPLIT(G631, ",",, TRUE)), COLUMNS(TEXTSPLIT(H631, ",",, TRUE)), LAMBDA(_xlpm.ri,_xlpm.gi, TRIM(INDEX(TEXTSPLIT(G631, ",",, TRUE), 1, _xlpm.ri)) &amp; "_" &amp; TRIM(INDEX(TEXTSPLIT(H631, ",",, TRUE), 1, _xlpm.gi))))), "")</f>
        <v/>
      </c>
    </row>
    <row r="632" ht="15.75" customHeight="1">
      <c r="B632" s="17"/>
      <c r="I632" s="5" t="str">
        <f t="array" ref="I632">IFERROR(TEXTJOIN(", ", TRUE, MAKEARRAY(COLUMNS(TEXTSPLIT(G632, ",",, TRUE)), COLUMNS(TEXTSPLIT(H632, ",",, TRUE)), LAMBDA(_xlpm.ri,_xlpm.gi, TRIM(INDEX(TEXTSPLIT(G632, ",",, TRUE), 1, _xlpm.ri)) &amp; "_" &amp; TRIM(INDEX(TEXTSPLIT(H632, ",",, TRUE), 1, _xlpm.gi))))), "")</f>
        <v/>
      </c>
    </row>
    <row r="633" ht="15.75" customHeight="1">
      <c r="B633" s="17"/>
      <c r="I633" s="5" t="str">
        <f t="array" ref="I633">IFERROR(TEXTJOIN(", ", TRUE, MAKEARRAY(COLUMNS(TEXTSPLIT(G633, ",",, TRUE)), COLUMNS(TEXTSPLIT(H633, ",",, TRUE)), LAMBDA(_xlpm.ri,_xlpm.gi, TRIM(INDEX(TEXTSPLIT(G633, ",",, TRUE), 1, _xlpm.ri)) &amp; "_" &amp; TRIM(INDEX(TEXTSPLIT(H633, ",",, TRUE), 1, _xlpm.gi))))), "")</f>
        <v/>
      </c>
    </row>
    <row r="634" ht="15.75" customHeight="1">
      <c r="B634" s="17"/>
      <c r="I634" s="5" t="str">
        <f t="array" ref="I634">IFERROR(TEXTJOIN(", ", TRUE, MAKEARRAY(COLUMNS(TEXTSPLIT(G634, ",",, TRUE)), COLUMNS(TEXTSPLIT(H634, ",",, TRUE)), LAMBDA(_xlpm.ri,_xlpm.gi, TRIM(INDEX(TEXTSPLIT(G634, ",",, TRUE), 1, _xlpm.ri)) &amp; "_" &amp; TRIM(INDEX(TEXTSPLIT(H634, ",",, TRUE), 1, _xlpm.gi))))), "")</f>
        <v/>
      </c>
    </row>
    <row r="635" ht="15.75" customHeight="1">
      <c r="B635" s="17"/>
      <c r="I635" s="5" t="str">
        <f t="array" ref="I635">IFERROR(TEXTJOIN(", ", TRUE, MAKEARRAY(COLUMNS(TEXTSPLIT(G635, ",",, TRUE)), COLUMNS(TEXTSPLIT(H635, ",",, TRUE)), LAMBDA(_xlpm.ri,_xlpm.gi, TRIM(INDEX(TEXTSPLIT(G635, ",",, TRUE), 1, _xlpm.ri)) &amp; "_" &amp; TRIM(INDEX(TEXTSPLIT(H635, ",",, TRUE), 1, _xlpm.gi))))), "")</f>
        <v/>
      </c>
    </row>
    <row r="636" ht="15.75" customHeight="1">
      <c r="B636" s="17"/>
      <c r="I636" s="5" t="str">
        <f t="array" ref="I636">IFERROR(TEXTJOIN(", ", TRUE, MAKEARRAY(COLUMNS(TEXTSPLIT(G636, ",",, TRUE)), COLUMNS(TEXTSPLIT(H636, ",",, TRUE)), LAMBDA(_xlpm.ri,_xlpm.gi, TRIM(INDEX(TEXTSPLIT(G636, ",",, TRUE), 1, _xlpm.ri)) &amp; "_" &amp; TRIM(INDEX(TEXTSPLIT(H636, ",",, TRUE), 1, _xlpm.gi))))), "")</f>
        <v/>
      </c>
    </row>
    <row r="637" ht="15.75" customHeight="1">
      <c r="B637" s="17"/>
      <c r="I637" s="5" t="str">
        <f t="array" ref="I637">IFERROR(TEXTJOIN(", ", TRUE, MAKEARRAY(COLUMNS(TEXTSPLIT(G637, ",",, TRUE)), COLUMNS(TEXTSPLIT(H637, ",",, TRUE)), LAMBDA(_xlpm.ri,_xlpm.gi, TRIM(INDEX(TEXTSPLIT(G637, ",",, TRUE), 1, _xlpm.ri)) &amp; "_" &amp; TRIM(INDEX(TEXTSPLIT(H637, ",",, TRUE), 1, _xlpm.gi))))), "")</f>
        <v/>
      </c>
    </row>
    <row r="638" ht="15.75" customHeight="1">
      <c r="B638" s="17"/>
      <c r="I638" s="5" t="str">
        <f t="array" ref="I638">IFERROR(TEXTJOIN(", ", TRUE, MAKEARRAY(COLUMNS(TEXTSPLIT(G638, ",",, TRUE)), COLUMNS(TEXTSPLIT(H638, ",",, TRUE)), LAMBDA(_xlpm.ri,_xlpm.gi, TRIM(INDEX(TEXTSPLIT(G638, ",",, TRUE), 1, _xlpm.ri)) &amp; "_" &amp; TRIM(INDEX(TEXTSPLIT(H638, ",",, TRUE), 1, _xlpm.gi))))), "")</f>
        <v/>
      </c>
    </row>
    <row r="639" ht="15.75" customHeight="1">
      <c r="B639" s="17"/>
      <c r="I639" s="5" t="str">
        <f t="array" ref="I639">IFERROR(TEXTJOIN(", ", TRUE, MAKEARRAY(COLUMNS(TEXTSPLIT(G639, ",",, TRUE)), COLUMNS(TEXTSPLIT(H639, ",",, TRUE)), LAMBDA(_xlpm.ri,_xlpm.gi, TRIM(INDEX(TEXTSPLIT(G639, ",",, TRUE), 1, _xlpm.ri)) &amp; "_" &amp; TRIM(INDEX(TEXTSPLIT(H639, ",",, TRUE), 1, _xlpm.gi))))), "")</f>
        <v/>
      </c>
    </row>
    <row r="640" ht="15.75" customHeight="1">
      <c r="B640" s="17"/>
      <c r="I640" s="5" t="str">
        <f t="array" ref="I640">IFERROR(TEXTJOIN(", ", TRUE, MAKEARRAY(COLUMNS(TEXTSPLIT(G640, ",",, TRUE)), COLUMNS(TEXTSPLIT(H640, ",",, TRUE)), LAMBDA(_xlpm.ri,_xlpm.gi, TRIM(INDEX(TEXTSPLIT(G640, ",",, TRUE), 1, _xlpm.ri)) &amp; "_" &amp; TRIM(INDEX(TEXTSPLIT(H640, ",",, TRUE), 1, _xlpm.gi))))), "")</f>
        <v/>
      </c>
    </row>
    <row r="641" ht="15.75" customHeight="1">
      <c r="B641" s="17"/>
      <c r="I641" s="5" t="str">
        <f t="array" ref="I641">IFERROR(TEXTJOIN(", ", TRUE, MAKEARRAY(COLUMNS(TEXTSPLIT(G641, ",",, TRUE)), COLUMNS(TEXTSPLIT(H641, ",",, TRUE)), LAMBDA(_xlpm.ri,_xlpm.gi, TRIM(INDEX(TEXTSPLIT(G641, ",",, TRUE), 1, _xlpm.ri)) &amp; "_" &amp; TRIM(INDEX(TEXTSPLIT(H641, ",",, TRUE), 1, _xlpm.gi))))), "")</f>
        <v/>
      </c>
    </row>
    <row r="642" ht="15.75" customHeight="1">
      <c r="B642" s="17"/>
      <c r="I642" s="5" t="str">
        <f t="array" ref="I642">IFERROR(TEXTJOIN(", ", TRUE, MAKEARRAY(COLUMNS(TEXTSPLIT(G642, ",",, TRUE)), COLUMNS(TEXTSPLIT(H642, ",",, TRUE)), LAMBDA(_xlpm.ri,_xlpm.gi, TRIM(INDEX(TEXTSPLIT(G642, ",",, TRUE), 1, _xlpm.ri)) &amp; "_" &amp; TRIM(INDEX(TEXTSPLIT(H642, ",",, TRUE), 1, _xlpm.gi))))), "")</f>
        <v/>
      </c>
    </row>
    <row r="643" ht="15.75" customHeight="1">
      <c r="B643" s="17"/>
      <c r="I643" s="5" t="str">
        <f t="array" ref="I643">IFERROR(TEXTJOIN(", ", TRUE, MAKEARRAY(COLUMNS(TEXTSPLIT(G643, ",",, TRUE)), COLUMNS(TEXTSPLIT(H643, ",",, TRUE)), LAMBDA(_xlpm.ri,_xlpm.gi, TRIM(INDEX(TEXTSPLIT(G643, ",",, TRUE), 1, _xlpm.ri)) &amp; "_" &amp; TRIM(INDEX(TEXTSPLIT(H643, ",",, TRUE), 1, _xlpm.gi))))), "")</f>
        <v/>
      </c>
    </row>
    <row r="644" ht="15.75" customHeight="1">
      <c r="B644" s="17"/>
      <c r="I644" s="5" t="str">
        <f t="array" ref="I644">IFERROR(TEXTJOIN(", ", TRUE, MAKEARRAY(COLUMNS(TEXTSPLIT(G644, ",",, TRUE)), COLUMNS(TEXTSPLIT(H644, ",",, TRUE)), LAMBDA(_xlpm.ri,_xlpm.gi, TRIM(INDEX(TEXTSPLIT(G644, ",",, TRUE), 1, _xlpm.ri)) &amp; "_" &amp; TRIM(INDEX(TEXTSPLIT(H644, ",",, TRUE), 1, _xlpm.gi))))), "")</f>
        <v/>
      </c>
    </row>
    <row r="645" ht="15.75" customHeight="1">
      <c r="B645" s="17"/>
      <c r="I645" s="5" t="str">
        <f t="array" ref="I645">IFERROR(TEXTJOIN(", ", TRUE, MAKEARRAY(COLUMNS(TEXTSPLIT(G645, ",",, TRUE)), COLUMNS(TEXTSPLIT(H645, ",",, TRUE)), LAMBDA(_xlpm.ri,_xlpm.gi, TRIM(INDEX(TEXTSPLIT(G645, ",",, TRUE), 1, _xlpm.ri)) &amp; "_" &amp; TRIM(INDEX(TEXTSPLIT(H645, ",",, TRUE), 1, _xlpm.gi))))), "")</f>
        <v/>
      </c>
    </row>
    <row r="646" ht="15.75" customHeight="1">
      <c r="B646" s="17"/>
      <c r="I646" s="5" t="str">
        <f t="array" ref="I646">IFERROR(TEXTJOIN(", ", TRUE, MAKEARRAY(COLUMNS(TEXTSPLIT(G646, ",",, TRUE)), COLUMNS(TEXTSPLIT(H646, ",",, TRUE)), LAMBDA(_xlpm.ri,_xlpm.gi, TRIM(INDEX(TEXTSPLIT(G646, ",",, TRUE), 1, _xlpm.ri)) &amp; "_" &amp; TRIM(INDEX(TEXTSPLIT(H646, ",",, TRUE), 1, _xlpm.gi))))), "")</f>
        <v/>
      </c>
    </row>
    <row r="647" ht="15.75" customHeight="1">
      <c r="B647" s="17"/>
      <c r="I647" s="5" t="str">
        <f t="array" ref="I647">IFERROR(TEXTJOIN(", ", TRUE, MAKEARRAY(COLUMNS(TEXTSPLIT(G647, ",",, TRUE)), COLUMNS(TEXTSPLIT(H647, ",",, TRUE)), LAMBDA(_xlpm.ri,_xlpm.gi, TRIM(INDEX(TEXTSPLIT(G647, ",",, TRUE), 1, _xlpm.ri)) &amp; "_" &amp; TRIM(INDEX(TEXTSPLIT(H647, ",",, TRUE), 1, _xlpm.gi))))), "")</f>
        <v/>
      </c>
    </row>
    <row r="648" ht="15.75" customHeight="1">
      <c r="B648" s="17"/>
      <c r="I648" s="5" t="str">
        <f t="array" ref="I648">IFERROR(TEXTJOIN(", ", TRUE, MAKEARRAY(COLUMNS(TEXTSPLIT(G648, ",",, TRUE)), COLUMNS(TEXTSPLIT(H648, ",",, TRUE)), LAMBDA(_xlpm.ri,_xlpm.gi, TRIM(INDEX(TEXTSPLIT(G648, ",",, TRUE), 1, _xlpm.ri)) &amp; "_" &amp; TRIM(INDEX(TEXTSPLIT(H648, ",",, TRUE), 1, _xlpm.gi))))), "")</f>
        <v/>
      </c>
    </row>
    <row r="649" ht="15.75" customHeight="1">
      <c r="B649" s="17"/>
      <c r="I649" s="5" t="str">
        <f t="array" ref="I649">IFERROR(TEXTJOIN(", ", TRUE, MAKEARRAY(COLUMNS(TEXTSPLIT(G649, ",",, TRUE)), COLUMNS(TEXTSPLIT(H649, ",",, TRUE)), LAMBDA(_xlpm.ri,_xlpm.gi, TRIM(INDEX(TEXTSPLIT(G649, ",",, TRUE), 1, _xlpm.ri)) &amp; "_" &amp; TRIM(INDEX(TEXTSPLIT(H649, ",",, TRUE), 1, _xlpm.gi))))), "")</f>
        <v/>
      </c>
    </row>
    <row r="650" ht="15.75" customHeight="1">
      <c r="B650" s="17"/>
      <c r="I650" s="5" t="str">
        <f t="array" ref="I650">IFERROR(TEXTJOIN(", ", TRUE, MAKEARRAY(COLUMNS(TEXTSPLIT(G650, ",",, TRUE)), COLUMNS(TEXTSPLIT(H650, ",",, TRUE)), LAMBDA(_xlpm.ri,_xlpm.gi, TRIM(INDEX(TEXTSPLIT(G650, ",",, TRUE), 1, _xlpm.ri)) &amp; "_" &amp; TRIM(INDEX(TEXTSPLIT(H650, ",",, TRUE), 1, _xlpm.gi))))), "")</f>
        <v/>
      </c>
    </row>
    <row r="651" ht="15.75" customHeight="1">
      <c r="B651" s="17"/>
      <c r="I651" s="5" t="str">
        <f t="array" ref="I651">IFERROR(TEXTJOIN(", ", TRUE, MAKEARRAY(COLUMNS(TEXTSPLIT(G651, ",",, TRUE)), COLUMNS(TEXTSPLIT(H651, ",",, TRUE)), LAMBDA(_xlpm.ri,_xlpm.gi, TRIM(INDEX(TEXTSPLIT(G651, ",",, TRUE), 1, _xlpm.ri)) &amp; "_" &amp; TRIM(INDEX(TEXTSPLIT(H651, ",",, TRUE), 1, _xlpm.gi))))), "")</f>
        <v/>
      </c>
    </row>
    <row r="652" ht="15.75" customHeight="1">
      <c r="B652" s="17"/>
      <c r="I652" s="5" t="str">
        <f t="array" ref="I652">IFERROR(TEXTJOIN(", ", TRUE, MAKEARRAY(COLUMNS(TEXTSPLIT(G652, ",",, TRUE)), COLUMNS(TEXTSPLIT(H652, ",",, TRUE)), LAMBDA(_xlpm.ri,_xlpm.gi, TRIM(INDEX(TEXTSPLIT(G652, ",",, TRUE), 1, _xlpm.ri)) &amp; "_" &amp; TRIM(INDEX(TEXTSPLIT(H652, ",",, TRUE), 1, _xlpm.gi))))), "")</f>
        <v/>
      </c>
    </row>
    <row r="653" ht="15.75" customHeight="1">
      <c r="B653" s="17"/>
      <c r="I653" s="5" t="str">
        <f t="array" ref="I653">IFERROR(TEXTJOIN(", ", TRUE, MAKEARRAY(COLUMNS(TEXTSPLIT(G653, ",",, TRUE)), COLUMNS(TEXTSPLIT(H653, ",",, TRUE)), LAMBDA(_xlpm.ri,_xlpm.gi, TRIM(INDEX(TEXTSPLIT(G653, ",",, TRUE), 1, _xlpm.ri)) &amp; "_" &amp; TRIM(INDEX(TEXTSPLIT(H653, ",",, TRUE), 1, _xlpm.gi))))), "")</f>
        <v/>
      </c>
    </row>
    <row r="654" ht="15.75" customHeight="1">
      <c r="B654" s="17"/>
      <c r="I654" s="5" t="str">
        <f t="array" ref="I654">IFERROR(TEXTJOIN(", ", TRUE, MAKEARRAY(COLUMNS(TEXTSPLIT(G654, ",",, TRUE)), COLUMNS(TEXTSPLIT(H654, ",",, TRUE)), LAMBDA(_xlpm.ri,_xlpm.gi, TRIM(INDEX(TEXTSPLIT(G654, ",",, TRUE), 1, _xlpm.ri)) &amp; "_" &amp; TRIM(INDEX(TEXTSPLIT(H654, ",",, TRUE), 1, _xlpm.gi))))), "")</f>
        <v/>
      </c>
    </row>
    <row r="655" ht="15.75" customHeight="1">
      <c r="B655" s="17"/>
      <c r="I655" s="5" t="str">
        <f t="array" ref="I655">IFERROR(TEXTJOIN(", ", TRUE, MAKEARRAY(COLUMNS(TEXTSPLIT(G655, ",",, TRUE)), COLUMNS(TEXTSPLIT(H655, ",",, TRUE)), LAMBDA(_xlpm.ri,_xlpm.gi, TRIM(INDEX(TEXTSPLIT(G655, ",",, TRUE), 1, _xlpm.ri)) &amp; "_" &amp; TRIM(INDEX(TEXTSPLIT(H655, ",",, TRUE), 1, _xlpm.gi))))), "")</f>
        <v/>
      </c>
    </row>
    <row r="656" ht="15.75" customHeight="1">
      <c r="B656" s="17"/>
      <c r="I656" s="5" t="str">
        <f t="array" ref="I656">IFERROR(TEXTJOIN(", ", TRUE, MAKEARRAY(COLUMNS(TEXTSPLIT(G656, ",",, TRUE)), COLUMNS(TEXTSPLIT(H656, ",",, TRUE)), LAMBDA(_xlpm.ri,_xlpm.gi, TRIM(INDEX(TEXTSPLIT(G656, ",",, TRUE), 1, _xlpm.ri)) &amp; "_" &amp; TRIM(INDEX(TEXTSPLIT(H656, ",",, TRUE), 1, _xlpm.gi))))), "")</f>
        <v/>
      </c>
    </row>
    <row r="657" ht="15.75" customHeight="1">
      <c r="B657" s="17"/>
      <c r="I657" s="5" t="str">
        <f t="array" ref="I657">IFERROR(TEXTJOIN(", ", TRUE, MAKEARRAY(COLUMNS(TEXTSPLIT(G657, ",",, TRUE)), COLUMNS(TEXTSPLIT(H657, ",",, TRUE)), LAMBDA(_xlpm.ri,_xlpm.gi, TRIM(INDEX(TEXTSPLIT(G657, ",",, TRUE), 1, _xlpm.ri)) &amp; "_" &amp; TRIM(INDEX(TEXTSPLIT(H657, ",",, TRUE), 1, _xlpm.gi))))), "")</f>
        <v/>
      </c>
    </row>
    <row r="658" ht="15.75" customHeight="1">
      <c r="B658" s="17"/>
      <c r="I658" s="5" t="str">
        <f t="array" ref="I658">IFERROR(TEXTJOIN(", ", TRUE, MAKEARRAY(COLUMNS(TEXTSPLIT(G658, ",",, TRUE)), COLUMNS(TEXTSPLIT(H658, ",",, TRUE)), LAMBDA(_xlpm.ri,_xlpm.gi, TRIM(INDEX(TEXTSPLIT(G658, ",",, TRUE), 1, _xlpm.ri)) &amp; "_" &amp; TRIM(INDEX(TEXTSPLIT(H658, ",",, TRUE), 1, _xlpm.gi))))), "")</f>
        <v/>
      </c>
    </row>
    <row r="659" ht="15.75" customHeight="1">
      <c r="B659" s="17"/>
      <c r="I659" s="5" t="str">
        <f t="array" ref="I659">IFERROR(TEXTJOIN(", ", TRUE, MAKEARRAY(COLUMNS(TEXTSPLIT(G659, ",",, TRUE)), COLUMNS(TEXTSPLIT(H659, ",",, TRUE)), LAMBDA(_xlpm.ri,_xlpm.gi, TRIM(INDEX(TEXTSPLIT(G659, ",",, TRUE), 1, _xlpm.ri)) &amp; "_" &amp; TRIM(INDEX(TEXTSPLIT(H659, ",",, TRUE), 1, _xlpm.gi))))), "")</f>
        <v/>
      </c>
    </row>
    <row r="660" ht="15.75" customHeight="1">
      <c r="B660" s="17"/>
      <c r="I660" s="5" t="str">
        <f t="array" ref="I660">IFERROR(TEXTJOIN(", ", TRUE, MAKEARRAY(COLUMNS(TEXTSPLIT(G660, ",",, TRUE)), COLUMNS(TEXTSPLIT(H660, ",",, TRUE)), LAMBDA(_xlpm.ri,_xlpm.gi, TRIM(INDEX(TEXTSPLIT(G660, ",",, TRUE), 1, _xlpm.ri)) &amp; "_" &amp; TRIM(INDEX(TEXTSPLIT(H660, ",",, TRUE), 1, _xlpm.gi))))), "")</f>
        <v/>
      </c>
    </row>
    <row r="661" ht="15.75" customHeight="1">
      <c r="B661" s="17"/>
      <c r="I661" s="5" t="str">
        <f t="array" ref="I661">IFERROR(TEXTJOIN(", ", TRUE, MAKEARRAY(COLUMNS(TEXTSPLIT(G661, ",",, TRUE)), COLUMNS(TEXTSPLIT(H661, ",",, TRUE)), LAMBDA(_xlpm.ri,_xlpm.gi, TRIM(INDEX(TEXTSPLIT(G661, ",",, TRUE), 1, _xlpm.ri)) &amp; "_" &amp; TRIM(INDEX(TEXTSPLIT(H661, ",",, TRUE), 1, _xlpm.gi))))), "")</f>
        <v/>
      </c>
    </row>
    <row r="662" ht="15.75" customHeight="1">
      <c r="B662" s="17"/>
      <c r="I662" s="5" t="str">
        <f t="array" ref="I662">IFERROR(TEXTJOIN(", ", TRUE, MAKEARRAY(COLUMNS(TEXTSPLIT(G662, ",",, TRUE)), COLUMNS(TEXTSPLIT(H662, ",",, TRUE)), LAMBDA(_xlpm.ri,_xlpm.gi, TRIM(INDEX(TEXTSPLIT(G662, ",",, TRUE), 1, _xlpm.ri)) &amp; "_" &amp; TRIM(INDEX(TEXTSPLIT(H662, ",",, TRUE), 1, _xlpm.gi))))), "")</f>
        <v/>
      </c>
    </row>
    <row r="663" ht="15.75" customHeight="1">
      <c r="B663" s="17"/>
      <c r="I663" s="5" t="str">
        <f t="array" ref="I663">IFERROR(TEXTJOIN(", ", TRUE, MAKEARRAY(COLUMNS(TEXTSPLIT(G663, ",",, TRUE)), COLUMNS(TEXTSPLIT(H663, ",",, TRUE)), LAMBDA(_xlpm.ri,_xlpm.gi, TRIM(INDEX(TEXTSPLIT(G663, ",",, TRUE), 1, _xlpm.ri)) &amp; "_" &amp; TRIM(INDEX(TEXTSPLIT(H663, ",",, TRUE), 1, _xlpm.gi))))), "")</f>
        <v/>
      </c>
    </row>
    <row r="664" ht="15.75" customHeight="1">
      <c r="B664" s="17"/>
      <c r="I664" s="5" t="str">
        <f t="array" ref="I664">IFERROR(TEXTJOIN(", ", TRUE, MAKEARRAY(COLUMNS(TEXTSPLIT(G664, ",",, TRUE)), COLUMNS(TEXTSPLIT(H664, ",",, TRUE)), LAMBDA(_xlpm.ri,_xlpm.gi, TRIM(INDEX(TEXTSPLIT(G664, ",",, TRUE), 1, _xlpm.ri)) &amp; "_" &amp; TRIM(INDEX(TEXTSPLIT(H664, ",",, TRUE), 1, _xlpm.gi))))), "")</f>
        <v/>
      </c>
    </row>
    <row r="665" ht="15.75" customHeight="1">
      <c r="B665" s="17"/>
      <c r="I665" s="5" t="str">
        <f t="array" ref="I665">IFERROR(TEXTJOIN(", ", TRUE, MAKEARRAY(COLUMNS(TEXTSPLIT(G665, ",",, TRUE)), COLUMNS(TEXTSPLIT(H665, ",",, TRUE)), LAMBDA(_xlpm.ri,_xlpm.gi, TRIM(INDEX(TEXTSPLIT(G665, ",",, TRUE), 1, _xlpm.ri)) &amp; "_" &amp; TRIM(INDEX(TEXTSPLIT(H665, ",",, TRUE), 1, _xlpm.gi))))), "")</f>
        <v/>
      </c>
    </row>
    <row r="666" ht="15.75" customHeight="1">
      <c r="B666" s="17"/>
      <c r="I666" s="5" t="str">
        <f t="array" ref="I666">IFERROR(TEXTJOIN(", ", TRUE, MAKEARRAY(COLUMNS(TEXTSPLIT(G666, ",",, TRUE)), COLUMNS(TEXTSPLIT(H666, ",",, TRUE)), LAMBDA(_xlpm.ri,_xlpm.gi, TRIM(INDEX(TEXTSPLIT(G666, ",",, TRUE), 1, _xlpm.ri)) &amp; "_" &amp; TRIM(INDEX(TEXTSPLIT(H666, ",",, TRUE), 1, _xlpm.gi))))), "")</f>
        <v/>
      </c>
    </row>
    <row r="667" ht="15.75" customHeight="1">
      <c r="B667" s="17"/>
      <c r="I667" s="5" t="str">
        <f t="array" ref="I667">IFERROR(TEXTJOIN(", ", TRUE, MAKEARRAY(COLUMNS(TEXTSPLIT(G667, ",",, TRUE)), COLUMNS(TEXTSPLIT(H667, ",",, TRUE)), LAMBDA(_xlpm.ri,_xlpm.gi, TRIM(INDEX(TEXTSPLIT(G667, ",",, TRUE), 1, _xlpm.ri)) &amp; "_" &amp; TRIM(INDEX(TEXTSPLIT(H667, ",",, TRUE), 1, _xlpm.gi))))), "")</f>
        <v/>
      </c>
    </row>
    <row r="668" ht="15.75" customHeight="1">
      <c r="B668" s="17"/>
      <c r="I668" s="5" t="str">
        <f t="array" ref="I668">IFERROR(TEXTJOIN(", ", TRUE, MAKEARRAY(COLUMNS(TEXTSPLIT(G668, ",",, TRUE)), COLUMNS(TEXTSPLIT(H668, ",",, TRUE)), LAMBDA(_xlpm.ri,_xlpm.gi, TRIM(INDEX(TEXTSPLIT(G668, ",",, TRUE), 1, _xlpm.ri)) &amp; "_" &amp; TRIM(INDEX(TEXTSPLIT(H668, ",",, TRUE), 1, _xlpm.gi))))), "")</f>
        <v/>
      </c>
    </row>
    <row r="669" ht="15.75" customHeight="1">
      <c r="B669" s="17"/>
      <c r="I669" s="5" t="str">
        <f t="array" ref="I669">IFERROR(TEXTJOIN(", ", TRUE, MAKEARRAY(COLUMNS(TEXTSPLIT(G669, ",",, TRUE)), COLUMNS(TEXTSPLIT(H669, ",",, TRUE)), LAMBDA(_xlpm.ri,_xlpm.gi, TRIM(INDEX(TEXTSPLIT(G669, ",",, TRUE), 1, _xlpm.ri)) &amp; "_" &amp; TRIM(INDEX(TEXTSPLIT(H669, ",",, TRUE), 1, _xlpm.gi))))), "")</f>
        <v/>
      </c>
    </row>
    <row r="670" ht="15.75" customHeight="1">
      <c r="B670" s="17"/>
      <c r="I670" s="5" t="str">
        <f t="array" ref="I670">IFERROR(TEXTJOIN(", ", TRUE, MAKEARRAY(COLUMNS(TEXTSPLIT(G670, ",",, TRUE)), COLUMNS(TEXTSPLIT(H670, ",",, TRUE)), LAMBDA(_xlpm.ri,_xlpm.gi, TRIM(INDEX(TEXTSPLIT(G670, ",",, TRUE), 1, _xlpm.ri)) &amp; "_" &amp; TRIM(INDEX(TEXTSPLIT(H670, ",",, TRUE), 1, _xlpm.gi))))), "")</f>
        <v/>
      </c>
    </row>
    <row r="671" ht="15.75" customHeight="1">
      <c r="B671" s="17"/>
      <c r="I671" s="5" t="str">
        <f t="array" ref="I671">IFERROR(TEXTJOIN(", ", TRUE, MAKEARRAY(COLUMNS(TEXTSPLIT(G671, ",",, TRUE)), COLUMNS(TEXTSPLIT(H671, ",",, TRUE)), LAMBDA(_xlpm.ri,_xlpm.gi, TRIM(INDEX(TEXTSPLIT(G671, ",",, TRUE), 1, _xlpm.ri)) &amp; "_" &amp; TRIM(INDEX(TEXTSPLIT(H671, ",",, TRUE), 1, _xlpm.gi))))), "")</f>
        <v/>
      </c>
    </row>
    <row r="672" ht="15.75" customHeight="1">
      <c r="B672" s="17"/>
      <c r="I672" s="5" t="str">
        <f t="array" ref="I672">IFERROR(TEXTJOIN(", ", TRUE, MAKEARRAY(COLUMNS(TEXTSPLIT(G672, ",",, TRUE)), COLUMNS(TEXTSPLIT(H672, ",",, TRUE)), LAMBDA(_xlpm.ri,_xlpm.gi, TRIM(INDEX(TEXTSPLIT(G672, ",",, TRUE), 1, _xlpm.ri)) &amp; "_" &amp; TRIM(INDEX(TEXTSPLIT(H672, ",",, TRUE), 1, _xlpm.gi))))), "")</f>
        <v/>
      </c>
    </row>
    <row r="673" ht="15.75" customHeight="1">
      <c r="B673" s="17"/>
      <c r="I673" s="5" t="str">
        <f t="array" ref="I673">IFERROR(TEXTJOIN(", ", TRUE, MAKEARRAY(COLUMNS(TEXTSPLIT(G673, ",",, TRUE)), COLUMNS(TEXTSPLIT(H673, ",",, TRUE)), LAMBDA(_xlpm.ri,_xlpm.gi, TRIM(INDEX(TEXTSPLIT(G673, ",",, TRUE), 1, _xlpm.ri)) &amp; "_" &amp; TRIM(INDEX(TEXTSPLIT(H673, ",",, TRUE), 1, _xlpm.gi))))), "")</f>
        <v/>
      </c>
    </row>
    <row r="674" ht="15.75" customHeight="1">
      <c r="B674" s="17"/>
      <c r="I674" s="5" t="str">
        <f t="array" ref="I674">IFERROR(TEXTJOIN(", ", TRUE, MAKEARRAY(COLUMNS(TEXTSPLIT(G674, ",",, TRUE)), COLUMNS(TEXTSPLIT(H674, ",",, TRUE)), LAMBDA(_xlpm.ri,_xlpm.gi, TRIM(INDEX(TEXTSPLIT(G674, ",",, TRUE), 1, _xlpm.ri)) &amp; "_" &amp; TRIM(INDEX(TEXTSPLIT(H674, ",",, TRUE), 1, _xlpm.gi))))), "")</f>
        <v/>
      </c>
    </row>
    <row r="675" ht="15.75" customHeight="1">
      <c r="B675" s="17"/>
      <c r="I675" s="5" t="str">
        <f t="array" ref="I675">IFERROR(TEXTJOIN(", ", TRUE, MAKEARRAY(COLUMNS(TEXTSPLIT(G675, ",",, TRUE)), COLUMNS(TEXTSPLIT(H675, ",",, TRUE)), LAMBDA(_xlpm.ri,_xlpm.gi, TRIM(INDEX(TEXTSPLIT(G675, ",",, TRUE), 1, _xlpm.ri)) &amp; "_" &amp; TRIM(INDEX(TEXTSPLIT(H675, ",",, TRUE), 1, _xlpm.gi))))), "")</f>
        <v/>
      </c>
    </row>
    <row r="676" ht="15.75" customHeight="1">
      <c r="B676" s="17"/>
      <c r="I676" s="5" t="str">
        <f t="array" ref="I676">IFERROR(TEXTJOIN(", ", TRUE, MAKEARRAY(COLUMNS(TEXTSPLIT(G676, ",",, TRUE)), COLUMNS(TEXTSPLIT(H676, ",",, TRUE)), LAMBDA(_xlpm.ri,_xlpm.gi, TRIM(INDEX(TEXTSPLIT(G676, ",",, TRUE), 1, _xlpm.ri)) &amp; "_" &amp; TRIM(INDEX(TEXTSPLIT(H676, ",",, TRUE), 1, _xlpm.gi))))), "")</f>
        <v/>
      </c>
    </row>
    <row r="677" ht="15.75" customHeight="1">
      <c r="B677" s="17"/>
      <c r="I677" s="5" t="str">
        <f t="array" ref="I677">IFERROR(TEXTJOIN(", ", TRUE, MAKEARRAY(COLUMNS(TEXTSPLIT(G677, ",",, TRUE)), COLUMNS(TEXTSPLIT(H677, ",",, TRUE)), LAMBDA(_xlpm.ri,_xlpm.gi, TRIM(INDEX(TEXTSPLIT(G677, ",",, TRUE), 1, _xlpm.ri)) &amp; "_" &amp; TRIM(INDEX(TEXTSPLIT(H677, ",",, TRUE), 1, _xlpm.gi))))), "")</f>
        <v/>
      </c>
    </row>
    <row r="678" ht="15.75" customHeight="1">
      <c r="B678" s="17"/>
      <c r="I678" s="5" t="str">
        <f t="array" ref="I678">IFERROR(TEXTJOIN(", ", TRUE, MAKEARRAY(COLUMNS(TEXTSPLIT(G678, ",",, TRUE)), COLUMNS(TEXTSPLIT(H678, ",",, TRUE)), LAMBDA(_xlpm.ri,_xlpm.gi, TRIM(INDEX(TEXTSPLIT(G678, ",",, TRUE), 1, _xlpm.ri)) &amp; "_" &amp; TRIM(INDEX(TEXTSPLIT(H678, ",",, TRUE), 1, _xlpm.gi))))), "")</f>
        <v/>
      </c>
    </row>
    <row r="679" ht="15.75" customHeight="1">
      <c r="B679" s="17"/>
      <c r="I679" s="5" t="str">
        <f t="array" ref="I679">IFERROR(TEXTJOIN(", ", TRUE, MAKEARRAY(COLUMNS(TEXTSPLIT(G679, ",",, TRUE)), COLUMNS(TEXTSPLIT(H679, ",",, TRUE)), LAMBDA(_xlpm.ri,_xlpm.gi, TRIM(INDEX(TEXTSPLIT(G679, ",",, TRUE), 1, _xlpm.ri)) &amp; "_" &amp; TRIM(INDEX(TEXTSPLIT(H679, ",",, TRUE), 1, _xlpm.gi))))), "")</f>
        <v/>
      </c>
    </row>
    <row r="680" ht="15.75" customHeight="1">
      <c r="B680" s="17"/>
      <c r="I680" s="5" t="str">
        <f t="array" ref="I680">IFERROR(TEXTJOIN(", ", TRUE, MAKEARRAY(COLUMNS(TEXTSPLIT(G680, ",",, TRUE)), COLUMNS(TEXTSPLIT(H680, ",",, TRUE)), LAMBDA(_xlpm.ri,_xlpm.gi, TRIM(INDEX(TEXTSPLIT(G680, ",",, TRUE), 1, _xlpm.ri)) &amp; "_" &amp; TRIM(INDEX(TEXTSPLIT(H680, ",",, TRUE), 1, _xlpm.gi))))), "")</f>
        <v/>
      </c>
    </row>
    <row r="681" ht="15.75" customHeight="1">
      <c r="B681" s="17"/>
      <c r="I681" s="5" t="str">
        <f t="array" ref="I681">IFERROR(TEXTJOIN(", ", TRUE, MAKEARRAY(COLUMNS(TEXTSPLIT(G681, ",",, TRUE)), COLUMNS(TEXTSPLIT(H681, ",",, TRUE)), LAMBDA(_xlpm.ri,_xlpm.gi, TRIM(INDEX(TEXTSPLIT(G681, ",",, TRUE), 1, _xlpm.ri)) &amp; "_" &amp; TRIM(INDEX(TEXTSPLIT(H681, ",",, TRUE), 1, _xlpm.gi))))), "")</f>
        <v/>
      </c>
    </row>
    <row r="682" ht="15.75" customHeight="1">
      <c r="B682" s="17"/>
      <c r="I682" s="5" t="str">
        <f t="array" ref="I682">IFERROR(TEXTJOIN(", ", TRUE, MAKEARRAY(COLUMNS(TEXTSPLIT(G682, ",",, TRUE)), COLUMNS(TEXTSPLIT(H682, ",",, TRUE)), LAMBDA(_xlpm.ri,_xlpm.gi, TRIM(INDEX(TEXTSPLIT(G682, ",",, TRUE), 1, _xlpm.ri)) &amp; "_" &amp; TRIM(INDEX(TEXTSPLIT(H682, ",",, TRUE), 1, _xlpm.gi))))), "")</f>
        <v/>
      </c>
    </row>
    <row r="683" ht="15.75" customHeight="1">
      <c r="B683" s="17"/>
      <c r="I683" s="5" t="str">
        <f t="array" ref="I683">IFERROR(TEXTJOIN(", ", TRUE, MAKEARRAY(COLUMNS(TEXTSPLIT(G683, ",",, TRUE)), COLUMNS(TEXTSPLIT(H683, ",",, TRUE)), LAMBDA(_xlpm.ri,_xlpm.gi, TRIM(INDEX(TEXTSPLIT(G683, ",",, TRUE), 1, _xlpm.ri)) &amp; "_" &amp; TRIM(INDEX(TEXTSPLIT(H683, ",",, TRUE), 1, _xlpm.gi))))), "")</f>
        <v/>
      </c>
    </row>
    <row r="684" ht="15.75" customHeight="1">
      <c r="B684" s="17"/>
      <c r="I684" s="5" t="str">
        <f t="array" ref="I684">IFERROR(TEXTJOIN(", ", TRUE, MAKEARRAY(COLUMNS(TEXTSPLIT(G684, ",",, TRUE)), COLUMNS(TEXTSPLIT(H684, ",",, TRUE)), LAMBDA(_xlpm.ri,_xlpm.gi, TRIM(INDEX(TEXTSPLIT(G684, ",",, TRUE), 1, _xlpm.ri)) &amp; "_" &amp; TRIM(INDEX(TEXTSPLIT(H684, ",",, TRUE), 1, _xlpm.gi))))), "")</f>
        <v/>
      </c>
    </row>
    <row r="685" ht="15.75" customHeight="1">
      <c r="B685" s="17"/>
      <c r="I685" s="5" t="str">
        <f t="array" ref="I685">IFERROR(TEXTJOIN(", ", TRUE, MAKEARRAY(COLUMNS(TEXTSPLIT(G685, ",",, TRUE)), COLUMNS(TEXTSPLIT(H685, ",",, TRUE)), LAMBDA(_xlpm.ri,_xlpm.gi, TRIM(INDEX(TEXTSPLIT(G685, ",",, TRUE), 1, _xlpm.ri)) &amp; "_" &amp; TRIM(INDEX(TEXTSPLIT(H685, ",",, TRUE), 1, _xlpm.gi))))), "")</f>
        <v/>
      </c>
    </row>
    <row r="686" ht="15.75" customHeight="1">
      <c r="B686" s="17"/>
      <c r="I686" s="5" t="str">
        <f t="array" ref="I686">IFERROR(TEXTJOIN(", ", TRUE, MAKEARRAY(COLUMNS(TEXTSPLIT(G686, ",",, TRUE)), COLUMNS(TEXTSPLIT(H686, ",",, TRUE)), LAMBDA(_xlpm.ri,_xlpm.gi, TRIM(INDEX(TEXTSPLIT(G686, ",",, TRUE), 1, _xlpm.ri)) &amp; "_" &amp; TRIM(INDEX(TEXTSPLIT(H686, ",",, TRUE), 1, _xlpm.gi))))), "")</f>
        <v/>
      </c>
    </row>
    <row r="687" ht="15.75" customHeight="1">
      <c r="B687" s="17"/>
      <c r="I687" s="5" t="str">
        <f t="array" ref="I687">IFERROR(TEXTJOIN(", ", TRUE, MAKEARRAY(COLUMNS(TEXTSPLIT(G687, ",",, TRUE)), COLUMNS(TEXTSPLIT(H687, ",",, TRUE)), LAMBDA(_xlpm.ri,_xlpm.gi, TRIM(INDEX(TEXTSPLIT(G687, ",",, TRUE), 1, _xlpm.ri)) &amp; "_" &amp; TRIM(INDEX(TEXTSPLIT(H687, ",",, TRUE), 1, _xlpm.gi))))), "")</f>
        <v/>
      </c>
    </row>
    <row r="688" ht="15.75" customHeight="1">
      <c r="B688" s="17"/>
      <c r="I688" s="5" t="str">
        <f t="array" ref="I688">IFERROR(TEXTJOIN(", ", TRUE, MAKEARRAY(COLUMNS(TEXTSPLIT(G688, ",",, TRUE)), COLUMNS(TEXTSPLIT(H688, ",",, TRUE)), LAMBDA(_xlpm.ri,_xlpm.gi, TRIM(INDEX(TEXTSPLIT(G688, ",",, TRUE), 1, _xlpm.ri)) &amp; "_" &amp; TRIM(INDEX(TEXTSPLIT(H688, ",",, TRUE), 1, _xlpm.gi))))), "")</f>
        <v/>
      </c>
    </row>
    <row r="689" ht="15.75" customHeight="1">
      <c r="B689" s="17"/>
      <c r="I689" s="5" t="str">
        <f t="array" ref="I689">IFERROR(TEXTJOIN(", ", TRUE, MAKEARRAY(COLUMNS(TEXTSPLIT(G689, ",",, TRUE)), COLUMNS(TEXTSPLIT(H689, ",",, TRUE)), LAMBDA(_xlpm.ri,_xlpm.gi, TRIM(INDEX(TEXTSPLIT(G689, ",",, TRUE), 1, _xlpm.ri)) &amp; "_" &amp; TRIM(INDEX(TEXTSPLIT(H689, ",",, TRUE), 1, _xlpm.gi))))), "")</f>
        <v/>
      </c>
    </row>
    <row r="690" ht="15.75" customHeight="1">
      <c r="B690" s="17"/>
      <c r="I690" s="5" t="str">
        <f t="array" ref="I690">IFERROR(TEXTJOIN(", ", TRUE, MAKEARRAY(COLUMNS(TEXTSPLIT(G690, ",",, TRUE)), COLUMNS(TEXTSPLIT(H690, ",",, TRUE)), LAMBDA(_xlpm.ri,_xlpm.gi, TRIM(INDEX(TEXTSPLIT(G690, ",",, TRUE), 1, _xlpm.ri)) &amp; "_" &amp; TRIM(INDEX(TEXTSPLIT(H690, ",",, TRUE), 1, _xlpm.gi))))), "")</f>
        <v/>
      </c>
    </row>
    <row r="691" ht="15.75" customHeight="1">
      <c r="B691" s="17"/>
      <c r="I691" s="5" t="str">
        <f t="array" ref="I691">IFERROR(TEXTJOIN(", ", TRUE, MAKEARRAY(COLUMNS(TEXTSPLIT(G691, ",",, TRUE)), COLUMNS(TEXTSPLIT(H691, ",",, TRUE)), LAMBDA(_xlpm.ri,_xlpm.gi, TRIM(INDEX(TEXTSPLIT(G691, ",",, TRUE), 1, _xlpm.ri)) &amp; "_" &amp; TRIM(INDEX(TEXTSPLIT(H691, ",",, TRUE), 1, _xlpm.gi))))), "")</f>
        <v/>
      </c>
    </row>
    <row r="692" ht="15.75" customHeight="1">
      <c r="B692" s="17"/>
      <c r="I692" s="5" t="str">
        <f t="array" ref="I692">IFERROR(TEXTJOIN(", ", TRUE, MAKEARRAY(COLUMNS(TEXTSPLIT(G692, ",",, TRUE)), COLUMNS(TEXTSPLIT(H692, ",",, TRUE)), LAMBDA(_xlpm.ri,_xlpm.gi, TRIM(INDEX(TEXTSPLIT(G692, ",",, TRUE), 1, _xlpm.ri)) &amp; "_" &amp; TRIM(INDEX(TEXTSPLIT(H692, ",",, TRUE), 1, _xlpm.gi))))), "")</f>
        <v/>
      </c>
    </row>
    <row r="693" ht="15.75" customHeight="1">
      <c r="B693" s="17"/>
      <c r="I693" s="5" t="str">
        <f t="array" ref="I693">IFERROR(TEXTJOIN(", ", TRUE, MAKEARRAY(COLUMNS(TEXTSPLIT(G693, ",",, TRUE)), COLUMNS(TEXTSPLIT(H693, ",",, TRUE)), LAMBDA(_xlpm.ri,_xlpm.gi, TRIM(INDEX(TEXTSPLIT(G693, ",",, TRUE), 1, _xlpm.ri)) &amp; "_" &amp; TRIM(INDEX(TEXTSPLIT(H693, ",",, TRUE), 1, _xlpm.gi))))), "")</f>
        <v/>
      </c>
    </row>
    <row r="694" ht="15.75" customHeight="1">
      <c r="B694" s="17"/>
      <c r="I694" s="5" t="str">
        <f t="array" ref="I694">IFERROR(TEXTJOIN(", ", TRUE, MAKEARRAY(COLUMNS(TEXTSPLIT(G694, ",",, TRUE)), COLUMNS(TEXTSPLIT(H694, ",",, TRUE)), LAMBDA(_xlpm.ri,_xlpm.gi, TRIM(INDEX(TEXTSPLIT(G694, ",",, TRUE), 1, _xlpm.ri)) &amp; "_" &amp; TRIM(INDEX(TEXTSPLIT(H694, ",",, TRUE), 1, _xlpm.gi))))), "")</f>
        <v/>
      </c>
    </row>
    <row r="695" ht="15.75" customHeight="1">
      <c r="B695" s="17"/>
      <c r="I695" s="5" t="str">
        <f t="array" ref="I695">IFERROR(TEXTJOIN(", ", TRUE, MAKEARRAY(COLUMNS(TEXTSPLIT(G695, ",",, TRUE)), COLUMNS(TEXTSPLIT(H695, ",",, TRUE)), LAMBDA(_xlpm.ri,_xlpm.gi, TRIM(INDEX(TEXTSPLIT(G695, ",",, TRUE), 1, _xlpm.ri)) &amp; "_" &amp; TRIM(INDEX(TEXTSPLIT(H695, ",",, TRUE), 1, _xlpm.gi))))), "")</f>
        <v/>
      </c>
    </row>
    <row r="696" ht="15.75" customHeight="1">
      <c r="B696" s="17"/>
      <c r="I696" s="5" t="str">
        <f t="array" ref="I696">IFERROR(TEXTJOIN(", ", TRUE, MAKEARRAY(COLUMNS(TEXTSPLIT(G696, ",",, TRUE)), COLUMNS(TEXTSPLIT(H696, ",",, TRUE)), LAMBDA(_xlpm.ri,_xlpm.gi, TRIM(INDEX(TEXTSPLIT(G696, ",",, TRUE), 1, _xlpm.ri)) &amp; "_" &amp; TRIM(INDEX(TEXTSPLIT(H696, ",",, TRUE), 1, _xlpm.gi))))), "")</f>
        <v/>
      </c>
    </row>
    <row r="697" ht="15.75" customHeight="1">
      <c r="B697" s="17"/>
      <c r="I697" s="5" t="str">
        <f t="array" ref="I697">IFERROR(TEXTJOIN(", ", TRUE, MAKEARRAY(COLUMNS(TEXTSPLIT(G697, ",",, TRUE)), COLUMNS(TEXTSPLIT(H697, ",",, TRUE)), LAMBDA(_xlpm.ri,_xlpm.gi, TRIM(INDEX(TEXTSPLIT(G697, ",",, TRUE), 1, _xlpm.ri)) &amp; "_" &amp; TRIM(INDEX(TEXTSPLIT(H697, ",",, TRUE), 1, _xlpm.gi))))), "")</f>
        <v/>
      </c>
    </row>
    <row r="698" ht="15.75" customHeight="1">
      <c r="B698" s="17"/>
      <c r="I698" s="5" t="str">
        <f t="array" ref="I698">IFERROR(TEXTJOIN(", ", TRUE, MAKEARRAY(COLUMNS(TEXTSPLIT(G698, ",",, TRUE)), COLUMNS(TEXTSPLIT(H698, ",",, TRUE)), LAMBDA(_xlpm.ri,_xlpm.gi, TRIM(INDEX(TEXTSPLIT(G698, ",",, TRUE), 1, _xlpm.ri)) &amp; "_" &amp; TRIM(INDEX(TEXTSPLIT(H698, ",",, TRUE), 1, _xlpm.gi))))), "")</f>
        <v/>
      </c>
    </row>
    <row r="699" ht="15.75" customHeight="1">
      <c r="B699" s="17"/>
      <c r="I699" s="5" t="str">
        <f t="array" ref="I699">IFERROR(TEXTJOIN(", ", TRUE, MAKEARRAY(COLUMNS(TEXTSPLIT(G699, ",",, TRUE)), COLUMNS(TEXTSPLIT(H699, ",",, TRUE)), LAMBDA(_xlpm.ri,_xlpm.gi, TRIM(INDEX(TEXTSPLIT(G699, ",",, TRUE), 1, _xlpm.ri)) &amp; "_" &amp; TRIM(INDEX(TEXTSPLIT(H699, ",",, TRUE), 1, _xlpm.gi))))), "")</f>
        <v/>
      </c>
    </row>
    <row r="700" ht="15.75" customHeight="1">
      <c r="B700" s="17"/>
      <c r="I700" s="5" t="str">
        <f t="array" ref="I700">IFERROR(TEXTJOIN(", ", TRUE, MAKEARRAY(COLUMNS(TEXTSPLIT(G700, ",",, TRUE)), COLUMNS(TEXTSPLIT(H700, ",",, TRUE)), LAMBDA(_xlpm.ri,_xlpm.gi, TRIM(INDEX(TEXTSPLIT(G700, ",",, TRUE), 1, _xlpm.ri)) &amp; "_" &amp; TRIM(INDEX(TEXTSPLIT(H700, ",",, TRUE), 1, _xlpm.gi))))), "")</f>
        <v/>
      </c>
    </row>
    <row r="701" ht="15.75" customHeight="1">
      <c r="B701" s="17"/>
      <c r="I701" s="5" t="str">
        <f t="array" ref="I701">IFERROR(TEXTJOIN(", ", TRUE, MAKEARRAY(COLUMNS(TEXTSPLIT(G701, ",",, TRUE)), COLUMNS(TEXTSPLIT(H701, ",",, TRUE)), LAMBDA(_xlpm.ri,_xlpm.gi, TRIM(INDEX(TEXTSPLIT(G701, ",",, TRUE), 1, _xlpm.ri)) &amp; "_" &amp; TRIM(INDEX(TEXTSPLIT(H701, ",",, TRUE), 1, _xlpm.gi))))), "")</f>
        <v/>
      </c>
    </row>
    <row r="702" ht="15.75" customHeight="1">
      <c r="B702" s="17"/>
      <c r="I702" s="5" t="str">
        <f t="array" ref="I702">IFERROR(TEXTJOIN(", ", TRUE, MAKEARRAY(COLUMNS(TEXTSPLIT(G702, ",",, TRUE)), COLUMNS(TEXTSPLIT(H702, ",",, TRUE)), LAMBDA(_xlpm.ri,_xlpm.gi, TRIM(INDEX(TEXTSPLIT(G702, ",",, TRUE), 1, _xlpm.ri)) &amp; "_" &amp; TRIM(INDEX(TEXTSPLIT(H702, ",",, TRUE), 1, _xlpm.gi))))), "")</f>
        <v/>
      </c>
    </row>
    <row r="703" ht="15.75" customHeight="1">
      <c r="B703" s="17"/>
      <c r="I703" s="5" t="str">
        <f t="array" ref="I703">IFERROR(TEXTJOIN(", ", TRUE, MAKEARRAY(COLUMNS(TEXTSPLIT(G703, ",",, TRUE)), COLUMNS(TEXTSPLIT(H703, ",",, TRUE)), LAMBDA(_xlpm.ri,_xlpm.gi, TRIM(INDEX(TEXTSPLIT(G703, ",",, TRUE), 1, _xlpm.ri)) &amp; "_" &amp; TRIM(INDEX(TEXTSPLIT(H703, ",",, TRUE), 1, _xlpm.gi))))), "")</f>
        <v/>
      </c>
    </row>
    <row r="704" ht="15.75" customHeight="1">
      <c r="B704" s="17"/>
      <c r="I704" s="5" t="str">
        <f t="array" ref="I704">IFERROR(TEXTJOIN(", ", TRUE, MAKEARRAY(COLUMNS(TEXTSPLIT(G704, ",",, TRUE)), COLUMNS(TEXTSPLIT(H704, ",",, TRUE)), LAMBDA(_xlpm.ri,_xlpm.gi, TRIM(INDEX(TEXTSPLIT(G704, ",",, TRUE), 1, _xlpm.ri)) &amp; "_" &amp; TRIM(INDEX(TEXTSPLIT(H704, ",",, TRUE), 1, _xlpm.gi))))), "")</f>
        <v/>
      </c>
    </row>
    <row r="705" ht="15.75" customHeight="1">
      <c r="B705" s="17"/>
      <c r="I705" s="5" t="str">
        <f t="array" ref="I705">IFERROR(TEXTJOIN(", ", TRUE, MAKEARRAY(COLUMNS(TEXTSPLIT(G705, ",",, TRUE)), COLUMNS(TEXTSPLIT(H705, ",",, TRUE)), LAMBDA(_xlpm.ri,_xlpm.gi, TRIM(INDEX(TEXTSPLIT(G705, ",",, TRUE), 1, _xlpm.ri)) &amp; "_" &amp; TRIM(INDEX(TEXTSPLIT(H705, ",",, TRUE), 1, _xlpm.gi))))), "")</f>
        <v/>
      </c>
    </row>
    <row r="706" ht="15.75" customHeight="1">
      <c r="B706" s="17"/>
      <c r="I706" s="5" t="str">
        <f t="array" ref="I706">IFERROR(TEXTJOIN(", ", TRUE, MAKEARRAY(COLUMNS(TEXTSPLIT(G706, ",",, TRUE)), COLUMNS(TEXTSPLIT(H706, ",",, TRUE)), LAMBDA(_xlpm.ri,_xlpm.gi, TRIM(INDEX(TEXTSPLIT(G706, ",",, TRUE), 1, _xlpm.ri)) &amp; "_" &amp; TRIM(INDEX(TEXTSPLIT(H706, ",",, TRUE), 1, _xlpm.gi))))), "")</f>
        <v/>
      </c>
    </row>
    <row r="707" ht="15.75" customHeight="1">
      <c r="B707" s="17"/>
      <c r="I707" s="5" t="str">
        <f t="array" ref="I707">IFERROR(TEXTJOIN(", ", TRUE, MAKEARRAY(COLUMNS(TEXTSPLIT(G707, ",",, TRUE)), COLUMNS(TEXTSPLIT(H707, ",",, TRUE)), LAMBDA(_xlpm.ri,_xlpm.gi, TRIM(INDEX(TEXTSPLIT(G707, ",",, TRUE), 1, _xlpm.ri)) &amp; "_" &amp; TRIM(INDEX(TEXTSPLIT(H707, ",",, TRUE), 1, _xlpm.gi))))), "")</f>
        <v/>
      </c>
    </row>
    <row r="708" ht="15.75" customHeight="1">
      <c r="B708" s="17"/>
      <c r="I708" s="5" t="str">
        <f t="array" ref="I708">IFERROR(TEXTJOIN(", ", TRUE, MAKEARRAY(COLUMNS(TEXTSPLIT(G708, ",",, TRUE)), COLUMNS(TEXTSPLIT(H708, ",",, TRUE)), LAMBDA(_xlpm.ri,_xlpm.gi, TRIM(INDEX(TEXTSPLIT(G708, ",",, TRUE), 1, _xlpm.ri)) &amp; "_" &amp; TRIM(INDEX(TEXTSPLIT(H708, ",",, TRUE), 1, _xlpm.gi))))), "")</f>
        <v/>
      </c>
    </row>
    <row r="709" ht="15.75" customHeight="1">
      <c r="B709" s="17"/>
      <c r="I709" s="5" t="str">
        <f t="array" ref="I709">IFERROR(TEXTJOIN(", ", TRUE, MAKEARRAY(COLUMNS(TEXTSPLIT(G709, ",",, TRUE)), COLUMNS(TEXTSPLIT(H709, ",",, TRUE)), LAMBDA(_xlpm.ri,_xlpm.gi, TRIM(INDEX(TEXTSPLIT(G709, ",",, TRUE), 1, _xlpm.ri)) &amp; "_" &amp; TRIM(INDEX(TEXTSPLIT(H709, ",",, TRUE), 1, _xlpm.gi))))), "")</f>
        <v/>
      </c>
    </row>
    <row r="710" ht="15.75" customHeight="1">
      <c r="B710" s="17"/>
      <c r="I710" s="5" t="str">
        <f t="array" ref="I710">IFERROR(TEXTJOIN(", ", TRUE, MAKEARRAY(COLUMNS(TEXTSPLIT(G710, ",",, TRUE)), COLUMNS(TEXTSPLIT(H710, ",",, TRUE)), LAMBDA(_xlpm.ri,_xlpm.gi, TRIM(INDEX(TEXTSPLIT(G710, ",",, TRUE), 1, _xlpm.ri)) &amp; "_" &amp; TRIM(INDEX(TEXTSPLIT(H710, ",",, TRUE), 1, _xlpm.gi))))), "")</f>
        <v/>
      </c>
    </row>
    <row r="711" ht="15.75" customHeight="1">
      <c r="B711" s="17"/>
      <c r="I711" s="5" t="str">
        <f t="array" ref="I711">IFERROR(TEXTJOIN(", ", TRUE, MAKEARRAY(COLUMNS(TEXTSPLIT(G711, ",",, TRUE)), COLUMNS(TEXTSPLIT(H711, ",",, TRUE)), LAMBDA(_xlpm.ri,_xlpm.gi, TRIM(INDEX(TEXTSPLIT(G711, ",",, TRUE), 1, _xlpm.ri)) &amp; "_" &amp; TRIM(INDEX(TEXTSPLIT(H711, ",",, TRUE), 1, _xlpm.gi))))), "")</f>
        <v/>
      </c>
    </row>
    <row r="712" ht="15.75" customHeight="1">
      <c r="B712" s="17"/>
      <c r="I712" s="5" t="str">
        <f t="array" ref="I712">IFERROR(TEXTJOIN(", ", TRUE, MAKEARRAY(COLUMNS(TEXTSPLIT(G712, ",",, TRUE)), COLUMNS(TEXTSPLIT(H712, ",",, TRUE)), LAMBDA(_xlpm.ri,_xlpm.gi, TRIM(INDEX(TEXTSPLIT(G712, ",",, TRUE), 1, _xlpm.ri)) &amp; "_" &amp; TRIM(INDEX(TEXTSPLIT(H712, ",",, TRUE), 1, _xlpm.gi))))), "")</f>
        <v/>
      </c>
    </row>
    <row r="713" ht="15.75" customHeight="1">
      <c r="B713" s="17"/>
      <c r="I713" s="5" t="str">
        <f t="array" ref="I713">IFERROR(TEXTJOIN(", ", TRUE, MAKEARRAY(COLUMNS(TEXTSPLIT(G713, ",",, TRUE)), COLUMNS(TEXTSPLIT(H713, ",",, TRUE)), LAMBDA(_xlpm.ri,_xlpm.gi, TRIM(INDEX(TEXTSPLIT(G713, ",",, TRUE), 1, _xlpm.ri)) &amp; "_" &amp; TRIM(INDEX(TEXTSPLIT(H713, ",",, TRUE), 1, _xlpm.gi))))), "")</f>
        <v/>
      </c>
    </row>
    <row r="714" ht="15.75" customHeight="1">
      <c r="B714" s="17"/>
      <c r="I714" s="5" t="str">
        <f t="array" ref="I714">IFERROR(TEXTJOIN(", ", TRUE, MAKEARRAY(COLUMNS(TEXTSPLIT(G714, ",",, TRUE)), COLUMNS(TEXTSPLIT(H714, ",",, TRUE)), LAMBDA(_xlpm.ri,_xlpm.gi, TRIM(INDEX(TEXTSPLIT(G714, ",",, TRUE), 1, _xlpm.ri)) &amp; "_" &amp; TRIM(INDEX(TEXTSPLIT(H714, ",",, TRUE), 1, _xlpm.gi))))), "")</f>
        <v/>
      </c>
    </row>
    <row r="715" ht="15.75" customHeight="1">
      <c r="B715" s="17"/>
      <c r="I715" s="5" t="str">
        <f t="array" ref="I715">IFERROR(TEXTJOIN(", ", TRUE, MAKEARRAY(COLUMNS(TEXTSPLIT(G715, ",",, TRUE)), COLUMNS(TEXTSPLIT(H715, ",",, TRUE)), LAMBDA(_xlpm.ri,_xlpm.gi, TRIM(INDEX(TEXTSPLIT(G715, ",",, TRUE), 1, _xlpm.ri)) &amp; "_" &amp; TRIM(INDEX(TEXTSPLIT(H715, ",",, TRUE), 1, _xlpm.gi))))), "")</f>
        <v/>
      </c>
    </row>
    <row r="716" ht="15.75" customHeight="1">
      <c r="B716" s="17"/>
      <c r="I716" s="5" t="str">
        <f t="array" ref="I716">IFERROR(TEXTJOIN(", ", TRUE, MAKEARRAY(COLUMNS(TEXTSPLIT(G716, ",",, TRUE)), COLUMNS(TEXTSPLIT(H716, ",",, TRUE)), LAMBDA(_xlpm.ri,_xlpm.gi, TRIM(INDEX(TEXTSPLIT(G716, ",",, TRUE), 1, _xlpm.ri)) &amp; "_" &amp; TRIM(INDEX(TEXTSPLIT(H716, ",",, TRUE), 1, _xlpm.gi))))), "")</f>
        <v/>
      </c>
    </row>
    <row r="717" ht="15.75" customHeight="1">
      <c r="B717" s="17"/>
      <c r="I717" s="5" t="str">
        <f t="array" ref="I717">IFERROR(TEXTJOIN(", ", TRUE, MAKEARRAY(COLUMNS(TEXTSPLIT(G717, ",",, TRUE)), COLUMNS(TEXTSPLIT(H717, ",",, TRUE)), LAMBDA(_xlpm.ri,_xlpm.gi, TRIM(INDEX(TEXTSPLIT(G717, ",",, TRUE), 1, _xlpm.ri)) &amp; "_" &amp; TRIM(INDEX(TEXTSPLIT(H717, ",",, TRUE), 1, _xlpm.gi))))), "")</f>
        <v/>
      </c>
    </row>
    <row r="718" ht="15.75" customHeight="1">
      <c r="B718" s="17"/>
      <c r="I718" s="5" t="str">
        <f t="array" ref="I718">IFERROR(TEXTJOIN(", ", TRUE, MAKEARRAY(COLUMNS(TEXTSPLIT(G718, ",",, TRUE)), COLUMNS(TEXTSPLIT(H718, ",",, TRUE)), LAMBDA(_xlpm.ri,_xlpm.gi, TRIM(INDEX(TEXTSPLIT(G718, ",",, TRUE), 1, _xlpm.ri)) &amp; "_" &amp; TRIM(INDEX(TEXTSPLIT(H718, ",",, TRUE), 1, _xlpm.gi))))), "")</f>
        <v/>
      </c>
    </row>
    <row r="719" ht="15.75" customHeight="1">
      <c r="B719" s="17"/>
      <c r="I719" s="5" t="str">
        <f t="array" ref="I719">IFERROR(TEXTJOIN(", ", TRUE, MAKEARRAY(COLUMNS(TEXTSPLIT(G719, ",",, TRUE)), COLUMNS(TEXTSPLIT(H719, ",",, TRUE)), LAMBDA(_xlpm.ri,_xlpm.gi, TRIM(INDEX(TEXTSPLIT(G719, ",",, TRUE), 1, _xlpm.ri)) &amp; "_" &amp; TRIM(INDEX(TEXTSPLIT(H719, ",",, TRUE), 1, _xlpm.gi))))), "")</f>
        <v/>
      </c>
    </row>
    <row r="720" ht="15.75" customHeight="1">
      <c r="B720" s="17"/>
      <c r="I720" s="5" t="str">
        <f t="array" ref="I720">IFERROR(TEXTJOIN(", ", TRUE, MAKEARRAY(COLUMNS(TEXTSPLIT(G720, ",",, TRUE)), COLUMNS(TEXTSPLIT(H720, ",",, TRUE)), LAMBDA(_xlpm.ri,_xlpm.gi, TRIM(INDEX(TEXTSPLIT(G720, ",",, TRUE), 1, _xlpm.ri)) &amp; "_" &amp; TRIM(INDEX(TEXTSPLIT(H720, ",",, TRUE), 1, _xlpm.gi))))), "")</f>
        <v/>
      </c>
    </row>
    <row r="721" ht="15.75" customHeight="1">
      <c r="B721" s="17"/>
      <c r="I721" s="5" t="str">
        <f t="array" ref="I721">IFERROR(TEXTJOIN(", ", TRUE, MAKEARRAY(COLUMNS(TEXTSPLIT(G721, ",",, TRUE)), COLUMNS(TEXTSPLIT(H721, ",",, TRUE)), LAMBDA(_xlpm.ri,_xlpm.gi, TRIM(INDEX(TEXTSPLIT(G721, ",",, TRUE), 1, _xlpm.ri)) &amp; "_" &amp; TRIM(INDEX(TEXTSPLIT(H721, ",",, TRUE), 1, _xlpm.gi))))), "")</f>
        <v/>
      </c>
    </row>
    <row r="722" ht="15.75" customHeight="1">
      <c r="B722" s="17"/>
      <c r="I722" s="5" t="str">
        <f t="array" ref="I722">IFERROR(TEXTJOIN(", ", TRUE, MAKEARRAY(COLUMNS(TEXTSPLIT(G722, ",",, TRUE)), COLUMNS(TEXTSPLIT(H722, ",",, TRUE)), LAMBDA(_xlpm.ri,_xlpm.gi, TRIM(INDEX(TEXTSPLIT(G722, ",",, TRUE), 1, _xlpm.ri)) &amp; "_" &amp; TRIM(INDEX(TEXTSPLIT(H722, ",",, TRUE), 1, _xlpm.gi))))), "")</f>
        <v/>
      </c>
    </row>
    <row r="723" ht="15.75" customHeight="1">
      <c r="B723" s="17"/>
      <c r="I723" s="5" t="str">
        <f t="array" ref="I723">IFERROR(TEXTJOIN(", ", TRUE, MAKEARRAY(COLUMNS(TEXTSPLIT(G723, ",",, TRUE)), COLUMNS(TEXTSPLIT(H723, ",",, TRUE)), LAMBDA(_xlpm.ri,_xlpm.gi, TRIM(INDEX(TEXTSPLIT(G723, ",",, TRUE), 1, _xlpm.ri)) &amp; "_" &amp; TRIM(INDEX(TEXTSPLIT(H723, ",",, TRUE), 1, _xlpm.gi))))), "")</f>
        <v/>
      </c>
    </row>
    <row r="724" ht="15.75" customHeight="1">
      <c r="B724" s="17"/>
      <c r="I724" s="5" t="str">
        <f t="array" ref="I724">IFERROR(TEXTJOIN(", ", TRUE, MAKEARRAY(COLUMNS(TEXTSPLIT(G724, ",",, TRUE)), COLUMNS(TEXTSPLIT(H724, ",",, TRUE)), LAMBDA(_xlpm.ri,_xlpm.gi, TRIM(INDEX(TEXTSPLIT(G724, ",",, TRUE), 1, _xlpm.ri)) &amp; "_" &amp; TRIM(INDEX(TEXTSPLIT(H724, ",",, TRUE), 1, _xlpm.gi))))), "")</f>
        <v/>
      </c>
    </row>
    <row r="725" ht="15.75" customHeight="1">
      <c r="B725" s="17"/>
      <c r="I725" s="5" t="str">
        <f t="array" ref="I725">IFERROR(TEXTJOIN(", ", TRUE, MAKEARRAY(COLUMNS(TEXTSPLIT(G725, ",",, TRUE)), COLUMNS(TEXTSPLIT(H725, ",",, TRUE)), LAMBDA(_xlpm.ri,_xlpm.gi, TRIM(INDEX(TEXTSPLIT(G725, ",",, TRUE), 1, _xlpm.ri)) &amp; "_" &amp; TRIM(INDEX(TEXTSPLIT(H725, ",",, TRUE), 1, _xlpm.gi))))), "")</f>
        <v/>
      </c>
    </row>
    <row r="726" ht="15.75" customHeight="1">
      <c r="B726" s="17"/>
      <c r="I726" s="5" t="str">
        <f t="array" ref="I726">IFERROR(TEXTJOIN(", ", TRUE, MAKEARRAY(COLUMNS(TEXTSPLIT(G726, ",",, TRUE)), COLUMNS(TEXTSPLIT(H726, ",",, TRUE)), LAMBDA(_xlpm.ri,_xlpm.gi, TRIM(INDEX(TEXTSPLIT(G726, ",",, TRUE), 1, _xlpm.ri)) &amp; "_" &amp; TRIM(INDEX(TEXTSPLIT(H726, ",",, TRUE), 1, _xlpm.gi))))), "")</f>
        <v/>
      </c>
    </row>
    <row r="727" ht="15.75" customHeight="1">
      <c r="B727" s="17"/>
      <c r="I727" s="5" t="str">
        <f t="array" ref="I727">IFERROR(TEXTJOIN(", ", TRUE, MAKEARRAY(COLUMNS(TEXTSPLIT(G727, ",",, TRUE)), COLUMNS(TEXTSPLIT(H727, ",",, TRUE)), LAMBDA(_xlpm.ri,_xlpm.gi, TRIM(INDEX(TEXTSPLIT(G727, ",",, TRUE), 1, _xlpm.ri)) &amp; "_" &amp; TRIM(INDEX(TEXTSPLIT(H727, ",",, TRUE), 1, _xlpm.gi))))), "")</f>
        <v/>
      </c>
    </row>
    <row r="728" ht="15.75" customHeight="1">
      <c r="B728" s="17"/>
      <c r="I728" s="5" t="str">
        <f t="array" ref="I728">IFERROR(TEXTJOIN(", ", TRUE, MAKEARRAY(COLUMNS(TEXTSPLIT(G728, ",",, TRUE)), COLUMNS(TEXTSPLIT(H728, ",",, TRUE)), LAMBDA(_xlpm.ri,_xlpm.gi, TRIM(INDEX(TEXTSPLIT(G728, ",",, TRUE), 1, _xlpm.ri)) &amp; "_" &amp; TRIM(INDEX(TEXTSPLIT(H728, ",",, TRUE), 1, _xlpm.gi))))), "")</f>
        <v/>
      </c>
    </row>
    <row r="729" ht="15.75" customHeight="1">
      <c r="B729" s="17"/>
      <c r="I729" s="5" t="str">
        <f t="array" ref="I729">IFERROR(TEXTJOIN(", ", TRUE, MAKEARRAY(COLUMNS(TEXTSPLIT(G729, ",",, TRUE)), COLUMNS(TEXTSPLIT(H729, ",",, TRUE)), LAMBDA(_xlpm.ri,_xlpm.gi, TRIM(INDEX(TEXTSPLIT(G729, ",",, TRUE), 1, _xlpm.ri)) &amp; "_" &amp; TRIM(INDEX(TEXTSPLIT(H729, ",",, TRUE), 1, _xlpm.gi))))), "")</f>
        <v/>
      </c>
    </row>
    <row r="730" ht="15.75" customHeight="1">
      <c r="B730" s="17"/>
      <c r="I730" s="5" t="str">
        <f t="array" ref="I730">IFERROR(TEXTJOIN(", ", TRUE, MAKEARRAY(COLUMNS(TEXTSPLIT(G730, ",",, TRUE)), COLUMNS(TEXTSPLIT(H730, ",",, TRUE)), LAMBDA(_xlpm.ri,_xlpm.gi, TRIM(INDEX(TEXTSPLIT(G730, ",",, TRUE), 1, _xlpm.ri)) &amp; "_" &amp; TRIM(INDEX(TEXTSPLIT(H730, ",",, TRUE), 1, _xlpm.gi))))), "")</f>
        <v/>
      </c>
    </row>
    <row r="731" ht="15.75" customHeight="1">
      <c r="B731" s="17"/>
      <c r="I731" s="5" t="str">
        <f t="array" ref="I731">IFERROR(TEXTJOIN(", ", TRUE, MAKEARRAY(COLUMNS(TEXTSPLIT(G731, ",",, TRUE)), COLUMNS(TEXTSPLIT(H731, ",",, TRUE)), LAMBDA(_xlpm.ri,_xlpm.gi, TRIM(INDEX(TEXTSPLIT(G731, ",",, TRUE), 1, _xlpm.ri)) &amp; "_" &amp; TRIM(INDEX(TEXTSPLIT(H731, ",",, TRUE), 1, _xlpm.gi))))), "")</f>
        <v/>
      </c>
    </row>
    <row r="732" ht="15.75" customHeight="1">
      <c r="B732" s="17"/>
      <c r="I732" s="5" t="str">
        <f t="array" ref="I732">IFERROR(TEXTJOIN(", ", TRUE, MAKEARRAY(COLUMNS(TEXTSPLIT(G732, ",",, TRUE)), COLUMNS(TEXTSPLIT(H732, ",",, TRUE)), LAMBDA(_xlpm.ri,_xlpm.gi, TRIM(INDEX(TEXTSPLIT(G732, ",",, TRUE), 1, _xlpm.ri)) &amp; "_" &amp; TRIM(INDEX(TEXTSPLIT(H732, ",",, TRUE), 1, _xlpm.gi))))), "")</f>
        <v/>
      </c>
    </row>
    <row r="733" ht="15.75" customHeight="1">
      <c r="B733" s="17"/>
      <c r="I733" s="5" t="str">
        <f t="array" ref="I733">IFERROR(TEXTJOIN(", ", TRUE, MAKEARRAY(COLUMNS(TEXTSPLIT(G733, ",",, TRUE)), COLUMNS(TEXTSPLIT(H733, ",",, TRUE)), LAMBDA(_xlpm.ri,_xlpm.gi, TRIM(INDEX(TEXTSPLIT(G733, ",",, TRUE), 1, _xlpm.ri)) &amp; "_" &amp; TRIM(INDEX(TEXTSPLIT(H733, ",",, TRUE), 1, _xlpm.gi))))), "")</f>
        <v/>
      </c>
    </row>
    <row r="734" ht="15.75" customHeight="1">
      <c r="B734" s="17"/>
      <c r="I734" s="5" t="str">
        <f t="array" ref="I734">IFERROR(TEXTJOIN(", ", TRUE, MAKEARRAY(COLUMNS(TEXTSPLIT(G734, ",",, TRUE)), COLUMNS(TEXTSPLIT(H734, ",",, TRUE)), LAMBDA(_xlpm.ri,_xlpm.gi, TRIM(INDEX(TEXTSPLIT(G734, ",",, TRUE), 1, _xlpm.ri)) &amp; "_" &amp; TRIM(INDEX(TEXTSPLIT(H734, ",",, TRUE), 1, _xlpm.gi))))), "")</f>
        <v/>
      </c>
    </row>
    <row r="735" ht="15.75" customHeight="1">
      <c r="B735" s="17"/>
      <c r="I735" s="5" t="str">
        <f t="array" ref="I735">IFERROR(TEXTJOIN(", ", TRUE, MAKEARRAY(COLUMNS(TEXTSPLIT(G735, ",",, TRUE)), COLUMNS(TEXTSPLIT(H735, ",",, TRUE)), LAMBDA(_xlpm.ri,_xlpm.gi, TRIM(INDEX(TEXTSPLIT(G735, ",",, TRUE), 1, _xlpm.ri)) &amp; "_" &amp; TRIM(INDEX(TEXTSPLIT(H735, ",",, TRUE), 1, _xlpm.gi))))), "")</f>
        <v/>
      </c>
    </row>
    <row r="736" ht="15.75" customHeight="1">
      <c r="B736" s="17"/>
      <c r="I736" s="5" t="str">
        <f t="array" ref="I736">IFERROR(TEXTJOIN(", ", TRUE, MAKEARRAY(COLUMNS(TEXTSPLIT(G736, ",",, TRUE)), COLUMNS(TEXTSPLIT(H736, ",",, TRUE)), LAMBDA(_xlpm.ri,_xlpm.gi, TRIM(INDEX(TEXTSPLIT(G736, ",",, TRUE), 1, _xlpm.ri)) &amp; "_" &amp; TRIM(INDEX(TEXTSPLIT(H736, ",",, TRUE), 1, _xlpm.gi))))), "")</f>
        <v/>
      </c>
    </row>
    <row r="737" ht="15.75" customHeight="1">
      <c r="B737" s="17"/>
      <c r="I737" s="5" t="str">
        <f t="array" ref="I737">IFERROR(TEXTJOIN(", ", TRUE, MAKEARRAY(COLUMNS(TEXTSPLIT(G737, ",",, TRUE)), COLUMNS(TEXTSPLIT(H737, ",",, TRUE)), LAMBDA(_xlpm.ri,_xlpm.gi, TRIM(INDEX(TEXTSPLIT(G737, ",",, TRUE), 1, _xlpm.ri)) &amp; "_" &amp; TRIM(INDEX(TEXTSPLIT(H737, ",",, TRUE), 1, _xlpm.gi))))), "")</f>
        <v/>
      </c>
    </row>
    <row r="738" ht="15.75" customHeight="1">
      <c r="B738" s="17"/>
      <c r="I738" s="5" t="str">
        <f t="array" ref="I738">IFERROR(TEXTJOIN(", ", TRUE, MAKEARRAY(COLUMNS(TEXTSPLIT(G738, ",",, TRUE)), COLUMNS(TEXTSPLIT(H738, ",",, TRUE)), LAMBDA(_xlpm.ri,_xlpm.gi, TRIM(INDEX(TEXTSPLIT(G738, ",",, TRUE), 1, _xlpm.ri)) &amp; "_" &amp; TRIM(INDEX(TEXTSPLIT(H738, ",",, TRUE), 1, _xlpm.gi))))), "")</f>
        <v/>
      </c>
    </row>
    <row r="739" ht="15.75" customHeight="1">
      <c r="B739" s="17"/>
      <c r="I739" s="5" t="str">
        <f t="array" ref="I739">IFERROR(TEXTJOIN(", ", TRUE, MAKEARRAY(COLUMNS(TEXTSPLIT(G739, ",",, TRUE)), COLUMNS(TEXTSPLIT(H739, ",",, TRUE)), LAMBDA(_xlpm.ri,_xlpm.gi, TRIM(INDEX(TEXTSPLIT(G739, ",",, TRUE), 1, _xlpm.ri)) &amp; "_" &amp; TRIM(INDEX(TEXTSPLIT(H739, ",",, TRUE), 1, _xlpm.gi))))), "")</f>
        <v/>
      </c>
    </row>
    <row r="740" ht="15.75" customHeight="1">
      <c r="B740" s="17"/>
      <c r="I740" s="5" t="str">
        <f t="array" ref="I740">IFERROR(TEXTJOIN(", ", TRUE, MAKEARRAY(COLUMNS(TEXTSPLIT(G740, ",",, TRUE)), COLUMNS(TEXTSPLIT(H740, ",",, TRUE)), LAMBDA(_xlpm.ri,_xlpm.gi, TRIM(INDEX(TEXTSPLIT(G740, ",",, TRUE), 1, _xlpm.ri)) &amp; "_" &amp; TRIM(INDEX(TEXTSPLIT(H740, ",",, TRUE), 1, _xlpm.gi))))), "")</f>
        <v/>
      </c>
    </row>
    <row r="741" ht="15.75" customHeight="1">
      <c r="B741" s="17"/>
      <c r="I741" s="5" t="str">
        <f t="array" ref="I741">IFERROR(TEXTJOIN(", ", TRUE, MAKEARRAY(COLUMNS(TEXTSPLIT(G741, ",",, TRUE)), COLUMNS(TEXTSPLIT(H741, ",",, TRUE)), LAMBDA(_xlpm.ri,_xlpm.gi, TRIM(INDEX(TEXTSPLIT(G741, ",",, TRUE), 1, _xlpm.ri)) &amp; "_" &amp; TRIM(INDEX(TEXTSPLIT(H741, ",",, TRUE), 1, _xlpm.gi))))), "")</f>
        <v/>
      </c>
    </row>
    <row r="742" ht="15.75" customHeight="1">
      <c r="B742" s="17"/>
      <c r="I742" s="5" t="str">
        <f t="array" ref="I742">IFERROR(TEXTJOIN(", ", TRUE, MAKEARRAY(COLUMNS(TEXTSPLIT(G742, ",",, TRUE)), COLUMNS(TEXTSPLIT(H742, ",",, TRUE)), LAMBDA(_xlpm.ri,_xlpm.gi, TRIM(INDEX(TEXTSPLIT(G742, ",",, TRUE), 1, _xlpm.ri)) &amp; "_" &amp; TRIM(INDEX(TEXTSPLIT(H742, ",",, TRUE), 1, _xlpm.gi))))), "")</f>
        <v/>
      </c>
    </row>
    <row r="743" ht="15.75" customHeight="1">
      <c r="B743" s="17"/>
      <c r="I743" s="5" t="str">
        <f t="array" ref="I743">IFERROR(TEXTJOIN(", ", TRUE, MAKEARRAY(COLUMNS(TEXTSPLIT(G743, ",",, TRUE)), COLUMNS(TEXTSPLIT(H743, ",",, TRUE)), LAMBDA(_xlpm.ri,_xlpm.gi, TRIM(INDEX(TEXTSPLIT(G743, ",",, TRUE), 1, _xlpm.ri)) &amp; "_" &amp; TRIM(INDEX(TEXTSPLIT(H743, ",",, TRUE), 1, _xlpm.gi))))), "")</f>
        <v/>
      </c>
    </row>
    <row r="744" ht="15.75" customHeight="1">
      <c r="B744" s="17"/>
      <c r="I744" s="5" t="str">
        <f t="array" ref="I744">IFERROR(TEXTJOIN(", ", TRUE, MAKEARRAY(COLUMNS(TEXTSPLIT(G744, ",",, TRUE)), COLUMNS(TEXTSPLIT(H744, ",",, TRUE)), LAMBDA(_xlpm.ri,_xlpm.gi, TRIM(INDEX(TEXTSPLIT(G744, ",",, TRUE), 1, _xlpm.ri)) &amp; "_" &amp; TRIM(INDEX(TEXTSPLIT(H744, ",",, TRUE), 1, _xlpm.gi))))), "")</f>
        <v/>
      </c>
    </row>
    <row r="745" ht="15.75" customHeight="1">
      <c r="B745" s="17"/>
      <c r="I745" s="5" t="str">
        <f t="array" ref="I745">IFERROR(TEXTJOIN(", ", TRUE, MAKEARRAY(COLUMNS(TEXTSPLIT(G745, ",",, TRUE)), COLUMNS(TEXTSPLIT(H745, ",",, TRUE)), LAMBDA(_xlpm.ri,_xlpm.gi, TRIM(INDEX(TEXTSPLIT(G745, ",",, TRUE), 1, _xlpm.ri)) &amp; "_" &amp; TRIM(INDEX(TEXTSPLIT(H745, ",",, TRUE), 1, _xlpm.gi))))), "")</f>
        <v/>
      </c>
    </row>
    <row r="746" ht="15.75" customHeight="1">
      <c r="B746" s="17"/>
      <c r="I746" s="5" t="str">
        <f t="array" ref="I746">IFERROR(TEXTJOIN(", ", TRUE, MAKEARRAY(COLUMNS(TEXTSPLIT(G746, ",",, TRUE)), COLUMNS(TEXTSPLIT(H746, ",",, TRUE)), LAMBDA(_xlpm.ri,_xlpm.gi, TRIM(INDEX(TEXTSPLIT(G746, ",",, TRUE), 1, _xlpm.ri)) &amp; "_" &amp; TRIM(INDEX(TEXTSPLIT(H746, ",",, TRUE), 1, _xlpm.gi))))), "")</f>
        <v/>
      </c>
    </row>
    <row r="747" ht="15.75" customHeight="1">
      <c r="B747" s="17"/>
      <c r="I747" s="5" t="str">
        <f t="array" ref="I747">IFERROR(TEXTJOIN(", ", TRUE, MAKEARRAY(COLUMNS(TEXTSPLIT(G747, ",",, TRUE)), COLUMNS(TEXTSPLIT(H747, ",",, TRUE)), LAMBDA(_xlpm.ri,_xlpm.gi, TRIM(INDEX(TEXTSPLIT(G747, ",",, TRUE), 1, _xlpm.ri)) &amp; "_" &amp; TRIM(INDEX(TEXTSPLIT(H747, ",",, TRUE), 1, _xlpm.gi))))), "")</f>
        <v/>
      </c>
    </row>
    <row r="748" ht="15.75" customHeight="1">
      <c r="B748" s="17"/>
      <c r="I748" s="5" t="str">
        <f t="array" ref="I748">IFERROR(TEXTJOIN(", ", TRUE, MAKEARRAY(COLUMNS(TEXTSPLIT(G748, ",",, TRUE)), COLUMNS(TEXTSPLIT(H748, ",",, TRUE)), LAMBDA(_xlpm.ri,_xlpm.gi, TRIM(INDEX(TEXTSPLIT(G748, ",",, TRUE), 1, _xlpm.ri)) &amp; "_" &amp; TRIM(INDEX(TEXTSPLIT(H748, ",",, TRUE), 1, _xlpm.gi))))), "")</f>
        <v/>
      </c>
    </row>
    <row r="749" ht="15.75" customHeight="1">
      <c r="B749" s="17"/>
      <c r="I749" s="5" t="str">
        <f t="array" ref="I749">IFERROR(TEXTJOIN(", ", TRUE, MAKEARRAY(COLUMNS(TEXTSPLIT(G749, ",",, TRUE)), COLUMNS(TEXTSPLIT(H749, ",",, TRUE)), LAMBDA(_xlpm.ri,_xlpm.gi, TRIM(INDEX(TEXTSPLIT(G749, ",",, TRUE), 1, _xlpm.ri)) &amp; "_" &amp; TRIM(INDEX(TEXTSPLIT(H749, ",",, TRUE), 1, _xlpm.gi))))), "")</f>
        <v/>
      </c>
    </row>
    <row r="750" ht="15.75" customHeight="1">
      <c r="B750" s="17"/>
      <c r="I750" s="5" t="str">
        <f t="array" ref="I750">IFERROR(TEXTJOIN(", ", TRUE, MAKEARRAY(COLUMNS(TEXTSPLIT(G750, ",",, TRUE)), COLUMNS(TEXTSPLIT(H750, ",",, TRUE)), LAMBDA(_xlpm.ri,_xlpm.gi, TRIM(INDEX(TEXTSPLIT(G750, ",",, TRUE), 1, _xlpm.ri)) &amp; "_" &amp; TRIM(INDEX(TEXTSPLIT(H750, ",",, TRUE), 1, _xlpm.gi))))), "")</f>
        <v/>
      </c>
    </row>
    <row r="751" ht="15.75" customHeight="1">
      <c r="B751" s="17"/>
      <c r="I751" s="5" t="str">
        <f t="array" ref="I751">IFERROR(TEXTJOIN(", ", TRUE, MAKEARRAY(COLUMNS(TEXTSPLIT(G751, ",",, TRUE)), COLUMNS(TEXTSPLIT(H751, ",",, TRUE)), LAMBDA(_xlpm.ri,_xlpm.gi, TRIM(INDEX(TEXTSPLIT(G751, ",",, TRUE), 1, _xlpm.ri)) &amp; "_" &amp; TRIM(INDEX(TEXTSPLIT(H751, ",",, TRUE), 1, _xlpm.gi))))), "")</f>
        <v/>
      </c>
    </row>
    <row r="752" ht="15.75" customHeight="1">
      <c r="B752" s="17"/>
      <c r="I752" s="5" t="str">
        <f t="array" ref="I752">IFERROR(TEXTJOIN(", ", TRUE, MAKEARRAY(COLUMNS(TEXTSPLIT(G752, ",",, TRUE)), COLUMNS(TEXTSPLIT(H752, ",",, TRUE)), LAMBDA(_xlpm.ri,_xlpm.gi, TRIM(INDEX(TEXTSPLIT(G752, ",",, TRUE), 1, _xlpm.ri)) &amp; "_" &amp; TRIM(INDEX(TEXTSPLIT(H752, ",",, TRUE), 1, _xlpm.gi))))), "")</f>
        <v/>
      </c>
    </row>
    <row r="753" ht="15.75" customHeight="1">
      <c r="B753" s="17"/>
      <c r="I753" s="5" t="str">
        <f t="array" ref="I753">IFERROR(TEXTJOIN(", ", TRUE, MAKEARRAY(COLUMNS(TEXTSPLIT(G753, ",",, TRUE)), COLUMNS(TEXTSPLIT(H753, ",",, TRUE)), LAMBDA(_xlpm.ri,_xlpm.gi, TRIM(INDEX(TEXTSPLIT(G753, ",",, TRUE), 1, _xlpm.ri)) &amp; "_" &amp; TRIM(INDEX(TEXTSPLIT(H753, ",",, TRUE), 1, _xlpm.gi))))), "")</f>
        <v/>
      </c>
    </row>
    <row r="754" ht="15.75" customHeight="1">
      <c r="B754" s="17"/>
      <c r="I754" s="5" t="str">
        <f t="array" ref="I754">IFERROR(TEXTJOIN(", ", TRUE, MAKEARRAY(COLUMNS(TEXTSPLIT(G754, ",",, TRUE)), COLUMNS(TEXTSPLIT(H754, ",",, TRUE)), LAMBDA(_xlpm.ri,_xlpm.gi, TRIM(INDEX(TEXTSPLIT(G754, ",",, TRUE), 1, _xlpm.ri)) &amp; "_" &amp; TRIM(INDEX(TEXTSPLIT(H754, ",",, TRUE), 1, _xlpm.gi))))), "")</f>
        <v/>
      </c>
    </row>
    <row r="755" ht="15.75" customHeight="1">
      <c r="B755" s="17"/>
      <c r="I755" s="5" t="str">
        <f t="array" ref="I755">IFERROR(TEXTJOIN(", ", TRUE, MAKEARRAY(COLUMNS(TEXTSPLIT(G755, ",",, TRUE)), COLUMNS(TEXTSPLIT(H755, ",",, TRUE)), LAMBDA(_xlpm.ri,_xlpm.gi, TRIM(INDEX(TEXTSPLIT(G755, ",",, TRUE), 1, _xlpm.ri)) &amp; "_" &amp; TRIM(INDEX(TEXTSPLIT(H755, ",",, TRUE), 1, _xlpm.gi))))), "")</f>
        <v/>
      </c>
    </row>
    <row r="756" ht="15.75" customHeight="1">
      <c r="B756" s="17"/>
      <c r="I756" s="5" t="str">
        <f t="array" ref="I756">IFERROR(TEXTJOIN(", ", TRUE, MAKEARRAY(COLUMNS(TEXTSPLIT(G756, ",",, TRUE)), COLUMNS(TEXTSPLIT(H756, ",",, TRUE)), LAMBDA(_xlpm.ri,_xlpm.gi, TRIM(INDEX(TEXTSPLIT(G756, ",",, TRUE), 1, _xlpm.ri)) &amp; "_" &amp; TRIM(INDEX(TEXTSPLIT(H756, ",",, TRUE), 1, _xlpm.gi))))), "")</f>
        <v/>
      </c>
    </row>
    <row r="757" ht="15.75" customHeight="1">
      <c r="B757" s="17"/>
      <c r="I757" s="5" t="str">
        <f t="array" ref="I757">IFERROR(TEXTJOIN(", ", TRUE, MAKEARRAY(COLUMNS(TEXTSPLIT(G757, ",",, TRUE)), COLUMNS(TEXTSPLIT(H757, ",",, TRUE)), LAMBDA(_xlpm.ri,_xlpm.gi, TRIM(INDEX(TEXTSPLIT(G757, ",",, TRUE), 1, _xlpm.ri)) &amp; "_" &amp; TRIM(INDEX(TEXTSPLIT(H757, ",",, TRUE), 1, _xlpm.gi))))), "")</f>
        <v/>
      </c>
    </row>
    <row r="758" ht="15.75" customHeight="1">
      <c r="B758" s="17"/>
      <c r="I758" s="5" t="str">
        <f t="array" ref="I758">IFERROR(TEXTJOIN(", ", TRUE, MAKEARRAY(COLUMNS(TEXTSPLIT(G758, ",",, TRUE)), COLUMNS(TEXTSPLIT(H758, ",",, TRUE)), LAMBDA(_xlpm.ri,_xlpm.gi, TRIM(INDEX(TEXTSPLIT(G758, ",",, TRUE), 1, _xlpm.ri)) &amp; "_" &amp; TRIM(INDEX(TEXTSPLIT(H758, ",",, TRUE), 1, _xlpm.gi))))), "")</f>
        <v/>
      </c>
    </row>
    <row r="759" ht="15.75" customHeight="1">
      <c r="B759" s="17"/>
      <c r="I759" s="5" t="str">
        <f t="array" ref="I759">IFERROR(TEXTJOIN(", ", TRUE, MAKEARRAY(COLUMNS(TEXTSPLIT(G759, ",",, TRUE)), COLUMNS(TEXTSPLIT(H759, ",",, TRUE)), LAMBDA(_xlpm.ri,_xlpm.gi, TRIM(INDEX(TEXTSPLIT(G759, ",",, TRUE), 1, _xlpm.ri)) &amp; "_" &amp; TRIM(INDEX(TEXTSPLIT(H759, ",",, TRUE), 1, _xlpm.gi))))), "")</f>
        <v/>
      </c>
    </row>
    <row r="760" ht="15.75" customHeight="1">
      <c r="B760" s="17"/>
      <c r="I760" s="5" t="str">
        <f t="array" ref="I760">IFERROR(TEXTJOIN(", ", TRUE, MAKEARRAY(COLUMNS(TEXTSPLIT(G760, ",",, TRUE)), COLUMNS(TEXTSPLIT(H760, ",",, TRUE)), LAMBDA(_xlpm.ri,_xlpm.gi, TRIM(INDEX(TEXTSPLIT(G760, ",",, TRUE), 1, _xlpm.ri)) &amp; "_" &amp; TRIM(INDEX(TEXTSPLIT(H760, ",",, TRUE), 1, _xlpm.gi))))), "")</f>
        <v/>
      </c>
    </row>
    <row r="761" ht="15.75" customHeight="1">
      <c r="B761" s="17"/>
      <c r="I761" s="5" t="str">
        <f t="array" ref="I761">IFERROR(TEXTJOIN(", ", TRUE, MAKEARRAY(COLUMNS(TEXTSPLIT(G761, ",",, TRUE)), COLUMNS(TEXTSPLIT(H761, ",",, TRUE)), LAMBDA(_xlpm.ri,_xlpm.gi, TRIM(INDEX(TEXTSPLIT(G761, ",",, TRUE), 1, _xlpm.ri)) &amp; "_" &amp; TRIM(INDEX(TEXTSPLIT(H761, ",",, TRUE), 1, _xlpm.gi))))), "")</f>
        <v/>
      </c>
    </row>
    <row r="762" ht="15.75" customHeight="1">
      <c r="B762" s="17"/>
      <c r="I762" s="5" t="str">
        <f t="array" ref="I762">IFERROR(TEXTJOIN(", ", TRUE, MAKEARRAY(COLUMNS(TEXTSPLIT(G762, ",",, TRUE)), COLUMNS(TEXTSPLIT(H762, ",",, TRUE)), LAMBDA(_xlpm.ri,_xlpm.gi, TRIM(INDEX(TEXTSPLIT(G762, ",",, TRUE), 1, _xlpm.ri)) &amp; "_" &amp; TRIM(INDEX(TEXTSPLIT(H762, ",",, TRUE), 1, _xlpm.gi))))), "")</f>
        <v/>
      </c>
    </row>
    <row r="763" ht="15.75" customHeight="1">
      <c r="B763" s="17"/>
      <c r="I763" s="5" t="str">
        <f t="array" ref="I763">IFERROR(TEXTJOIN(", ", TRUE, MAKEARRAY(COLUMNS(TEXTSPLIT(G763, ",",, TRUE)), COLUMNS(TEXTSPLIT(H763, ",",, TRUE)), LAMBDA(_xlpm.ri,_xlpm.gi, TRIM(INDEX(TEXTSPLIT(G763, ",",, TRUE), 1, _xlpm.ri)) &amp; "_" &amp; TRIM(INDEX(TEXTSPLIT(H763, ",",, TRUE), 1, _xlpm.gi))))), "")</f>
        <v/>
      </c>
    </row>
    <row r="764" ht="15.75" customHeight="1">
      <c r="B764" s="17"/>
      <c r="I764" s="5" t="str">
        <f t="array" ref="I764">IFERROR(TEXTJOIN(", ", TRUE, MAKEARRAY(COLUMNS(TEXTSPLIT(G764, ",",, TRUE)), COLUMNS(TEXTSPLIT(H764, ",",, TRUE)), LAMBDA(_xlpm.ri,_xlpm.gi, TRIM(INDEX(TEXTSPLIT(G764, ",",, TRUE), 1, _xlpm.ri)) &amp; "_" &amp; TRIM(INDEX(TEXTSPLIT(H764, ",",, TRUE), 1, _xlpm.gi))))), "")</f>
        <v/>
      </c>
    </row>
    <row r="765" ht="15.75" customHeight="1">
      <c r="B765" s="17"/>
      <c r="I765" s="5" t="str">
        <f t="array" ref="I765">IFERROR(TEXTJOIN(", ", TRUE, MAKEARRAY(COLUMNS(TEXTSPLIT(G765, ",",, TRUE)), COLUMNS(TEXTSPLIT(H765, ",",, TRUE)), LAMBDA(_xlpm.ri,_xlpm.gi, TRIM(INDEX(TEXTSPLIT(G765, ",",, TRUE), 1, _xlpm.ri)) &amp; "_" &amp; TRIM(INDEX(TEXTSPLIT(H765, ",",, TRUE), 1, _xlpm.gi))))), "")</f>
        <v/>
      </c>
    </row>
    <row r="766" ht="15.75" customHeight="1">
      <c r="B766" s="17"/>
      <c r="I766" s="5" t="str">
        <f t="array" ref="I766">IFERROR(TEXTJOIN(", ", TRUE, MAKEARRAY(COLUMNS(TEXTSPLIT(G766, ",",, TRUE)), COLUMNS(TEXTSPLIT(H766, ",",, TRUE)), LAMBDA(_xlpm.ri,_xlpm.gi, TRIM(INDEX(TEXTSPLIT(G766, ",",, TRUE), 1, _xlpm.ri)) &amp; "_" &amp; TRIM(INDEX(TEXTSPLIT(H766, ",",, TRUE), 1, _xlpm.gi))))), "")</f>
        <v/>
      </c>
    </row>
    <row r="767" ht="15.75" customHeight="1">
      <c r="B767" s="17"/>
      <c r="I767" s="5" t="str">
        <f t="array" ref="I767">IFERROR(TEXTJOIN(", ", TRUE, MAKEARRAY(COLUMNS(TEXTSPLIT(G767, ",",, TRUE)), COLUMNS(TEXTSPLIT(H767, ",",, TRUE)), LAMBDA(_xlpm.ri,_xlpm.gi, TRIM(INDEX(TEXTSPLIT(G767, ",",, TRUE), 1, _xlpm.ri)) &amp; "_" &amp; TRIM(INDEX(TEXTSPLIT(H767, ",",, TRUE), 1, _xlpm.gi))))), "")</f>
        <v/>
      </c>
    </row>
    <row r="768" ht="15.75" customHeight="1">
      <c r="B768" s="17"/>
      <c r="I768" s="5" t="str">
        <f t="array" ref="I768">IFERROR(TEXTJOIN(", ", TRUE, MAKEARRAY(COLUMNS(TEXTSPLIT(G768, ",",, TRUE)), COLUMNS(TEXTSPLIT(H768, ",",, TRUE)), LAMBDA(_xlpm.ri,_xlpm.gi, TRIM(INDEX(TEXTSPLIT(G768, ",",, TRUE), 1, _xlpm.ri)) &amp; "_" &amp; TRIM(INDEX(TEXTSPLIT(H768, ",",, TRUE), 1, _xlpm.gi))))), "")</f>
        <v/>
      </c>
    </row>
    <row r="769" ht="15.75" customHeight="1">
      <c r="B769" s="17"/>
      <c r="I769" s="5" t="str">
        <f t="array" ref="I769">IFERROR(TEXTJOIN(", ", TRUE, MAKEARRAY(COLUMNS(TEXTSPLIT(G769, ",",, TRUE)), COLUMNS(TEXTSPLIT(H769, ",",, TRUE)), LAMBDA(_xlpm.ri,_xlpm.gi, TRIM(INDEX(TEXTSPLIT(G769, ",",, TRUE), 1, _xlpm.ri)) &amp; "_" &amp; TRIM(INDEX(TEXTSPLIT(H769, ",",, TRUE), 1, _xlpm.gi))))), "")</f>
        <v/>
      </c>
    </row>
    <row r="770" ht="15.75" customHeight="1">
      <c r="B770" s="17"/>
      <c r="I770" s="5" t="str">
        <f t="array" ref="I770">IFERROR(TEXTJOIN(", ", TRUE, MAKEARRAY(COLUMNS(TEXTSPLIT(G770, ",",, TRUE)), COLUMNS(TEXTSPLIT(H770, ",",, TRUE)), LAMBDA(_xlpm.ri,_xlpm.gi, TRIM(INDEX(TEXTSPLIT(G770, ",",, TRUE), 1, _xlpm.ri)) &amp; "_" &amp; TRIM(INDEX(TEXTSPLIT(H770, ",",, TRUE), 1, _xlpm.gi))))), "")</f>
        <v/>
      </c>
    </row>
    <row r="771" ht="15.75" customHeight="1">
      <c r="B771" s="17"/>
      <c r="I771" s="5" t="str">
        <f t="array" ref="I771">IFERROR(TEXTJOIN(", ", TRUE, MAKEARRAY(COLUMNS(TEXTSPLIT(G771, ",",, TRUE)), COLUMNS(TEXTSPLIT(H771, ",",, TRUE)), LAMBDA(_xlpm.ri,_xlpm.gi, TRIM(INDEX(TEXTSPLIT(G771, ",",, TRUE), 1, _xlpm.ri)) &amp; "_" &amp; TRIM(INDEX(TEXTSPLIT(H771, ",",, TRUE), 1, _xlpm.gi))))), "")</f>
        <v/>
      </c>
    </row>
    <row r="772" ht="15.75" customHeight="1">
      <c r="B772" s="17"/>
      <c r="I772" s="5" t="str">
        <f t="array" ref="I772">IFERROR(TEXTJOIN(", ", TRUE, MAKEARRAY(COLUMNS(TEXTSPLIT(G772, ",",, TRUE)), COLUMNS(TEXTSPLIT(H772, ",",, TRUE)), LAMBDA(_xlpm.ri,_xlpm.gi, TRIM(INDEX(TEXTSPLIT(G772, ",",, TRUE), 1, _xlpm.ri)) &amp; "_" &amp; TRIM(INDEX(TEXTSPLIT(H772, ",",, TRUE), 1, _xlpm.gi))))), "")</f>
        <v/>
      </c>
    </row>
    <row r="773" ht="15.75" customHeight="1">
      <c r="B773" s="17"/>
      <c r="I773" s="5" t="str">
        <f t="array" ref="I773">IFERROR(TEXTJOIN(", ", TRUE, MAKEARRAY(COLUMNS(TEXTSPLIT(G773, ",",, TRUE)), COLUMNS(TEXTSPLIT(H773, ",",, TRUE)), LAMBDA(_xlpm.ri,_xlpm.gi, TRIM(INDEX(TEXTSPLIT(G773, ",",, TRUE), 1, _xlpm.ri)) &amp; "_" &amp; TRIM(INDEX(TEXTSPLIT(H773, ",",, TRUE), 1, _xlpm.gi))))), "")</f>
        <v/>
      </c>
    </row>
    <row r="774" ht="15.75" customHeight="1">
      <c r="B774" s="17"/>
      <c r="I774" s="5" t="str">
        <f t="array" ref="I774">IFERROR(TEXTJOIN(", ", TRUE, MAKEARRAY(COLUMNS(TEXTSPLIT(G774, ",",, TRUE)), COLUMNS(TEXTSPLIT(H774, ",",, TRUE)), LAMBDA(_xlpm.ri,_xlpm.gi, TRIM(INDEX(TEXTSPLIT(G774, ",",, TRUE), 1, _xlpm.ri)) &amp; "_" &amp; TRIM(INDEX(TEXTSPLIT(H774, ",",, TRUE), 1, _xlpm.gi))))), "")</f>
        <v/>
      </c>
    </row>
    <row r="775" ht="15.75" customHeight="1">
      <c r="B775" s="17"/>
      <c r="I775" s="5" t="str">
        <f t="array" ref="I775">IFERROR(TEXTJOIN(", ", TRUE, MAKEARRAY(COLUMNS(TEXTSPLIT(G775, ",",, TRUE)), COLUMNS(TEXTSPLIT(H775, ",",, TRUE)), LAMBDA(_xlpm.ri,_xlpm.gi, TRIM(INDEX(TEXTSPLIT(G775, ",",, TRUE), 1, _xlpm.ri)) &amp; "_" &amp; TRIM(INDEX(TEXTSPLIT(H775, ",",, TRUE), 1, _xlpm.gi))))), "")</f>
        <v/>
      </c>
    </row>
    <row r="776" ht="15.75" customHeight="1">
      <c r="B776" s="17"/>
      <c r="I776" s="5" t="str">
        <f t="array" ref="I776">IFERROR(TEXTJOIN(", ", TRUE, MAKEARRAY(COLUMNS(TEXTSPLIT(G776, ",",, TRUE)), COLUMNS(TEXTSPLIT(H776, ",",, TRUE)), LAMBDA(_xlpm.ri,_xlpm.gi, TRIM(INDEX(TEXTSPLIT(G776, ",",, TRUE), 1, _xlpm.ri)) &amp; "_" &amp; TRIM(INDEX(TEXTSPLIT(H776, ",",, TRUE), 1, _xlpm.gi))))), "")</f>
        <v/>
      </c>
    </row>
    <row r="777" ht="15.75" customHeight="1">
      <c r="B777" s="17"/>
      <c r="I777" s="5" t="str">
        <f t="array" ref="I777">IFERROR(TEXTJOIN(", ", TRUE, MAKEARRAY(COLUMNS(TEXTSPLIT(G777, ",",, TRUE)), COLUMNS(TEXTSPLIT(H777, ",",, TRUE)), LAMBDA(_xlpm.ri,_xlpm.gi, TRIM(INDEX(TEXTSPLIT(G777, ",",, TRUE), 1, _xlpm.ri)) &amp; "_" &amp; TRIM(INDEX(TEXTSPLIT(H777, ",",, TRUE), 1, _xlpm.gi))))), "")</f>
        <v/>
      </c>
    </row>
    <row r="778" ht="15.75" customHeight="1">
      <c r="B778" s="17"/>
      <c r="I778" s="5" t="str">
        <f t="array" ref="I778">IFERROR(TEXTJOIN(", ", TRUE, MAKEARRAY(COLUMNS(TEXTSPLIT(G778, ",",, TRUE)), COLUMNS(TEXTSPLIT(H778, ",",, TRUE)), LAMBDA(_xlpm.ri,_xlpm.gi, TRIM(INDEX(TEXTSPLIT(G778, ",",, TRUE), 1, _xlpm.ri)) &amp; "_" &amp; TRIM(INDEX(TEXTSPLIT(H778, ",",, TRUE), 1, _xlpm.gi))))), "")</f>
        <v/>
      </c>
    </row>
    <row r="779" ht="15.75" customHeight="1">
      <c r="B779" s="17"/>
      <c r="I779" s="5" t="str">
        <f t="array" ref="I779">IFERROR(TEXTJOIN(", ", TRUE, MAKEARRAY(COLUMNS(TEXTSPLIT(G779, ",",, TRUE)), COLUMNS(TEXTSPLIT(H779, ",",, TRUE)), LAMBDA(_xlpm.ri,_xlpm.gi, TRIM(INDEX(TEXTSPLIT(G779, ",",, TRUE), 1, _xlpm.ri)) &amp; "_" &amp; TRIM(INDEX(TEXTSPLIT(H779, ",",, TRUE), 1, _xlpm.gi))))), "")</f>
        <v/>
      </c>
    </row>
    <row r="780" ht="15.75" customHeight="1">
      <c r="B780" s="17"/>
      <c r="I780" s="5" t="str">
        <f t="array" ref="I780">IFERROR(TEXTJOIN(", ", TRUE, MAKEARRAY(COLUMNS(TEXTSPLIT(G780, ",",, TRUE)), COLUMNS(TEXTSPLIT(H780, ",",, TRUE)), LAMBDA(_xlpm.ri,_xlpm.gi, TRIM(INDEX(TEXTSPLIT(G780, ",",, TRUE), 1, _xlpm.ri)) &amp; "_" &amp; TRIM(INDEX(TEXTSPLIT(H780, ",",, TRUE), 1, _xlpm.gi))))), "")</f>
        <v/>
      </c>
    </row>
    <row r="781" ht="15.75" customHeight="1">
      <c r="B781" s="17"/>
      <c r="I781" s="5" t="str">
        <f t="array" ref="I781">IFERROR(TEXTJOIN(", ", TRUE, MAKEARRAY(COLUMNS(TEXTSPLIT(G781, ",",, TRUE)), COLUMNS(TEXTSPLIT(H781, ",",, TRUE)), LAMBDA(_xlpm.ri,_xlpm.gi, TRIM(INDEX(TEXTSPLIT(G781, ",",, TRUE), 1, _xlpm.ri)) &amp; "_" &amp; TRIM(INDEX(TEXTSPLIT(H781, ",",, TRUE), 1, _xlpm.gi))))), "")</f>
        <v/>
      </c>
    </row>
    <row r="782" ht="15.75" customHeight="1">
      <c r="B782" s="17"/>
      <c r="I782" s="5" t="str">
        <f t="array" ref="I782">IFERROR(TEXTJOIN(", ", TRUE, MAKEARRAY(COLUMNS(TEXTSPLIT(G782, ",",, TRUE)), COLUMNS(TEXTSPLIT(H782, ",",, TRUE)), LAMBDA(_xlpm.ri,_xlpm.gi, TRIM(INDEX(TEXTSPLIT(G782, ",",, TRUE), 1, _xlpm.ri)) &amp; "_" &amp; TRIM(INDEX(TEXTSPLIT(H782, ",",, TRUE), 1, _xlpm.gi))))), "")</f>
        <v/>
      </c>
    </row>
    <row r="783" ht="15.75" customHeight="1">
      <c r="B783" s="17"/>
      <c r="I783" s="5" t="str">
        <f t="array" ref="I783">IFERROR(TEXTJOIN(", ", TRUE, MAKEARRAY(COLUMNS(TEXTSPLIT(G783, ",",, TRUE)), COLUMNS(TEXTSPLIT(H783, ",",, TRUE)), LAMBDA(_xlpm.ri,_xlpm.gi, TRIM(INDEX(TEXTSPLIT(G783, ",",, TRUE), 1, _xlpm.ri)) &amp; "_" &amp; TRIM(INDEX(TEXTSPLIT(H783, ",",, TRUE), 1, _xlpm.gi))))), "")</f>
        <v/>
      </c>
    </row>
    <row r="784" ht="15.75" customHeight="1">
      <c r="B784" s="17"/>
      <c r="I784" s="5" t="str">
        <f t="array" ref="I784">IFERROR(TEXTJOIN(", ", TRUE, MAKEARRAY(COLUMNS(TEXTSPLIT(G784, ",",, TRUE)), COLUMNS(TEXTSPLIT(H784, ",",, TRUE)), LAMBDA(_xlpm.ri,_xlpm.gi, TRIM(INDEX(TEXTSPLIT(G784, ",",, TRUE), 1, _xlpm.ri)) &amp; "_" &amp; TRIM(INDEX(TEXTSPLIT(H784, ",",, TRUE), 1, _xlpm.gi))))), "")</f>
        <v/>
      </c>
    </row>
    <row r="785" ht="15.75" customHeight="1">
      <c r="B785" s="17"/>
      <c r="I785" s="5" t="str">
        <f t="array" ref="I785">IFERROR(TEXTJOIN(", ", TRUE, MAKEARRAY(COLUMNS(TEXTSPLIT(G785, ",",, TRUE)), COLUMNS(TEXTSPLIT(H785, ",",, TRUE)), LAMBDA(_xlpm.ri,_xlpm.gi, TRIM(INDEX(TEXTSPLIT(G785, ",",, TRUE), 1, _xlpm.ri)) &amp; "_" &amp; TRIM(INDEX(TEXTSPLIT(H785, ",",, TRUE), 1, _xlpm.gi))))), "")</f>
        <v/>
      </c>
    </row>
    <row r="786" ht="15.75" customHeight="1">
      <c r="B786" s="17"/>
      <c r="I786" s="5" t="str">
        <f t="array" ref="I786">IFERROR(TEXTJOIN(", ", TRUE, MAKEARRAY(COLUMNS(TEXTSPLIT(G786, ",",, TRUE)), COLUMNS(TEXTSPLIT(H786, ",",, TRUE)), LAMBDA(_xlpm.ri,_xlpm.gi, TRIM(INDEX(TEXTSPLIT(G786, ",",, TRUE), 1, _xlpm.ri)) &amp; "_" &amp; TRIM(INDEX(TEXTSPLIT(H786, ",",, TRUE), 1, _xlpm.gi))))), "")</f>
        <v/>
      </c>
    </row>
    <row r="787" ht="15.75" customHeight="1">
      <c r="B787" s="17"/>
      <c r="I787" s="5" t="str">
        <f t="array" ref="I787">IFERROR(TEXTJOIN(", ", TRUE, MAKEARRAY(COLUMNS(TEXTSPLIT(G787, ",",, TRUE)), COLUMNS(TEXTSPLIT(H787, ",",, TRUE)), LAMBDA(_xlpm.ri,_xlpm.gi, TRIM(INDEX(TEXTSPLIT(G787, ",",, TRUE), 1, _xlpm.ri)) &amp; "_" &amp; TRIM(INDEX(TEXTSPLIT(H787, ",",, TRUE), 1, _xlpm.gi))))), "")</f>
        <v/>
      </c>
    </row>
    <row r="788" ht="15.75" customHeight="1">
      <c r="B788" s="17"/>
      <c r="I788" s="5" t="str">
        <f t="array" ref="I788">IFERROR(TEXTJOIN(", ", TRUE, MAKEARRAY(COLUMNS(TEXTSPLIT(G788, ",",, TRUE)), COLUMNS(TEXTSPLIT(H788, ",",, TRUE)), LAMBDA(_xlpm.ri,_xlpm.gi, TRIM(INDEX(TEXTSPLIT(G788, ",",, TRUE), 1, _xlpm.ri)) &amp; "_" &amp; TRIM(INDEX(TEXTSPLIT(H788, ",",, TRUE), 1, _xlpm.gi))))), "")</f>
        <v/>
      </c>
    </row>
    <row r="789" ht="15.75" customHeight="1">
      <c r="B789" s="17"/>
      <c r="I789" s="5" t="str">
        <f t="array" ref="I789">IFERROR(TEXTJOIN(", ", TRUE, MAKEARRAY(COLUMNS(TEXTSPLIT(G789, ",",, TRUE)), COLUMNS(TEXTSPLIT(H789, ",",, TRUE)), LAMBDA(_xlpm.ri,_xlpm.gi, TRIM(INDEX(TEXTSPLIT(G789, ",",, TRUE), 1, _xlpm.ri)) &amp; "_" &amp; TRIM(INDEX(TEXTSPLIT(H789, ",",, TRUE), 1, _xlpm.gi))))), "")</f>
        <v/>
      </c>
    </row>
    <row r="790" ht="15.75" customHeight="1">
      <c r="B790" s="17"/>
      <c r="I790" s="5" t="str">
        <f t="array" ref="I790">IFERROR(TEXTJOIN(", ", TRUE, MAKEARRAY(COLUMNS(TEXTSPLIT(G790, ",",, TRUE)), COLUMNS(TEXTSPLIT(H790, ",",, TRUE)), LAMBDA(_xlpm.ri,_xlpm.gi, TRIM(INDEX(TEXTSPLIT(G790, ",",, TRUE), 1, _xlpm.ri)) &amp; "_" &amp; TRIM(INDEX(TEXTSPLIT(H790, ",",, TRUE), 1, _xlpm.gi))))), "")</f>
        <v/>
      </c>
    </row>
    <row r="791" ht="15.75" customHeight="1">
      <c r="B791" s="17"/>
      <c r="I791" s="5" t="str">
        <f t="array" ref="I791">IFERROR(TEXTJOIN(", ", TRUE, MAKEARRAY(COLUMNS(TEXTSPLIT(G791, ",",, TRUE)), COLUMNS(TEXTSPLIT(H791, ",",, TRUE)), LAMBDA(_xlpm.ri,_xlpm.gi, TRIM(INDEX(TEXTSPLIT(G791, ",",, TRUE), 1, _xlpm.ri)) &amp; "_" &amp; TRIM(INDEX(TEXTSPLIT(H791, ",",, TRUE), 1, _xlpm.gi))))), "")</f>
        <v/>
      </c>
    </row>
    <row r="792" ht="15.75" customHeight="1">
      <c r="B792" s="17"/>
      <c r="I792" s="5" t="str">
        <f t="array" ref="I792">IFERROR(TEXTJOIN(", ", TRUE, MAKEARRAY(COLUMNS(TEXTSPLIT(G792, ",",, TRUE)), COLUMNS(TEXTSPLIT(H792, ",",, TRUE)), LAMBDA(_xlpm.ri,_xlpm.gi, TRIM(INDEX(TEXTSPLIT(G792, ",",, TRUE), 1, _xlpm.ri)) &amp; "_" &amp; TRIM(INDEX(TEXTSPLIT(H792, ",",, TRUE), 1, _xlpm.gi))))), "")</f>
        <v/>
      </c>
    </row>
    <row r="793" ht="15.75" customHeight="1">
      <c r="B793" s="17"/>
      <c r="I793" s="5" t="str">
        <f t="array" ref="I793">IFERROR(TEXTJOIN(", ", TRUE, MAKEARRAY(COLUMNS(TEXTSPLIT(G793, ",",, TRUE)), COLUMNS(TEXTSPLIT(H793, ",",, TRUE)), LAMBDA(_xlpm.ri,_xlpm.gi, TRIM(INDEX(TEXTSPLIT(G793, ",",, TRUE), 1, _xlpm.ri)) &amp; "_" &amp; TRIM(INDEX(TEXTSPLIT(H793, ",",, TRUE), 1, _xlpm.gi))))), "")</f>
        <v/>
      </c>
    </row>
    <row r="794" ht="15.75" customHeight="1">
      <c r="B794" s="17"/>
      <c r="I794" s="5" t="str">
        <f t="array" ref="I794">IFERROR(TEXTJOIN(", ", TRUE, MAKEARRAY(COLUMNS(TEXTSPLIT(G794, ",",, TRUE)), COLUMNS(TEXTSPLIT(H794, ",",, TRUE)), LAMBDA(_xlpm.ri,_xlpm.gi, TRIM(INDEX(TEXTSPLIT(G794, ",",, TRUE), 1, _xlpm.ri)) &amp; "_" &amp; TRIM(INDEX(TEXTSPLIT(H794, ",",, TRUE), 1, _xlpm.gi))))), "")</f>
        <v/>
      </c>
    </row>
    <row r="795" ht="15.75" customHeight="1">
      <c r="B795" s="17"/>
      <c r="I795" s="5" t="str">
        <f t="array" ref="I795">IFERROR(TEXTJOIN(", ", TRUE, MAKEARRAY(COLUMNS(TEXTSPLIT(G795, ",",, TRUE)), COLUMNS(TEXTSPLIT(H795, ",",, TRUE)), LAMBDA(_xlpm.ri,_xlpm.gi, TRIM(INDEX(TEXTSPLIT(G795, ",",, TRUE), 1, _xlpm.ri)) &amp; "_" &amp; TRIM(INDEX(TEXTSPLIT(H795, ",",, TRUE), 1, _xlpm.gi))))), "")</f>
        <v/>
      </c>
    </row>
    <row r="796" ht="15.75" customHeight="1">
      <c r="B796" s="17"/>
      <c r="I796" s="5" t="str">
        <f t="array" ref="I796">IFERROR(TEXTJOIN(", ", TRUE, MAKEARRAY(COLUMNS(TEXTSPLIT(G796, ",",, TRUE)), COLUMNS(TEXTSPLIT(H796, ",",, TRUE)), LAMBDA(_xlpm.ri,_xlpm.gi, TRIM(INDEX(TEXTSPLIT(G796, ",",, TRUE), 1, _xlpm.ri)) &amp; "_" &amp; TRIM(INDEX(TEXTSPLIT(H796, ",",, TRUE), 1, _xlpm.gi))))), "")</f>
        <v/>
      </c>
    </row>
    <row r="797" ht="15.75" customHeight="1">
      <c r="B797" s="17"/>
      <c r="I797" s="5" t="str">
        <f t="array" ref="I797">IFERROR(TEXTJOIN(", ", TRUE, MAKEARRAY(COLUMNS(TEXTSPLIT(G797, ",",, TRUE)), COLUMNS(TEXTSPLIT(H797, ",",, TRUE)), LAMBDA(_xlpm.ri,_xlpm.gi, TRIM(INDEX(TEXTSPLIT(G797, ",",, TRUE), 1, _xlpm.ri)) &amp; "_" &amp; TRIM(INDEX(TEXTSPLIT(H797, ",",, TRUE), 1, _xlpm.gi))))), "")</f>
        <v/>
      </c>
    </row>
    <row r="798" ht="15.75" customHeight="1">
      <c r="B798" s="17"/>
      <c r="I798" s="5" t="str">
        <f t="array" ref="I798">IFERROR(TEXTJOIN(", ", TRUE, MAKEARRAY(COLUMNS(TEXTSPLIT(G798, ",",, TRUE)), COLUMNS(TEXTSPLIT(H798, ",",, TRUE)), LAMBDA(_xlpm.ri,_xlpm.gi, TRIM(INDEX(TEXTSPLIT(G798, ",",, TRUE), 1, _xlpm.ri)) &amp; "_" &amp; TRIM(INDEX(TEXTSPLIT(H798, ",",, TRUE), 1, _xlpm.gi))))), "")</f>
        <v/>
      </c>
    </row>
    <row r="799" ht="15.75" customHeight="1">
      <c r="B799" s="17"/>
      <c r="I799" s="5" t="str">
        <f t="array" ref="I799">IFERROR(TEXTJOIN(", ", TRUE, MAKEARRAY(COLUMNS(TEXTSPLIT(G799, ",",, TRUE)), COLUMNS(TEXTSPLIT(H799, ",",, TRUE)), LAMBDA(_xlpm.ri,_xlpm.gi, TRIM(INDEX(TEXTSPLIT(G799, ",",, TRUE), 1, _xlpm.ri)) &amp; "_" &amp; TRIM(INDEX(TEXTSPLIT(H799, ",",, TRUE), 1, _xlpm.gi))))), "")</f>
        <v/>
      </c>
    </row>
    <row r="800" ht="15.75" customHeight="1">
      <c r="B800" s="17"/>
      <c r="I800" s="5" t="str">
        <f t="array" ref="I800">IFERROR(TEXTJOIN(", ", TRUE, MAKEARRAY(COLUMNS(TEXTSPLIT(G800, ",",, TRUE)), COLUMNS(TEXTSPLIT(H800, ",",, TRUE)), LAMBDA(_xlpm.ri,_xlpm.gi, TRIM(INDEX(TEXTSPLIT(G800, ",",, TRUE), 1, _xlpm.ri)) &amp; "_" &amp; TRIM(INDEX(TEXTSPLIT(H800, ",",, TRUE), 1, _xlpm.gi))))), "")</f>
        <v/>
      </c>
    </row>
    <row r="801" ht="15.75" customHeight="1">
      <c r="B801" s="17"/>
      <c r="I801" s="5" t="str">
        <f t="array" ref="I801">IFERROR(TEXTJOIN(", ", TRUE, MAKEARRAY(COLUMNS(TEXTSPLIT(G801, ",",, TRUE)), COLUMNS(TEXTSPLIT(H801, ",",, TRUE)), LAMBDA(_xlpm.ri,_xlpm.gi, TRIM(INDEX(TEXTSPLIT(G801, ",",, TRUE), 1, _xlpm.ri)) &amp; "_" &amp; TRIM(INDEX(TEXTSPLIT(H801, ",",, TRUE), 1, _xlpm.gi))))), "")</f>
        <v/>
      </c>
    </row>
    <row r="802" ht="15.75" customHeight="1">
      <c r="B802" s="17"/>
      <c r="I802" s="5" t="str">
        <f t="array" ref="I802">IFERROR(TEXTJOIN(", ", TRUE, MAKEARRAY(COLUMNS(TEXTSPLIT(G802, ",",, TRUE)), COLUMNS(TEXTSPLIT(H802, ",",, TRUE)), LAMBDA(_xlpm.ri,_xlpm.gi, TRIM(INDEX(TEXTSPLIT(G802, ",",, TRUE), 1, _xlpm.ri)) &amp; "_" &amp; TRIM(INDEX(TEXTSPLIT(H802, ",",, TRUE), 1, _xlpm.gi))))), "")</f>
        <v/>
      </c>
    </row>
    <row r="803" ht="15.75" customHeight="1">
      <c r="B803" s="17"/>
      <c r="I803" s="5" t="str">
        <f t="array" ref="I803">IFERROR(TEXTJOIN(", ", TRUE, MAKEARRAY(COLUMNS(TEXTSPLIT(G803, ",",, TRUE)), COLUMNS(TEXTSPLIT(H803, ",",, TRUE)), LAMBDA(_xlpm.ri,_xlpm.gi, TRIM(INDEX(TEXTSPLIT(G803, ",",, TRUE), 1, _xlpm.ri)) &amp; "_" &amp; TRIM(INDEX(TEXTSPLIT(H803, ",",, TRUE), 1, _xlpm.gi))))), "")</f>
        <v/>
      </c>
    </row>
    <row r="804" ht="15.75" customHeight="1">
      <c r="B804" s="17"/>
      <c r="I804" s="5" t="str">
        <f t="array" ref="I804">IFERROR(TEXTJOIN(", ", TRUE, MAKEARRAY(COLUMNS(TEXTSPLIT(G804, ",",, TRUE)), COLUMNS(TEXTSPLIT(H804, ",",, TRUE)), LAMBDA(_xlpm.ri,_xlpm.gi, TRIM(INDEX(TEXTSPLIT(G804, ",",, TRUE), 1, _xlpm.ri)) &amp; "_" &amp; TRIM(INDEX(TEXTSPLIT(H804, ",",, TRUE), 1, _xlpm.gi))))), "")</f>
        <v/>
      </c>
    </row>
    <row r="805" ht="15.75" customHeight="1">
      <c r="B805" s="17"/>
      <c r="I805" s="5" t="str">
        <f t="array" ref="I805">IFERROR(TEXTJOIN(", ", TRUE, MAKEARRAY(COLUMNS(TEXTSPLIT(G805, ",",, TRUE)), COLUMNS(TEXTSPLIT(H805, ",",, TRUE)), LAMBDA(_xlpm.ri,_xlpm.gi, TRIM(INDEX(TEXTSPLIT(G805, ",",, TRUE), 1, _xlpm.ri)) &amp; "_" &amp; TRIM(INDEX(TEXTSPLIT(H805, ",",, TRUE), 1, _xlpm.gi))))), "")</f>
        <v/>
      </c>
    </row>
    <row r="806" ht="15.75" customHeight="1">
      <c r="B806" s="17"/>
      <c r="I806" s="5" t="str">
        <f t="array" ref="I806">IFERROR(TEXTJOIN(", ", TRUE, MAKEARRAY(COLUMNS(TEXTSPLIT(G806, ",",, TRUE)), COLUMNS(TEXTSPLIT(H806, ",",, TRUE)), LAMBDA(_xlpm.ri,_xlpm.gi, TRIM(INDEX(TEXTSPLIT(G806, ",",, TRUE), 1, _xlpm.ri)) &amp; "_" &amp; TRIM(INDEX(TEXTSPLIT(H806, ",",, TRUE), 1, _xlpm.gi))))), "")</f>
        <v/>
      </c>
    </row>
    <row r="807" ht="15.75" customHeight="1">
      <c r="B807" s="17"/>
      <c r="I807" s="5" t="str">
        <f t="array" ref="I807">IFERROR(TEXTJOIN(", ", TRUE, MAKEARRAY(COLUMNS(TEXTSPLIT(G807, ",",, TRUE)), COLUMNS(TEXTSPLIT(H807, ",",, TRUE)), LAMBDA(_xlpm.ri,_xlpm.gi, TRIM(INDEX(TEXTSPLIT(G807, ",",, TRUE), 1, _xlpm.ri)) &amp; "_" &amp; TRIM(INDEX(TEXTSPLIT(H807, ",",, TRUE), 1, _xlpm.gi))))), "")</f>
        <v/>
      </c>
    </row>
    <row r="808" ht="15.75" customHeight="1">
      <c r="B808" s="17"/>
      <c r="I808" s="5" t="str">
        <f t="array" ref="I808">IFERROR(TEXTJOIN(", ", TRUE, MAKEARRAY(COLUMNS(TEXTSPLIT(G808, ",",, TRUE)), COLUMNS(TEXTSPLIT(H808, ",",, TRUE)), LAMBDA(_xlpm.ri,_xlpm.gi, TRIM(INDEX(TEXTSPLIT(G808, ",",, TRUE), 1, _xlpm.ri)) &amp; "_" &amp; TRIM(INDEX(TEXTSPLIT(H808, ",",, TRUE), 1, _xlpm.gi))))), "")</f>
        <v/>
      </c>
    </row>
    <row r="809" ht="15.75" customHeight="1">
      <c r="B809" s="17"/>
      <c r="I809" s="5" t="str">
        <f t="array" ref="I809">IFERROR(TEXTJOIN(", ", TRUE, MAKEARRAY(COLUMNS(TEXTSPLIT(G809, ",",, TRUE)), COLUMNS(TEXTSPLIT(H809, ",",, TRUE)), LAMBDA(_xlpm.ri,_xlpm.gi, TRIM(INDEX(TEXTSPLIT(G809, ",",, TRUE), 1, _xlpm.ri)) &amp; "_" &amp; TRIM(INDEX(TEXTSPLIT(H809, ",",, TRUE), 1, _xlpm.gi))))), "")</f>
        <v/>
      </c>
    </row>
    <row r="810" ht="15.75" customHeight="1">
      <c r="B810" s="17"/>
      <c r="I810" s="5" t="str">
        <f t="array" ref="I810">IFERROR(TEXTJOIN(", ", TRUE, MAKEARRAY(COLUMNS(TEXTSPLIT(G810, ",",, TRUE)), COLUMNS(TEXTSPLIT(H810, ",",, TRUE)), LAMBDA(_xlpm.ri,_xlpm.gi, TRIM(INDEX(TEXTSPLIT(G810, ",",, TRUE), 1, _xlpm.ri)) &amp; "_" &amp; TRIM(INDEX(TEXTSPLIT(H810, ",",, TRUE), 1, _xlpm.gi))))), "")</f>
        <v/>
      </c>
    </row>
    <row r="811" ht="15.75" customHeight="1">
      <c r="B811" s="17"/>
      <c r="I811" s="5" t="str">
        <f t="array" ref="I811">IFERROR(TEXTJOIN(", ", TRUE, MAKEARRAY(COLUMNS(TEXTSPLIT(G811, ",",, TRUE)), COLUMNS(TEXTSPLIT(H811, ",",, TRUE)), LAMBDA(_xlpm.ri,_xlpm.gi, TRIM(INDEX(TEXTSPLIT(G811, ",",, TRUE), 1, _xlpm.ri)) &amp; "_" &amp; TRIM(INDEX(TEXTSPLIT(H811, ",",, TRUE), 1, _xlpm.gi))))), "")</f>
        <v/>
      </c>
    </row>
    <row r="812" ht="15.75" customHeight="1">
      <c r="B812" s="17"/>
      <c r="I812" s="5" t="str">
        <f t="array" ref="I812">IFERROR(TEXTJOIN(", ", TRUE, MAKEARRAY(COLUMNS(TEXTSPLIT(G812, ",",, TRUE)), COLUMNS(TEXTSPLIT(H812, ",",, TRUE)), LAMBDA(_xlpm.ri,_xlpm.gi, TRIM(INDEX(TEXTSPLIT(G812, ",",, TRUE), 1, _xlpm.ri)) &amp; "_" &amp; TRIM(INDEX(TEXTSPLIT(H812, ",",, TRUE), 1, _xlpm.gi))))), "")</f>
        <v/>
      </c>
    </row>
    <row r="813" ht="15.75" customHeight="1">
      <c r="B813" s="17"/>
      <c r="I813" s="5" t="str">
        <f t="array" ref="I813">IFERROR(TEXTJOIN(", ", TRUE, MAKEARRAY(COLUMNS(TEXTSPLIT(G813, ",",, TRUE)), COLUMNS(TEXTSPLIT(H813, ",",, TRUE)), LAMBDA(_xlpm.ri,_xlpm.gi, TRIM(INDEX(TEXTSPLIT(G813, ",",, TRUE), 1, _xlpm.ri)) &amp; "_" &amp; TRIM(INDEX(TEXTSPLIT(H813, ",",, TRUE), 1, _xlpm.gi))))), "")</f>
        <v/>
      </c>
    </row>
    <row r="814" ht="15.75" customHeight="1">
      <c r="B814" s="17"/>
      <c r="I814" s="5" t="str">
        <f t="array" ref="I814">IFERROR(TEXTJOIN(", ", TRUE, MAKEARRAY(COLUMNS(TEXTSPLIT(G814, ",",, TRUE)), COLUMNS(TEXTSPLIT(H814, ",",, TRUE)), LAMBDA(_xlpm.ri,_xlpm.gi, TRIM(INDEX(TEXTSPLIT(G814, ",",, TRUE), 1, _xlpm.ri)) &amp; "_" &amp; TRIM(INDEX(TEXTSPLIT(H814, ",",, TRUE), 1, _xlpm.gi))))), "")</f>
        <v/>
      </c>
    </row>
    <row r="815" ht="15.75" customHeight="1">
      <c r="B815" s="17"/>
      <c r="I815" s="5" t="str">
        <f t="array" ref="I815">IFERROR(TEXTJOIN(", ", TRUE, MAKEARRAY(COLUMNS(TEXTSPLIT(G815, ",",, TRUE)), COLUMNS(TEXTSPLIT(H815, ",",, TRUE)), LAMBDA(_xlpm.ri,_xlpm.gi, TRIM(INDEX(TEXTSPLIT(G815, ",",, TRUE), 1, _xlpm.ri)) &amp; "_" &amp; TRIM(INDEX(TEXTSPLIT(H815, ",",, TRUE), 1, _xlpm.gi))))), "")</f>
        <v/>
      </c>
    </row>
    <row r="816" ht="15.75" customHeight="1">
      <c r="B816" s="17"/>
      <c r="I816" s="5" t="str">
        <f t="array" ref="I816">IFERROR(TEXTJOIN(", ", TRUE, MAKEARRAY(COLUMNS(TEXTSPLIT(G816, ",",, TRUE)), COLUMNS(TEXTSPLIT(H816, ",",, TRUE)), LAMBDA(_xlpm.ri,_xlpm.gi, TRIM(INDEX(TEXTSPLIT(G816, ",",, TRUE), 1, _xlpm.ri)) &amp; "_" &amp; TRIM(INDEX(TEXTSPLIT(H816, ",",, TRUE), 1, _xlpm.gi))))), "")</f>
        <v/>
      </c>
    </row>
    <row r="817" ht="15.75" customHeight="1">
      <c r="B817" s="17"/>
      <c r="I817" s="5" t="str">
        <f t="array" ref="I817">IFERROR(TEXTJOIN(", ", TRUE, MAKEARRAY(COLUMNS(TEXTSPLIT(G817, ",",, TRUE)), COLUMNS(TEXTSPLIT(H817, ",",, TRUE)), LAMBDA(_xlpm.ri,_xlpm.gi, TRIM(INDEX(TEXTSPLIT(G817, ",",, TRUE), 1, _xlpm.ri)) &amp; "_" &amp; TRIM(INDEX(TEXTSPLIT(H817, ",",, TRUE), 1, _xlpm.gi))))), "")</f>
        <v/>
      </c>
    </row>
    <row r="818" ht="15.75" customHeight="1">
      <c r="B818" s="17"/>
      <c r="I818" s="5" t="str">
        <f t="array" ref="I818">IFERROR(TEXTJOIN(", ", TRUE, MAKEARRAY(COLUMNS(TEXTSPLIT(G818, ",",, TRUE)), COLUMNS(TEXTSPLIT(H818, ",",, TRUE)), LAMBDA(_xlpm.ri,_xlpm.gi, TRIM(INDEX(TEXTSPLIT(G818, ",",, TRUE), 1, _xlpm.ri)) &amp; "_" &amp; TRIM(INDEX(TEXTSPLIT(H818, ",",, TRUE), 1, _xlpm.gi))))), "")</f>
        <v/>
      </c>
    </row>
    <row r="819" ht="15.75" customHeight="1">
      <c r="B819" s="17"/>
      <c r="I819" s="5" t="str">
        <f t="array" ref="I819">IFERROR(TEXTJOIN(", ", TRUE, MAKEARRAY(COLUMNS(TEXTSPLIT(G819, ",",, TRUE)), COLUMNS(TEXTSPLIT(H819, ",",, TRUE)), LAMBDA(_xlpm.ri,_xlpm.gi, TRIM(INDEX(TEXTSPLIT(G819, ",",, TRUE), 1, _xlpm.ri)) &amp; "_" &amp; TRIM(INDEX(TEXTSPLIT(H819, ",",, TRUE), 1, _xlpm.gi))))), "")</f>
        <v/>
      </c>
    </row>
    <row r="820" ht="15.75" customHeight="1">
      <c r="B820" s="17"/>
      <c r="I820" s="5" t="str">
        <f t="array" ref="I820">IFERROR(TEXTJOIN(", ", TRUE, MAKEARRAY(COLUMNS(TEXTSPLIT(G820, ",",, TRUE)), COLUMNS(TEXTSPLIT(H820, ",",, TRUE)), LAMBDA(_xlpm.ri,_xlpm.gi, TRIM(INDEX(TEXTSPLIT(G820, ",",, TRUE), 1, _xlpm.ri)) &amp; "_" &amp; TRIM(INDEX(TEXTSPLIT(H820, ",",, TRUE), 1, _xlpm.gi))))), "")</f>
        <v/>
      </c>
    </row>
    <row r="821" ht="15.75" customHeight="1">
      <c r="B821" s="17"/>
      <c r="I821" s="5" t="str">
        <f t="array" ref="I821">IFERROR(TEXTJOIN(", ", TRUE, MAKEARRAY(COLUMNS(TEXTSPLIT(G821, ",",, TRUE)), COLUMNS(TEXTSPLIT(H821, ",",, TRUE)), LAMBDA(_xlpm.ri,_xlpm.gi, TRIM(INDEX(TEXTSPLIT(G821, ",",, TRUE), 1, _xlpm.ri)) &amp; "_" &amp; TRIM(INDEX(TEXTSPLIT(H821, ",",, TRUE), 1, _xlpm.gi))))), "")</f>
        <v/>
      </c>
    </row>
    <row r="822" ht="15.75" customHeight="1">
      <c r="B822" s="17"/>
      <c r="I822" s="5" t="str">
        <f t="array" ref="I822">IFERROR(TEXTJOIN(", ", TRUE, MAKEARRAY(COLUMNS(TEXTSPLIT(G822, ",",, TRUE)), COLUMNS(TEXTSPLIT(H822, ",",, TRUE)), LAMBDA(_xlpm.ri,_xlpm.gi, TRIM(INDEX(TEXTSPLIT(G822, ",",, TRUE), 1, _xlpm.ri)) &amp; "_" &amp; TRIM(INDEX(TEXTSPLIT(H822, ",",, TRUE), 1, _xlpm.gi))))), "")</f>
        <v/>
      </c>
    </row>
    <row r="823" ht="15.75" customHeight="1">
      <c r="B823" s="17"/>
      <c r="I823" s="5" t="str">
        <f t="array" ref="I823">IFERROR(TEXTJOIN(", ", TRUE, MAKEARRAY(COLUMNS(TEXTSPLIT(G823, ",",, TRUE)), COLUMNS(TEXTSPLIT(H823, ",",, TRUE)), LAMBDA(_xlpm.ri,_xlpm.gi, TRIM(INDEX(TEXTSPLIT(G823, ",",, TRUE), 1, _xlpm.ri)) &amp; "_" &amp; TRIM(INDEX(TEXTSPLIT(H823, ",",, TRUE), 1, _xlpm.gi))))), "")</f>
        <v/>
      </c>
    </row>
    <row r="824" ht="15.75" customHeight="1">
      <c r="B824" s="17"/>
      <c r="I824" s="5" t="str">
        <f t="array" ref="I824">IFERROR(TEXTJOIN(", ", TRUE, MAKEARRAY(COLUMNS(TEXTSPLIT(G824, ",",, TRUE)), COLUMNS(TEXTSPLIT(H824, ",",, TRUE)), LAMBDA(_xlpm.ri,_xlpm.gi, TRIM(INDEX(TEXTSPLIT(G824, ",",, TRUE), 1, _xlpm.ri)) &amp; "_" &amp; TRIM(INDEX(TEXTSPLIT(H824, ",",, TRUE), 1, _xlpm.gi))))), "")</f>
        <v/>
      </c>
    </row>
    <row r="825" ht="15.75" customHeight="1">
      <c r="B825" s="17"/>
      <c r="I825" s="5" t="str">
        <f t="array" ref="I825">IFERROR(TEXTJOIN(", ", TRUE, MAKEARRAY(COLUMNS(TEXTSPLIT(G825, ",",, TRUE)), COLUMNS(TEXTSPLIT(H825, ",",, TRUE)), LAMBDA(_xlpm.ri,_xlpm.gi, TRIM(INDEX(TEXTSPLIT(G825, ",",, TRUE), 1, _xlpm.ri)) &amp; "_" &amp; TRIM(INDEX(TEXTSPLIT(H825, ",",, TRUE), 1, _xlpm.gi))))), "")</f>
        <v/>
      </c>
    </row>
    <row r="826" ht="15.75" customHeight="1">
      <c r="B826" s="17"/>
      <c r="I826" s="5" t="str">
        <f t="array" ref="I826">IFERROR(TEXTJOIN(", ", TRUE, MAKEARRAY(COLUMNS(TEXTSPLIT(G826, ",",, TRUE)), COLUMNS(TEXTSPLIT(H826, ",",, TRUE)), LAMBDA(_xlpm.ri,_xlpm.gi, TRIM(INDEX(TEXTSPLIT(G826, ",",, TRUE), 1, _xlpm.ri)) &amp; "_" &amp; TRIM(INDEX(TEXTSPLIT(H826, ",",, TRUE), 1, _xlpm.gi))))), "")</f>
        <v/>
      </c>
    </row>
    <row r="827" ht="15.75" customHeight="1">
      <c r="B827" s="17"/>
      <c r="I827" s="5" t="str">
        <f t="array" ref="I827">IFERROR(TEXTJOIN(", ", TRUE, MAKEARRAY(COLUMNS(TEXTSPLIT(G827, ",",, TRUE)), COLUMNS(TEXTSPLIT(H827, ",",, TRUE)), LAMBDA(_xlpm.ri,_xlpm.gi, TRIM(INDEX(TEXTSPLIT(G827, ",",, TRUE), 1, _xlpm.ri)) &amp; "_" &amp; TRIM(INDEX(TEXTSPLIT(H827, ",",, TRUE), 1, _xlpm.gi))))), "")</f>
        <v/>
      </c>
    </row>
    <row r="828" ht="15.75" customHeight="1">
      <c r="B828" s="17"/>
      <c r="I828" s="5" t="str">
        <f t="array" ref="I828">IFERROR(TEXTJOIN(", ", TRUE, MAKEARRAY(COLUMNS(TEXTSPLIT(G828, ",",, TRUE)), COLUMNS(TEXTSPLIT(H828, ",",, TRUE)), LAMBDA(_xlpm.ri,_xlpm.gi, TRIM(INDEX(TEXTSPLIT(G828, ",",, TRUE), 1, _xlpm.ri)) &amp; "_" &amp; TRIM(INDEX(TEXTSPLIT(H828, ",",, TRUE), 1, _xlpm.gi))))), "")</f>
        <v/>
      </c>
    </row>
    <row r="829" ht="15.75" customHeight="1">
      <c r="B829" s="17"/>
      <c r="I829" s="5" t="str">
        <f t="array" ref="I829">IFERROR(TEXTJOIN(", ", TRUE, MAKEARRAY(COLUMNS(TEXTSPLIT(G829, ",",, TRUE)), COLUMNS(TEXTSPLIT(H829, ",",, TRUE)), LAMBDA(_xlpm.ri,_xlpm.gi, TRIM(INDEX(TEXTSPLIT(G829, ",",, TRUE), 1, _xlpm.ri)) &amp; "_" &amp; TRIM(INDEX(TEXTSPLIT(H829, ",",, TRUE), 1, _xlpm.gi))))), "")</f>
        <v/>
      </c>
    </row>
    <row r="830" ht="15.75" customHeight="1">
      <c r="B830" s="17"/>
      <c r="I830" s="5" t="str">
        <f t="array" ref="I830">IFERROR(TEXTJOIN(", ", TRUE, MAKEARRAY(COLUMNS(TEXTSPLIT(G830, ",",, TRUE)), COLUMNS(TEXTSPLIT(H830, ",",, TRUE)), LAMBDA(_xlpm.ri,_xlpm.gi, TRIM(INDEX(TEXTSPLIT(G830, ",",, TRUE), 1, _xlpm.ri)) &amp; "_" &amp; TRIM(INDEX(TEXTSPLIT(H830, ",",, TRUE), 1, _xlpm.gi))))), "")</f>
        <v/>
      </c>
    </row>
    <row r="831" ht="15.75" customHeight="1">
      <c r="B831" s="17"/>
      <c r="I831" s="5" t="str">
        <f t="array" ref="I831">IFERROR(TEXTJOIN(", ", TRUE, MAKEARRAY(COLUMNS(TEXTSPLIT(G831, ",",, TRUE)), COLUMNS(TEXTSPLIT(H831, ",",, TRUE)), LAMBDA(_xlpm.ri,_xlpm.gi, TRIM(INDEX(TEXTSPLIT(G831, ",",, TRUE), 1, _xlpm.ri)) &amp; "_" &amp; TRIM(INDEX(TEXTSPLIT(H831, ",",, TRUE), 1, _xlpm.gi))))), "")</f>
        <v/>
      </c>
    </row>
    <row r="832" ht="15.75" customHeight="1">
      <c r="B832" s="17"/>
      <c r="I832" s="5" t="str">
        <f t="array" ref="I832">IFERROR(TEXTJOIN(", ", TRUE, MAKEARRAY(COLUMNS(TEXTSPLIT(G832, ",",, TRUE)), COLUMNS(TEXTSPLIT(H832, ",",, TRUE)), LAMBDA(_xlpm.ri,_xlpm.gi, TRIM(INDEX(TEXTSPLIT(G832, ",",, TRUE), 1, _xlpm.ri)) &amp; "_" &amp; TRIM(INDEX(TEXTSPLIT(H832, ",",, TRUE), 1, _xlpm.gi))))), "")</f>
        <v/>
      </c>
    </row>
    <row r="833" ht="15.75" customHeight="1">
      <c r="B833" s="17"/>
      <c r="I833" s="5" t="str">
        <f t="array" ref="I833">IFERROR(TEXTJOIN(", ", TRUE, MAKEARRAY(COLUMNS(TEXTSPLIT(G833, ",",, TRUE)), COLUMNS(TEXTSPLIT(H833, ",",, TRUE)), LAMBDA(_xlpm.ri,_xlpm.gi, TRIM(INDEX(TEXTSPLIT(G833, ",",, TRUE), 1, _xlpm.ri)) &amp; "_" &amp; TRIM(INDEX(TEXTSPLIT(H833, ",",, TRUE), 1, _xlpm.gi))))), "")</f>
        <v/>
      </c>
    </row>
    <row r="834" ht="15.75" customHeight="1">
      <c r="B834" s="17"/>
      <c r="I834" s="5" t="str">
        <f t="array" ref="I834">IFERROR(TEXTJOIN(", ", TRUE, MAKEARRAY(COLUMNS(TEXTSPLIT(G834, ",",, TRUE)), COLUMNS(TEXTSPLIT(H834, ",",, TRUE)), LAMBDA(_xlpm.ri,_xlpm.gi, TRIM(INDEX(TEXTSPLIT(G834, ",",, TRUE), 1, _xlpm.ri)) &amp; "_" &amp; TRIM(INDEX(TEXTSPLIT(H834, ",",, TRUE), 1, _xlpm.gi))))), "")</f>
        <v/>
      </c>
    </row>
    <row r="835" ht="15.75" customHeight="1">
      <c r="B835" s="17"/>
      <c r="I835" s="5" t="str">
        <f t="array" ref="I835">IFERROR(TEXTJOIN(", ", TRUE, MAKEARRAY(COLUMNS(TEXTSPLIT(G835, ",",, TRUE)), COLUMNS(TEXTSPLIT(H835, ",",, TRUE)), LAMBDA(_xlpm.ri,_xlpm.gi, TRIM(INDEX(TEXTSPLIT(G835, ",",, TRUE), 1, _xlpm.ri)) &amp; "_" &amp; TRIM(INDEX(TEXTSPLIT(H835, ",",, TRUE), 1, _xlpm.gi))))), "")</f>
        <v/>
      </c>
    </row>
    <row r="836" ht="15.75" customHeight="1">
      <c r="B836" s="17"/>
      <c r="I836" s="5" t="str">
        <f t="array" ref="I836">IFERROR(TEXTJOIN(", ", TRUE, MAKEARRAY(COLUMNS(TEXTSPLIT(G836, ",",, TRUE)), COLUMNS(TEXTSPLIT(H836, ",",, TRUE)), LAMBDA(_xlpm.ri,_xlpm.gi, TRIM(INDEX(TEXTSPLIT(G836, ",",, TRUE), 1, _xlpm.ri)) &amp; "_" &amp; TRIM(INDEX(TEXTSPLIT(H836, ",",, TRUE), 1, _xlpm.gi))))), "")</f>
        <v/>
      </c>
    </row>
    <row r="837" ht="15.75" customHeight="1">
      <c r="B837" s="17"/>
      <c r="I837" s="5" t="str">
        <f t="array" ref="I837">IFERROR(TEXTJOIN(", ", TRUE, MAKEARRAY(COLUMNS(TEXTSPLIT(G837, ",",, TRUE)), COLUMNS(TEXTSPLIT(H837, ",",, TRUE)), LAMBDA(_xlpm.ri,_xlpm.gi, TRIM(INDEX(TEXTSPLIT(G837, ",",, TRUE), 1, _xlpm.ri)) &amp; "_" &amp; TRIM(INDEX(TEXTSPLIT(H837, ",",, TRUE), 1, _xlpm.gi))))), "")</f>
        <v/>
      </c>
    </row>
    <row r="838" ht="15.75" customHeight="1">
      <c r="B838" s="17"/>
      <c r="I838" s="5" t="str">
        <f t="array" ref="I838">IFERROR(TEXTJOIN(", ", TRUE, MAKEARRAY(COLUMNS(TEXTSPLIT(G838, ",",, TRUE)), COLUMNS(TEXTSPLIT(H838, ",",, TRUE)), LAMBDA(_xlpm.ri,_xlpm.gi, TRIM(INDEX(TEXTSPLIT(G838, ",",, TRUE), 1, _xlpm.ri)) &amp; "_" &amp; TRIM(INDEX(TEXTSPLIT(H838, ",",, TRUE), 1, _xlpm.gi))))), "")</f>
        <v/>
      </c>
    </row>
    <row r="839" ht="15.75" customHeight="1">
      <c r="B839" s="17"/>
      <c r="I839" s="5" t="str">
        <f t="array" ref="I839">IFERROR(TEXTJOIN(", ", TRUE, MAKEARRAY(COLUMNS(TEXTSPLIT(G839, ",",, TRUE)), COLUMNS(TEXTSPLIT(H839, ",",, TRUE)), LAMBDA(_xlpm.ri,_xlpm.gi, TRIM(INDEX(TEXTSPLIT(G839, ",",, TRUE), 1, _xlpm.ri)) &amp; "_" &amp; TRIM(INDEX(TEXTSPLIT(H839, ",",, TRUE), 1, _xlpm.gi))))), "")</f>
        <v/>
      </c>
    </row>
    <row r="840" ht="15.75" customHeight="1">
      <c r="B840" s="17"/>
      <c r="I840" s="5" t="str">
        <f t="array" ref="I840">IFERROR(TEXTJOIN(", ", TRUE, MAKEARRAY(COLUMNS(TEXTSPLIT(G840, ",",, TRUE)), COLUMNS(TEXTSPLIT(H840, ",",, TRUE)), LAMBDA(_xlpm.ri,_xlpm.gi, TRIM(INDEX(TEXTSPLIT(G840, ",",, TRUE), 1, _xlpm.ri)) &amp; "_" &amp; TRIM(INDEX(TEXTSPLIT(H840, ",",, TRUE), 1, _xlpm.gi))))), "")</f>
        <v/>
      </c>
    </row>
    <row r="841" ht="15.75" customHeight="1">
      <c r="B841" s="17"/>
      <c r="I841" s="5" t="str">
        <f t="array" ref="I841">IFERROR(TEXTJOIN(", ", TRUE, MAKEARRAY(COLUMNS(TEXTSPLIT(G841, ",",, TRUE)), COLUMNS(TEXTSPLIT(H841, ",",, TRUE)), LAMBDA(_xlpm.ri,_xlpm.gi, TRIM(INDEX(TEXTSPLIT(G841, ",",, TRUE), 1, _xlpm.ri)) &amp; "_" &amp; TRIM(INDEX(TEXTSPLIT(H841, ",",, TRUE), 1, _xlpm.gi))))), "")</f>
        <v/>
      </c>
    </row>
    <row r="842" ht="15.75" customHeight="1">
      <c r="B842" s="17"/>
      <c r="I842" s="5" t="str">
        <f t="array" ref="I842">IFERROR(TEXTJOIN(", ", TRUE, MAKEARRAY(COLUMNS(TEXTSPLIT(G842, ",",, TRUE)), COLUMNS(TEXTSPLIT(H842, ",",, TRUE)), LAMBDA(_xlpm.ri,_xlpm.gi, TRIM(INDEX(TEXTSPLIT(G842, ",",, TRUE), 1, _xlpm.ri)) &amp; "_" &amp; TRIM(INDEX(TEXTSPLIT(H842, ",",, TRUE), 1, _xlpm.gi))))), "")</f>
        <v/>
      </c>
    </row>
    <row r="843" ht="15.75" customHeight="1">
      <c r="B843" s="17"/>
      <c r="I843" s="5" t="str">
        <f t="array" ref="I843">IFERROR(TEXTJOIN(", ", TRUE, MAKEARRAY(COLUMNS(TEXTSPLIT(G843, ",",, TRUE)), COLUMNS(TEXTSPLIT(H843, ",",, TRUE)), LAMBDA(_xlpm.ri,_xlpm.gi, TRIM(INDEX(TEXTSPLIT(G843, ",",, TRUE), 1, _xlpm.ri)) &amp; "_" &amp; TRIM(INDEX(TEXTSPLIT(H843, ",",, TRUE), 1, _xlpm.gi))))), "")</f>
        <v/>
      </c>
    </row>
    <row r="844" ht="15.75" customHeight="1">
      <c r="B844" s="17"/>
      <c r="I844" s="5" t="str">
        <f t="array" ref="I844">IFERROR(TEXTJOIN(", ", TRUE, MAKEARRAY(COLUMNS(TEXTSPLIT(G844, ",",, TRUE)), COLUMNS(TEXTSPLIT(H844, ",",, TRUE)), LAMBDA(_xlpm.ri,_xlpm.gi, TRIM(INDEX(TEXTSPLIT(G844, ",",, TRUE), 1, _xlpm.ri)) &amp; "_" &amp; TRIM(INDEX(TEXTSPLIT(H844, ",",, TRUE), 1, _xlpm.gi))))), "")</f>
        <v/>
      </c>
    </row>
    <row r="845" ht="15.75" customHeight="1">
      <c r="B845" s="17"/>
      <c r="I845" s="5" t="str">
        <f t="array" ref="I845">IFERROR(TEXTJOIN(", ", TRUE, MAKEARRAY(COLUMNS(TEXTSPLIT(G845, ",",, TRUE)), COLUMNS(TEXTSPLIT(H845, ",",, TRUE)), LAMBDA(_xlpm.ri,_xlpm.gi, TRIM(INDEX(TEXTSPLIT(G845, ",",, TRUE), 1, _xlpm.ri)) &amp; "_" &amp; TRIM(INDEX(TEXTSPLIT(H845, ",",, TRUE), 1, _xlpm.gi))))), "")</f>
        <v/>
      </c>
    </row>
    <row r="846" ht="15.75" customHeight="1">
      <c r="B846" s="17"/>
      <c r="I846" s="5" t="str">
        <f t="array" ref="I846">IFERROR(TEXTJOIN(", ", TRUE, MAKEARRAY(COLUMNS(TEXTSPLIT(G846, ",",, TRUE)), COLUMNS(TEXTSPLIT(H846, ",",, TRUE)), LAMBDA(_xlpm.ri,_xlpm.gi, TRIM(INDEX(TEXTSPLIT(G846, ",",, TRUE), 1, _xlpm.ri)) &amp; "_" &amp; TRIM(INDEX(TEXTSPLIT(H846, ",",, TRUE), 1, _xlpm.gi))))), "")</f>
        <v/>
      </c>
    </row>
    <row r="847" ht="15.75" customHeight="1">
      <c r="B847" s="17"/>
      <c r="I847" s="5" t="str">
        <f t="array" ref="I847">IFERROR(TEXTJOIN(", ", TRUE, MAKEARRAY(COLUMNS(TEXTSPLIT(G847, ",",, TRUE)), COLUMNS(TEXTSPLIT(H847, ",",, TRUE)), LAMBDA(_xlpm.ri,_xlpm.gi, TRIM(INDEX(TEXTSPLIT(G847, ",",, TRUE), 1, _xlpm.ri)) &amp; "_" &amp; TRIM(INDEX(TEXTSPLIT(H847, ",",, TRUE), 1, _xlpm.gi))))), "")</f>
        <v/>
      </c>
    </row>
    <row r="848" ht="15.75" customHeight="1">
      <c r="B848" s="17"/>
      <c r="I848" s="5" t="str">
        <f t="array" ref="I848">IFERROR(TEXTJOIN(", ", TRUE, MAKEARRAY(COLUMNS(TEXTSPLIT(G848, ",",, TRUE)), COLUMNS(TEXTSPLIT(H848, ",",, TRUE)), LAMBDA(_xlpm.ri,_xlpm.gi, TRIM(INDEX(TEXTSPLIT(G848, ",",, TRUE), 1, _xlpm.ri)) &amp; "_" &amp; TRIM(INDEX(TEXTSPLIT(H848, ",",, TRUE), 1, _xlpm.gi))))), "")</f>
        <v/>
      </c>
    </row>
    <row r="849" ht="15.75" customHeight="1">
      <c r="B849" s="17"/>
      <c r="I849" s="5" t="str">
        <f t="array" ref="I849">IFERROR(TEXTJOIN(", ", TRUE, MAKEARRAY(COLUMNS(TEXTSPLIT(G849, ",",, TRUE)), COLUMNS(TEXTSPLIT(H849, ",",, TRUE)), LAMBDA(_xlpm.ri,_xlpm.gi, TRIM(INDEX(TEXTSPLIT(G849, ",",, TRUE), 1, _xlpm.ri)) &amp; "_" &amp; TRIM(INDEX(TEXTSPLIT(H849, ",",, TRUE), 1, _xlpm.gi))))), "")</f>
        <v/>
      </c>
    </row>
    <row r="850" ht="15.75" customHeight="1">
      <c r="B850" s="17"/>
      <c r="I850" s="5" t="str">
        <f t="array" ref="I850">IFERROR(TEXTJOIN(", ", TRUE, MAKEARRAY(COLUMNS(TEXTSPLIT(G850, ",",, TRUE)), COLUMNS(TEXTSPLIT(H850, ",",, TRUE)), LAMBDA(_xlpm.ri,_xlpm.gi, TRIM(INDEX(TEXTSPLIT(G850, ",",, TRUE), 1, _xlpm.ri)) &amp; "_" &amp; TRIM(INDEX(TEXTSPLIT(H850, ",",, TRUE), 1, _xlpm.gi))))), "")</f>
        <v/>
      </c>
    </row>
    <row r="851" ht="15.75" customHeight="1">
      <c r="B851" s="17"/>
      <c r="I851" s="5" t="str">
        <f t="array" ref="I851">IFERROR(TEXTJOIN(", ", TRUE, MAKEARRAY(COLUMNS(TEXTSPLIT(G851, ",",, TRUE)), COLUMNS(TEXTSPLIT(H851, ",",, TRUE)), LAMBDA(_xlpm.ri,_xlpm.gi, TRIM(INDEX(TEXTSPLIT(G851, ",",, TRUE), 1, _xlpm.ri)) &amp; "_" &amp; TRIM(INDEX(TEXTSPLIT(H851, ",",, TRUE), 1, _xlpm.gi))))), "")</f>
        <v/>
      </c>
    </row>
    <row r="852" ht="15.75" customHeight="1">
      <c r="B852" s="17"/>
      <c r="I852" s="5" t="str">
        <f t="array" ref="I852">IFERROR(TEXTJOIN(", ", TRUE, MAKEARRAY(COLUMNS(TEXTSPLIT(G852, ",",, TRUE)), COLUMNS(TEXTSPLIT(H852, ",",, TRUE)), LAMBDA(_xlpm.ri,_xlpm.gi, TRIM(INDEX(TEXTSPLIT(G852, ",",, TRUE), 1, _xlpm.ri)) &amp; "_" &amp; TRIM(INDEX(TEXTSPLIT(H852, ",",, TRUE), 1, _xlpm.gi))))), "")</f>
        <v/>
      </c>
    </row>
    <row r="853" ht="15.75" customHeight="1">
      <c r="B853" s="17"/>
      <c r="I853" s="5" t="str">
        <f t="array" ref="I853">IFERROR(TEXTJOIN(", ", TRUE, MAKEARRAY(COLUMNS(TEXTSPLIT(G853, ",",, TRUE)), COLUMNS(TEXTSPLIT(H853, ",",, TRUE)), LAMBDA(_xlpm.ri,_xlpm.gi, TRIM(INDEX(TEXTSPLIT(G853, ",",, TRUE), 1, _xlpm.ri)) &amp; "_" &amp; TRIM(INDEX(TEXTSPLIT(H853, ",",, TRUE), 1, _xlpm.gi))))), "")</f>
        <v/>
      </c>
    </row>
    <row r="854" ht="15.75" customHeight="1">
      <c r="B854" s="17"/>
      <c r="I854" s="5" t="str">
        <f t="array" ref="I854">IFERROR(TEXTJOIN(", ", TRUE, MAKEARRAY(COLUMNS(TEXTSPLIT(G854, ",",, TRUE)), COLUMNS(TEXTSPLIT(H854, ",",, TRUE)), LAMBDA(_xlpm.ri,_xlpm.gi, TRIM(INDEX(TEXTSPLIT(G854, ",",, TRUE), 1, _xlpm.ri)) &amp; "_" &amp; TRIM(INDEX(TEXTSPLIT(H854, ",",, TRUE), 1, _xlpm.gi))))), "")</f>
        <v/>
      </c>
    </row>
    <row r="855" ht="15.75" customHeight="1">
      <c r="B855" s="17"/>
      <c r="I855" s="5" t="str">
        <f t="array" ref="I855">IFERROR(TEXTJOIN(", ", TRUE, MAKEARRAY(COLUMNS(TEXTSPLIT(G855, ",",, TRUE)), COLUMNS(TEXTSPLIT(H855, ",",, TRUE)), LAMBDA(_xlpm.ri,_xlpm.gi, TRIM(INDEX(TEXTSPLIT(G855, ",",, TRUE), 1, _xlpm.ri)) &amp; "_" &amp; TRIM(INDEX(TEXTSPLIT(H855, ",",, TRUE), 1, _xlpm.gi))))), "")</f>
        <v/>
      </c>
    </row>
    <row r="856" ht="15.75" customHeight="1">
      <c r="B856" s="17"/>
      <c r="I856" s="5" t="str">
        <f t="array" ref="I856">IFERROR(TEXTJOIN(", ", TRUE, MAKEARRAY(COLUMNS(TEXTSPLIT(G856, ",",, TRUE)), COLUMNS(TEXTSPLIT(H856, ",",, TRUE)), LAMBDA(_xlpm.ri,_xlpm.gi, TRIM(INDEX(TEXTSPLIT(G856, ",",, TRUE), 1, _xlpm.ri)) &amp; "_" &amp; TRIM(INDEX(TEXTSPLIT(H856, ",",, TRUE), 1, _xlpm.gi))))), "")</f>
        <v/>
      </c>
    </row>
    <row r="857" ht="15.75" customHeight="1">
      <c r="B857" s="17"/>
      <c r="I857" s="5" t="str">
        <f t="array" ref="I857">IFERROR(TEXTJOIN(", ", TRUE, MAKEARRAY(COLUMNS(TEXTSPLIT(G857, ",",, TRUE)), COLUMNS(TEXTSPLIT(H857, ",",, TRUE)), LAMBDA(_xlpm.ri,_xlpm.gi, TRIM(INDEX(TEXTSPLIT(G857, ",",, TRUE), 1, _xlpm.ri)) &amp; "_" &amp; TRIM(INDEX(TEXTSPLIT(H857, ",",, TRUE), 1, _xlpm.gi))))), "")</f>
        <v/>
      </c>
    </row>
    <row r="858" ht="15.75" customHeight="1">
      <c r="B858" s="17"/>
      <c r="I858" s="5" t="str">
        <f t="array" ref="I858">IFERROR(TEXTJOIN(", ", TRUE, MAKEARRAY(COLUMNS(TEXTSPLIT(G858, ",",, TRUE)), COLUMNS(TEXTSPLIT(H858, ",",, TRUE)), LAMBDA(_xlpm.ri,_xlpm.gi, TRIM(INDEX(TEXTSPLIT(G858, ",",, TRUE), 1, _xlpm.ri)) &amp; "_" &amp; TRIM(INDEX(TEXTSPLIT(H858, ",",, TRUE), 1, _xlpm.gi))))), "")</f>
        <v/>
      </c>
    </row>
    <row r="859" ht="15.75" customHeight="1">
      <c r="B859" s="17"/>
      <c r="I859" s="5" t="str">
        <f t="array" ref="I859">IFERROR(TEXTJOIN(", ", TRUE, MAKEARRAY(COLUMNS(TEXTSPLIT(G859, ",",, TRUE)), COLUMNS(TEXTSPLIT(H859, ",",, TRUE)), LAMBDA(_xlpm.ri,_xlpm.gi, TRIM(INDEX(TEXTSPLIT(G859, ",",, TRUE), 1, _xlpm.ri)) &amp; "_" &amp; TRIM(INDEX(TEXTSPLIT(H859, ",",, TRUE), 1, _xlpm.gi))))), "")</f>
        <v/>
      </c>
    </row>
    <row r="860" ht="15.75" customHeight="1">
      <c r="B860" s="17"/>
      <c r="I860" s="5" t="str">
        <f t="array" ref="I860">IFERROR(TEXTJOIN(", ", TRUE, MAKEARRAY(COLUMNS(TEXTSPLIT(G860, ",",, TRUE)), COLUMNS(TEXTSPLIT(H860, ",",, TRUE)), LAMBDA(_xlpm.ri,_xlpm.gi, TRIM(INDEX(TEXTSPLIT(G860, ",",, TRUE), 1, _xlpm.ri)) &amp; "_" &amp; TRIM(INDEX(TEXTSPLIT(H860, ",",, TRUE), 1, _xlpm.gi))))), "")</f>
        <v/>
      </c>
    </row>
    <row r="861" ht="15.75" customHeight="1">
      <c r="B861" s="17"/>
      <c r="I861" s="5" t="str">
        <f t="array" ref="I861">IFERROR(TEXTJOIN(", ", TRUE, MAKEARRAY(COLUMNS(TEXTSPLIT(G861, ",",, TRUE)), COLUMNS(TEXTSPLIT(H861, ",",, TRUE)), LAMBDA(_xlpm.ri,_xlpm.gi, TRIM(INDEX(TEXTSPLIT(G861, ",",, TRUE), 1, _xlpm.ri)) &amp; "_" &amp; TRIM(INDEX(TEXTSPLIT(H861, ",",, TRUE), 1, _xlpm.gi))))), "")</f>
        <v/>
      </c>
    </row>
    <row r="862" ht="15.75" customHeight="1">
      <c r="B862" s="17"/>
      <c r="I862" s="5" t="str">
        <f t="array" ref="I862">IFERROR(TEXTJOIN(", ", TRUE, MAKEARRAY(COLUMNS(TEXTSPLIT(G862, ",",, TRUE)), COLUMNS(TEXTSPLIT(H862, ",",, TRUE)), LAMBDA(_xlpm.ri,_xlpm.gi, TRIM(INDEX(TEXTSPLIT(G862, ",",, TRUE), 1, _xlpm.ri)) &amp; "_" &amp; TRIM(INDEX(TEXTSPLIT(H862, ",",, TRUE), 1, _xlpm.gi))))), "")</f>
        <v/>
      </c>
    </row>
    <row r="863" ht="15.75" customHeight="1">
      <c r="B863" s="17"/>
      <c r="I863" s="5" t="str">
        <f t="array" ref="I863">IFERROR(TEXTJOIN(", ", TRUE, MAKEARRAY(COLUMNS(TEXTSPLIT(G863, ",",, TRUE)), COLUMNS(TEXTSPLIT(H863, ",",, TRUE)), LAMBDA(_xlpm.ri,_xlpm.gi, TRIM(INDEX(TEXTSPLIT(G863, ",",, TRUE), 1, _xlpm.ri)) &amp; "_" &amp; TRIM(INDEX(TEXTSPLIT(H863, ",",, TRUE), 1, _xlpm.gi))))), "")</f>
        <v/>
      </c>
    </row>
    <row r="864" ht="15.75" customHeight="1">
      <c r="B864" s="17"/>
      <c r="I864" s="5" t="str">
        <f t="array" ref="I864">IFERROR(TEXTJOIN(", ", TRUE, MAKEARRAY(COLUMNS(TEXTSPLIT(G864, ",",, TRUE)), COLUMNS(TEXTSPLIT(H864, ",",, TRUE)), LAMBDA(_xlpm.ri,_xlpm.gi, TRIM(INDEX(TEXTSPLIT(G864, ",",, TRUE), 1, _xlpm.ri)) &amp; "_" &amp; TRIM(INDEX(TEXTSPLIT(H864, ",",, TRUE), 1, _xlpm.gi))))), "")</f>
        <v/>
      </c>
    </row>
    <row r="865" ht="15.75" customHeight="1">
      <c r="B865" s="17"/>
      <c r="I865" s="5" t="str">
        <f t="array" ref="I865">IFERROR(TEXTJOIN(", ", TRUE, MAKEARRAY(COLUMNS(TEXTSPLIT(G865, ",",, TRUE)), COLUMNS(TEXTSPLIT(H865, ",",, TRUE)), LAMBDA(_xlpm.ri,_xlpm.gi, TRIM(INDEX(TEXTSPLIT(G865, ",",, TRUE), 1, _xlpm.ri)) &amp; "_" &amp; TRIM(INDEX(TEXTSPLIT(H865, ",",, TRUE), 1, _xlpm.gi))))), "")</f>
        <v/>
      </c>
    </row>
    <row r="866" ht="15.75" customHeight="1">
      <c r="B866" s="17"/>
      <c r="I866" s="5" t="str">
        <f t="array" ref="I866">IFERROR(TEXTJOIN(", ", TRUE, MAKEARRAY(COLUMNS(TEXTSPLIT(G866, ",",, TRUE)), COLUMNS(TEXTSPLIT(H866, ",",, TRUE)), LAMBDA(_xlpm.ri,_xlpm.gi, TRIM(INDEX(TEXTSPLIT(G866, ",",, TRUE), 1, _xlpm.ri)) &amp; "_" &amp; TRIM(INDEX(TEXTSPLIT(H866, ",",, TRUE), 1, _xlpm.gi))))), "")</f>
        <v/>
      </c>
    </row>
    <row r="867" ht="15.75" customHeight="1">
      <c r="B867" s="17"/>
      <c r="I867" s="5" t="str">
        <f t="array" ref="I867">IFERROR(TEXTJOIN(", ", TRUE, MAKEARRAY(COLUMNS(TEXTSPLIT(G867, ",",, TRUE)), COLUMNS(TEXTSPLIT(H867, ",",, TRUE)), LAMBDA(_xlpm.ri,_xlpm.gi, TRIM(INDEX(TEXTSPLIT(G867, ",",, TRUE), 1, _xlpm.ri)) &amp; "_" &amp; TRIM(INDEX(TEXTSPLIT(H867, ",",, TRUE), 1, _xlpm.gi))))), "")</f>
        <v/>
      </c>
    </row>
    <row r="868" ht="15.75" customHeight="1">
      <c r="B868" s="17"/>
      <c r="I868" s="5" t="str">
        <f t="array" ref="I868">IFERROR(TEXTJOIN(", ", TRUE, MAKEARRAY(COLUMNS(TEXTSPLIT(G868, ",",, TRUE)), COLUMNS(TEXTSPLIT(H868, ",",, TRUE)), LAMBDA(_xlpm.ri,_xlpm.gi, TRIM(INDEX(TEXTSPLIT(G868, ",",, TRUE), 1, _xlpm.ri)) &amp; "_" &amp; TRIM(INDEX(TEXTSPLIT(H868, ",",, TRUE), 1, _xlpm.gi))))), "")</f>
        <v/>
      </c>
    </row>
    <row r="869" ht="15.75" customHeight="1">
      <c r="B869" s="17"/>
      <c r="I869" s="5" t="str">
        <f t="array" ref="I869">IFERROR(TEXTJOIN(", ", TRUE, MAKEARRAY(COLUMNS(TEXTSPLIT(G869, ",",, TRUE)), COLUMNS(TEXTSPLIT(H869, ",",, TRUE)), LAMBDA(_xlpm.ri,_xlpm.gi, TRIM(INDEX(TEXTSPLIT(G869, ",",, TRUE), 1, _xlpm.ri)) &amp; "_" &amp; TRIM(INDEX(TEXTSPLIT(H869, ",",, TRUE), 1, _xlpm.gi))))), "")</f>
        <v/>
      </c>
    </row>
    <row r="870" ht="15.75" customHeight="1">
      <c r="B870" s="17"/>
      <c r="I870" s="5" t="str">
        <f t="array" ref="I870">IFERROR(TEXTJOIN(", ", TRUE, MAKEARRAY(COLUMNS(TEXTSPLIT(G870, ",",, TRUE)), COLUMNS(TEXTSPLIT(H870, ",",, TRUE)), LAMBDA(_xlpm.ri,_xlpm.gi, TRIM(INDEX(TEXTSPLIT(G870, ",",, TRUE), 1, _xlpm.ri)) &amp; "_" &amp; TRIM(INDEX(TEXTSPLIT(H870, ",",, TRUE), 1, _xlpm.gi))))), "")</f>
        <v/>
      </c>
    </row>
    <row r="871" ht="15.75" customHeight="1">
      <c r="B871" s="17"/>
      <c r="I871" s="5" t="str">
        <f t="array" ref="I871">IFERROR(TEXTJOIN(", ", TRUE, MAKEARRAY(COLUMNS(TEXTSPLIT(G871, ",",, TRUE)), COLUMNS(TEXTSPLIT(H871, ",",, TRUE)), LAMBDA(_xlpm.ri,_xlpm.gi, TRIM(INDEX(TEXTSPLIT(G871, ",",, TRUE), 1, _xlpm.ri)) &amp; "_" &amp; TRIM(INDEX(TEXTSPLIT(H871, ",",, TRUE), 1, _xlpm.gi))))), "")</f>
        <v/>
      </c>
    </row>
    <row r="872" ht="15.75" customHeight="1">
      <c r="B872" s="17"/>
      <c r="I872" s="5" t="str">
        <f t="array" ref="I872">IFERROR(TEXTJOIN(", ", TRUE, MAKEARRAY(COLUMNS(TEXTSPLIT(G872, ",",, TRUE)), COLUMNS(TEXTSPLIT(H872, ",",, TRUE)), LAMBDA(_xlpm.ri,_xlpm.gi, TRIM(INDEX(TEXTSPLIT(G872, ",",, TRUE), 1, _xlpm.ri)) &amp; "_" &amp; TRIM(INDEX(TEXTSPLIT(H872, ",",, TRUE), 1, _xlpm.gi))))), "")</f>
        <v/>
      </c>
    </row>
    <row r="873" ht="15.75" customHeight="1">
      <c r="B873" s="17"/>
      <c r="I873" s="5" t="str">
        <f t="array" ref="I873">IFERROR(TEXTJOIN(", ", TRUE, MAKEARRAY(COLUMNS(TEXTSPLIT(G873, ",",, TRUE)), COLUMNS(TEXTSPLIT(H873, ",",, TRUE)), LAMBDA(_xlpm.ri,_xlpm.gi, TRIM(INDEX(TEXTSPLIT(G873, ",",, TRUE), 1, _xlpm.ri)) &amp; "_" &amp; TRIM(INDEX(TEXTSPLIT(H873, ",",, TRUE), 1, _xlpm.gi))))), "")</f>
        <v/>
      </c>
    </row>
    <row r="874" ht="15.75" customHeight="1">
      <c r="B874" s="17"/>
      <c r="I874" s="5" t="str">
        <f t="array" ref="I874">IFERROR(TEXTJOIN(", ", TRUE, MAKEARRAY(COLUMNS(TEXTSPLIT(G874, ",",, TRUE)), COLUMNS(TEXTSPLIT(H874, ",",, TRUE)), LAMBDA(_xlpm.ri,_xlpm.gi, TRIM(INDEX(TEXTSPLIT(G874, ",",, TRUE), 1, _xlpm.ri)) &amp; "_" &amp; TRIM(INDEX(TEXTSPLIT(H874, ",",, TRUE), 1, _xlpm.gi))))), "")</f>
        <v/>
      </c>
    </row>
    <row r="875" ht="15.75" customHeight="1">
      <c r="B875" s="17"/>
      <c r="I875" s="5" t="str">
        <f t="array" ref="I875">IFERROR(TEXTJOIN(", ", TRUE, MAKEARRAY(COLUMNS(TEXTSPLIT(G875, ",",, TRUE)), COLUMNS(TEXTSPLIT(H875, ",",, TRUE)), LAMBDA(_xlpm.ri,_xlpm.gi, TRIM(INDEX(TEXTSPLIT(G875, ",",, TRUE), 1, _xlpm.ri)) &amp; "_" &amp; TRIM(INDEX(TEXTSPLIT(H875, ",",, TRUE), 1, _xlpm.gi))))), "")</f>
        <v/>
      </c>
    </row>
    <row r="876" ht="15.75" customHeight="1">
      <c r="B876" s="17"/>
      <c r="I876" s="5" t="str">
        <f t="array" ref="I876">IFERROR(TEXTJOIN(", ", TRUE, MAKEARRAY(COLUMNS(TEXTSPLIT(G876, ",",, TRUE)), COLUMNS(TEXTSPLIT(H876, ",",, TRUE)), LAMBDA(_xlpm.ri,_xlpm.gi, TRIM(INDEX(TEXTSPLIT(G876, ",",, TRUE), 1, _xlpm.ri)) &amp; "_" &amp; TRIM(INDEX(TEXTSPLIT(H876, ",",, TRUE), 1, _xlpm.gi))))), "")</f>
        <v/>
      </c>
    </row>
    <row r="877" ht="15.75" customHeight="1">
      <c r="B877" s="17"/>
      <c r="I877" s="5" t="str">
        <f t="array" ref="I877">IFERROR(TEXTJOIN(", ", TRUE, MAKEARRAY(COLUMNS(TEXTSPLIT(G877, ",",, TRUE)), COLUMNS(TEXTSPLIT(H877, ",",, TRUE)), LAMBDA(_xlpm.ri,_xlpm.gi, TRIM(INDEX(TEXTSPLIT(G877, ",",, TRUE), 1, _xlpm.ri)) &amp; "_" &amp; TRIM(INDEX(TEXTSPLIT(H877, ",",, TRUE), 1, _xlpm.gi))))), "")</f>
        <v/>
      </c>
    </row>
    <row r="878" ht="15.75" customHeight="1">
      <c r="B878" s="17"/>
      <c r="I878" s="5" t="str">
        <f t="array" ref="I878">IFERROR(TEXTJOIN(", ", TRUE, MAKEARRAY(COLUMNS(TEXTSPLIT(G878, ",",, TRUE)), COLUMNS(TEXTSPLIT(H878, ",",, TRUE)), LAMBDA(_xlpm.ri,_xlpm.gi, TRIM(INDEX(TEXTSPLIT(G878, ",",, TRUE), 1, _xlpm.ri)) &amp; "_" &amp; TRIM(INDEX(TEXTSPLIT(H878, ",",, TRUE), 1, _xlpm.gi))))), "")</f>
        <v/>
      </c>
    </row>
    <row r="879" ht="15.75" customHeight="1">
      <c r="B879" s="17"/>
      <c r="I879" s="5" t="str">
        <f t="array" ref="I879">IFERROR(TEXTJOIN(", ", TRUE, MAKEARRAY(COLUMNS(TEXTSPLIT(G879, ",",, TRUE)), COLUMNS(TEXTSPLIT(H879, ",",, TRUE)), LAMBDA(_xlpm.ri,_xlpm.gi, TRIM(INDEX(TEXTSPLIT(G879, ",",, TRUE), 1, _xlpm.ri)) &amp; "_" &amp; TRIM(INDEX(TEXTSPLIT(H879, ",",, TRUE), 1, _xlpm.gi))))), "")</f>
        <v/>
      </c>
    </row>
    <row r="880" ht="15.75" customHeight="1">
      <c r="B880" s="17"/>
      <c r="I880" s="5" t="str">
        <f t="array" ref="I880">IFERROR(TEXTJOIN(", ", TRUE, MAKEARRAY(COLUMNS(TEXTSPLIT(G880, ",",, TRUE)), COLUMNS(TEXTSPLIT(H880, ",",, TRUE)), LAMBDA(_xlpm.ri,_xlpm.gi, TRIM(INDEX(TEXTSPLIT(G880, ",",, TRUE), 1, _xlpm.ri)) &amp; "_" &amp; TRIM(INDEX(TEXTSPLIT(H880, ",",, TRUE), 1, _xlpm.gi))))), "")</f>
        <v/>
      </c>
    </row>
    <row r="881" ht="15.75" customHeight="1">
      <c r="B881" s="17"/>
      <c r="I881" s="5" t="str">
        <f t="array" ref="I881">IFERROR(TEXTJOIN(", ", TRUE, MAKEARRAY(COLUMNS(TEXTSPLIT(G881, ",",, TRUE)), COLUMNS(TEXTSPLIT(H881, ",",, TRUE)), LAMBDA(_xlpm.ri,_xlpm.gi, TRIM(INDEX(TEXTSPLIT(G881, ",",, TRUE), 1, _xlpm.ri)) &amp; "_" &amp; TRIM(INDEX(TEXTSPLIT(H881, ",",, TRUE), 1, _xlpm.gi))))), "")</f>
        <v/>
      </c>
    </row>
    <row r="882" ht="15.75" customHeight="1">
      <c r="B882" s="17"/>
      <c r="I882" s="5" t="str">
        <f t="array" ref="I882">IFERROR(TEXTJOIN(", ", TRUE, MAKEARRAY(COLUMNS(TEXTSPLIT(G882, ",",, TRUE)), COLUMNS(TEXTSPLIT(H882, ",",, TRUE)), LAMBDA(_xlpm.ri,_xlpm.gi, TRIM(INDEX(TEXTSPLIT(G882, ",",, TRUE), 1, _xlpm.ri)) &amp; "_" &amp; TRIM(INDEX(TEXTSPLIT(H882, ",",, TRUE), 1, _xlpm.gi))))), "")</f>
        <v/>
      </c>
    </row>
    <row r="883" ht="15.75" customHeight="1">
      <c r="B883" s="17"/>
      <c r="I883" s="5" t="str">
        <f t="array" ref="I883">IFERROR(TEXTJOIN(", ", TRUE, MAKEARRAY(COLUMNS(TEXTSPLIT(G883, ",",, TRUE)), COLUMNS(TEXTSPLIT(H883, ",",, TRUE)), LAMBDA(_xlpm.ri,_xlpm.gi, TRIM(INDEX(TEXTSPLIT(G883, ",",, TRUE), 1, _xlpm.ri)) &amp; "_" &amp; TRIM(INDEX(TEXTSPLIT(H883, ",",, TRUE), 1, _xlpm.gi))))), "")</f>
        <v/>
      </c>
    </row>
    <row r="884" ht="15.75" customHeight="1">
      <c r="B884" s="17"/>
      <c r="I884" s="5" t="str">
        <f t="array" ref="I884">IFERROR(TEXTJOIN(", ", TRUE, MAKEARRAY(COLUMNS(TEXTSPLIT(G884, ",",, TRUE)), COLUMNS(TEXTSPLIT(H884, ",",, TRUE)), LAMBDA(_xlpm.ri,_xlpm.gi, TRIM(INDEX(TEXTSPLIT(G884, ",",, TRUE), 1, _xlpm.ri)) &amp; "_" &amp; TRIM(INDEX(TEXTSPLIT(H884, ",",, TRUE), 1, _xlpm.gi))))), "")</f>
        <v/>
      </c>
    </row>
    <row r="885" ht="15.75" customHeight="1">
      <c r="B885" s="17"/>
      <c r="I885" s="5" t="str">
        <f t="array" ref="I885">IFERROR(TEXTJOIN(", ", TRUE, MAKEARRAY(COLUMNS(TEXTSPLIT(G885, ",",, TRUE)), COLUMNS(TEXTSPLIT(H885, ",",, TRUE)), LAMBDA(_xlpm.ri,_xlpm.gi, TRIM(INDEX(TEXTSPLIT(G885, ",",, TRUE), 1, _xlpm.ri)) &amp; "_" &amp; TRIM(INDEX(TEXTSPLIT(H885, ",",, TRUE), 1, _xlpm.gi))))), "")</f>
        <v/>
      </c>
    </row>
    <row r="886" ht="15.75" customHeight="1">
      <c r="B886" s="17"/>
      <c r="I886" s="5" t="str">
        <f t="array" ref="I886">IFERROR(TEXTJOIN(", ", TRUE, MAKEARRAY(COLUMNS(TEXTSPLIT(G886, ",",, TRUE)), COLUMNS(TEXTSPLIT(H886, ",",, TRUE)), LAMBDA(_xlpm.ri,_xlpm.gi, TRIM(INDEX(TEXTSPLIT(G886, ",",, TRUE), 1, _xlpm.ri)) &amp; "_" &amp; TRIM(INDEX(TEXTSPLIT(H886, ",",, TRUE), 1, _xlpm.gi))))), "")</f>
        <v/>
      </c>
    </row>
    <row r="887" ht="15.75" customHeight="1">
      <c r="B887" s="17"/>
      <c r="I887" s="5" t="str">
        <f t="array" ref="I887">IFERROR(TEXTJOIN(", ", TRUE, MAKEARRAY(COLUMNS(TEXTSPLIT(G887, ",",, TRUE)), COLUMNS(TEXTSPLIT(H887, ",",, TRUE)), LAMBDA(_xlpm.ri,_xlpm.gi, TRIM(INDEX(TEXTSPLIT(G887, ",",, TRUE), 1, _xlpm.ri)) &amp; "_" &amp; TRIM(INDEX(TEXTSPLIT(H887, ",",, TRUE), 1, _xlpm.gi))))), "")</f>
        <v/>
      </c>
    </row>
    <row r="888" ht="15.75" customHeight="1">
      <c r="B888" s="17"/>
      <c r="I888" s="5" t="str">
        <f t="array" ref="I888">IFERROR(TEXTJOIN(", ", TRUE, MAKEARRAY(COLUMNS(TEXTSPLIT(G888, ",",, TRUE)), COLUMNS(TEXTSPLIT(H888, ",",, TRUE)), LAMBDA(_xlpm.ri,_xlpm.gi, TRIM(INDEX(TEXTSPLIT(G888, ",",, TRUE), 1, _xlpm.ri)) &amp; "_" &amp; TRIM(INDEX(TEXTSPLIT(H888, ",",, TRUE), 1, _xlpm.gi))))), "")</f>
        <v/>
      </c>
    </row>
    <row r="889" ht="15.75" customHeight="1">
      <c r="B889" s="17"/>
      <c r="I889" s="5" t="str">
        <f t="array" ref="I889">IFERROR(TEXTJOIN(", ", TRUE, MAKEARRAY(COLUMNS(TEXTSPLIT(G889, ",",, TRUE)), COLUMNS(TEXTSPLIT(H889, ",",, TRUE)), LAMBDA(_xlpm.ri,_xlpm.gi, TRIM(INDEX(TEXTSPLIT(G889, ",",, TRUE), 1, _xlpm.ri)) &amp; "_" &amp; TRIM(INDEX(TEXTSPLIT(H889, ",",, TRUE), 1, _xlpm.gi))))), "")</f>
        <v/>
      </c>
    </row>
    <row r="890" ht="15.75" customHeight="1">
      <c r="B890" s="17"/>
      <c r="I890" s="5" t="str">
        <f t="array" ref="I890">IFERROR(TEXTJOIN(", ", TRUE, MAKEARRAY(COLUMNS(TEXTSPLIT(G890, ",",, TRUE)), COLUMNS(TEXTSPLIT(H890, ",",, TRUE)), LAMBDA(_xlpm.ri,_xlpm.gi, TRIM(INDEX(TEXTSPLIT(G890, ",",, TRUE), 1, _xlpm.ri)) &amp; "_" &amp; TRIM(INDEX(TEXTSPLIT(H890, ",",, TRUE), 1, _xlpm.gi))))), "")</f>
        <v/>
      </c>
    </row>
    <row r="891" ht="15.75" customHeight="1">
      <c r="B891" s="17"/>
      <c r="I891" s="5" t="str">
        <f t="array" ref="I891">IFERROR(TEXTJOIN(", ", TRUE, MAKEARRAY(COLUMNS(TEXTSPLIT(G891, ",",, TRUE)), COLUMNS(TEXTSPLIT(H891, ",",, TRUE)), LAMBDA(_xlpm.ri,_xlpm.gi, TRIM(INDEX(TEXTSPLIT(G891, ",",, TRUE), 1, _xlpm.ri)) &amp; "_" &amp; TRIM(INDEX(TEXTSPLIT(H891, ",",, TRUE), 1, _xlpm.gi))))), "")</f>
        <v/>
      </c>
    </row>
    <row r="892" ht="15.75" customHeight="1">
      <c r="B892" s="17"/>
      <c r="I892" s="5" t="str">
        <f t="array" ref="I892">IFERROR(TEXTJOIN(", ", TRUE, MAKEARRAY(COLUMNS(TEXTSPLIT(G892, ",",, TRUE)), COLUMNS(TEXTSPLIT(H892, ",",, TRUE)), LAMBDA(_xlpm.ri,_xlpm.gi, TRIM(INDEX(TEXTSPLIT(G892, ",",, TRUE), 1, _xlpm.ri)) &amp; "_" &amp; TRIM(INDEX(TEXTSPLIT(H892, ",",, TRUE), 1, _xlpm.gi))))), "")</f>
        <v/>
      </c>
    </row>
    <row r="893" ht="15.75" customHeight="1">
      <c r="B893" s="17"/>
      <c r="I893" s="5" t="str">
        <f t="array" ref="I893">IFERROR(TEXTJOIN(", ", TRUE, MAKEARRAY(COLUMNS(TEXTSPLIT(G893, ",",, TRUE)), COLUMNS(TEXTSPLIT(H893, ",",, TRUE)), LAMBDA(_xlpm.ri,_xlpm.gi, TRIM(INDEX(TEXTSPLIT(G893, ",",, TRUE), 1, _xlpm.ri)) &amp; "_" &amp; TRIM(INDEX(TEXTSPLIT(H893, ",",, TRUE), 1, _xlpm.gi))))), "")</f>
        <v/>
      </c>
    </row>
    <row r="894" ht="15.75" customHeight="1">
      <c r="B894" s="17"/>
      <c r="I894" s="5" t="str">
        <f t="array" ref="I894">IFERROR(TEXTJOIN(", ", TRUE, MAKEARRAY(COLUMNS(TEXTSPLIT(G894, ",",, TRUE)), COLUMNS(TEXTSPLIT(H894, ",",, TRUE)), LAMBDA(_xlpm.ri,_xlpm.gi, TRIM(INDEX(TEXTSPLIT(G894, ",",, TRUE), 1, _xlpm.ri)) &amp; "_" &amp; TRIM(INDEX(TEXTSPLIT(H894, ",",, TRUE), 1, _xlpm.gi))))), "")</f>
        <v/>
      </c>
    </row>
    <row r="895" ht="15.75" customHeight="1">
      <c r="B895" s="17"/>
      <c r="I895" s="5" t="str">
        <f t="array" ref="I895">IFERROR(TEXTJOIN(", ", TRUE, MAKEARRAY(COLUMNS(TEXTSPLIT(G895, ",",, TRUE)), COLUMNS(TEXTSPLIT(H895, ",",, TRUE)), LAMBDA(_xlpm.ri,_xlpm.gi, TRIM(INDEX(TEXTSPLIT(G895, ",",, TRUE), 1, _xlpm.ri)) &amp; "_" &amp; TRIM(INDEX(TEXTSPLIT(H895, ",",, TRUE), 1, _xlpm.gi))))), "")</f>
        <v/>
      </c>
    </row>
    <row r="896" ht="15.75" customHeight="1">
      <c r="B896" s="17"/>
      <c r="I896" s="5" t="str">
        <f t="array" ref="I896">IFERROR(TEXTJOIN(", ", TRUE, MAKEARRAY(COLUMNS(TEXTSPLIT(G896, ",",, TRUE)), COLUMNS(TEXTSPLIT(H896, ",",, TRUE)), LAMBDA(_xlpm.ri,_xlpm.gi, TRIM(INDEX(TEXTSPLIT(G896, ",",, TRUE), 1, _xlpm.ri)) &amp; "_" &amp; TRIM(INDEX(TEXTSPLIT(H896, ",",, TRUE), 1, _xlpm.gi))))), "")</f>
        <v/>
      </c>
    </row>
    <row r="897" ht="15.75" customHeight="1">
      <c r="B897" s="17"/>
      <c r="I897" s="5" t="str">
        <f t="array" ref="I897">IFERROR(TEXTJOIN(", ", TRUE, MAKEARRAY(COLUMNS(TEXTSPLIT(G897, ",",, TRUE)), COLUMNS(TEXTSPLIT(H897, ",",, TRUE)), LAMBDA(_xlpm.ri,_xlpm.gi, TRIM(INDEX(TEXTSPLIT(G897, ",",, TRUE), 1, _xlpm.ri)) &amp; "_" &amp; TRIM(INDEX(TEXTSPLIT(H897, ",",, TRUE), 1, _xlpm.gi))))), "")</f>
        <v/>
      </c>
    </row>
    <row r="898" ht="15.75" customHeight="1">
      <c r="B898" s="17"/>
      <c r="I898" s="5" t="str">
        <f t="array" ref="I898">IFERROR(TEXTJOIN(", ", TRUE, MAKEARRAY(COLUMNS(TEXTSPLIT(G898, ",",, TRUE)), COLUMNS(TEXTSPLIT(H898, ",",, TRUE)), LAMBDA(_xlpm.ri,_xlpm.gi, TRIM(INDEX(TEXTSPLIT(G898, ",",, TRUE), 1, _xlpm.ri)) &amp; "_" &amp; TRIM(INDEX(TEXTSPLIT(H898, ",",, TRUE), 1, _xlpm.gi))))), "")</f>
        <v/>
      </c>
    </row>
    <row r="899" ht="15.75" customHeight="1">
      <c r="B899" s="17"/>
      <c r="I899" s="5" t="str">
        <f t="array" ref="I899">IFERROR(TEXTJOIN(", ", TRUE, MAKEARRAY(COLUMNS(TEXTSPLIT(G899, ",",, TRUE)), COLUMNS(TEXTSPLIT(H899, ",",, TRUE)), LAMBDA(_xlpm.ri,_xlpm.gi, TRIM(INDEX(TEXTSPLIT(G899, ",",, TRUE), 1, _xlpm.ri)) &amp; "_" &amp; TRIM(INDEX(TEXTSPLIT(H899, ",",, TRUE), 1, _xlpm.gi))))), "")</f>
        <v/>
      </c>
    </row>
    <row r="900" ht="15.75" customHeight="1">
      <c r="B900" s="17"/>
      <c r="I900" s="5" t="str">
        <f t="array" ref="I900">IFERROR(TEXTJOIN(", ", TRUE, MAKEARRAY(COLUMNS(TEXTSPLIT(G900, ",",, TRUE)), COLUMNS(TEXTSPLIT(H900, ",",, TRUE)), LAMBDA(_xlpm.ri,_xlpm.gi, TRIM(INDEX(TEXTSPLIT(G900, ",",, TRUE), 1, _xlpm.ri)) &amp; "_" &amp; TRIM(INDEX(TEXTSPLIT(H900, ",",, TRUE), 1, _xlpm.gi))))), "")</f>
        <v/>
      </c>
    </row>
    <row r="901" ht="15.75" customHeight="1">
      <c r="B901" s="17"/>
      <c r="I901" s="5" t="str">
        <f t="array" ref="I901">IFERROR(TEXTJOIN(", ", TRUE, MAKEARRAY(COLUMNS(TEXTSPLIT(G901, ",",, TRUE)), COLUMNS(TEXTSPLIT(H901, ",",, TRUE)), LAMBDA(_xlpm.ri,_xlpm.gi, TRIM(INDEX(TEXTSPLIT(G901, ",",, TRUE), 1, _xlpm.ri)) &amp; "_" &amp; TRIM(INDEX(TEXTSPLIT(H901, ",",, TRUE), 1, _xlpm.gi))))), "")</f>
        <v/>
      </c>
    </row>
    <row r="902" ht="15.75" customHeight="1">
      <c r="B902" s="17"/>
      <c r="I902" s="5" t="str">
        <f t="array" ref="I902">IFERROR(TEXTJOIN(", ", TRUE, MAKEARRAY(COLUMNS(TEXTSPLIT(G902, ",",, TRUE)), COLUMNS(TEXTSPLIT(H902, ",",, TRUE)), LAMBDA(_xlpm.ri,_xlpm.gi, TRIM(INDEX(TEXTSPLIT(G902, ",",, TRUE), 1, _xlpm.ri)) &amp; "_" &amp; TRIM(INDEX(TEXTSPLIT(H902, ",",, TRUE), 1, _xlpm.gi))))), "")</f>
        <v/>
      </c>
    </row>
    <row r="903" ht="15.75" customHeight="1">
      <c r="B903" s="17"/>
      <c r="I903" s="5" t="str">
        <f t="array" ref="I903">IFERROR(TEXTJOIN(", ", TRUE, MAKEARRAY(COLUMNS(TEXTSPLIT(G903, ",",, TRUE)), COLUMNS(TEXTSPLIT(H903, ",",, TRUE)), LAMBDA(_xlpm.ri,_xlpm.gi, TRIM(INDEX(TEXTSPLIT(G903, ",",, TRUE), 1, _xlpm.ri)) &amp; "_" &amp; TRIM(INDEX(TEXTSPLIT(H903, ",",, TRUE), 1, _xlpm.gi))))), "")</f>
        <v/>
      </c>
    </row>
    <row r="904" ht="15.75" customHeight="1">
      <c r="B904" s="17"/>
      <c r="I904" s="5" t="str">
        <f t="array" ref="I904">IFERROR(TEXTJOIN(", ", TRUE, MAKEARRAY(COLUMNS(TEXTSPLIT(G904, ",",, TRUE)), COLUMNS(TEXTSPLIT(H904, ",",, TRUE)), LAMBDA(_xlpm.ri,_xlpm.gi, TRIM(INDEX(TEXTSPLIT(G904, ",",, TRUE), 1, _xlpm.ri)) &amp; "_" &amp; TRIM(INDEX(TEXTSPLIT(H904, ",",, TRUE), 1, _xlpm.gi))))), "")</f>
        <v/>
      </c>
    </row>
    <row r="905" ht="15.75" customHeight="1">
      <c r="B905" s="17"/>
      <c r="I905" s="5" t="str">
        <f t="array" ref="I905">IFERROR(TEXTJOIN(", ", TRUE, MAKEARRAY(COLUMNS(TEXTSPLIT(G905, ",",, TRUE)), COLUMNS(TEXTSPLIT(H905, ",",, TRUE)), LAMBDA(_xlpm.ri,_xlpm.gi, TRIM(INDEX(TEXTSPLIT(G905, ",",, TRUE), 1, _xlpm.ri)) &amp; "_" &amp; TRIM(INDEX(TEXTSPLIT(H905, ",",, TRUE), 1, _xlpm.gi))))), "")</f>
        <v/>
      </c>
    </row>
    <row r="906" ht="15.75" customHeight="1">
      <c r="B906" s="17"/>
      <c r="I906" s="5" t="str">
        <f t="array" ref="I906">IFERROR(TEXTJOIN(", ", TRUE, MAKEARRAY(COLUMNS(TEXTSPLIT(G906, ",",, TRUE)), COLUMNS(TEXTSPLIT(H906, ",",, TRUE)), LAMBDA(_xlpm.ri,_xlpm.gi, TRIM(INDEX(TEXTSPLIT(G906, ",",, TRUE), 1, _xlpm.ri)) &amp; "_" &amp; TRIM(INDEX(TEXTSPLIT(H906, ",",, TRUE), 1, _xlpm.gi))))), "")</f>
        <v/>
      </c>
    </row>
    <row r="907" ht="15.75" customHeight="1">
      <c r="B907" s="17"/>
      <c r="I907" s="5" t="str">
        <f t="array" ref="I907">IFERROR(TEXTJOIN(", ", TRUE, MAKEARRAY(COLUMNS(TEXTSPLIT(G907, ",",, TRUE)), COLUMNS(TEXTSPLIT(H907, ",",, TRUE)), LAMBDA(_xlpm.ri,_xlpm.gi, TRIM(INDEX(TEXTSPLIT(G907, ",",, TRUE), 1, _xlpm.ri)) &amp; "_" &amp; TRIM(INDEX(TEXTSPLIT(H907, ",",, TRUE), 1, _xlpm.gi))))), "")</f>
        <v/>
      </c>
    </row>
    <row r="908" ht="15.75" customHeight="1">
      <c r="B908" s="17"/>
      <c r="I908" s="5" t="str">
        <f t="array" ref="I908">IFERROR(TEXTJOIN(", ", TRUE, MAKEARRAY(COLUMNS(TEXTSPLIT(G908, ",",, TRUE)), COLUMNS(TEXTSPLIT(H908, ",",, TRUE)), LAMBDA(_xlpm.ri,_xlpm.gi, TRIM(INDEX(TEXTSPLIT(G908, ",",, TRUE), 1, _xlpm.ri)) &amp; "_" &amp; TRIM(INDEX(TEXTSPLIT(H908, ",",, TRUE), 1, _xlpm.gi))))), "")</f>
        <v/>
      </c>
    </row>
    <row r="909" ht="15.75" customHeight="1">
      <c r="B909" s="17"/>
      <c r="I909" s="5" t="str">
        <f t="array" ref="I909">IFERROR(TEXTJOIN(", ", TRUE, MAKEARRAY(COLUMNS(TEXTSPLIT(G909, ",",, TRUE)), COLUMNS(TEXTSPLIT(H909, ",",, TRUE)), LAMBDA(_xlpm.ri,_xlpm.gi, TRIM(INDEX(TEXTSPLIT(G909, ",",, TRUE), 1, _xlpm.ri)) &amp; "_" &amp; TRIM(INDEX(TEXTSPLIT(H909, ",",, TRUE), 1, _xlpm.gi))))), "")</f>
        <v/>
      </c>
    </row>
    <row r="910" ht="15.75" customHeight="1">
      <c r="B910" s="17"/>
      <c r="I910" s="5" t="str">
        <f t="array" ref="I910">IFERROR(TEXTJOIN(", ", TRUE, MAKEARRAY(COLUMNS(TEXTSPLIT(G910, ",",, TRUE)), COLUMNS(TEXTSPLIT(H910, ",",, TRUE)), LAMBDA(_xlpm.ri,_xlpm.gi, TRIM(INDEX(TEXTSPLIT(G910, ",",, TRUE), 1, _xlpm.ri)) &amp; "_" &amp; TRIM(INDEX(TEXTSPLIT(H910, ",",, TRUE), 1, _xlpm.gi))))), "")</f>
        <v/>
      </c>
    </row>
    <row r="911" ht="15.75" customHeight="1">
      <c r="B911" s="17"/>
      <c r="I911" s="5" t="str">
        <f t="array" ref="I911">IFERROR(TEXTJOIN(", ", TRUE, MAKEARRAY(COLUMNS(TEXTSPLIT(G911, ",",, TRUE)), COLUMNS(TEXTSPLIT(H911, ",",, TRUE)), LAMBDA(_xlpm.ri,_xlpm.gi, TRIM(INDEX(TEXTSPLIT(G911, ",",, TRUE), 1, _xlpm.ri)) &amp; "_" &amp; TRIM(INDEX(TEXTSPLIT(H911, ",",, TRUE), 1, _xlpm.gi))))), "")</f>
        <v/>
      </c>
    </row>
    <row r="912" ht="15.75" customHeight="1">
      <c r="B912" s="17"/>
      <c r="I912" s="5" t="str">
        <f t="array" ref="I912">IFERROR(TEXTJOIN(", ", TRUE, MAKEARRAY(COLUMNS(TEXTSPLIT(G912, ",",, TRUE)), COLUMNS(TEXTSPLIT(H912, ",",, TRUE)), LAMBDA(_xlpm.ri,_xlpm.gi, TRIM(INDEX(TEXTSPLIT(G912, ",",, TRUE), 1, _xlpm.ri)) &amp; "_" &amp; TRIM(INDEX(TEXTSPLIT(H912, ",",, TRUE), 1, _xlpm.gi))))), "")</f>
        <v/>
      </c>
    </row>
    <row r="913" ht="15.75" customHeight="1">
      <c r="B913" s="17"/>
      <c r="I913" s="5" t="str">
        <f t="array" ref="I913">IFERROR(TEXTJOIN(", ", TRUE, MAKEARRAY(COLUMNS(TEXTSPLIT(G913, ",",, TRUE)), COLUMNS(TEXTSPLIT(H913, ",",, TRUE)), LAMBDA(_xlpm.ri,_xlpm.gi, TRIM(INDEX(TEXTSPLIT(G913, ",",, TRUE), 1, _xlpm.ri)) &amp; "_" &amp; TRIM(INDEX(TEXTSPLIT(H913, ",",, TRUE), 1, _xlpm.gi))))), "")</f>
        <v/>
      </c>
    </row>
    <row r="914" ht="15.75" customHeight="1">
      <c r="B914" s="17"/>
      <c r="I914" s="5" t="str">
        <f t="array" ref="I914">IFERROR(TEXTJOIN(", ", TRUE, MAKEARRAY(COLUMNS(TEXTSPLIT(G914, ",",, TRUE)), COLUMNS(TEXTSPLIT(H914, ",",, TRUE)), LAMBDA(_xlpm.ri,_xlpm.gi, TRIM(INDEX(TEXTSPLIT(G914, ",",, TRUE), 1, _xlpm.ri)) &amp; "_" &amp; TRIM(INDEX(TEXTSPLIT(H914, ",",, TRUE), 1, _xlpm.gi))))), "")</f>
        <v/>
      </c>
    </row>
    <row r="915" ht="15.75" customHeight="1">
      <c r="B915" s="17"/>
      <c r="I915" s="5" t="str">
        <f t="array" ref="I915">IFERROR(TEXTJOIN(", ", TRUE, MAKEARRAY(COLUMNS(TEXTSPLIT(G915, ",",, TRUE)), COLUMNS(TEXTSPLIT(H915, ",",, TRUE)), LAMBDA(_xlpm.ri,_xlpm.gi, TRIM(INDEX(TEXTSPLIT(G915, ",",, TRUE), 1, _xlpm.ri)) &amp; "_" &amp; TRIM(INDEX(TEXTSPLIT(H915, ",",, TRUE), 1, _xlpm.gi))))), "")</f>
        <v/>
      </c>
    </row>
    <row r="916" ht="15.75" customHeight="1">
      <c r="B916" s="17"/>
      <c r="I916" s="5" t="str">
        <f t="array" ref="I916">IFERROR(TEXTJOIN(", ", TRUE, MAKEARRAY(COLUMNS(TEXTSPLIT(G916, ",",, TRUE)), COLUMNS(TEXTSPLIT(H916, ",",, TRUE)), LAMBDA(_xlpm.ri,_xlpm.gi, TRIM(INDEX(TEXTSPLIT(G916, ",",, TRUE), 1, _xlpm.ri)) &amp; "_" &amp; TRIM(INDEX(TEXTSPLIT(H916, ",",, TRUE), 1, _xlpm.gi))))), "")</f>
        <v/>
      </c>
    </row>
    <row r="917" ht="15.75" customHeight="1">
      <c r="B917" s="17"/>
      <c r="I917" s="5" t="str">
        <f t="array" ref="I917">IFERROR(TEXTJOIN(", ", TRUE, MAKEARRAY(COLUMNS(TEXTSPLIT(G917, ",",, TRUE)), COLUMNS(TEXTSPLIT(H917, ",",, TRUE)), LAMBDA(_xlpm.ri,_xlpm.gi, TRIM(INDEX(TEXTSPLIT(G917, ",",, TRUE), 1, _xlpm.ri)) &amp; "_" &amp; TRIM(INDEX(TEXTSPLIT(H917, ",",, TRUE), 1, _xlpm.gi))))), "")</f>
        <v/>
      </c>
    </row>
    <row r="918" ht="15.75" customHeight="1">
      <c r="B918" s="17"/>
      <c r="I918" s="5" t="str">
        <f t="array" ref="I918">IFERROR(TEXTJOIN(", ", TRUE, MAKEARRAY(COLUMNS(TEXTSPLIT(G918, ",",, TRUE)), COLUMNS(TEXTSPLIT(H918, ",",, TRUE)), LAMBDA(_xlpm.ri,_xlpm.gi, TRIM(INDEX(TEXTSPLIT(G918, ",",, TRUE), 1, _xlpm.ri)) &amp; "_" &amp; TRIM(INDEX(TEXTSPLIT(H918, ",",, TRUE), 1, _xlpm.gi))))), "")</f>
        <v/>
      </c>
    </row>
    <row r="919" ht="15.75" customHeight="1">
      <c r="B919" s="17"/>
      <c r="I919" s="5" t="str">
        <f t="array" ref="I919">IFERROR(TEXTJOIN(", ", TRUE, MAKEARRAY(COLUMNS(TEXTSPLIT(G919, ",",, TRUE)), COLUMNS(TEXTSPLIT(H919, ",",, TRUE)), LAMBDA(_xlpm.ri,_xlpm.gi, TRIM(INDEX(TEXTSPLIT(G919, ",",, TRUE), 1, _xlpm.ri)) &amp; "_" &amp; TRIM(INDEX(TEXTSPLIT(H919, ",",, TRUE), 1, _xlpm.gi))))), "")</f>
        <v/>
      </c>
    </row>
    <row r="920" ht="15.75" customHeight="1">
      <c r="B920" s="17"/>
      <c r="I920" s="5" t="str">
        <f t="array" ref="I920">IFERROR(TEXTJOIN(", ", TRUE, MAKEARRAY(COLUMNS(TEXTSPLIT(G920, ",",, TRUE)), COLUMNS(TEXTSPLIT(H920, ",",, TRUE)), LAMBDA(_xlpm.ri,_xlpm.gi, TRIM(INDEX(TEXTSPLIT(G920, ",",, TRUE), 1, _xlpm.ri)) &amp; "_" &amp; TRIM(INDEX(TEXTSPLIT(H920, ",",, TRUE), 1, _xlpm.gi))))), "")</f>
        <v/>
      </c>
    </row>
    <row r="921" ht="15.75" customHeight="1">
      <c r="B921" s="17"/>
      <c r="I921" s="5" t="str">
        <f t="array" ref="I921">IFERROR(TEXTJOIN(", ", TRUE, MAKEARRAY(COLUMNS(TEXTSPLIT(G921, ",",, TRUE)), COLUMNS(TEXTSPLIT(H921, ",",, TRUE)), LAMBDA(_xlpm.ri,_xlpm.gi, TRIM(INDEX(TEXTSPLIT(G921, ",",, TRUE), 1, _xlpm.ri)) &amp; "_" &amp; TRIM(INDEX(TEXTSPLIT(H921, ",",, TRUE), 1, _xlpm.gi))))), "")</f>
        <v/>
      </c>
    </row>
    <row r="922" ht="15.75" customHeight="1">
      <c r="B922" s="17"/>
      <c r="I922" s="5" t="str">
        <f t="array" ref="I922">IFERROR(TEXTJOIN(", ", TRUE, MAKEARRAY(COLUMNS(TEXTSPLIT(G922, ",",, TRUE)), COLUMNS(TEXTSPLIT(H922, ",",, TRUE)), LAMBDA(_xlpm.ri,_xlpm.gi, TRIM(INDEX(TEXTSPLIT(G922, ",",, TRUE), 1, _xlpm.ri)) &amp; "_" &amp; TRIM(INDEX(TEXTSPLIT(H922, ",",, TRUE), 1, _xlpm.gi))))), "")</f>
        <v/>
      </c>
    </row>
    <row r="923" ht="15.75" customHeight="1">
      <c r="B923" s="17"/>
      <c r="I923" s="5" t="str">
        <f t="array" ref="I923">IFERROR(TEXTJOIN(", ", TRUE, MAKEARRAY(COLUMNS(TEXTSPLIT(G923, ",",, TRUE)), COLUMNS(TEXTSPLIT(H923, ",",, TRUE)), LAMBDA(_xlpm.ri,_xlpm.gi, TRIM(INDEX(TEXTSPLIT(G923, ",",, TRUE), 1, _xlpm.ri)) &amp; "_" &amp; TRIM(INDEX(TEXTSPLIT(H923, ",",, TRUE), 1, _xlpm.gi))))), "")</f>
        <v/>
      </c>
    </row>
    <row r="924" ht="15.75" customHeight="1">
      <c r="B924" s="17"/>
      <c r="I924" s="5" t="str">
        <f t="array" ref="I924">IFERROR(TEXTJOIN(", ", TRUE, MAKEARRAY(COLUMNS(TEXTSPLIT(G924, ",",, TRUE)), COLUMNS(TEXTSPLIT(H924, ",",, TRUE)), LAMBDA(_xlpm.ri,_xlpm.gi, TRIM(INDEX(TEXTSPLIT(G924, ",",, TRUE), 1, _xlpm.ri)) &amp; "_" &amp; TRIM(INDEX(TEXTSPLIT(H924, ",",, TRUE), 1, _xlpm.gi))))), "")</f>
        <v/>
      </c>
    </row>
    <row r="925" ht="15.75" customHeight="1">
      <c r="B925" s="17"/>
      <c r="I925" s="5" t="str">
        <f t="array" ref="I925">IFERROR(TEXTJOIN(", ", TRUE, MAKEARRAY(COLUMNS(TEXTSPLIT(G925, ",",, TRUE)), COLUMNS(TEXTSPLIT(H925, ",",, TRUE)), LAMBDA(_xlpm.ri,_xlpm.gi, TRIM(INDEX(TEXTSPLIT(G925, ",",, TRUE), 1, _xlpm.ri)) &amp; "_" &amp; TRIM(INDEX(TEXTSPLIT(H925, ",",, TRUE), 1, _xlpm.gi))))), "")</f>
        <v/>
      </c>
    </row>
    <row r="926" ht="15.75" customHeight="1">
      <c r="B926" s="17"/>
      <c r="I926" s="5" t="str">
        <f t="array" ref="I926">IFERROR(TEXTJOIN(", ", TRUE, MAKEARRAY(COLUMNS(TEXTSPLIT(G926, ",",, TRUE)), COLUMNS(TEXTSPLIT(H926, ",",, TRUE)), LAMBDA(_xlpm.ri,_xlpm.gi, TRIM(INDEX(TEXTSPLIT(G926, ",",, TRUE), 1, _xlpm.ri)) &amp; "_" &amp; TRIM(INDEX(TEXTSPLIT(H926, ",",, TRUE), 1, _xlpm.gi))))), "")</f>
        <v/>
      </c>
    </row>
    <row r="927" ht="15.75" customHeight="1">
      <c r="B927" s="17"/>
      <c r="I927" s="5" t="str">
        <f t="array" ref="I927">IFERROR(TEXTJOIN(", ", TRUE, MAKEARRAY(COLUMNS(TEXTSPLIT(G927, ",",, TRUE)), COLUMNS(TEXTSPLIT(H927, ",",, TRUE)), LAMBDA(_xlpm.ri,_xlpm.gi, TRIM(INDEX(TEXTSPLIT(G927, ",",, TRUE), 1, _xlpm.ri)) &amp; "_" &amp; TRIM(INDEX(TEXTSPLIT(H927, ",",, TRUE), 1, _xlpm.gi))))), "")</f>
        <v/>
      </c>
    </row>
    <row r="928" ht="15.75" customHeight="1">
      <c r="B928" s="17"/>
      <c r="I928" s="5" t="str">
        <f t="array" ref="I928">IFERROR(TEXTJOIN(", ", TRUE, MAKEARRAY(COLUMNS(TEXTSPLIT(G928, ",",, TRUE)), COLUMNS(TEXTSPLIT(H928, ",",, TRUE)), LAMBDA(_xlpm.ri,_xlpm.gi, TRIM(INDEX(TEXTSPLIT(G928, ",",, TRUE), 1, _xlpm.ri)) &amp; "_" &amp; TRIM(INDEX(TEXTSPLIT(H928, ",",, TRUE), 1, _xlpm.gi))))), "")</f>
        <v/>
      </c>
    </row>
    <row r="929" ht="15.75" customHeight="1">
      <c r="B929" s="17"/>
      <c r="I929" s="5" t="str">
        <f t="array" ref="I929">IFERROR(TEXTJOIN(", ", TRUE, MAKEARRAY(COLUMNS(TEXTSPLIT(G929, ",",, TRUE)), COLUMNS(TEXTSPLIT(H929, ",",, TRUE)), LAMBDA(_xlpm.ri,_xlpm.gi, TRIM(INDEX(TEXTSPLIT(G929, ",",, TRUE), 1, _xlpm.ri)) &amp; "_" &amp; TRIM(INDEX(TEXTSPLIT(H929, ",",, TRUE), 1, _xlpm.gi))))), "")</f>
        <v/>
      </c>
    </row>
    <row r="930" ht="15.75" customHeight="1">
      <c r="B930" s="17"/>
      <c r="I930" s="5" t="str">
        <f t="array" ref="I930">IFERROR(TEXTJOIN(", ", TRUE, MAKEARRAY(COLUMNS(TEXTSPLIT(G930, ",",, TRUE)), COLUMNS(TEXTSPLIT(H930, ",",, TRUE)), LAMBDA(_xlpm.ri,_xlpm.gi, TRIM(INDEX(TEXTSPLIT(G930, ",",, TRUE), 1, _xlpm.ri)) &amp; "_" &amp; TRIM(INDEX(TEXTSPLIT(H930, ",",, TRUE), 1, _xlpm.gi))))), "")</f>
        <v/>
      </c>
    </row>
    <row r="931" ht="15.75" customHeight="1">
      <c r="B931" s="17"/>
      <c r="I931" s="5" t="str">
        <f t="array" ref="I931">IFERROR(TEXTJOIN(", ", TRUE, MAKEARRAY(COLUMNS(TEXTSPLIT(G931, ",",, TRUE)), COLUMNS(TEXTSPLIT(H931, ",",, TRUE)), LAMBDA(_xlpm.ri,_xlpm.gi, TRIM(INDEX(TEXTSPLIT(G931, ",",, TRUE), 1, _xlpm.ri)) &amp; "_" &amp; TRIM(INDEX(TEXTSPLIT(H931, ",",, TRUE), 1, _xlpm.gi))))), "")</f>
        <v/>
      </c>
    </row>
    <row r="932" ht="15.75" customHeight="1">
      <c r="B932" s="17"/>
      <c r="I932" s="5" t="str">
        <f t="array" ref="I932">IFERROR(TEXTJOIN(", ", TRUE, MAKEARRAY(COLUMNS(TEXTSPLIT(G932, ",",, TRUE)), COLUMNS(TEXTSPLIT(H932, ",",, TRUE)), LAMBDA(_xlpm.ri,_xlpm.gi, TRIM(INDEX(TEXTSPLIT(G932, ",",, TRUE), 1, _xlpm.ri)) &amp; "_" &amp; TRIM(INDEX(TEXTSPLIT(H932, ",",, TRUE), 1, _xlpm.gi))))), "")</f>
        <v/>
      </c>
    </row>
    <row r="933" ht="15.75" customHeight="1">
      <c r="B933" s="17"/>
      <c r="I933" s="5" t="str">
        <f t="array" ref="I933">IFERROR(TEXTJOIN(", ", TRUE, MAKEARRAY(COLUMNS(TEXTSPLIT(G933, ",",, TRUE)), COLUMNS(TEXTSPLIT(H933, ",",, TRUE)), LAMBDA(_xlpm.ri,_xlpm.gi, TRIM(INDEX(TEXTSPLIT(G933, ",",, TRUE), 1, _xlpm.ri)) &amp; "_" &amp; TRIM(INDEX(TEXTSPLIT(H933, ",",, TRUE), 1, _xlpm.gi))))), "")</f>
        <v/>
      </c>
    </row>
    <row r="934" ht="15.75" customHeight="1">
      <c r="B934" s="17"/>
      <c r="I934" s="5" t="str">
        <f t="array" ref="I934">IFERROR(TEXTJOIN(", ", TRUE, MAKEARRAY(COLUMNS(TEXTSPLIT(G934, ",",, TRUE)), COLUMNS(TEXTSPLIT(H934, ",",, TRUE)), LAMBDA(_xlpm.ri,_xlpm.gi, TRIM(INDEX(TEXTSPLIT(G934, ",",, TRUE), 1, _xlpm.ri)) &amp; "_" &amp; TRIM(INDEX(TEXTSPLIT(H934, ",",, TRUE), 1, _xlpm.gi))))), "")</f>
        <v/>
      </c>
    </row>
    <row r="935" ht="15.75" customHeight="1">
      <c r="B935" s="17"/>
      <c r="I935" s="5" t="str">
        <f t="array" ref="I935">IFERROR(TEXTJOIN(", ", TRUE, MAKEARRAY(COLUMNS(TEXTSPLIT(G935, ",",, TRUE)), COLUMNS(TEXTSPLIT(H935, ",",, TRUE)), LAMBDA(_xlpm.ri,_xlpm.gi, TRIM(INDEX(TEXTSPLIT(G935, ",",, TRUE), 1, _xlpm.ri)) &amp; "_" &amp; TRIM(INDEX(TEXTSPLIT(H935, ",",, TRUE), 1, _xlpm.gi))))), "")</f>
        <v/>
      </c>
    </row>
    <row r="936" ht="15.75" customHeight="1">
      <c r="B936" s="17"/>
      <c r="I936" s="5" t="str">
        <f t="array" ref="I936">IFERROR(TEXTJOIN(", ", TRUE, MAKEARRAY(COLUMNS(TEXTSPLIT(G936, ",",, TRUE)), COLUMNS(TEXTSPLIT(H936, ",",, TRUE)), LAMBDA(_xlpm.ri,_xlpm.gi, TRIM(INDEX(TEXTSPLIT(G936, ",",, TRUE), 1, _xlpm.ri)) &amp; "_" &amp; TRIM(INDEX(TEXTSPLIT(H936, ",",, TRUE), 1, _xlpm.gi))))), "")</f>
        <v/>
      </c>
    </row>
    <row r="937" ht="15.75" customHeight="1">
      <c r="B937" s="17"/>
      <c r="I937" s="5" t="str">
        <f t="array" ref="I937">IFERROR(TEXTJOIN(", ", TRUE, MAKEARRAY(COLUMNS(TEXTSPLIT(G937, ",",, TRUE)), COLUMNS(TEXTSPLIT(H937, ",",, TRUE)), LAMBDA(_xlpm.ri,_xlpm.gi, TRIM(INDEX(TEXTSPLIT(G937, ",",, TRUE), 1, _xlpm.ri)) &amp; "_" &amp; TRIM(INDEX(TEXTSPLIT(H937, ",",, TRUE), 1, _xlpm.gi))))), "")</f>
        <v/>
      </c>
    </row>
    <row r="938" ht="15.75" customHeight="1">
      <c r="B938" s="17"/>
      <c r="I938" s="5" t="str">
        <f t="array" ref="I938">IFERROR(TEXTJOIN(", ", TRUE, MAKEARRAY(COLUMNS(TEXTSPLIT(G938, ",",, TRUE)), COLUMNS(TEXTSPLIT(H938, ",",, TRUE)), LAMBDA(_xlpm.ri,_xlpm.gi, TRIM(INDEX(TEXTSPLIT(G938, ",",, TRUE), 1, _xlpm.ri)) &amp; "_" &amp; TRIM(INDEX(TEXTSPLIT(H938, ",",, TRUE), 1, _xlpm.gi))))), "")</f>
        <v/>
      </c>
    </row>
    <row r="939" ht="15.75" customHeight="1">
      <c r="B939" s="17"/>
      <c r="I939" s="5" t="str">
        <f t="array" ref="I939">IFERROR(TEXTJOIN(", ", TRUE, MAKEARRAY(COLUMNS(TEXTSPLIT(G939, ",",, TRUE)), COLUMNS(TEXTSPLIT(H939, ",",, TRUE)), LAMBDA(_xlpm.ri,_xlpm.gi, TRIM(INDEX(TEXTSPLIT(G939, ",",, TRUE), 1, _xlpm.ri)) &amp; "_" &amp; TRIM(INDEX(TEXTSPLIT(H939, ",",, TRUE), 1, _xlpm.gi))))), "")</f>
        <v/>
      </c>
    </row>
    <row r="940" ht="15.75" customHeight="1">
      <c r="B940" s="17"/>
      <c r="I940" s="5" t="str">
        <f t="array" ref="I940">IFERROR(TEXTJOIN(", ", TRUE, MAKEARRAY(COLUMNS(TEXTSPLIT(G940, ",",, TRUE)), COLUMNS(TEXTSPLIT(H940, ",",, TRUE)), LAMBDA(_xlpm.ri,_xlpm.gi, TRIM(INDEX(TEXTSPLIT(G940, ",",, TRUE), 1, _xlpm.ri)) &amp; "_" &amp; TRIM(INDEX(TEXTSPLIT(H940, ",",, TRUE), 1, _xlpm.gi))))), "")</f>
        <v/>
      </c>
    </row>
    <row r="941" ht="15.75" customHeight="1">
      <c r="B941" s="17"/>
      <c r="I941" s="5" t="str">
        <f t="array" ref="I941">IFERROR(TEXTJOIN(", ", TRUE, MAKEARRAY(COLUMNS(TEXTSPLIT(G941, ",",, TRUE)), COLUMNS(TEXTSPLIT(H941, ",",, TRUE)), LAMBDA(_xlpm.ri,_xlpm.gi, TRIM(INDEX(TEXTSPLIT(G941, ",",, TRUE), 1, _xlpm.ri)) &amp; "_" &amp; TRIM(INDEX(TEXTSPLIT(H941, ",",, TRUE), 1, _xlpm.gi))))), "")</f>
        <v/>
      </c>
    </row>
    <row r="942" ht="15.75" customHeight="1">
      <c r="B942" s="17"/>
      <c r="I942" s="5" t="str">
        <f t="array" ref="I942">IFERROR(TEXTJOIN(", ", TRUE, MAKEARRAY(COLUMNS(TEXTSPLIT(G942, ",",, TRUE)), COLUMNS(TEXTSPLIT(H942, ",",, TRUE)), LAMBDA(_xlpm.ri,_xlpm.gi, TRIM(INDEX(TEXTSPLIT(G942, ",",, TRUE), 1, _xlpm.ri)) &amp; "_" &amp; TRIM(INDEX(TEXTSPLIT(H942, ",",, TRUE), 1, _xlpm.gi))))), "")</f>
        <v/>
      </c>
    </row>
    <row r="943" ht="15.75" customHeight="1">
      <c r="B943" s="17"/>
      <c r="I943" s="5" t="str">
        <f t="array" ref="I943">IFERROR(TEXTJOIN(", ", TRUE, MAKEARRAY(COLUMNS(TEXTSPLIT(G943, ",",, TRUE)), COLUMNS(TEXTSPLIT(H943, ",",, TRUE)), LAMBDA(_xlpm.ri,_xlpm.gi, TRIM(INDEX(TEXTSPLIT(G943, ",",, TRUE), 1, _xlpm.ri)) &amp; "_" &amp; TRIM(INDEX(TEXTSPLIT(H943, ",",, TRUE), 1, _xlpm.gi))))), "")</f>
        <v/>
      </c>
    </row>
    <row r="944" ht="15.75" customHeight="1">
      <c r="B944" s="17"/>
      <c r="I944" s="5" t="str">
        <f t="array" ref="I944">IFERROR(TEXTJOIN(", ", TRUE, MAKEARRAY(COLUMNS(TEXTSPLIT(G944, ",",, TRUE)), COLUMNS(TEXTSPLIT(H944, ",",, TRUE)), LAMBDA(_xlpm.ri,_xlpm.gi, TRIM(INDEX(TEXTSPLIT(G944, ",",, TRUE), 1, _xlpm.ri)) &amp; "_" &amp; TRIM(INDEX(TEXTSPLIT(H944, ",",, TRUE), 1, _xlpm.gi))))), "")</f>
        <v/>
      </c>
    </row>
    <row r="945" ht="15.75" customHeight="1">
      <c r="B945" s="17"/>
      <c r="I945" s="5" t="str">
        <f t="array" ref="I945">IFERROR(TEXTJOIN(", ", TRUE, MAKEARRAY(COLUMNS(TEXTSPLIT(G945, ",",, TRUE)), COLUMNS(TEXTSPLIT(H945, ",",, TRUE)), LAMBDA(_xlpm.ri,_xlpm.gi, TRIM(INDEX(TEXTSPLIT(G945, ",",, TRUE), 1, _xlpm.ri)) &amp; "_" &amp; TRIM(INDEX(TEXTSPLIT(H945, ",",, TRUE), 1, _xlpm.gi))))), "")</f>
        <v/>
      </c>
    </row>
    <row r="946" ht="15.75" customHeight="1">
      <c r="B946" s="17"/>
      <c r="I946" s="5" t="str">
        <f t="array" ref="I946">IFERROR(TEXTJOIN(", ", TRUE, MAKEARRAY(COLUMNS(TEXTSPLIT(G946, ",",, TRUE)), COLUMNS(TEXTSPLIT(H946, ",",, TRUE)), LAMBDA(_xlpm.ri,_xlpm.gi, TRIM(INDEX(TEXTSPLIT(G946, ",",, TRUE), 1, _xlpm.ri)) &amp; "_" &amp; TRIM(INDEX(TEXTSPLIT(H946, ",",, TRUE), 1, _xlpm.gi))))), "")</f>
        <v/>
      </c>
    </row>
    <row r="947" ht="15.75" customHeight="1">
      <c r="B947" s="17"/>
      <c r="I947" s="5" t="str">
        <f t="array" ref="I947">IFERROR(TEXTJOIN(", ", TRUE, MAKEARRAY(COLUMNS(TEXTSPLIT(G947, ",",, TRUE)), COLUMNS(TEXTSPLIT(H947, ",",, TRUE)), LAMBDA(_xlpm.ri,_xlpm.gi, TRIM(INDEX(TEXTSPLIT(G947, ",",, TRUE), 1, _xlpm.ri)) &amp; "_" &amp; TRIM(INDEX(TEXTSPLIT(H947, ",",, TRUE), 1, _xlpm.gi))))), "")</f>
        <v/>
      </c>
    </row>
    <row r="948" ht="15.75" customHeight="1">
      <c r="B948" s="17"/>
      <c r="I948" s="5" t="str">
        <f t="array" ref="I948">IFERROR(TEXTJOIN(", ", TRUE, MAKEARRAY(COLUMNS(TEXTSPLIT(G948, ",",, TRUE)), COLUMNS(TEXTSPLIT(H948, ",",, TRUE)), LAMBDA(_xlpm.ri,_xlpm.gi, TRIM(INDEX(TEXTSPLIT(G948, ",",, TRUE), 1, _xlpm.ri)) &amp; "_" &amp; TRIM(INDEX(TEXTSPLIT(H948, ",",, TRUE), 1, _xlpm.gi))))), "")</f>
        <v/>
      </c>
    </row>
    <row r="949" ht="15.75" customHeight="1">
      <c r="B949" s="17"/>
      <c r="I949" s="5" t="str">
        <f t="array" ref="I949">IFERROR(TEXTJOIN(", ", TRUE, MAKEARRAY(COLUMNS(TEXTSPLIT(G949, ",",, TRUE)), COLUMNS(TEXTSPLIT(H949, ",",, TRUE)), LAMBDA(_xlpm.ri,_xlpm.gi, TRIM(INDEX(TEXTSPLIT(G949, ",",, TRUE), 1, _xlpm.ri)) &amp; "_" &amp; TRIM(INDEX(TEXTSPLIT(H949, ",",, TRUE), 1, _xlpm.gi))))), "")</f>
        <v/>
      </c>
    </row>
    <row r="950" ht="15.75" customHeight="1">
      <c r="B950" s="17"/>
      <c r="I950" s="5" t="str">
        <f t="array" ref="I950">IFERROR(TEXTJOIN(", ", TRUE, MAKEARRAY(COLUMNS(TEXTSPLIT(G950, ",",, TRUE)), COLUMNS(TEXTSPLIT(H950, ",",, TRUE)), LAMBDA(_xlpm.ri,_xlpm.gi, TRIM(INDEX(TEXTSPLIT(G950, ",",, TRUE), 1, _xlpm.ri)) &amp; "_" &amp; TRIM(INDEX(TEXTSPLIT(H950, ",",, TRUE), 1, _xlpm.gi))))), "")</f>
        <v/>
      </c>
    </row>
    <row r="951" ht="15.75" customHeight="1">
      <c r="B951" s="17"/>
      <c r="I951" s="5" t="str">
        <f t="array" ref="I951">IFERROR(TEXTJOIN(", ", TRUE, MAKEARRAY(COLUMNS(TEXTSPLIT(G951, ",",, TRUE)), COLUMNS(TEXTSPLIT(H951, ",",, TRUE)), LAMBDA(_xlpm.ri,_xlpm.gi, TRIM(INDEX(TEXTSPLIT(G951, ",",, TRUE), 1, _xlpm.ri)) &amp; "_" &amp; TRIM(INDEX(TEXTSPLIT(H951, ",",, TRUE), 1, _xlpm.gi))))), "")</f>
        <v/>
      </c>
    </row>
    <row r="952" ht="15.75" customHeight="1">
      <c r="B952" s="17"/>
      <c r="I952" s="5" t="str">
        <f t="array" ref="I952">IFERROR(TEXTJOIN(", ", TRUE, MAKEARRAY(COLUMNS(TEXTSPLIT(G952, ",",, TRUE)), COLUMNS(TEXTSPLIT(H952, ",",, TRUE)), LAMBDA(_xlpm.ri,_xlpm.gi, TRIM(INDEX(TEXTSPLIT(G952, ",",, TRUE), 1, _xlpm.ri)) &amp; "_" &amp; TRIM(INDEX(TEXTSPLIT(H952, ",",, TRUE), 1, _xlpm.gi))))), "")</f>
        <v/>
      </c>
    </row>
    <row r="953" ht="15.75" customHeight="1">
      <c r="B953" s="17"/>
      <c r="I953" s="5" t="str">
        <f t="array" ref="I953">IFERROR(TEXTJOIN(", ", TRUE, MAKEARRAY(COLUMNS(TEXTSPLIT(G953, ",",, TRUE)), COLUMNS(TEXTSPLIT(H953, ",",, TRUE)), LAMBDA(_xlpm.ri,_xlpm.gi, TRIM(INDEX(TEXTSPLIT(G953, ",",, TRUE), 1, _xlpm.ri)) &amp; "_" &amp; TRIM(INDEX(TEXTSPLIT(H953, ",",, TRUE), 1, _xlpm.gi))))), "")</f>
        <v/>
      </c>
    </row>
    <row r="954" ht="15.75" customHeight="1">
      <c r="B954" s="17"/>
      <c r="I954" s="5" t="str">
        <f t="array" ref="I954">IFERROR(TEXTJOIN(", ", TRUE, MAKEARRAY(COLUMNS(TEXTSPLIT(G954, ",",, TRUE)), COLUMNS(TEXTSPLIT(H954, ",",, TRUE)), LAMBDA(_xlpm.ri,_xlpm.gi, TRIM(INDEX(TEXTSPLIT(G954, ",",, TRUE), 1, _xlpm.ri)) &amp; "_" &amp; TRIM(INDEX(TEXTSPLIT(H954, ",",, TRUE), 1, _xlpm.gi))))), "")</f>
        <v/>
      </c>
    </row>
    <row r="955" ht="15.75" customHeight="1">
      <c r="B955" s="17"/>
      <c r="I955" s="5" t="str">
        <f t="array" ref="I955">IFERROR(TEXTJOIN(", ", TRUE, MAKEARRAY(COLUMNS(TEXTSPLIT(G955, ",",, TRUE)), COLUMNS(TEXTSPLIT(H955, ",",, TRUE)), LAMBDA(_xlpm.ri,_xlpm.gi, TRIM(INDEX(TEXTSPLIT(G955, ",",, TRUE), 1, _xlpm.ri)) &amp; "_" &amp; TRIM(INDEX(TEXTSPLIT(H955, ",",, TRUE), 1, _xlpm.gi))))), "")</f>
        <v/>
      </c>
    </row>
    <row r="956" ht="15.75" customHeight="1">
      <c r="B956" s="17"/>
      <c r="I956" s="5" t="str">
        <f t="array" ref="I956">IFERROR(TEXTJOIN(", ", TRUE, MAKEARRAY(COLUMNS(TEXTSPLIT(G956, ",",, TRUE)), COLUMNS(TEXTSPLIT(H956, ",",, TRUE)), LAMBDA(_xlpm.ri,_xlpm.gi, TRIM(INDEX(TEXTSPLIT(G956, ",",, TRUE), 1, _xlpm.ri)) &amp; "_" &amp; TRIM(INDEX(TEXTSPLIT(H956, ",",, TRUE), 1, _xlpm.gi))))), "")</f>
        <v/>
      </c>
    </row>
    <row r="957" ht="15.75" customHeight="1">
      <c r="B957" s="17"/>
      <c r="I957" s="5" t="str">
        <f t="array" ref="I957">IFERROR(TEXTJOIN(", ", TRUE, MAKEARRAY(COLUMNS(TEXTSPLIT(G957, ",",, TRUE)), COLUMNS(TEXTSPLIT(H957, ",",, TRUE)), LAMBDA(_xlpm.ri,_xlpm.gi, TRIM(INDEX(TEXTSPLIT(G957, ",",, TRUE), 1, _xlpm.ri)) &amp; "_" &amp; TRIM(INDEX(TEXTSPLIT(H957, ",",, TRUE), 1, _xlpm.gi))))), "")</f>
        <v/>
      </c>
    </row>
    <row r="958" ht="15.75" customHeight="1">
      <c r="B958" s="17"/>
      <c r="I958" s="5" t="str">
        <f t="array" ref="I958">IFERROR(TEXTJOIN(", ", TRUE, MAKEARRAY(COLUMNS(TEXTSPLIT(G958, ",",, TRUE)), COLUMNS(TEXTSPLIT(H958, ",",, TRUE)), LAMBDA(_xlpm.ri,_xlpm.gi, TRIM(INDEX(TEXTSPLIT(G958, ",",, TRUE), 1, _xlpm.ri)) &amp; "_" &amp; TRIM(INDEX(TEXTSPLIT(H958, ",",, TRUE), 1, _xlpm.gi))))), "")</f>
        <v/>
      </c>
    </row>
    <row r="959" ht="15.75" customHeight="1">
      <c r="B959" s="17"/>
      <c r="I959" s="5" t="str">
        <f t="array" ref="I959">IFERROR(TEXTJOIN(", ", TRUE, MAKEARRAY(COLUMNS(TEXTSPLIT(G959, ",",, TRUE)), COLUMNS(TEXTSPLIT(H959, ",",, TRUE)), LAMBDA(_xlpm.ri,_xlpm.gi, TRIM(INDEX(TEXTSPLIT(G959, ",",, TRUE), 1, _xlpm.ri)) &amp; "_" &amp; TRIM(INDEX(TEXTSPLIT(H959, ",",, TRUE), 1, _xlpm.gi))))), "")</f>
        <v/>
      </c>
    </row>
    <row r="960" ht="15.75" customHeight="1">
      <c r="B960" s="17"/>
      <c r="I960" s="5" t="str">
        <f t="array" ref="I960">IFERROR(TEXTJOIN(", ", TRUE, MAKEARRAY(COLUMNS(TEXTSPLIT(G960, ",",, TRUE)), COLUMNS(TEXTSPLIT(H960, ",",, TRUE)), LAMBDA(_xlpm.ri,_xlpm.gi, TRIM(INDEX(TEXTSPLIT(G960, ",",, TRUE), 1, _xlpm.ri)) &amp; "_" &amp; TRIM(INDEX(TEXTSPLIT(H960, ",",, TRUE), 1, _xlpm.gi))))), "")</f>
        <v/>
      </c>
    </row>
    <row r="961" ht="15.75" customHeight="1">
      <c r="B961" s="17"/>
      <c r="I961" s="5" t="str">
        <f t="array" ref="I961">IFERROR(TEXTJOIN(", ", TRUE, MAKEARRAY(COLUMNS(TEXTSPLIT(G961, ",",, TRUE)), COLUMNS(TEXTSPLIT(H961, ",",, TRUE)), LAMBDA(_xlpm.ri,_xlpm.gi, TRIM(INDEX(TEXTSPLIT(G961, ",",, TRUE), 1, _xlpm.ri)) &amp; "_" &amp; TRIM(INDEX(TEXTSPLIT(H961, ",",, TRUE), 1, _xlpm.gi))))), "")</f>
        <v/>
      </c>
    </row>
    <row r="962" ht="15.75" customHeight="1">
      <c r="B962" s="17"/>
      <c r="I962" s="5" t="str">
        <f t="array" ref="I962">IFERROR(TEXTJOIN(", ", TRUE, MAKEARRAY(COLUMNS(TEXTSPLIT(G962, ",",, TRUE)), COLUMNS(TEXTSPLIT(H962, ",",, TRUE)), LAMBDA(_xlpm.ri,_xlpm.gi, TRIM(INDEX(TEXTSPLIT(G962, ",",, TRUE), 1, _xlpm.ri)) &amp; "_" &amp; TRIM(INDEX(TEXTSPLIT(H962, ",",, TRUE), 1, _xlpm.gi))))), "")</f>
        <v/>
      </c>
    </row>
    <row r="963" ht="15.75" customHeight="1">
      <c r="B963" s="17"/>
      <c r="I963" s="5" t="str">
        <f t="array" ref="I963">IFERROR(TEXTJOIN(", ", TRUE, MAKEARRAY(COLUMNS(TEXTSPLIT(G963, ",",, TRUE)), COLUMNS(TEXTSPLIT(H963, ",",, TRUE)), LAMBDA(_xlpm.ri,_xlpm.gi, TRIM(INDEX(TEXTSPLIT(G963, ",",, TRUE), 1, _xlpm.ri)) &amp; "_" &amp; TRIM(INDEX(TEXTSPLIT(H963, ",",, TRUE), 1, _xlpm.gi))))), "")</f>
        <v/>
      </c>
    </row>
    <row r="964" ht="15.75" customHeight="1">
      <c r="B964" s="17"/>
      <c r="I964" s="5" t="str">
        <f t="array" ref="I964">IFERROR(TEXTJOIN(", ", TRUE, MAKEARRAY(COLUMNS(TEXTSPLIT(G964, ",",, TRUE)), COLUMNS(TEXTSPLIT(H964, ",",, TRUE)), LAMBDA(_xlpm.ri,_xlpm.gi, TRIM(INDEX(TEXTSPLIT(G964, ",",, TRUE), 1, _xlpm.ri)) &amp; "_" &amp; TRIM(INDEX(TEXTSPLIT(H964, ",",, TRUE), 1, _xlpm.gi))))), "")</f>
        <v/>
      </c>
    </row>
    <row r="965" ht="15.75" customHeight="1">
      <c r="B965" s="17"/>
      <c r="I965" s="5" t="str">
        <f t="array" ref="I965">IFERROR(TEXTJOIN(", ", TRUE, MAKEARRAY(COLUMNS(TEXTSPLIT(G965, ",",, TRUE)), COLUMNS(TEXTSPLIT(H965, ",",, TRUE)), LAMBDA(_xlpm.ri,_xlpm.gi, TRIM(INDEX(TEXTSPLIT(G965, ",",, TRUE), 1, _xlpm.ri)) &amp; "_" &amp; TRIM(INDEX(TEXTSPLIT(H965, ",",, TRUE), 1, _xlpm.gi))))), "")</f>
        <v/>
      </c>
    </row>
    <row r="966" ht="15.75" customHeight="1">
      <c r="B966" s="17"/>
      <c r="I966" s="5" t="str">
        <f t="array" ref="I966">IFERROR(TEXTJOIN(", ", TRUE, MAKEARRAY(COLUMNS(TEXTSPLIT(G966, ",",, TRUE)), COLUMNS(TEXTSPLIT(H966, ",",, TRUE)), LAMBDA(_xlpm.ri,_xlpm.gi, TRIM(INDEX(TEXTSPLIT(G966, ",",, TRUE), 1, _xlpm.ri)) &amp; "_" &amp; TRIM(INDEX(TEXTSPLIT(H966, ",",, TRUE), 1, _xlpm.gi))))), "")</f>
        <v/>
      </c>
    </row>
    <row r="967" ht="15.75" customHeight="1">
      <c r="B967" s="17"/>
      <c r="I967" s="5" t="str">
        <f t="array" ref="I967">IFERROR(TEXTJOIN(", ", TRUE, MAKEARRAY(COLUMNS(TEXTSPLIT(G967, ",",, TRUE)), COLUMNS(TEXTSPLIT(H967, ",",, TRUE)), LAMBDA(_xlpm.ri,_xlpm.gi, TRIM(INDEX(TEXTSPLIT(G967, ",",, TRUE), 1, _xlpm.ri)) &amp; "_" &amp; TRIM(INDEX(TEXTSPLIT(H967, ",",, TRUE), 1, _xlpm.gi))))), "")</f>
        <v/>
      </c>
    </row>
    <row r="968" ht="15.75" customHeight="1">
      <c r="B968" s="17"/>
      <c r="I968" s="5" t="str">
        <f t="array" ref="I968">IFERROR(TEXTJOIN(", ", TRUE, MAKEARRAY(COLUMNS(TEXTSPLIT(G968, ",",, TRUE)), COLUMNS(TEXTSPLIT(H968, ",",, TRUE)), LAMBDA(_xlpm.ri,_xlpm.gi, TRIM(INDEX(TEXTSPLIT(G968, ",",, TRUE), 1, _xlpm.ri)) &amp; "_" &amp; TRIM(INDEX(TEXTSPLIT(H968, ",",, TRUE), 1, _xlpm.gi))))), "")</f>
        <v/>
      </c>
    </row>
    <row r="969" ht="15.75" customHeight="1">
      <c r="B969" s="17"/>
      <c r="I969" s="5" t="str">
        <f t="array" ref="I969">IFERROR(TEXTJOIN(", ", TRUE, MAKEARRAY(COLUMNS(TEXTSPLIT(G969, ",",, TRUE)), COLUMNS(TEXTSPLIT(H969, ",",, TRUE)), LAMBDA(_xlpm.ri,_xlpm.gi, TRIM(INDEX(TEXTSPLIT(G969, ",",, TRUE), 1, _xlpm.ri)) &amp; "_" &amp; TRIM(INDEX(TEXTSPLIT(H969, ",",, TRUE), 1, _xlpm.gi))))), "")</f>
        <v/>
      </c>
    </row>
    <row r="970" ht="15.75" customHeight="1">
      <c r="B970" s="17"/>
      <c r="I970" s="5" t="str">
        <f t="array" ref="I970">IFERROR(TEXTJOIN(", ", TRUE, MAKEARRAY(COLUMNS(TEXTSPLIT(G970, ",",, TRUE)), COLUMNS(TEXTSPLIT(H970, ",",, TRUE)), LAMBDA(_xlpm.ri,_xlpm.gi, TRIM(INDEX(TEXTSPLIT(G970, ",",, TRUE), 1, _xlpm.ri)) &amp; "_" &amp; TRIM(INDEX(TEXTSPLIT(H970, ",",, TRUE), 1, _xlpm.gi))))), "")</f>
        <v/>
      </c>
    </row>
    <row r="971" ht="15.75" customHeight="1">
      <c r="B971" s="17"/>
      <c r="I971" s="5" t="str">
        <f t="array" ref="I971">IFERROR(TEXTJOIN(", ", TRUE, MAKEARRAY(COLUMNS(TEXTSPLIT(G971, ",",, TRUE)), COLUMNS(TEXTSPLIT(H971, ",",, TRUE)), LAMBDA(_xlpm.ri,_xlpm.gi, TRIM(INDEX(TEXTSPLIT(G971, ",",, TRUE), 1, _xlpm.ri)) &amp; "_" &amp; TRIM(INDEX(TEXTSPLIT(H971, ",",, TRUE), 1, _xlpm.gi))))), "")</f>
        <v/>
      </c>
    </row>
    <row r="972" ht="15.75" customHeight="1">
      <c r="B972" s="17"/>
      <c r="I972" s="5" t="str">
        <f t="array" ref="I972">IFERROR(TEXTJOIN(", ", TRUE, MAKEARRAY(COLUMNS(TEXTSPLIT(G972, ",",, TRUE)), COLUMNS(TEXTSPLIT(H972, ",",, TRUE)), LAMBDA(_xlpm.ri,_xlpm.gi, TRIM(INDEX(TEXTSPLIT(G972, ",",, TRUE), 1, _xlpm.ri)) &amp; "_" &amp; TRIM(INDEX(TEXTSPLIT(H972, ",",, TRUE), 1, _xlpm.gi))))), "")</f>
        <v/>
      </c>
    </row>
    <row r="973" ht="15.75" customHeight="1">
      <c r="B973" s="17"/>
      <c r="I973" s="5" t="str">
        <f t="array" ref="I973">IFERROR(TEXTJOIN(", ", TRUE, MAKEARRAY(COLUMNS(TEXTSPLIT(G973, ",",, TRUE)), COLUMNS(TEXTSPLIT(H973, ",",, TRUE)), LAMBDA(_xlpm.ri,_xlpm.gi, TRIM(INDEX(TEXTSPLIT(G973, ",",, TRUE), 1, _xlpm.ri)) &amp; "_" &amp; TRIM(INDEX(TEXTSPLIT(H973, ",",, TRUE), 1, _xlpm.gi))))), "")</f>
        <v/>
      </c>
    </row>
    <row r="974" ht="15.75" customHeight="1">
      <c r="B974" s="17"/>
      <c r="I974" s="5" t="str">
        <f t="array" ref="I974">IFERROR(TEXTJOIN(", ", TRUE, MAKEARRAY(COLUMNS(TEXTSPLIT(G974, ",",, TRUE)), COLUMNS(TEXTSPLIT(H974, ",",, TRUE)), LAMBDA(_xlpm.ri,_xlpm.gi, TRIM(INDEX(TEXTSPLIT(G974, ",",, TRUE), 1, _xlpm.ri)) &amp; "_" &amp; TRIM(INDEX(TEXTSPLIT(H974, ",",, TRUE), 1, _xlpm.gi))))), "")</f>
        <v/>
      </c>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conditionalFormatting sqref="F1 F175:F280 F287:F297 F447 F544:F974">
    <cfRule type="beginsWith" dxfId="0" priority="1" operator="beginsWith" text="(">
      <formula>LEFT((F1),LEN("("))=("(")</formula>
    </cfRule>
  </conditionalFormatting>
  <conditionalFormatting sqref="F175:F280 F287:F297 F447 F544:F974">
    <cfRule type="containsText" dxfId="1" priority="2" operator="containsText" text="Child">
      <formula>NOT(ISERROR(SEARCH(("Child"),(F175))))</formula>
    </cfRule>
  </conditionalFormatting>
  <conditionalFormatting sqref="F175:F280 F287:F297 F447 F544:F974">
    <cfRule type="beginsWith" dxfId="2" priority="3" operator="beginsWith" text="actor">
      <formula>LEFT((F175),LEN("actor"))=("actor")</formula>
    </cfRule>
  </conditionalFormatting>
  <conditionalFormatting sqref="F175:F280 F287:F297 F447 F544:F974">
    <cfRule type="beginsWith" dxfId="3" priority="4" operator="beginsWith" text="Untested">
      <formula>LEFT((F175),LEN("Untested"))=("Untested")</formula>
    </cfRule>
  </conditionalFormatting>
  <conditionalFormatting sqref="F175:F280 F287:F297 F447 F544:F974">
    <cfRule type="beginsWith" dxfId="0" priority="5" operator="beginsWith" text="Not Done">
      <formula>LEFT((F175),LEN("Not Done"))=("Not Done")</formula>
    </cfRule>
  </conditionalFormatting>
  <printOptions/>
  <pageMargins bottom="0.0" footer="0.0" header="0.0" left="0.0" right="0.0" top="0.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38"/>
    <col customWidth="1" min="2" max="2" width="46.63"/>
    <col customWidth="1" min="3" max="3" width="33.88"/>
  </cols>
  <sheetData>
    <row r="1">
      <c r="A1" s="1" t="s">
        <v>0</v>
      </c>
      <c r="B1" s="1" t="s">
        <v>4</v>
      </c>
      <c r="C1" s="1" t="s">
        <v>5</v>
      </c>
    </row>
    <row r="2">
      <c r="A2" s="4" t="s">
        <v>7</v>
      </c>
      <c r="B2" s="6" t="s">
        <v>15</v>
      </c>
      <c r="C2" s="11" t="s">
        <v>21</v>
      </c>
    </row>
    <row r="3">
      <c r="A3" s="4" t="s">
        <v>75</v>
      </c>
      <c r="B3" s="6" t="s">
        <v>77</v>
      </c>
      <c r="C3" s="11" t="s">
        <v>78</v>
      </c>
    </row>
    <row r="4">
      <c r="A4" s="6" t="s">
        <v>95</v>
      </c>
      <c r="B4" s="6" t="s">
        <v>96</v>
      </c>
      <c r="C4" s="11" t="s">
        <v>98</v>
      </c>
    </row>
    <row r="5">
      <c r="A5" s="6" t="s">
        <v>102</v>
      </c>
      <c r="B5" s="6" t="s">
        <v>103</v>
      </c>
      <c r="C5" s="11" t="s">
        <v>104</v>
      </c>
    </row>
    <row r="6">
      <c r="A6" s="6" t="s">
        <v>109</v>
      </c>
      <c r="B6" s="6" t="s">
        <v>110</v>
      </c>
      <c r="C6" s="11" t="s">
        <v>111</v>
      </c>
    </row>
    <row r="7">
      <c r="A7" s="6" t="s">
        <v>115</v>
      </c>
      <c r="B7" s="6" t="s">
        <v>116</v>
      </c>
      <c r="C7" s="11" t="s">
        <v>119</v>
      </c>
    </row>
    <row r="8">
      <c r="A8" s="6" t="s">
        <v>124</v>
      </c>
      <c r="B8" s="6" t="s">
        <v>125</v>
      </c>
      <c r="C8" s="11" t="s">
        <v>126</v>
      </c>
    </row>
    <row r="9">
      <c r="A9" s="6" t="s">
        <v>132</v>
      </c>
      <c r="B9" s="12" t="s">
        <v>134</v>
      </c>
      <c r="C9" s="11" t="s">
        <v>135</v>
      </c>
    </row>
    <row r="10">
      <c r="A10" s="6" t="s">
        <v>142</v>
      </c>
      <c r="B10" s="12" t="s">
        <v>143</v>
      </c>
      <c r="C10" s="11" t="s">
        <v>144</v>
      </c>
    </row>
    <row r="11">
      <c r="A11" s="6" t="s">
        <v>150</v>
      </c>
      <c r="B11" s="12" t="s">
        <v>151</v>
      </c>
      <c r="C11" s="11" t="s">
        <v>153</v>
      </c>
    </row>
    <row r="12">
      <c r="A12" s="6" t="s">
        <v>162</v>
      </c>
      <c r="B12" s="6" t="s">
        <v>164</v>
      </c>
      <c r="C12" s="11" t="s">
        <v>165</v>
      </c>
    </row>
    <row r="13">
      <c r="A13" s="6" t="s">
        <v>171</v>
      </c>
      <c r="B13" s="12" t="s">
        <v>172</v>
      </c>
      <c r="C13" s="11" t="s">
        <v>173</v>
      </c>
    </row>
    <row r="14">
      <c r="A14" s="6" t="s">
        <v>179</v>
      </c>
      <c r="B14" s="12" t="s">
        <v>182</v>
      </c>
      <c r="C14" s="11" t="s">
        <v>183</v>
      </c>
    </row>
    <row r="15">
      <c r="A15" s="6" t="s">
        <v>192</v>
      </c>
      <c r="B15" s="12" t="s">
        <v>194</v>
      </c>
      <c r="C15" s="13" t="s">
        <v>196</v>
      </c>
    </row>
    <row r="16">
      <c r="A16" s="6" t="s">
        <v>203</v>
      </c>
      <c r="B16" s="12" t="s">
        <v>204</v>
      </c>
      <c r="C16" s="11" t="s">
        <v>205</v>
      </c>
    </row>
    <row r="17">
      <c r="A17" s="6" t="s">
        <v>212</v>
      </c>
      <c r="B17" s="12" t="s">
        <v>213</v>
      </c>
      <c r="C17" s="11" t="s">
        <v>214</v>
      </c>
    </row>
    <row r="18">
      <c r="A18" s="6" t="s">
        <v>219</v>
      </c>
      <c r="B18" s="12" t="s">
        <v>221</v>
      </c>
      <c r="C18" s="11" t="s">
        <v>222</v>
      </c>
    </row>
    <row r="19">
      <c r="A19" s="6" t="s">
        <v>230</v>
      </c>
      <c r="B19" s="12" t="s">
        <v>231</v>
      </c>
      <c r="C19" s="11" t="s">
        <v>232</v>
      </c>
    </row>
    <row r="20">
      <c r="A20" s="6" t="s">
        <v>241</v>
      </c>
      <c r="B20" s="12" t="s">
        <v>242</v>
      </c>
      <c r="C20" s="11" t="s">
        <v>243</v>
      </c>
    </row>
    <row r="21">
      <c r="A21" s="6" t="s">
        <v>248</v>
      </c>
      <c r="B21" s="12" t="s">
        <v>249</v>
      </c>
      <c r="C21" s="11" t="s">
        <v>251</v>
      </c>
    </row>
    <row r="22">
      <c r="A22" s="6" t="s">
        <v>257</v>
      </c>
      <c r="B22" s="6" t="s">
        <v>258</v>
      </c>
      <c r="C22" s="11" t="s">
        <v>259</v>
      </c>
    </row>
    <row r="23">
      <c r="A23" s="6" t="s">
        <v>266</v>
      </c>
      <c r="B23" s="6" t="s">
        <v>267</v>
      </c>
      <c r="C23" s="11" t="s">
        <v>269</v>
      </c>
    </row>
    <row r="24">
      <c r="A24" s="6" t="s">
        <v>274</v>
      </c>
      <c r="B24" s="6" t="s">
        <v>275</v>
      </c>
      <c r="C24" s="11" t="s">
        <v>276</v>
      </c>
    </row>
    <row r="25">
      <c r="A25" s="6" t="s">
        <v>284</v>
      </c>
      <c r="B25" s="6" t="s">
        <v>286</v>
      </c>
      <c r="C25" s="11" t="s">
        <v>287</v>
      </c>
    </row>
    <row r="26">
      <c r="A26" s="6" t="s">
        <v>291</v>
      </c>
      <c r="B26" s="6" t="s">
        <v>292</v>
      </c>
      <c r="C26" s="11" t="s">
        <v>294</v>
      </c>
    </row>
    <row r="27">
      <c r="A27" s="6" t="s">
        <v>301</v>
      </c>
      <c r="B27" s="6" t="s">
        <v>302</v>
      </c>
      <c r="C27" s="11" t="s">
        <v>303</v>
      </c>
    </row>
    <row r="28">
      <c r="A28" s="6" t="s">
        <v>307</v>
      </c>
      <c r="B28" s="6" t="s">
        <v>308</v>
      </c>
      <c r="C28" s="11" t="s">
        <v>309</v>
      </c>
    </row>
    <row r="29">
      <c r="A29" s="6" t="s">
        <v>316</v>
      </c>
      <c r="B29" s="6" t="s">
        <v>317</v>
      </c>
      <c r="C29" s="11" t="s">
        <v>319</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9.63"/>
    <col customWidth="1" min="3" max="3" width="31.13"/>
    <col customWidth="1" min="4" max="4" width="26.63"/>
    <col customWidth="1" min="5" max="6" width="12.63"/>
  </cols>
  <sheetData>
    <row r="1" ht="15.75" customHeight="1">
      <c r="A1" s="2" t="s">
        <v>1</v>
      </c>
      <c r="B1" s="2" t="s">
        <v>6</v>
      </c>
      <c r="C1" s="2" t="s">
        <v>8</v>
      </c>
      <c r="D1" s="2" t="s">
        <v>9</v>
      </c>
    </row>
    <row r="2" ht="15.75" customHeight="1">
      <c r="A2" s="5" t="s">
        <v>10</v>
      </c>
      <c r="B2" s="5" t="s">
        <v>10</v>
      </c>
      <c r="C2" s="5"/>
    </row>
    <row r="3" ht="15.75" customHeight="1">
      <c r="A3" s="5" t="s">
        <v>13</v>
      </c>
      <c r="B3" s="5" t="s">
        <v>10</v>
      </c>
      <c r="C3" s="5"/>
    </row>
    <row r="4" ht="15.75" customHeight="1">
      <c r="A4" s="5" t="s">
        <v>16</v>
      </c>
      <c r="B4" s="5" t="s">
        <v>18</v>
      </c>
      <c r="C4" s="5" t="s">
        <v>19</v>
      </c>
      <c r="D4" s="5" t="s">
        <v>22</v>
      </c>
    </row>
    <row r="5" ht="15.75" customHeight="1">
      <c r="A5" s="5" t="s">
        <v>23</v>
      </c>
      <c r="B5" s="5" t="s">
        <v>24</v>
      </c>
      <c r="C5" s="5" t="s">
        <v>27</v>
      </c>
      <c r="D5" s="5" t="s">
        <v>28</v>
      </c>
    </row>
    <row r="6" ht="15.75" customHeight="1">
      <c r="A6" s="5" t="s">
        <v>30</v>
      </c>
      <c r="B6" s="5" t="s">
        <v>24</v>
      </c>
      <c r="C6" s="5" t="s">
        <v>27</v>
      </c>
      <c r="D6" s="5" t="s">
        <v>28</v>
      </c>
    </row>
    <row r="7" ht="15.75" customHeight="1">
      <c r="A7" s="5" t="s">
        <v>34</v>
      </c>
      <c r="B7" s="5" t="s">
        <v>18</v>
      </c>
      <c r="C7" s="5"/>
    </row>
    <row r="8" ht="15.75" customHeight="1">
      <c r="A8" s="5" t="s">
        <v>37</v>
      </c>
      <c r="B8" s="5" t="s">
        <v>18</v>
      </c>
      <c r="C8" s="5" t="s">
        <v>40</v>
      </c>
      <c r="D8" s="5" t="s">
        <v>42</v>
      </c>
    </row>
    <row r="9" ht="15.75" customHeight="1">
      <c r="A9" s="5" t="s">
        <v>45</v>
      </c>
      <c r="B9" s="5" t="s">
        <v>46</v>
      </c>
      <c r="C9" s="5" t="s">
        <v>47</v>
      </c>
      <c r="D9" s="5" t="s">
        <v>48</v>
      </c>
    </row>
    <row r="10" ht="15.75" customHeight="1">
      <c r="A10" s="5" t="s">
        <v>50</v>
      </c>
      <c r="B10" s="5" t="s">
        <v>46</v>
      </c>
      <c r="C10" s="5"/>
    </row>
    <row r="11" ht="15.75" customHeight="1">
      <c r="A11" s="5" t="s">
        <v>51</v>
      </c>
      <c r="B11" s="5" t="s">
        <v>18</v>
      </c>
      <c r="C11" s="5"/>
      <c r="D11" s="5" t="s">
        <v>53</v>
      </c>
    </row>
    <row r="12" ht="15.75" customHeight="1">
      <c r="A12" s="5" t="s">
        <v>55</v>
      </c>
      <c r="B12" s="5" t="s">
        <v>18</v>
      </c>
      <c r="C12" s="5"/>
      <c r="D12" s="5" t="s">
        <v>53</v>
      </c>
    </row>
    <row r="13" ht="15.75" customHeight="1">
      <c r="A13" s="5" t="s">
        <v>57</v>
      </c>
      <c r="B13" s="5" t="s">
        <v>46</v>
      </c>
      <c r="C13" s="5" t="s">
        <v>47</v>
      </c>
      <c r="D13" s="5" t="s">
        <v>48</v>
      </c>
    </row>
    <row r="14" ht="15.75" customHeight="1">
      <c r="A14" s="5" t="s">
        <v>58</v>
      </c>
      <c r="B14" s="5" t="s">
        <v>46</v>
      </c>
      <c r="C14" s="5"/>
    </row>
    <row r="15" ht="15.75" customHeight="1">
      <c r="A15" s="5" t="s">
        <v>59</v>
      </c>
      <c r="B15" s="5" t="s">
        <v>18</v>
      </c>
      <c r="C15" s="5" t="s">
        <v>19</v>
      </c>
      <c r="D15" s="5" t="s">
        <v>42</v>
      </c>
    </row>
    <row r="16" ht="15.75" customHeight="1">
      <c r="A16" s="5" t="s">
        <v>60</v>
      </c>
      <c r="B16" s="5" t="s">
        <v>24</v>
      </c>
      <c r="C16" s="5" t="s">
        <v>27</v>
      </c>
      <c r="D16" s="5" t="s">
        <v>62</v>
      </c>
    </row>
    <row r="17" ht="15.75" customHeight="1">
      <c r="A17" s="5" t="s">
        <v>63</v>
      </c>
      <c r="B17" s="5" t="s">
        <v>18</v>
      </c>
      <c r="C17" s="5"/>
    </row>
    <row r="18" ht="15.75" customHeight="1">
      <c r="A18" s="5" t="s">
        <v>65</v>
      </c>
      <c r="B18" s="5" t="s">
        <v>65</v>
      </c>
      <c r="C18" s="5"/>
    </row>
    <row r="19" ht="15.75" customHeight="1">
      <c r="A19" s="5" t="s">
        <v>67</v>
      </c>
      <c r="B19" s="5" t="s">
        <v>65</v>
      </c>
      <c r="C19" s="5"/>
    </row>
    <row r="20" ht="15.75" customHeight="1">
      <c r="A20" s="5" t="s">
        <v>38</v>
      </c>
      <c r="B20" s="5" t="s">
        <v>18</v>
      </c>
      <c r="C20" s="5" t="s">
        <v>68</v>
      </c>
      <c r="D20" s="5" t="s">
        <v>69</v>
      </c>
    </row>
    <row r="21" ht="15.75" customHeight="1">
      <c r="A21" s="5" t="s">
        <v>71</v>
      </c>
      <c r="B21" s="5" t="s">
        <v>18</v>
      </c>
      <c r="C21" s="5" t="s">
        <v>68</v>
      </c>
      <c r="D21" s="5" t="s">
        <v>22</v>
      </c>
    </row>
    <row r="22" ht="15.75" customHeight="1">
      <c r="A22" s="5" t="s">
        <v>74</v>
      </c>
      <c r="B22" s="5" t="s">
        <v>24</v>
      </c>
      <c r="C22" s="5" t="s">
        <v>76</v>
      </c>
      <c r="D22" s="5" t="s">
        <v>28</v>
      </c>
    </row>
    <row r="23" ht="15.75" customHeight="1">
      <c r="A23" s="5" t="s">
        <v>79</v>
      </c>
      <c r="B23" s="5" t="s">
        <v>18</v>
      </c>
      <c r="C23" s="5"/>
    </row>
    <row r="24" ht="15.75" customHeight="1">
      <c r="A24" s="5" t="s">
        <v>80</v>
      </c>
      <c r="B24" s="5" t="s">
        <v>80</v>
      </c>
      <c r="C24" s="5" t="s">
        <v>81</v>
      </c>
    </row>
    <row r="25" ht="15.75" customHeight="1">
      <c r="A25" s="5" t="s">
        <v>82</v>
      </c>
      <c r="B25" s="5" t="s">
        <v>80</v>
      </c>
      <c r="C25" s="5"/>
    </row>
    <row r="26" ht="15.75" customHeight="1">
      <c r="A26" s="5" t="s">
        <v>83</v>
      </c>
      <c r="B26" s="5" t="s">
        <v>18</v>
      </c>
      <c r="C26" s="5" t="s">
        <v>84</v>
      </c>
      <c r="D26" s="5" t="s">
        <v>85</v>
      </c>
    </row>
    <row r="27" ht="15.75" customHeight="1">
      <c r="A27" s="5" t="s">
        <v>86</v>
      </c>
      <c r="B27" s="5" t="s">
        <v>24</v>
      </c>
      <c r="C27" s="5" t="s">
        <v>87</v>
      </c>
      <c r="D27" s="5" t="s">
        <v>88</v>
      </c>
    </row>
    <row r="28" ht="15.75" customHeight="1">
      <c r="A28" s="5" t="s">
        <v>89</v>
      </c>
      <c r="B28" s="5" t="s">
        <v>18</v>
      </c>
      <c r="C28" s="5"/>
    </row>
    <row r="29" ht="15.75" customHeight="1">
      <c r="A29" s="5" t="s">
        <v>90</v>
      </c>
      <c r="B29" s="5" t="s">
        <v>46</v>
      </c>
      <c r="C29" s="5" t="s">
        <v>91</v>
      </c>
      <c r="D29" s="5" t="s">
        <v>92</v>
      </c>
    </row>
    <row r="30" ht="15.75" customHeight="1">
      <c r="A30" s="5" t="s">
        <v>93</v>
      </c>
      <c r="B30" s="5" t="s">
        <v>46</v>
      </c>
      <c r="C30" s="5"/>
    </row>
    <row r="31" ht="15.75" customHeight="1">
      <c r="A31" s="5" t="s">
        <v>94</v>
      </c>
      <c r="B31" s="5" t="s">
        <v>46</v>
      </c>
      <c r="C31" s="5" t="s">
        <v>97</v>
      </c>
      <c r="D31" s="5" t="s">
        <v>48</v>
      </c>
    </row>
    <row r="32" ht="15.75" customHeight="1">
      <c r="A32" s="5" t="s">
        <v>99</v>
      </c>
      <c r="B32" s="5" t="s">
        <v>18</v>
      </c>
      <c r="C32" s="5" t="s">
        <v>68</v>
      </c>
      <c r="D32" s="5" t="s">
        <v>100</v>
      </c>
    </row>
    <row r="33" ht="15.75" customHeight="1">
      <c r="A33" s="5" t="s">
        <v>101</v>
      </c>
      <c r="B33" s="5" t="s">
        <v>18</v>
      </c>
      <c r="C33" s="5" t="s">
        <v>68</v>
      </c>
      <c r="D33" s="5" t="s">
        <v>69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0.5"/>
  </cols>
  <sheetData>
    <row r="1">
      <c r="A1" s="1" t="s">
        <v>180</v>
      </c>
      <c r="B1" s="1" t="s">
        <v>184</v>
      </c>
      <c r="C1" s="1" t="s">
        <v>186</v>
      </c>
    </row>
    <row r="2">
      <c r="A2" s="6" t="s">
        <v>187</v>
      </c>
      <c r="B2" s="12" t="str">
        <f>IFERROR(__xludf.DUMMYFUNCTION("FILTER(Hairstyles!$F:$F, ISNUMBER(SEARCH(A$2, Hairstyles!$I:$I)))"),"Uvi_Wig_Spell_VHRU_BaldCap")</f>
        <v>Uvi_Wig_Spell_VHRU_BaldCap</v>
      </c>
      <c r="C2" s="12" t="str">
        <f>IFERROR(__xludf.DUMMYFUNCTION("IF($B2="""","""",SUBSTITUTE(SUBSTITUTE(SUBSTITUTE(SUBSTITUTE(INDEX(Hairstyles!$A:$A,MATCH($B2,Hairstyles!$F:$F,0)),"" "",""""),""'"",""""),""("",""""),"")"","""")&amp;""\""&amp;INDEX(SPLIT($A$2,""_""),1)&amp;""\""&amp;INDEX(SPLIT($A$2,""_""),2)&amp;""\""&amp;SUBSTITUTE(SUBSTITUT"&amp;"E(SUBSTITUTE(SUBSTITUTE(SUBSTITUTE(INDEX(Hairstyles!$C:$C,MATCH($B2,Hairstyles!$F:$F,0)),"" "",""""),""'"",""""),""("",""""),"")"",""""),""-"",""_"")&amp;""_""&amp;$A$2)"),"Vanilla\Human\Male\Vanilla_Bald_Human_Male")</f>
        <v>Vanilla\Human\Male\Vanilla_Bald_Human_Male</v>
      </c>
    </row>
    <row r="3">
      <c r="B3" s="12" t="str">
        <f>IFERROR(__xludf.DUMMYFUNCTION("""COMPUTED_VALUE"""),"Uvi_Wig_Spell_VHRU_AfroLarge")</f>
        <v>Uvi_Wig_Spell_VHRU_AfroLarge</v>
      </c>
      <c r="C3" s="12" t="str">
        <f>IFERROR(__xludf.DUMMYFUNCTION("IF($B3="""","""",SUBSTITUTE(SUBSTITUTE(SUBSTITUTE(SUBSTITUTE(INDEX(Hairstyles!$A:$A,MATCH($B3,Hairstyles!$F:$F,0)),"" "",""""),""'"",""""),""("",""""),"")"","""")&amp;""\""&amp;INDEX(SPLIT($A$2,""_""),1)&amp;""\""&amp;INDEX(SPLIT($A$2,""_""),2)&amp;""\""&amp;SUBSTITUTE(SUBSTITUT"&amp;"E(SUBSTITUTE(SUBSTITUTE(SUBSTITUTE(INDEX(Hairstyles!$C:$C,MATCH($B3,Hairstyles!$F:$F,0)),"" "",""""),""'"",""""),""("",""""),"")"",""""),""-"",""_"")&amp;""_""&amp;$A$2)"),"Vanilla\Human\Male\Vanilla_AfroLarge_Human_Male")</f>
        <v>Vanilla\Human\Male\Vanilla_AfroLarge_Human_Male</v>
      </c>
    </row>
    <row r="4">
      <c r="B4" s="12" t="str">
        <f>IFERROR(__xludf.DUMMYFUNCTION("""COMPUTED_VALUE"""),"Uvi_Wig_Spell_VHRU_AfroSmall")</f>
        <v>Uvi_Wig_Spell_VHRU_AfroSmall</v>
      </c>
      <c r="C4" s="12" t="str">
        <f>IFERROR(__xludf.DUMMYFUNCTION("IF($B4="""","""",SUBSTITUTE(SUBSTITUTE(SUBSTITUTE(SUBSTITUTE(INDEX(Hairstyles!$A:$A,MATCH($B4,Hairstyles!$F:$F,0)),"" "",""""),""'"",""""),""("",""""),"")"","""")&amp;""\""&amp;INDEX(SPLIT($A$2,""_""),1)&amp;""\""&amp;INDEX(SPLIT($A$2,""_""),2)&amp;""\""&amp;SUBSTITUTE(SUBSTITUT"&amp;"E(SUBSTITUTE(SUBSTITUTE(SUBSTITUTE(INDEX(Hairstyles!$C:$C,MATCH($B4,Hairstyles!$F:$F,0)),"" "",""""),""'"",""""),""("",""""),"")"",""""),""-"",""_"")&amp;""_""&amp;$A$2)"),"Vanilla\Human\Male\Vanilla_AfroSmall_Human_Male")</f>
        <v>Vanilla\Human\Male\Vanilla_AfroSmall_Human_Male</v>
      </c>
    </row>
    <row r="5">
      <c r="B5" s="12" t="str">
        <f>IFERROR(__xludf.DUMMYFUNCTION("""COMPUTED_VALUE"""),"Uvi_Wig_Spell_VHRU_BaldingBun")</f>
        <v>Uvi_Wig_Spell_VHRU_BaldingBun</v>
      </c>
      <c r="C5" s="12" t="str">
        <f>IFERROR(__xludf.DUMMYFUNCTION("IF($B5="""","""",SUBSTITUTE(SUBSTITUTE(SUBSTITUTE(SUBSTITUTE(INDEX(Hairstyles!$A:$A,MATCH($B5,Hairstyles!$F:$F,0)),"" "",""""),""'"",""""),""("",""""),"")"","""")&amp;""\""&amp;INDEX(SPLIT($A$2,""_""),1)&amp;""\""&amp;INDEX(SPLIT($A$2,""_""),2)&amp;""\""&amp;SUBSTITUTE(SUBSTITUT"&amp;"E(SUBSTITUTE(SUBSTITUTE(SUBSTITUTE(INDEX(Hairstyles!$C:$C,MATCH($B5,Hairstyles!$F:$F,0)),"" "",""""),""'"",""""),""("",""""),"")"",""""),""-"",""_"")&amp;""_""&amp;$A$2)"),"Vanilla\Human\Male\Vanilla_BaldingBun_Human_Male")</f>
        <v>Vanilla\Human\Male\Vanilla_BaldingBun_Human_Male</v>
      </c>
    </row>
    <row r="6">
      <c r="B6" s="12" t="str">
        <f>IFERROR(__xludf.DUMMYFUNCTION("""COMPUTED_VALUE"""),"Uvi_Wig_Spell_VHRU_BaldingLong")</f>
        <v>Uvi_Wig_Spell_VHRU_BaldingLong</v>
      </c>
      <c r="C6" s="12" t="str">
        <f>IFERROR(__xludf.DUMMYFUNCTION("IF($B6="""","""",SUBSTITUTE(SUBSTITUTE(SUBSTITUTE(SUBSTITUTE(INDEX(Hairstyles!$A:$A,MATCH($B6,Hairstyles!$F:$F,0)),"" "",""""),""'"",""""),""("",""""),"")"","""")&amp;""\""&amp;INDEX(SPLIT($A$2,""_""),1)&amp;""\""&amp;INDEX(SPLIT($A$2,""_""),2)&amp;""\""&amp;SUBSTITUTE(SUBSTITUT"&amp;"E(SUBSTITUTE(SUBSTITUTE(SUBSTITUTE(INDEX(Hairstyles!$C:$C,MATCH($B6,Hairstyles!$F:$F,0)),"" "",""""),""'"",""""),""("",""""),"")"",""""),""-"",""_"")&amp;""_""&amp;$A$2)"),"Vanilla\Human\Male\Vanilla_BaldingLong_Human_Male")</f>
        <v>Vanilla\Human\Male\Vanilla_BaldingLong_Human_Male</v>
      </c>
    </row>
    <row r="7">
      <c r="B7" s="12" t="str">
        <f>IFERROR(__xludf.DUMMYFUNCTION("""COMPUTED_VALUE"""),"Uvi_Wig_Spell_VHRU_BaldingPonytailLong")</f>
        <v>Uvi_Wig_Spell_VHRU_BaldingPonytailLong</v>
      </c>
      <c r="C7" s="12" t="str">
        <f>IFERROR(__xludf.DUMMYFUNCTION("IF($B7="""","""",SUBSTITUTE(SUBSTITUTE(SUBSTITUTE(SUBSTITUTE(INDEX(Hairstyles!$A:$A,MATCH($B7,Hairstyles!$F:$F,0)),"" "",""""),""'"",""""),""("",""""),"")"","""")&amp;""\""&amp;INDEX(SPLIT($A$2,""_""),1)&amp;""\""&amp;INDEX(SPLIT($A$2,""_""),2)&amp;""\""&amp;SUBSTITUTE(SUBSTITUT"&amp;"E(SUBSTITUTE(SUBSTITUTE(SUBSTITUTE(INDEX(Hairstyles!$C:$C,MATCH($B7,Hairstyles!$F:$F,0)),"" "",""""),""'"",""""),""("",""""),"")"",""""),""-"",""_"")&amp;""_""&amp;$A$2)"),"Vanilla\Human\Male\Vanilla_BaldingPonytailLong_Human_Male")</f>
        <v>Vanilla\Human\Male\Vanilla_BaldingPonytailLong_Human_Male</v>
      </c>
    </row>
    <row r="8">
      <c r="B8" s="12" t="str">
        <f>IFERROR(__xludf.DUMMYFUNCTION("""COMPUTED_VALUE"""),"Uvi_Wig_Spell_VHRU_BaldingShort1")</f>
        <v>Uvi_Wig_Spell_VHRU_BaldingShort1</v>
      </c>
      <c r="C8" s="12" t="str">
        <f>IFERROR(__xludf.DUMMYFUNCTION("IF($B8="""","""",SUBSTITUTE(SUBSTITUTE(SUBSTITUTE(SUBSTITUTE(INDEX(Hairstyles!$A:$A,MATCH($B8,Hairstyles!$F:$F,0)),"" "",""""),""'"",""""),""("",""""),"")"","""")&amp;""\""&amp;INDEX(SPLIT($A$2,""_""),1)&amp;""\""&amp;INDEX(SPLIT($A$2,""_""),2)&amp;""\""&amp;SUBSTITUTE(SUBSTITUT"&amp;"E(SUBSTITUTE(SUBSTITUTE(SUBSTITUTE(INDEX(Hairstyles!$C:$C,MATCH($B8,Hairstyles!$F:$F,0)),"" "",""""),""'"",""""),""("",""""),"")"",""""),""-"",""_"")&amp;""_""&amp;$A$2)"),"Vanilla\Human\Male\Vanilla_BaldingShort1_Human_Male")</f>
        <v>Vanilla\Human\Male\Vanilla_BaldingShort1_Human_Male</v>
      </c>
    </row>
    <row r="9">
      <c r="B9" s="12" t="str">
        <f>IFERROR(__xludf.DUMMYFUNCTION("""COMPUTED_VALUE"""),"Uvi_Wig_Spell_VHRU_BaldingShort2")</f>
        <v>Uvi_Wig_Spell_VHRU_BaldingShort2</v>
      </c>
      <c r="C9" s="12" t="str">
        <f>IFERROR(__xludf.DUMMYFUNCTION("IF($B9="""","""",SUBSTITUTE(SUBSTITUTE(SUBSTITUTE(SUBSTITUTE(INDEX(Hairstyles!$A:$A,MATCH($B9,Hairstyles!$F:$F,0)),"" "",""""),""'"",""""),""("",""""),"")"","""")&amp;""\""&amp;INDEX(SPLIT($A$2,""_""),1)&amp;""\""&amp;INDEX(SPLIT($A$2,""_""),2)&amp;""\""&amp;SUBSTITUTE(SUBSTITUT"&amp;"E(SUBSTITUTE(SUBSTITUTE(SUBSTITUTE(INDEX(Hairstyles!$C:$C,MATCH($B9,Hairstyles!$F:$F,0)),"" "",""""),""'"",""""),""("",""""),"")"",""""),""-"",""_"")&amp;""_""&amp;$A$2)"),"Vanilla\Human\Male\Vanilla_BaldingShort2_Human_Male")</f>
        <v>Vanilla\Human\Male\Vanilla_BaldingShort2_Human_Male</v>
      </c>
    </row>
    <row r="10">
      <c r="B10" s="12" t="str">
        <f>IFERROR(__xludf.DUMMYFUNCTION("""COMPUTED_VALUE"""),"Uvi_Wig_Spell_VHRU_BaldingShort3")</f>
        <v>Uvi_Wig_Spell_VHRU_BaldingShort3</v>
      </c>
      <c r="C10" s="12" t="str">
        <f>IFERROR(__xludf.DUMMYFUNCTION("IF($B10="""","""",SUBSTITUTE(SUBSTITUTE(SUBSTITUTE(SUBSTITUTE(INDEX(Hairstyles!$A:$A,MATCH($B10,Hairstyles!$F:$F,0)),"" "",""""),""'"",""""),""("",""""),"")"","""")&amp;""\""&amp;INDEX(SPLIT($A$2,""_""),1)&amp;""\""&amp;INDEX(SPLIT($A$2,""_""),2)&amp;""\""&amp;SUBSTITUTE(SUBSTIT"&amp;"UTE(SUBSTITUTE(SUBSTITUTE(SUBSTITUTE(INDEX(Hairstyles!$C:$C,MATCH($B10,Hairstyles!$F:$F,0)),"" "",""""),""'"",""""),""("",""""),"")"",""""),""-"",""_"")&amp;""_""&amp;$A$2)"),"Vanilla\Human\Male\Vanilla_BaldingShort3_Human_Male")</f>
        <v>Vanilla\Human\Male\Vanilla_BaldingShort3_Human_Male</v>
      </c>
    </row>
    <row r="11">
      <c r="B11" s="12" t="str">
        <f>IFERROR(__xludf.DUMMYFUNCTION("""COMPUTED_VALUE"""),"Uvi_Wig_Spell_VHRU_BaldingShort4")</f>
        <v>Uvi_Wig_Spell_VHRU_BaldingShort4</v>
      </c>
      <c r="C11" s="12" t="str">
        <f>IFERROR(__xludf.DUMMYFUNCTION("IF($B11="""","""",SUBSTITUTE(SUBSTITUTE(SUBSTITUTE(SUBSTITUTE(INDEX(Hairstyles!$A:$A,MATCH($B11,Hairstyles!$F:$F,0)),"" "",""""),""'"",""""),""("",""""),"")"","""")&amp;""\""&amp;INDEX(SPLIT($A$2,""_""),1)&amp;""\""&amp;INDEX(SPLIT($A$2,""_""),2)&amp;""\""&amp;SUBSTITUTE(SUBSTIT"&amp;"UTE(SUBSTITUTE(SUBSTITUTE(SUBSTITUTE(INDEX(Hairstyles!$C:$C,MATCH($B11,Hairstyles!$F:$F,0)),"" "",""""),""'"",""""),""("",""""),"")"",""""),""-"",""_"")&amp;""_""&amp;$A$2)"),"Vanilla\Human\Male\Vanilla_BaldingShort4_Human_Male")</f>
        <v>Vanilla\Human\Male\Vanilla_BaldingShort4_Human_Male</v>
      </c>
    </row>
    <row r="12">
      <c r="B12" s="12" t="str">
        <f>IFERROR(__xludf.DUMMYFUNCTION("""COMPUTED_VALUE"""),"Uvi_Wig_Spell_VHRU_BaldingShort5")</f>
        <v>Uvi_Wig_Spell_VHRU_BaldingShort5</v>
      </c>
      <c r="C12" s="12" t="str">
        <f>IFERROR(__xludf.DUMMYFUNCTION("IF($B12="""","""",SUBSTITUTE(SUBSTITUTE(SUBSTITUTE(SUBSTITUTE(INDEX(Hairstyles!$A:$A,MATCH($B12,Hairstyles!$F:$F,0)),"" "",""""),""'"",""""),""("",""""),"")"","""")&amp;""\""&amp;INDEX(SPLIT($A$2,""_""),1)&amp;""\""&amp;INDEX(SPLIT($A$2,""_""),2)&amp;""\""&amp;SUBSTITUTE(SUBSTIT"&amp;"UTE(SUBSTITUTE(SUBSTITUTE(SUBSTITUTE(INDEX(Hairstyles!$C:$C,MATCH($B12,Hairstyles!$F:$F,0)),"" "",""""),""'"",""""),""("",""""),"")"",""""),""-"",""_"")&amp;""_""&amp;$A$2)"),"Vanilla\Human\Male\Vanilla_BaldingShort5_Human_Male")</f>
        <v>Vanilla\Human\Male\Vanilla_BaldingShort5_Human_Male</v>
      </c>
    </row>
    <row r="13">
      <c r="B13" s="12" t="str">
        <f>IFERROR(__xludf.DUMMYFUNCTION("""COMPUTED_VALUE"""),"Uvi_Wig_Spell_VHRU_CornRowMohawk")</f>
        <v>Uvi_Wig_Spell_VHRU_CornRowMohawk</v>
      </c>
      <c r="C13" s="12" t="str">
        <f>IFERROR(__xludf.DUMMYFUNCTION("IF($B13="""","""",SUBSTITUTE(SUBSTITUTE(SUBSTITUTE(SUBSTITUTE(INDEX(Hairstyles!$A:$A,MATCH($B13,Hairstyles!$F:$F,0)),"" "",""""),""'"",""""),""("",""""),"")"","""")&amp;""\""&amp;INDEX(SPLIT($A$2,""_""),1)&amp;""\""&amp;INDEX(SPLIT($A$2,""_""),2)&amp;""\""&amp;SUBSTITUTE(SUBSTIT"&amp;"UTE(SUBSTITUTE(SUBSTITUTE(SUBSTITUTE(INDEX(Hairstyles!$C:$C,MATCH($B13,Hairstyles!$F:$F,0)),"" "",""""),""'"",""""),""("",""""),"")"",""""),""-"",""_"")&amp;""_""&amp;$A$2)"),"Vanilla\Human\Male\Vanilla_CornRowMohawk_Human_Male")</f>
        <v>Vanilla\Human\Male\Vanilla_CornRowMohawk_Human_Male</v>
      </c>
    </row>
    <row r="14">
      <c r="B14" s="12" t="str">
        <f>IFERROR(__xludf.DUMMYFUNCTION("""COMPUTED_VALUE"""),"Uvi_Wig_Spell_VHRU_CornRows")</f>
        <v>Uvi_Wig_Spell_VHRU_CornRows</v>
      </c>
      <c r="C14" s="12" t="str">
        <f>IFERROR(__xludf.DUMMYFUNCTION("IF($B14="""","""",SUBSTITUTE(SUBSTITUTE(SUBSTITUTE(SUBSTITUTE(INDEX(Hairstyles!$A:$A,MATCH($B14,Hairstyles!$F:$F,0)),"" "",""""),""'"",""""),""("",""""),"")"","""")&amp;""\""&amp;INDEX(SPLIT($A$2,""_""),1)&amp;""\""&amp;INDEX(SPLIT($A$2,""_""),2)&amp;""\""&amp;SUBSTITUTE(SUBSTIT"&amp;"UTE(SUBSTITUTE(SUBSTITUTE(SUBSTITUTE(INDEX(Hairstyles!$C:$C,MATCH($B14,Hairstyles!$F:$F,0)),"" "",""""),""'"",""""),""("",""""),"")"",""""),""-"",""_"")&amp;""_""&amp;$A$2)"),"Vanilla\Human\Male\Vanilla_CornRows_Human_Male")</f>
        <v>Vanilla\Human\Male\Vanilla_CornRows_Human_Male</v>
      </c>
    </row>
    <row r="15">
      <c r="B15" s="12" t="str">
        <f>IFERROR(__xludf.DUMMYFUNCTION("""COMPUTED_VALUE"""),"Uvi_Wig_Spell_VHRU_DreadlockMohawk")</f>
        <v>Uvi_Wig_Spell_VHRU_DreadlockMohawk</v>
      </c>
      <c r="C15" s="12" t="str">
        <f>IFERROR(__xludf.DUMMYFUNCTION("IF($B15="""","""",SUBSTITUTE(SUBSTITUTE(SUBSTITUTE(SUBSTITUTE(INDEX(Hairstyles!$A:$A,MATCH($B15,Hairstyles!$F:$F,0)),"" "",""""),""'"",""""),""("",""""),"")"","""")&amp;""\""&amp;INDEX(SPLIT($A$2,""_""),1)&amp;""\""&amp;INDEX(SPLIT($A$2,""_""),2)&amp;""\""&amp;SUBSTITUTE(SUBSTIT"&amp;"UTE(SUBSTITUTE(SUBSTITUTE(SUBSTITUTE(INDEX(Hairstyles!$C:$C,MATCH($B15,Hairstyles!$F:$F,0)),"" "",""""),""'"",""""),""("",""""),"")"",""""),""-"",""_"")&amp;""_""&amp;$A$2)"),"Vanilla\Human\Male\Vanilla_DreadlockMohawk_Human_Male")</f>
        <v>Vanilla\Human\Male\Vanilla_DreadlockMohawk_Human_Male</v>
      </c>
    </row>
    <row r="16">
      <c r="B16" s="12" t="str">
        <f>IFERROR(__xludf.DUMMYFUNCTION("""COMPUTED_VALUE"""),"Uvi_Wig_Spell_VHRU_DreadlockPonytail")</f>
        <v>Uvi_Wig_Spell_VHRU_DreadlockPonytail</v>
      </c>
      <c r="C16" s="12" t="str">
        <f>IFERROR(__xludf.DUMMYFUNCTION("IF($B16="""","""",SUBSTITUTE(SUBSTITUTE(SUBSTITUTE(SUBSTITUTE(INDEX(Hairstyles!$A:$A,MATCH($B16,Hairstyles!$F:$F,0)),"" "",""""),""'"",""""),""("",""""),"")"","""")&amp;""\""&amp;INDEX(SPLIT($A$2,""_""),1)&amp;""\""&amp;INDEX(SPLIT($A$2,""_""),2)&amp;""\""&amp;SUBSTITUTE(SUBSTIT"&amp;"UTE(SUBSTITUTE(SUBSTITUTE(SUBSTITUTE(INDEX(Hairstyles!$C:$C,MATCH($B16,Hairstyles!$F:$F,0)),"" "",""""),""'"",""""),""("",""""),"")"",""""),""-"",""_"")&amp;""_""&amp;$A$2)"),"Vanilla\Human\Male\Vanilla_DreadlockPonytail_Human_Male")</f>
        <v>Vanilla\Human\Male\Vanilla_DreadlockPonytail_Human_Male</v>
      </c>
    </row>
    <row r="17">
      <c r="B17" s="12" t="str">
        <f>IFERROR(__xludf.DUMMYFUNCTION("""COMPUTED_VALUE"""),"Uvi_Wig_Spell_VHRU_FrenchBraids")</f>
        <v>Uvi_Wig_Spell_VHRU_FrenchBraids</v>
      </c>
      <c r="C17" s="12" t="str">
        <f>IFERROR(__xludf.DUMMYFUNCTION("IF($B17="""","""",SUBSTITUTE(SUBSTITUTE(SUBSTITUTE(SUBSTITUTE(INDEX(Hairstyles!$A:$A,MATCH($B17,Hairstyles!$F:$F,0)),"" "",""""),""'"",""""),""("",""""),"")"","""")&amp;""\""&amp;INDEX(SPLIT($A$2,""_""),1)&amp;""\""&amp;INDEX(SPLIT($A$2,""_""),2)&amp;""\""&amp;SUBSTITUTE(SUBSTIT"&amp;"UTE(SUBSTITUTE(SUBSTITUTE(SUBSTITUTE(INDEX(Hairstyles!$C:$C,MATCH($B17,Hairstyles!$F:$F,0)),"" "",""""),""'"",""""),""("",""""),"")"",""""),""-"",""_"")&amp;""_""&amp;$A$2)"),"Vanilla\Human\Male\Vanilla_FrenchBraids_Human_Male")</f>
        <v>Vanilla\Human\Male\Vanilla_FrenchBraids_Human_Male</v>
      </c>
    </row>
    <row r="18">
      <c r="B18" s="12" t="str">
        <f>IFERROR(__xludf.DUMMYFUNCTION("""COMPUTED_VALUE"""),"Uvi_Wig_Spell_VHRU_FrenchBraidsHigh")</f>
        <v>Uvi_Wig_Spell_VHRU_FrenchBraidsHigh</v>
      </c>
      <c r="C18" s="12" t="str">
        <f>IFERROR(__xludf.DUMMYFUNCTION("IF($B18="""","""",SUBSTITUTE(SUBSTITUTE(SUBSTITUTE(SUBSTITUTE(INDEX(Hairstyles!$A:$A,MATCH($B18,Hairstyles!$F:$F,0)),"" "",""""),""'"",""""),""("",""""),"")"","""")&amp;""\""&amp;INDEX(SPLIT($A$2,""_""),1)&amp;""\""&amp;INDEX(SPLIT($A$2,""_""),2)&amp;""\""&amp;SUBSTITUTE(SUBSTIT"&amp;"UTE(SUBSTITUTE(SUBSTITUTE(SUBSTITUTE(INDEX(Hairstyles!$C:$C,MATCH($B18,Hairstyles!$F:$F,0)),"" "",""""),""'"",""""),""("",""""),"")"",""""),""-"",""_"")&amp;""_""&amp;$A$2)"),"Vanilla\Human\Male\Vanilla_FrenchBraidsHigh_Human_Male")</f>
        <v>Vanilla\Human\Male\Vanilla_FrenchBraidsHigh_Human_Male</v>
      </c>
    </row>
    <row r="19">
      <c r="B19" s="12" t="str">
        <f>IFERROR(__xludf.DUMMYFUNCTION("""COMPUTED_VALUE"""),"Uvi_Wig_Spell_VHRU_FrenchBraidsPonytail")</f>
        <v>Uvi_Wig_Spell_VHRU_FrenchBraidsPonytail</v>
      </c>
      <c r="C19" s="12" t="str">
        <f>IFERROR(__xludf.DUMMYFUNCTION("IF($B19="""","""",SUBSTITUTE(SUBSTITUTE(SUBSTITUTE(SUBSTITUTE(INDEX(Hairstyles!$A:$A,MATCH($B19,Hairstyles!$F:$F,0)),"" "",""""),""'"",""""),""("",""""),"")"","""")&amp;""\""&amp;INDEX(SPLIT($A$2,""_""),1)&amp;""\""&amp;INDEX(SPLIT($A$2,""_""),2)&amp;""\""&amp;SUBSTITUTE(SUBSTIT"&amp;"UTE(SUBSTITUTE(SUBSTITUTE(SUBSTITUTE(INDEX(Hairstyles!$C:$C,MATCH($B19,Hairstyles!$F:$F,0)),"" "",""""),""'"",""""),""("",""""),"")"",""""),""-"",""_"")&amp;""_""&amp;$A$2)"),"Vanilla\Human\Male\Vanilla_FrenchBraidsPonytail_Human_Male")</f>
        <v>Vanilla\Human\Male\Vanilla_FrenchBraidsPonytail_Human_Male</v>
      </c>
    </row>
    <row r="20">
      <c r="B20" s="12" t="str">
        <f>IFERROR(__xludf.DUMMYFUNCTION("""COMPUTED_VALUE"""),"Uvi_Wig_Spell_VHRU_FrenchBraidsSmall")</f>
        <v>Uvi_Wig_Spell_VHRU_FrenchBraidsSmall</v>
      </c>
      <c r="C20" s="12" t="str">
        <f>IFERROR(__xludf.DUMMYFUNCTION("IF($B20="""","""",SUBSTITUTE(SUBSTITUTE(SUBSTITUTE(SUBSTITUTE(INDEX(Hairstyles!$A:$A,MATCH($B20,Hairstyles!$F:$F,0)),"" "",""""),""'"",""""),""("",""""),"")"","""")&amp;""\""&amp;INDEX(SPLIT($A$2,""_""),1)&amp;""\""&amp;INDEX(SPLIT($A$2,""_""),2)&amp;""\""&amp;SUBSTITUTE(SUBSTIT"&amp;"UTE(SUBSTITUTE(SUBSTITUTE(SUBSTITUTE(INDEX(Hairstyles!$C:$C,MATCH($B20,Hairstyles!$F:$F,0)),"" "",""""),""'"",""""),""("",""""),"")"",""""),""-"",""_"")&amp;""_""&amp;$A$2)"),"Vanilla\Human\Male\Vanilla_FrenchBraidsSmall_Human_Male")</f>
        <v>Vanilla\Human\Male\Vanilla_FrenchBraidsSmall_Human_Male</v>
      </c>
    </row>
    <row r="21">
      <c r="B21" s="12" t="str">
        <f>IFERROR(__xludf.DUMMYFUNCTION("""COMPUTED_VALUE"""),"Uvi_Wig_Spell_VHRU_LooseBun")</f>
        <v>Uvi_Wig_Spell_VHRU_LooseBun</v>
      </c>
      <c r="C21" s="12" t="str">
        <f>IFERROR(__xludf.DUMMYFUNCTION("IF($B21="""","""",SUBSTITUTE(SUBSTITUTE(SUBSTITUTE(SUBSTITUTE(INDEX(Hairstyles!$A:$A,MATCH($B21,Hairstyles!$F:$F,0)),"" "",""""),""'"",""""),""("",""""),"")"","""")&amp;""\""&amp;INDEX(SPLIT($A$2,""_""),1)&amp;""\""&amp;INDEX(SPLIT($A$2,""_""),2)&amp;""\""&amp;SUBSTITUTE(SUBSTIT"&amp;"UTE(SUBSTITUTE(SUBSTITUTE(SUBSTITUTE(INDEX(Hairstyles!$C:$C,MATCH($B21,Hairstyles!$F:$F,0)),"" "",""""),""'"",""""),""("",""""),"")"",""""),""-"",""_"")&amp;""_""&amp;$A$2)"),"Vanilla\Human\Male\Vanilla_LooseBun_Human_Male")</f>
        <v>Vanilla\Human\Male\Vanilla_LooseBun_Human_Male</v>
      </c>
    </row>
    <row r="22">
      <c r="B22" s="12" t="str">
        <f>IFERROR(__xludf.DUMMYFUNCTION("""COMPUTED_VALUE"""),"Uvi_Wig_Spell_VHRU_MohawkLong")</f>
        <v>Uvi_Wig_Spell_VHRU_MohawkLong</v>
      </c>
      <c r="C22" s="12" t="str">
        <f>IFERROR(__xludf.DUMMYFUNCTION("IF($B22="""","""",SUBSTITUTE(SUBSTITUTE(SUBSTITUTE(SUBSTITUTE(INDEX(Hairstyles!$A:$A,MATCH($B22,Hairstyles!$F:$F,0)),"" "",""""),""'"",""""),""("",""""),"")"","""")&amp;""\""&amp;INDEX(SPLIT($A$2,""_""),1)&amp;""\""&amp;INDEX(SPLIT($A$2,""_""),2)&amp;""\""&amp;SUBSTITUTE(SUBSTIT"&amp;"UTE(SUBSTITUTE(SUBSTITUTE(SUBSTITUTE(INDEX(Hairstyles!$C:$C,MATCH($B22,Hairstyles!$F:$F,0)),"" "",""""),""'"",""""),""("",""""),"")"",""""),""-"",""_"")&amp;""_""&amp;$A$2)"),"Vanilla\Human\Male\Vanilla_MohawkLong_Human_Male")</f>
        <v>Vanilla\Human\Male\Vanilla_MohawkLong_Human_Male</v>
      </c>
    </row>
    <row r="23">
      <c r="B23" s="12" t="str">
        <f>IFERROR(__xludf.DUMMYFUNCTION("""COMPUTED_VALUE"""),"Uvi_Wig_Spell_VHRU_MohawkMessyLongBraid")</f>
        <v>Uvi_Wig_Spell_VHRU_MohawkMessyLongBraid</v>
      </c>
      <c r="C23" s="12" t="str">
        <f>IFERROR(__xludf.DUMMYFUNCTION("IF($B23="""","""",SUBSTITUTE(SUBSTITUTE(SUBSTITUTE(SUBSTITUTE(INDEX(Hairstyles!$A:$A,MATCH($B23,Hairstyles!$F:$F,0)),"" "",""""),""'"",""""),""("",""""),"")"","""")&amp;""\""&amp;INDEX(SPLIT($A$2,""_""),1)&amp;""\""&amp;INDEX(SPLIT($A$2,""_""),2)&amp;""\""&amp;SUBSTITUTE(SUBSTIT"&amp;"UTE(SUBSTITUTE(SUBSTITUTE(SUBSTITUTE(INDEX(Hairstyles!$C:$C,MATCH($B23,Hairstyles!$F:$F,0)),"" "",""""),""'"",""""),""("",""""),"")"",""""),""-"",""_"")&amp;""_""&amp;$A$2)"),"Vanilla\Human\Male\Vanilla_MohawkMessyLongBraid_Human_Male")</f>
        <v>Vanilla\Human\Male\Vanilla_MohawkMessyLongBraid_Human_Male</v>
      </c>
    </row>
    <row r="24">
      <c r="B24" s="12" t="str">
        <f>IFERROR(__xludf.DUMMYFUNCTION("""COMPUTED_VALUE"""),"Uvi_Wig_Spell_VHRU_MohawkMessyRingedBraids")</f>
        <v>Uvi_Wig_Spell_VHRU_MohawkMessyRingedBraids</v>
      </c>
      <c r="C24" s="12" t="str">
        <f>IFERROR(__xludf.DUMMYFUNCTION("IF($B24="""","""",SUBSTITUTE(SUBSTITUTE(SUBSTITUTE(SUBSTITUTE(INDEX(Hairstyles!$A:$A,MATCH($B24,Hairstyles!$F:$F,0)),"" "",""""),""'"",""""),""("",""""),"")"","""")&amp;""\""&amp;INDEX(SPLIT($A$2,""_""),1)&amp;""\""&amp;INDEX(SPLIT($A$2,""_""),2)&amp;""\""&amp;SUBSTITUTE(SUBSTIT"&amp;"UTE(SUBSTITUTE(SUBSTITUTE(SUBSTITUTE(INDEX(Hairstyles!$C:$C,MATCH($B24,Hairstyles!$F:$F,0)),"" "",""""),""'"",""""),""("",""""),"")"",""""),""-"",""_"")&amp;""_""&amp;$A$2)"),"Vanilla\Human\Male\Vanilla_MohawkMessyRingedBraids_Human_Male")</f>
        <v>Vanilla\Human\Male\Vanilla_MohawkMessyRingedBraids_Human_Male</v>
      </c>
    </row>
    <row r="25">
      <c r="B25" s="12" t="str">
        <f>IFERROR(__xludf.DUMMYFUNCTION("""COMPUTED_VALUE"""),"Uvi_Wig_Spell_VHRU_MohawkMessySideBraids")</f>
        <v>Uvi_Wig_Spell_VHRU_MohawkMessySideBraids</v>
      </c>
      <c r="C25" s="12" t="str">
        <f>IFERROR(__xludf.DUMMYFUNCTION("IF($B25="""","""",SUBSTITUTE(SUBSTITUTE(SUBSTITUTE(SUBSTITUTE(INDEX(Hairstyles!$A:$A,MATCH($B25,Hairstyles!$F:$F,0)),"" "",""""),""'"",""""),""("",""""),"")"","""")&amp;""\""&amp;INDEX(SPLIT($A$2,""_""),1)&amp;""\""&amp;INDEX(SPLIT($A$2,""_""),2)&amp;""\""&amp;SUBSTITUTE(SUBSTIT"&amp;"UTE(SUBSTITUTE(SUBSTITUTE(SUBSTITUTE(INDEX(Hairstyles!$C:$C,MATCH($B25,Hairstyles!$F:$F,0)),"" "",""""),""'"",""""),""("",""""),"")"",""""),""-"",""_"")&amp;""_""&amp;$A$2)"),"Vanilla\Human\Male\Vanilla_MohawkMessySideBraids_Human_Male")</f>
        <v>Vanilla\Human\Male\Vanilla_MohawkMessySideBraids_Human_Male</v>
      </c>
    </row>
    <row r="26">
      <c r="B26" s="12" t="str">
        <f>IFERROR(__xludf.DUMMYFUNCTION("""COMPUTED_VALUE"""),"Uvi_Wig_Spell_VHRU_MohawkMullet")</f>
        <v>Uvi_Wig_Spell_VHRU_MohawkMullet</v>
      </c>
      <c r="C26" s="12" t="str">
        <f>IFERROR(__xludf.DUMMYFUNCTION("IF($B26="""","""",SUBSTITUTE(SUBSTITUTE(SUBSTITUTE(SUBSTITUTE(INDEX(Hairstyles!$A:$A,MATCH($B26,Hairstyles!$F:$F,0)),"" "",""""),""'"",""""),""("",""""),"")"","""")&amp;""\""&amp;INDEX(SPLIT($A$2,""_""),1)&amp;""\""&amp;INDEX(SPLIT($A$2,""_""),2)&amp;""\""&amp;SUBSTITUTE(SUBSTIT"&amp;"UTE(SUBSTITUTE(SUBSTITUTE(SUBSTITUTE(INDEX(Hairstyles!$C:$C,MATCH($B26,Hairstyles!$F:$F,0)),"" "",""""),""'"",""""),""("",""""),"")"",""""),""-"",""_"")&amp;""_""&amp;$A$2)"),"Vanilla\Human\Male\Vanilla_MohawkMullet_Human_Male")</f>
        <v>Vanilla\Human\Male\Vanilla_MohawkMullet_Human_Male</v>
      </c>
    </row>
    <row r="27">
      <c r="B27" s="12" t="str">
        <f>IFERROR(__xludf.DUMMYFUNCTION("""COMPUTED_VALUE"""),"Uvi_Wig_Spell_VHRU_MohawkMulletSideBraids")</f>
        <v>Uvi_Wig_Spell_VHRU_MohawkMulletSideBraids</v>
      </c>
      <c r="C27" s="12" t="str">
        <f>IFERROR(__xludf.DUMMYFUNCTION("IF($B27="""","""",SUBSTITUTE(SUBSTITUTE(SUBSTITUTE(SUBSTITUTE(INDEX(Hairstyles!$A:$A,MATCH($B27,Hairstyles!$F:$F,0)),"" "",""""),""'"",""""),""("",""""),"")"","""")&amp;""\""&amp;INDEX(SPLIT($A$2,""_""),1)&amp;""\""&amp;INDEX(SPLIT($A$2,""_""),2)&amp;""\""&amp;SUBSTITUTE(SUBSTIT"&amp;"UTE(SUBSTITUTE(SUBSTITUTE(SUBSTITUTE(INDEX(Hairstyles!$C:$C,MATCH($B27,Hairstyles!$F:$F,0)),"" "",""""),""'"",""""),""("",""""),"")"",""""),""-"",""_"")&amp;""_""&amp;$A$2)"),"Vanilla\Human\Male\Vanilla_MohawkMulletSideBraids_Human_Male")</f>
        <v>Vanilla\Human\Male\Vanilla_MohawkMulletSideBraids_Human_Male</v>
      </c>
    </row>
    <row r="28">
      <c r="B28" s="12" t="str">
        <f>IFERROR(__xludf.DUMMYFUNCTION("""COMPUTED_VALUE"""),"Uvi_Wig_Spell_VHRU_MohawkSegmentedPonytail")</f>
        <v>Uvi_Wig_Spell_VHRU_MohawkSegmentedPonytail</v>
      </c>
      <c r="C28" s="12" t="str">
        <f>IFERROR(__xludf.DUMMYFUNCTION("IF($B28="""","""",SUBSTITUTE(SUBSTITUTE(SUBSTITUTE(SUBSTITUTE(INDEX(Hairstyles!$A:$A,MATCH($B28,Hairstyles!$F:$F,0)),"" "",""""),""'"",""""),""("",""""),"")"","""")&amp;""\""&amp;INDEX(SPLIT($A$2,""_""),1)&amp;""\""&amp;INDEX(SPLIT($A$2,""_""),2)&amp;""\""&amp;SUBSTITUTE(SUBSTIT"&amp;"UTE(SUBSTITUTE(SUBSTITUTE(SUBSTITUTE(INDEX(Hairstyles!$C:$C,MATCH($B28,Hairstyles!$F:$F,0)),"" "",""""),""'"",""""),""("",""""),"")"",""""),""-"",""_"")&amp;""_""&amp;$A$2)"),"Vanilla\Human\Male\Vanilla_MohawkSegmentedPonytail_Human_Male")</f>
        <v>Vanilla\Human\Male\Vanilla_MohawkSegmentedPonytail_Human_Male</v>
      </c>
    </row>
    <row r="29">
      <c r="B29" s="12" t="str">
        <f>IFERROR(__xludf.DUMMYFUNCTION("""COMPUTED_VALUE"""),"Uvi_Wig_Spell_VHRU_MohawkShort")</f>
        <v>Uvi_Wig_Spell_VHRU_MohawkShort</v>
      </c>
      <c r="C29" s="12" t="str">
        <f>IFERROR(__xludf.DUMMYFUNCTION("IF($B29="""","""",SUBSTITUTE(SUBSTITUTE(SUBSTITUTE(SUBSTITUTE(INDEX(Hairstyles!$A:$A,MATCH($B29,Hairstyles!$F:$F,0)),"" "",""""),""'"",""""),""("",""""),"")"","""")&amp;""\""&amp;INDEX(SPLIT($A$2,""_""),1)&amp;""\""&amp;INDEX(SPLIT($A$2,""_""),2)&amp;""\""&amp;SUBSTITUTE(SUBSTIT"&amp;"UTE(SUBSTITUTE(SUBSTITUTE(SUBSTITUTE(INDEX(Hairstyles!$C:$C,MATCH($B29,Hairstyles!$F:$F,0)),"" "",""""),""'"",""""),""("",""""),"")"",""""),""-"",""_"")&amp;""_""&amp;$A$2)"),"Vanilla\Human\Male\Vanilla_MohawkShort_Human_Male")</f>
        <v>Vanilla\Human\Male\Vanilla_MohawkShort_Human_Male</v>
      </c>
    </row>
    <row r="30">
      <c r="B30" s="12" t="str">
        <f>IFERROR(__xludf.DUMMYFUNCTION("""COMPUTED_VALUE"""),"Uvi_Wig_Spell_VHRU_MohawkFrenchBraids")</f>
        <v>Uvi_Wig_Spell_VHRU_MohawkFrenchBraids</v>
      </c>
      <c r="C30" s="12" t="str">
        <f>IFERROR(__xludf.DUMMYFUNCTION("IF($B30="""","""",SUBSTITUTE(SUBSTITUTE(SUBSTITUTE(SUBSTITUTE(INDEX(Hairstyles!$A:$A,MATCH($B30,Hairstyles!$F:$F,0)),"" "",""""),""'"",""""),""("",""""),"")"","""")&amp;""\""&amp;INDEX(SPLIT($A$2,""_""),1)&amp;""\""&amp;INDEX(SPLIT($A$2,""_""),2)&amp;""\""&amp;SUBSTITUTE(SUBSTIT"&amp;"UTE(SUBSTITUTE(SUBSTITUTE(SUBSTITUTE(INDEX(Hairstyles!$C:$C,MATCH($B30,Hairstyles!$F:$F,0)),"" "",""""),""'"",""""),""("",""""),"")"",""""),""-"",""_"")&amp;""_""&amp;$A$2)"),"Vanilla\Human\Male\Vanilla_MohawkFrenchBraids_Human_Male")</f>
        <v>Vanilla\Human\Male\Vanilla_MohawkFrenchBraids_Human_Male</v>
      </c>
    </row>
    <row r="31">
      <c r="B31" s="12" t="str">
        <f>IFERROR(__xludf.DUMMYFUNCTION("""COMPUTED_VALUE"""),"Uvi_Wig_Spell_VHRU_PonytailBangsShort")</f>
        <v>Uvi_Wig_Spell_VHRU_PonytailBangsShort</v>
      </c>
      <c r="C31" s="12" t="str">
        <f>IFERROR(__xludf.DUMMYFUNCTION("IF($B31="""","""",SUBSTITUTE(SUBSTITUTE(SUBSTITUTE(SUBSTITUTE(INDEX(Hairstyles!$A:$A,MATCH($B31,Hairstyles!$F:$F,0)),"" "",""""),""'"",""""),""("",""""),"")"","""")&amp;""\""&amp;INDEX(SPLIT($A$2,""_""),1)&amp;""\""&amp;INDEX(SPLIT($A$2,""_""),2)&amp;""\""&amp;SUBSTITUTE(SUBSTIT"&amp;"UTE(SUBSTITUTE(SUBSTITUTE(SUBSTITUTE(INDEX(Hairstyles!$C:$C,MATCH($B31,Hairstyles!$F:$F,0)),"" "",""""),""'"",""""),""("",""""),"")"",""""),""-"",""_"")&amp;""_""&amp;$A$2)"),"Vanilla\Human\Male\Vanilla_PonytailBangsShort_Human_Male")</f>
        <v>Vanilla\Human\Male\Vanilla_PonytailBangsShort_Human_Male</v>
      </c>
    </row>
    <row r="32">
      <c r="B32" s="12" t="str">
        <f>IFERROR(__xludf.DUMMYFUNCTION("""COMPUTED_VALUE"""),"Uvi_Wig_Spell_VHRU_PonytailHalf-up")</f>
        <v>Uvi_Wig_Spell_VHRU_PonytailHalf-up</v>
      </c>
      <c r="C32" s="12" t="str">
        <f>IFERROR(__xludf.DUMMYFUNCTION("IF($B32="""","""",SUBSTITUTE(SUBSTITUTE(SUBSTITUTE(SUBSTITUTE(INDEX(Hairstyles!$A:$A,MATCH($B32,Hairstyles!$F:$F,0)),"" "",""""),""'"",""""),""("",""""),"")"","""")&amp;""\""&amp;INDEX(SPLIT($A$2,""_""),1)&amp;""\""&amp;INDEX(SPLIT($A$2,""_""),2)&amp;""\""&amp;SUBSTITUTE(SUBSTIT"&amp;"UTE(SUBSTITUTE(SUBSTITUTE(SUBSTITUTE(INDEX(Hairstyles!$C:$C,MATCH($B32,Hairstyles!$F:$F,0)),"" "",""""),""'"",""""),""("",""""),"")"",""""),""-"",""_"")&amp;""_""&amp;$A$2)"),"Vanilla\Human\Male\Vanilla_PonytailHalf_up_Human_Male")</f>
        <v>Vanilla\Human\Male\Vanilla_PonytailHalf_up_Human_Male</v>
      </c>
    </row>
    <row r="33">
      <c r="B33" s="12" t="str">
        <f>IFERROR(__xludf.DUMMYFUNCTION("""COMPUTED_VALUE"""),"Uvi_Wig_Spell_VHRU_PonytailLow")</f>
        <v>Uvi_Wig_Spell_VHRU_PonytailLow</v>
      </c>
      <c r="C33" s="12" t="str">
        <f>IFERROR(__xludf.DUMMYFUNCTION("IF($B33="""","""",SUBSTITUTE(SUBSTITUTE(SUBSTITUTE(SUBSTITUTE(INDEX(Hairstyles!$A:$A,MATCH($B33,Hairstyles!$F:$F,0)),"" "",""""),""'"",""""),""("",""""),"")"","""")&amp;""\""&amp;INDEX(SPLIT($A$2,""_""),1)&amp;""\""&amp;INDEX(SPLIT($A$2,""_""),2)&amp;""\""&amp;SUBSTITUTE(SUBSTIT"&amp;"UTE(SUBSTITUTE(SUBSTITUTE(SUBSTITUTE(INDEX(Hairstyles!$C:$C,MATCH($B33,Hairstyles!$F:$F,0)),"" "",""""),""'"",""""),""("",""""),"")"",""""),""-"",""_"")&amp;""_""&amp;$A$2)"),"Vanilla\Human\Male\Vanilla_PonytailLow_Human_Male")</f>
        <v>Vanilla\Human\Male\Vanilla_PonytailLow_Human_Male</v>
      </c>
    </row>
    <row r="34">
      <c r="B34" s="12" t="str">
        <f>IFERROR(__xludf.DUMMYFUNCTION("""COMPUTED_VALUE"""),"Uvi_Wig_Spell_VHRU_PulledBackLongBraid")</f>
        <v>Uvi_Wig_Spell_VHRU_PulledBackLongBraid</v>
      </c>
      <c r="C34" s="12" t="str">
        <f>IFERROR(__xludf.DUMMYFUNCTION("IF($B34="""","""",SUBSTITUTE(SUBSTITUTE(SUBSTITUTE(SUBSTITUTE(INDEX(Hairstyles!$A:$A,MATCH($B34,Hairstyles!$F:$F,0)),"" "",""""),""'"",""""),""("",""""),"")"","""")&amp;""\""&amp;INDEX(SPLIT($A$2,""_""),1)&amp;""\""&amp;INDEX(SPLIT($A$2,""_""),2)&amp;""\""&amp;SUBSTITUTE(SUBSTIT"&amp;"UTE(SUBSTITUTE(SUBSTITUTE(SUBSTITUTE(INDEX(Hairstyles!$C:$C,MATCH($B34,Hairstyles!$F:$F,0)),"" "",""""),""'"",""""),""("",""""),"")"",""""),""-"",""_"")&amp;""_""&amp;$A$2)"),"Vanilla\Human\Male\Vanilla_PulledBackLongBraid_Human_Male")</f>
        <v>Vanilla\Human\Male\Vanilla_PulledBackLongBraid_Human_Male</v>
      </c>
    </row>
    <row r="35">
      <c r="B35" s="12" t="str">
        <f>IFERROR(__xludf.DUMMYFUNCTION("""COMPUTED_VALUE"""),"Uvi_Wig_Spell_VHRU_RoninPonytailBanded")</f>
        <v>Uvi_Wig_Spell_VHRU_RoninPonytailBanded</v>
      </c>
      <c r="C35" s="12" t="str">
        <f>IFERROR(__xludf.DUMMYFUNCTION("IF($B35="""","""",SUBSTITUTE(SUBSTITUTE(SUBSTITUTE(SUBSTITUTE(INDEX(Hairstyles!$A:$A,MATCH($B35,Hairstyles!$F:$F,0)),"" "",""""),""'"",""""),""("",""""),"")"","""")&amp;""\""&amp;INDEX(SPLIT($A$2,""_""),1)&amp;""\""&amp;INDEX(SPLIT($A$2,""_""),2)&amp;""\""&amp;SUBSTITUTE(SUBSTIT"&amp;"UTE(SUBSTITUTE(SUBSTITUTE(SUBSTITUTE(INDEX(Hairstyles!$C:$C,MATCH($B35,Hairstyles!$F:$F,0)),"" "",""""),""'"",""""),""("",""""),"")"",""""),""-"",""_"")&amp;""_""&amp;$A$2)"),"Vanilla\Human\Male\Vanilla_RoninPonytailBanded_Human_Male")</f>
        <v>Vanilla\Human\Male\Vanilla_RoninPonytailBanded_Human_Male</v>
      </c>
    </row>
    <row r="36">
      <c r="B36" s="12" t="str">
        <f>IFERROR(__xludf.DUMMYFUNCTION("""COMPUTED_VALUE"""),"Uvi_Wig_Spell_VHRU_RoninPonytailBraid")</f>
        <v>Uvi_Wig_Spell_VHRU_RoninPonytailBraid</v>
      </c>
      <c r="C36" s="12" t="str">
        <f>IFERROR(__xludf.DUMMYFUNCTION("IF($B36="""","""",SUBSTITUTE(SUBSTITUTE(SUBSTITUTE(SUBSTITUTE(INDEX(Hairstyles!$A:$A,MATCH($B36,Hairstyles!$F:$F,0)),"" "",""""),""'"",""""),""("",""""),"")"","""")&amp;""\""&amp;INDEX(SPLIT($A$2,""_""),1)&amp;""\""&amp;INDEX(SPLIT($A$2,""_""),2)&amp;""\""&amp;SUBSTITUTE(SUBSTIT"&amp;"UTE(SUBSTITUTE(SUBSTITUTE(SUBSTITUTE(INDEX(Hairstyles!$C:$C,MATCH($B36,Hairstyles!$F:$F,0)),"" "",""""),""'"",""""),""("",""""),"")"",""""),""-"",""_"")&amp;""_""&amp;$A$2)"),"Vanilla\Human\Male\Vanilla_RoninPonytailBraid_Human_Male")</f>
        <v>Vanilla\Human\Male\Vanilla_RoninPonytailBraid_Human_Male</v>
      </c>
    </row>
    <row r="37">
      <c r="B37" s="12" t="str">
        <f>IFERROR(__xludf.DUMMYFUNCTION("""COMPUTED_VALUE"""),"Uvi_Wig_Spell_VHRU_RoninPonytailHalf-up")</f>
        <v>Uvi_Wig_Spell_VHRU_RoninPonytailHalf-up</v>
      </c>
      <c r="C37" s="12" t="str">
        <f>IFERROR(__xludf.DUMMYFUNCTION("IF($B37="""","""",SUBSTITUTE(SUBSTITUTE(SUBSTITUTE(SUBSTITUTE(INDEX(Hairstyles!$A:$A,MATCH($B37,Hairstyles!$F:$F,0)),"" "",""""),""'"",""""),""("",""""),"")"","""")&amp;""\""&amp;INDEX(SPLIT($A$2,""_""),1)&amp;""\""&amp;INDEX(SPLIT($A$2,""_""),2)&amp;""\""&amp;SUBSTITUTE(SUBSTIT"&amp;"UTE(SUBSTITUTE(SUBSTITUTE(SUBSTITUTE(INDEX(Hairstyles!$C:$C,MATCH($B37,Hairstyles!$F:$F,0)),"" "",""""),""'"",""""),""("",""""),"")"",""""),""-"",""_"")&amp;""_""&amp;$A$2)"),"Vanilla\Human\Male\Vanilla_RoninPonytailHalf_up_Human_Male")</f>
        <v>Vanilla\Human\Male\Vanilla_RoninPonytailHalf_up_Human_Male</v>
      </c>
    </row>
    <row r="38">
      <c r="B38" s="12" t="str">
        <f>IFERROR(__xludf.DUMMYFUNCTION("""COMPUTED_VALUE"""),"Uvi_Wig_Spell_VHRU_RoninPonytailLong")</f>
        <v>Uvi_Wig_Spell_VHRU_RoninPonytailLong</v>
      </c>
      <c r="C38" s="12" t="str">
        <f>IFERROR(__xludf.DUMMYFUNCTION("IF($B38="""","""",SUBSTITUTE(SUBSTITUTE(SUBSTITUTE(SUBSTITUTE(INDEX(Hairstyles!$A:$A,MATCH($B38,Hairstyles!$F:$F,0)),"" "",""""),""'"",""""),""("",""""),"")"","""")&amp;""\""&amp;INDEX(SPLIT($A$2,""_""),1)&amp;""\""&amp;INDEX(SPLIT($A$2,""_""),2)&amp;""\""&amp;SUBSTITUTE(SUBSTIT"&amp;"UTE(SUBSTITUTE(SUBSTITUTE(SUBSTITUTE(INDEX(Hairstyles!$C:$C,MATCH($B38,Hairstyles!$F:$F,0)),"" "",""""),""'"",""""),""("",""""),"")"",""""),""-"",""_"")&amp;""_""&amp;$A$2)"),"Vanilla\Human\Male\Vanilla_RoninPonytailLong_Human_Male")</f>
        <v>Vanilla\Human\Male\Vanilla_RoninPonytailLong_Human_Male</v>
      </c>
    </row>
    <row r="39">
      <c r="B39" s="12" t="str">
        <f>IFERROR(__xludf.DUMMYFUNCTION("""COMPUTED_VALUE"""),"Uvi_Wig_Spell_VHRU_RoninStackedBunsHalf-up")</f>
        <v>Uvi_Wig_Spell_VHRU_RoninStackedBunsHalf-up</v>
      </c>
      <c r="C39" s="12" t="str">
        <f>IFERROR(__xludf.DUMMYFUNCTION("IF($B39="""","""",SUBSTITUTE(SUBSTITUTE(SUBSTITUTE(SUBSTITUTE(INDEX(Hairstyles!$A:$A,MATCH($B39,Hairstyles!$F:$F,0)),"" "",""""),""'"",""""),""("",""""),"")"","""")&amp;""\""&amp;INDEX(SPLIT($A$2,""_""),1)&amp;""\""&amp;INDEX(SPLIT($A$2,""_""),2)&amp;""\""&amp;SUBSTITUTE(SUBSTIT"&amp;"UTE(SUBSTITUTE(SUBSTITUTE(SUBSTITUTE(INDEX(Hairstyles!$C:$C,MATCH($B39,Hairstyles!$F:$F,0)),"" "",""""),""'"",""""),""("",""""),"")"",""""),""-"",""_"")&amp;""_""&amp;$A$2)"),"Vanilla\Human\Male\Vanilla_RoninStackedBunsHalf_up_Human_Male")</f>
        <v>Vanilla\Human\Male\Vanilla_RoninStackedBunsHalf_up_Human_Male</v>
      </c>
    </row>
    <row r="40">
      <c r="B40" s="12" t="str">
        <f>IFERROR(__xludf.DUMMYFUNCTION("""COMPUTED_VALUE"""),"Uvi_Wig_Spell_VHRU_RoninTop-knot")</f>
        <v>Uvi_Wig_Spell_VHRU_RoninTop-knot</v>
      </c>
      <c r="C40" s="12" t="str">
        <f>IFERROR(__xludf.DUMMYFUNCTION("IF($B40="""","""",SUBSTITUTE(SUBSTITUTE(SUBSTITUTE(SUBSTITUTE(INDEX(Hairstyles!$A:$A,MATCH($B40,Hairstyles!$F:$F,0)),"" "",""""),""'"",""""),""("",""""),"")"","""")&amp;""\""&amp;INDEX(SPLIT($A$2,""_""),1)&amp;""\""&amp;INDEX(SPLIT($A$2,""_""),2)&amp;""\""&amp;SUBSTITUTE(SUBSTIT"&amp;"UTE(SUBSTITUTE(SUBSTITUTE(SUBSTITUTE(INDEX(Hairstyles!$C:$C,MATCH($B40,Hairstyles!$F:$F,0)),"" "",""""),""'"",""""),""("",""""),"")"",""""),""-"",""_"")&amp;""_""&amp;$A$2)"),"Vanilla\Human\Male\Vanilla_RoninTop_knot_Human_Male")</f>
        <v>Vanilla\Human\Male\Vanilla_RoninTop_knot_Human_Male</v>
      </c>
    </row>
    <row r="41">
      <c r="B41" s="12" t="str">
        <f>IFERROR(__xludf.DUMMYFUNCTION("""COMPUTED_VALUE"""),"Uvi_Wig_Spell_VHRU_RoninUndercutPonytailBanded")</f>
        <v>Uvi_Wig_Spell_VHRU_RoninUndercutPonytailBanded</v>
      </c>
      <c r="C41" s="12" t="str">
        <f>IFERROR(__xludf.DUMMYFUNCTION("IF($B41="""","""",SUBSTITUTE(SUBSTITUTE(SUBSTITUTE(SUBSTITUTE(INDEX(Hairstyles!$A:$A,MATCH($B41,Hairstyles!$F:$F,0)),"" "",""""),""'"",""""),""("",""""),"")"","""")&amp;""\""&amp;INDEX(SPLIT($A$2,""_""),1)&amp;""\""&amp;INDEX(SPLIT($A$2,""_""),2)&amp;""\""&amp;SUBSTITUTE(SUBSTIT"&amp;"UTE(SUBSTITUTE(SUBSTITUTE(SUBSTITUTE(INDEX(Hairstyles!$C:$C,MATCH($B41,Hairstyles!$F:$F,0)),"" "",""""),""'"",""""),""("",""""),"")"",""""),""-"",""_"")&amp;""_""&amp;$A$2)"),"Vanilla\Human\Male\Vanilla_RoninUndercutPonytailBanded_Human_Male")</f>
        <v>Vanilla\Human\Male\Vanilla_RoninUndercutPonytailBanded_Human_Male</v>
      </c>
    </row>
    <row r="42">
      <c r="B42" s="12" t="str">
        <f>IFERROR(__xludf.DUMMYFUNCTION("""COMPUTED_VALUE"""),"Uvi_Wig_Spell_VHRU_RoninUndercutPonytailLong")</f>
        <v>Uvi_Wig_Spell_VHRU_RoninUndercutPonytailLong</v>
      </c>
      <c r="C42" s="12" t="str">
        <f>IFERROR(__xludf.DUMMYFUNCTION("IF($B42="""","""",SUBSTITUTE(SUBSTITUTE(SUBSTITUTE(SUBSTITUTE(INDEX(Hairstyles!$A:$A,MATCH($B42,Hairstyles!$F:$F,0)),"" "",""""),""'"",""""),""("",""""),"")"","""")&amp;""\""&amp;INDEX(SPLIT($A$2,""_""),1)&amp;""\""&amp;INDEX(SPLIT($A$2,""_""),2)&amp;""\""&amp;SUBSTITUTE(SUBSTIT"&amp;"UTE(SUBSTITUTE(SUBSTITUTE(SUBSTITUTE(INDEX(Hairstyles!$C:$C,MATCH($B42,Hairstyles!$F:$F,0)),"" "",""""),""'"",""""),""("",""""),"")"",""""),""-"",""_"")&amp;""_""&amp;$A$2)"),"Vanilla\Human\Male\Vanilla_RoninUndercutPonytailLong_Human_Male")</f>
        <v>Vanilla\Human\Male\Vanilla_RoninUndercutPonytailLong_Human_Male</v>
      </c>
    </row>
    <row r="43">
      <c r="B43" s="12" t="str">
        <f>IFERROR(__xludf.DUMMYFUNCTION("""COMPUTED_VALUE"""),"Uvi_Wig_Spell_VHRU_RoninUndercutPonytailShort")</f>
        <v>Uvi_Wig_Spell_VHRU_RoninUndercutPonytailShort</v>
      </c>
      <c r="C43" s="12" t="str">
        <f>IFERROR(__xludf.DUMMYFUNCTION("IF($B43="""","""",SUBSTITUTE(SUBSTITUTE(SUBSTITUTE(SUBSTITUTE(INDEX(Hairstyles!$A:$A,MATCH($B43,Hairstyles!$F:$F,0)),"" "",""""),""'"",""""),""("",""""),"")"","""")&amp;""\""&amp;INDEX(SPLIT($A$2,""_""),1)&amp;""\""&amp;INDEX(SPLIT($A$2,""_""),2)&amp;""\""&amp;SUBSTITUTE(SUBSTIT"&amp;"UTE(SUBSTITUTE(SUBSTITUTE(SUBSTITUTE(INDEX(Hairstyles!$C:$C,MATCH($B43,Hairstyles!$F:$F,0)),"" "",""""),""'"",""""),""("",""""),"")"",""""),""-"",""_"")&amp;""_""&amp;$A$2)"),"Vanilla\Human\Male\Vanilla_RoninUndercutPonytailShort_Human_Male")</f>
        <v>Vanilla\Human\Male\Vanilla_RoninUndercutPonytailShort_Human_Male</v>
      </c>
    </row>
    <row r="44">
      <c r="B44" s="12" t="str">
        <f>IFERROR(__xludf.DUMMYFUNCTION("""COMPUTED_VALUE"""),"Uvi_Wig_Spell_VHRU_Shaved1")</f>
        <v>Uvi_Wig_Spell_VHRU_Shaved1</v>
      </c>
      <c r="C44" s="12" t="str">
        <f>IFERROR(__xludf.DUMMYFUNCTION("IF($B44="""","""",SUBSTITUTE(SUBSTITUTE(SUBSTITUTE(SUBSTITUTE(INDEX(Hairstyles!$A:$A,MATCH($B44,Hairstyles!$F:$F,0)),"" "",""""),""'"",""""),""("",""""),"")"","""")&amp;""\""&amp;INDEX(SPLIT($A$2,""_""),1)&amp;""\""&amp;INDEX(SPLIT($A$2,""_""),2)&amp;""\""&amp;SUBSTITUTE(SUBSTIT"&amp;"UTE(SUBSTITUTE(SUBSTITUTE(SUBSTITUTE(INDEX(Hairstyles!$C:$C,MATCH($B44,Hairstyles!$F:$F,0)),"" "",""""),""'"",""""),""("",""""),"")"",""""),""-"",""_"")&amp;""_""&amp;$A$2)"),"Vanilla\Human\Male\Vanilla_Shaved1_Human_Male")</f>
        <v>Vanilla\Human\Male\Vanilla_Shaved1_Human_Male</v>
      </c>
    </row>
    <row r="45">
      <c r="B45" s="12" t="str">
        <f>IFERROR(__xludf.DUMMYFUNCTION("""COMPUTED_VALUE"""),"Uvi_Wig_Spell_VHRU_Shaved2")</f>
        <v>Uvi_Wig_Spell_VHRU_Shaved2</v>
      </c>
      <c r="C45" s="12" t="str">
        <f>IFERROR(__xludf.DUMMYFUNCTION("IF($B45="""","""",SUBSTITUTE(SUBSTITUTE(SUBSTITUTE(SUBSTITUTE(INDEX(Hairstyles!$A:$A,MATCH($B45,Hairstyles!$F:$F,0)),"" "",""""),""'"",""""),""("",""""),"")"","""")&amp;""\""&amp;INDEX(SPLIT($A$2,""_""),1)&amp;""\""&amp;INDEX(SPLIT($A$2,""_""),2)&amp;""\""&amp;SUBSTITUTE(SUBSTIT"&amp;"UTE(SUBSTITUTE(SUBSTITUTE(SUBSTITUTE(INDEX(Hairstyles!$C:$C,MATCH($B45,Hairstyles!$F:$F,0)),"" "",""""),""'"",""""),""("",""""),"")"",""""),""-"",""_"")&amp;""_""&amp;$A$2)"),"Vanilla\Human\Male\Vanilla_Shaved2_Human_Male")</f>
        <v>Vanilla\Human\Male\Vanilla_Shaved2_Human_Male</v>
      </c>
    </row>
    <row r="46">
      <c r="B46" s="12" t="str">
        <f>IFERROR(__xludf.DUMMYFUNCTION("""COMPUTED_VALUE"""),"Uvi_Wig_Spell_VHRU_ShavedPonytailBandedLong")</f>
        <v>Uvi_Wig_Spell_VHRU_ShavedPonytailBandedLong</v>
      </c>
      <c r="C46" s="12" t="str">
        <f>IFERROR(__xludf.DUMMYFUNCTION("IF($B46="""","""",SUBSTITUTE(SUBSTITUTE(SUBSTITUTE(SUBSTITUTE(INDEX(Hairstyles!$A:$A,MATCH($B46,Hairstyles!$F:$F,0)),"" "",""""),""'"",""""),""("",""""),"")"","""")&amp;""\""&amp;INDEX(SPLIT($A$2,""_""),1)&amp;""\""&amp;INDEX(SPLIT($A$2,""_""),2)&amp;""\""&amp;SUBSTITUTE(SUBSTIT"&amp;"UTE(SUBSTITUTE(SUBSTITUTE(SUBSTITUTE(INDEX(Hairstyles!$C:$C,MATCH($B46,Hairstyles!$F:$F,0)),"" "",""""),""'"",""""),""("",""""),"")"",""""),""-"",""_"")&amp;""_""&amp;$A$2)"),"Vanilla\Human\Male\Vanilla_ShavedPonytailBandedLong_Human_Male")</f>
        <v>Vanilla\Human\Male\Vanilla_ShavedPonytailBandedLong_Human_Male</v>
      </c>
    </row>
    <row r="47">
      <c r="B47" s="12" t="str">
        <f>IFERROR(__xludf.DUMMYFUNCTION("""COMPUTED_VALUE"""),"Uvi_Wig_Spell_VHRU_ShavedPonytailBraid")</f>
        <v>Uvi_Wig_Spell_VHRU_ShavedPonytailBraid</v>
      </c>
      <c r="C47" s="12" t="str">
        <f>IFERROR(__xludf.DUMMYFUNCTION("IF($B47="""","""",SUBSTITUTE(SUBSTITUTE(SUBSTITUTE(SUBSTITUTE(INDEX(Hairstyles!$A:$A,MATCH($B47,Hairstyles!$F:$F,0)),"" "",""""),""'"",""""),""("",""""),"")"","""")&amp;""\""&amp;INDEX(SPLIT($A$2,""_""),1)&amp;""\""&amp;INDEX(SPLIT($A$2,""_""),2)&amp;""\""&amp;SUBSTITUTE(SUBSTIT"&amp;"UTE(SUBSTITUTE(SUBSTITUTE(SUBSTITUTE(INDEX(Hairstyles!$C:$C,MATCH($B47,Hairstyles!$F:$F,0)),"" "",""""),""'"",""""),""("",""""),"")"",""""),""-"",""_"")&amp;""_""&amp;$A$2)"),"Vanilla\Human\Male\Vanilla_ShavedPonytailBraid_Human_Male")</f>
        <v>Vanilla\Human\Male\Vanilla_ShavedPonytailBraid_Human_Male</v>
      </c>
    </row>
    <row r="48">
      <c r="B48" s="12" t="str">
        <f>IFERROR(__xludf.DUMMYFUNCTION("""COMPUTED_VALUE"""),"Uvi_Wig_Spell_VHRU_ShavedPonytailLong")</f>
        <v>Uvi_Wig_Spell_VHRU_ShavedPonytailLong</v>
      </c>
      <c r="C48" s="12" t="str">
        <f>IFERROR(__xludf.DUMMYFUNCTION("IF($B48="""","""",SUBSTITUTE(SUBSTITUTE(SUBSTITUTE(SUBSTITUTE(INDEX(Hairstyles!$A:$A,MATCH($B48,Hairstyles!$F:$F,0)),"" "",""""),""'"",""""),""("",""""),"")"","""")&amp;""\""&amp;INDEX(SPLIT($A$2,""_""),1)&amp;""\""&amp;INDEX(SPLIT($A$2,""_""),2)&amp;""\""&amp;SUBSTITUTE(SUBSTIT"&amp;"UTE(SUBSTITUTE(SUBSTITUTE(SUBSTITUTE(INDEX(Hairstyles!$C:$C,MATCH($B48,Hairstyles!$F:$F,0)),"" "",""""),""'"",""""),""("",""""),"")"",""""),""-"",""_"")&amp;""_""&amp;$A$2)"),"Vanilla\Human\Male\Vanilla_ShavedPonytailLong_Human_Male")</f>
        <v>Vanilla\Human\Male\Vanilla_ShavedPonytailLong_Human_Male</v>
      </c>
    </row>
    <row r="49">
      <c r="B49" s="12" t="str">
        <f>IFERROR(__xludf.DUMMYFUNCTION("""COMPUTED_VALUE"""),"Uvi_Wig_Spell_VHRU_ShavedPonytailMedium")</f>
        <v>Uvi_Wig_Spell_VHRU_ShavedPonytailMedium</v>
      </c>
      <c r="C49" s="12" t="str">
        <f>IFERROR(__xludf.DUMMYFUNCTION("IF($B49="""","""",SUBSTITUTE(SUBSTITUTE(SUBSTITUTE(SUBSTITUTE(INDEX(Hairstyles!$A:$A,MATCH($B49,Hairstyles!$F:$F,0)),"" "",""""),""'"",""""),""("",""""),"")"","""")&amp;""\""&amp;INDEX(SPLIT($A$2,""_""),1)&amp;""\""&amp;INDEX(SPLIT($A$2,""_""),2)&amp;""\""&amp;SUBSTITUTE(SUBSTIT"&amp;"UTE(SUBSTITUTE(SUBSTITUTE(SUBSTITUTE(INDEX(Hairstyles!$C:$C,MATCH($B49,Hairstyles!$F:$F,0)),"" "",""""),""'"",""""),""("",""""),"")"",""""),""-"",""_"")&amp;""_""&amp;$A$2)"),"Vanilla\Human\Male\Vanilla_ShavedPonytailMedium_Human_Male")</f>
        <v>Vanilla\Human\Male\Vanilla_ShavedPonytailMedium_Human_Male</v>
      </c>
    </row>
    <row r="50">
      <c r="B50" s="12" t="str">
        <f>IFERROR(__xludf.DUMMYFUNCTION("""COMPUTED_VALUE"""),"Uvi_Wig_Spell_VHRU_ShavedPonytailShort")</f>
        <v>Uvi_Wig_Spell_VHRU_ShavedPonytailShort</v>
      </c>
      <c r="C50" s="12" t="str">
        <f>IFERROR(__xludf.DUMMYFUNCTION("IF($B50="""","""",SUBSTITUTE(SUBSTITUTE(SUBSTITUTE(SUBSTITUTE(INDEX(Hairstyles!$A:$A,MATCH($B50,Hairstyles!$F:$F,0)),"" "",""""),""'"",""""),""("",""""),"")"","""")&amp;""\""&amp;INDEX(SPLIT($A$2,""_""),1)&amp;""\""&amp;INDEX(SPLIT($A$2,""_""),2)&amp;""\""&amp;SUBSTITUTE(SUBSTIT"&amp;"UTE(SUBSTITUTE(SUBSTITUTE(SUBSTITUTE(INDEX(Hairstyles!$C:$C,MATCH($B50,Hairstyles!$F:$F,0)),"" "",""""),""'"",""""),""("",""""),"")"",""""),""-"",""_"")&amp;""_""&amp;$A$2)"),"Vanilla\Human\Male\Vanilla_ShavedPonytailShort_Human_Male")</f>
        <v>Vanilla\Human\Male\Vanilla_ShavedPonytailShort_Human_Male</v>
      </c>
    </row>
    <row r="51">
      <c r="B51" s="12" t="str">
        <f>IFERROR(__xludf.DUMMYFUNCTION("""COMPUTED_VALUE"""),"Uvi_Wig_Spell_VHRU_ShavedTopPonytailLong")</f>
        <v>Uvi_Wig_Spell_VHRU_ShavedTopPonytailLong</v>
      </c>
      <c r="C51" s="12" t="str">
        <f>IFERROR(__xludf.DUMMYFUNCTION("IF($B51="""","""",SUBSTITUTE(SUBSTITUTE(SUBSTITUTE(SUBSTITUTE(INDEX(Hairstyles!$A:$A,MATCH($B51,Hairstyles!$F:$F,0)),"" "",""""),""'"",""""),""("",""""),"")"","""")&amp;""\""&amp;INDEX(SPLIT($A$2,""_""),1)&amp;""\""&amp;INDEX(SPLIT($A$2,""_""),2)&amp;""\""&amp;SUBSTITUTE(SUBSTIT"&amp;"UTE(SUBSTITUTE(SUBSTITUTE(SUBSTITUTE(INDEX(Hairstyles!$C:$C,MATCH($B51,Hairstyles!$F:$F,0)),"" "",""""),""'"",""""),""("",""""),"")"",""""),""-"",""_"")&amp;""_""&amp;$A$2)"),"Vanilla\Human\Male\Vanilla_ShavedTopPonytailLong_Human_Male")</f>
        <v>Vanilla\Human\Male\Vanilla_ShavedTopPonytailLong_Human_Male</v>
      </c>
    </row>
    <row r="52">
      <c r="B52" s="12" t="str">
        <f>IFERROR(__xludf.DUMMYFUNCTION("""COMPUTED_VALUE"""),"Uvi_Wig_Spell_VHRU_ShavedTopPonytailMedium")</f>
        <v>Uvi_Wig_Spell_VHRU_ShavedTopPonytailMedium</v>
      </c>
      <c r="C52" s="12" t="str">
        <f>IFERROR(__xludf.DUMMYFUNCTION("IF($B52="""","""",SUBSTITUTE(SUBSTITUTE(SUBSTITUTE(SUBSTITUTE(INDEX(Hairstyles!$A:$A,MATCH($B52,Hairstyles!$F:$F,0)),"" "",""""),""'"",""""),""("",""""),"")"","""")&amp;""\""&amp;INDEX(SPLIT($A$2,""_""),1)&amp;""\""&amp;INDEX(SPLIT($A$2,""_""),2)&amp;""\""&amp;SUBSTITUTE(SUBSTIT"&amp;"UTE(SUBSTITUTE(SUBSTITUTE(SUBSTITUTE(INDEX(Hairstyles!$C:$C,MATCH($B52,Hairstyles!$F:$F,0)),"" "",""""),""'"",""""),""("",""""),"")"",""""),""-"",""_"")&amp;""_""&amp;$A$2)"),"Vanilla\Human\Male\Vanilla_ShavedTopPonytailMedium_Human_Male")</f>
        <v>Vanilla\Human\Male\Vanilla_ShavedTopPonytailMedium_Human_Male</v>
      </c>
    </row>
    <row r="53">
      <c r="B53" s="12" t="str">
        <f>IFERROR(__xludf.DUMMYFUNCTION("""COMPUTED_VALUE"""),"Uvi_Wig_Spell_VHRU_ShavedTopPonytailShort")</f>
        <v>Uvi_Wig_Spell_VHRU_ShavedTopPonytailShort</v>
      </c>
      <c r="C53" s="12" t="str">
        <f>IFERROR(__xludf.DUMMYFUNCTION("IF($B53="""","""",SUBSTITUTE(SUBSTITUTE(SUBSTITUTE(SUBSTITUTE(INDEX(Hairstyles!$A:$A,MATCH($B53,Hairstyles!$F:$F,0)),"" "",""""),""'"",""""),""("",""""),"")"","""")&amp;""\""&amp;INDEX(SPLIT($A$2,""_""),1)&amp;""\""&amp;INDEX(SPLIT($A$2,""_""),2)&amp;""\""&amp;SUBSTITUTE(SUBSTIT"&amp;"UTE(SUBSTITUTE(SUBSTITUTE(SUBSTITUTE(INDEX(Hairstyles!$C:$C,MATCH($B53,Hairstyles!$F:$F,0)),"" "",""""),""'"",""""),""("",""""),"")"",""""),""-"",""_"")&amp;""_""&amp;$A$2)"),"Vanilla\Human\Male\Vanilla_ShavedTopPonytailShort_Human_Male")</f>
        <v>Vanilla\Human\Male\Vanilla_ShavedTopPonytailShort_Human_Male</v>
      </c>
    </row>
    <row r="54">
      <c r="B54" s="12" t="str">
        <f>IFERROR(__xludf.DUMMYFUNCTION("""COMPUTED_VALUE"""),"Uvi_Wig_Spell_VHRU_Short")</f>
        <v>Uvi_Wig_Spell_VHRU_Short</v>
      </c>
      <c r="C54" s="12" t="str">
        <f>IFERROR(__xludf.DUMMYFUNCTION("IF($B54="""","""",SUBSTITUTE(SUBSTITUTE(SUBSTITUTE(SUBSTITUTE(INDEX(Hairstyles!$A:$A,MATCH($B54,Hairstyles!$F:$F,0)),"" "",""""),""'"",""""),""("",""""),"")"","""")&amp;""\""&amp;INDEX(SPLIT($A$2,""_""),1)&amp;""\""&amp;INDEX(SPLIT($A$2,""_""),2)&amp;""\""&amp;SUBSTITUTE(SUBSTIT"&amp;"UTE(SUBSTITUTE(SUBSTITUTE(SUBSTITUTE(INDEX(Hairstyles!$C:$C,MATCH($B54,Hairstyles!$F:$F,0)),"" "",""""),""'"",""""),""("",""""),"")"",""""),""-"",""_"")&amp;""_""&amp;$A$2)"),"Vanilla\Human\Male\Vanilla_Short_Human_Male")</f>
        <v>Vanilla\Human\Male\Vanilla_Short_Human_Male</v>
      </c>
    </row>
    <row r="55">
      <c r="B55" s="12" t="str">
        <f>IFERROR(__xludf.DUMMYFUNCTION("""COMPUTED_VALUE"""),"Uvi_Wig_Spell_VHRU_ShortLoose")</f>
        <v>Uvi_Wig_Spell_VHRU_ShortLoose</v>
      </c>
      <c r="C55" s="12" t="str">
        <f>IFERROR(__xludf.DUMMYFUNCTION("IF($B55="""","""",SUBSTITUTE(SUBSTITUTE(SUBSTITUTE(SUBSTITUTE(INDEX(Hairstyles!$A:$A,MATCH($B55,Hairstyles!$F:$F,0)),"" "",""""),""'"",""""),""("",""""),"")"","""")&amp;""\""&amp;INDEX(SPLIT($A$2,""_""),1)&amp;""\""&amp;INDEX(SPLIT($A$2,""_""),2)&amp;""\""&amp;SUBSTITUTE(SUBSTIT"&amp;"UTE(SUBSTITUTE(SUBSTITUTE(SUBSTITUTE(INDEX(Hairstyles!$C:$C,MATCH($B55,Hairstyles!$F:$F,0)),"" "",""""),""'"",""""),""("",""""),"")"",""""),""-"",""_"")&amp;""_""&amp;$A$2)"),"Vanilla\Human\Male\Vanilla_ShortLoose_Human_Male")</f>
        <v>Vanilla\Human\Male\Vanilla_ShortLoose_Human_Male</v>
      </c>
    </row>
    <row r="56">
      <c r="B56" s="12" t="str">
        <f>IFERROR(__xludf.DUMMYFUNCTION("""COMPUTED_VALUE"""),"Uvi_Wig_Spell_VHRU_ShortLooseBraids")</f>
        <v>Uvi_Wig_Spell_VHRU_ShortLooseBraids</v>
      </c>
      <c r="C56" s="12" t="str">
        <f>IFERROR(__xludf.DUMMYFUNCTION("IF($B56="""","""",SUBSTITUTE(SUBSTITUTE(SUBSTITUTE(SUBSTITUTE(INDEX(Hairstyles!$A:$A,MATCH($B56,Hairstyles!$F:$F,0)),"" "",""""),""'"",""""),""("",""""),"")"","""")&amp;""\""&amp;INDEX(SPLIT($A$2,""_""),1)&amp;""\""&amp;INDEX(SPLIT($A$2,""_""),2)&amp;""\""&amp;SUBSTITUTE(SUBSTIT"&amp;"UTE(SUBSTITUTE(SUBSTITUTE(SUBSTITUTE(INDEX(Hairstyles!$C:$C,MATCH($B56,Hairstyles!$F:$F,0)),"" "",""""),""'"",""""),""("",""""),"")"",""""),""-"",""_"")&amp;""_""&amp;$A$2)"),"Vanilla\Human\Male\Vanilla_ShortLooseBraids_Human_Male")</f>
        <v>Vanilla\Human\Male\Vanilla_ShortLooseBraids_Human_Male</v>
      </c>
    </row>
    <row r="57">
      <c r="B57" s="12" t="str">
        <f>IFERROR(__xludf.DUMMYFUNCTION("""COMPUTED_VALUE"""),"Uvi_Wig_Spell_VHRU_SidecutLong")</f>
        <v>Uvi_Wig_Spell_VHRU_SidecutLong</v>
      </c>
      <c r="C57" s="12" t="str">
        <f>IFERROR(__xludf.DUMMYFUNCTION("IF($B57="""","""",SUBSTITUTE(SUBSTITUTE(SUBSTITUTE(SUBSTITUTE(INDEX(Hairstyles!$A:$A,MATCH($B57,Hairstyles!$F:$F,0)),"" "",""""),""'"",""""),""("",""""),"")"","""")&amp;""\""&amp;INDEX(SPLIT($A$2,""_""),1)&amp;""\""&amp;INDEX(SPLIT($A$2,""_""),2)&amp;""\""&amp;SUBSTITUTE(SUBSTIT"&amp;"UTE(SUBSTITUTE(SUBSTITUTE(SUBSTITUTE(INDEX(Hairstyles!$C:$C,MATCH($B57,Hairstyles!$F:$F,0)),"" "",""""),""'"",""""),""("",""""),"")"",""""),""-"",""_"")&amp;""_""&amp;$A$2)"),"Vanilla\Human\Male\Vanilla_SidecutLong_Human_Male")</f>
        <v>Vanilla\Human\Male\Vanilla_SidecutLong_Human_Male</v>
      </c>
    </row>
    <row r="58">
      <c r="B58" s="12" t="str">
        <f>IFERROR(__xludf.DUMMYFUNCTION("""COMPUTED_VALUE"""),"Uvi_Wig_Spell_VHRU_SlickedBackLongSideBraid")</f>
        <v>Uvi_Wig_Spell_VHRU_SlickedBackLongSideBraid</v>
      </c>
      <c r="C58" s="12" t="str">
        <f>IFERROR(__xludf.DUMMYFUNCTION("IF($B58="""","""",SUBSTITUTE(SUBSTITUTE(SUBSTITUTE(SUBSTITUTE(INDEX(Hairstyles!$A:$A,MATCH($B58,Hairstyles!$F:$F,0)),"" "",""""),""'"",""""),""("",""""),"")"","""")&amp;""\""&amp;INDEX(SPLIT($A$2,""_""),1)&amp;""\""&amp;INDEX(SPLIT($A$2,""_""),2)&amp;""\""&amp;SUBSTITUTE(SUBSTIT"&amp;"UTE(SUBSTITUTE(SUBSTITUTE(SUBSTITUTE(INDEX(Hairstyles!$C:$C,MATCH($B58,Hairstyles!$F:$F,0)),"" "",""""),""'"",""""),""("",""""),"")"",""""),""-"",""_"")&amp;""_""&amp;$A$2)"),"Vanilla\Human\Male\Vanilla_SlickedBackLongSideBraid_Human_Male")</f>
        <v>Vanilla\Human\Male\Vanilla_SlickedBackLongSideBraid_Human_Male</v>
      </c>
    </row>
    <row r="59">
      <c r="B59" s="12" t="str">
        <f>IFERROR(__xludf.DUMMYFUNCTION("""COMPUTED_VALUE"""),"Uvi_Wig_Spell_VHRU_SlickedBackShort")</f>
        <v>Uvi_Wig_Spell_VHRU_SlickedBackShort</v>
      </c>
      <c r="C59" s="12" t="str">
        <f>IFERROR(__xludf.DUMMYFUNCTION("IF($B59="""","""",SUBSTITUTE(SUBSTITUTE(SUBSTITUTE(SUBSTITUTE(INDEX(Hairstyles!$A:$A,MATCH($B59,Hairstyles!$F:$F,0)),"" "",""""),""'"",""""),""("",""""),"")"","""")&amp;""\""&amp;INDEX(SPLIT($A$2,""_""),1)&amp;""\""&amp;INDEX(SPLIT($A$2,""_""),2)&amp;""\""&amp;SUBSTITUTE(SUBSTIT"&amp;"UTE(SUBSTITUTE(SUBSTITUTE(SUBSTITUTE(INDEX(Hairstyles!$C:$C,MATCH($B59,Hairstyles!$F:$F,0)),"" "",""""),""'"",""""),""("",""""),"")"",""""),""-"",""_"")&amp;""_""&amp;$A$2)"),"Vanilla\Human\Male\Vanilla_SlickedBackShort_Human_Male")</f>
        <v>Vanilla\Human\Male\Vanilla_SlickedBackShort_Human_Male</v>
      </c>
    </row>
    <row r="60">
      <c r="B60" s="12" t="str">
        <f>IFERROR(__xludf.DUMMYFUNCTION("""COMPUTED_VALUE"""),"Uvi_Wig_Spell_VHRU_SlickedBackSideBraids")</f>
        <v>Uvi_Wig_Spell_VHRU_SlickedBackSideBraids</v>
      </c>
      <c r="C60" s="12" t="str">
        <f>IFERROR(__xludf.DUMMYFUNCTION("IF($B60="""","""",SUBSTITUTE(SUBSTITUTE(SUBSTITUTE(SUBSTITUTE(INDEX(Hairstyles!$A:$A,MATCH($B60,Hairstyles!$F:$F,0)),"" "",""""),""'"",""""),""("",""""),"")"","""")&amp;""\""&amp;INDEX(SPLIT($A$2,""_""),1)&amp;""\""&amp;INDEX(SPLIT($A$2,""_""),2)&amp;""\""&amp;SUBSTITUTE(SUBSTIT"&amp;"UTE(SUBSTITUTE(SUBSTITUTE(SUBSTITUTE(INDEX(Hairstyles!$C:$C,MATCH($B60,Hairstyles!$F:$F,0)),"" "",""""),""'"",""""),""("",""""),"")"",""""),""-"",""_"")&amp;""_""&amp;$A$2)"),"Vanilla\Human\Male\Vanilla_SlickedBackSideBraids_Human_Male")</f>
        <v>Vanilla\Human\Male\Vanilla_SlickedBackSideBraids_Human_Male</v>
      </c>
    </row>
    <row r="61">
      <c r="B61" s="12" t="str">
        <f>IFERROR(__xludf.DUMMYFUNCTION("""COMPUTED_VALUE"""),"Uvi_Wig_Spell_VHRU_SpaceBunsLoose")</f>
        <v>Uvi_Wig_Spell_VHRU_SpaceBunsLoose</v>
      </c>
      <c r="C61" s="12" t="str">
        <f>IFERROR(__xludf.DUMMYFUNCTION("IF($B61="""","""",SUBSTITUTE(SUBSTITUTE(SUBSTITUTE(SUBSTITUTE(INDEX(Hairstyles!$A:$A,MATCH($B61,Hairstyles!$F:$F,0)),"" "",""""),""'"",""""),""("",""""),"")"","""")&amp;""\""&amp;INDEX(SPLIT($A$2,""_""),1)&amp;""\""&amp;INDEX(SPLIT($A$2,""_""),2)&amp;""\""&amp;SUBSTITUTE(SUBSTIT"&amp;"UTE(SUBSTITUTE(SUBSTITUTE(SUBSTITUTE(INDEX(Hairstyles!$C:$C,MATCH($B61,Hairstyles!$F:$F,0)),"" "",""""),""'"",""""),""("",""""),"")"",""""),""-"",""_"")&amp;""_""&amp;$A$2)"),"Vanilla\Human\Male\Vanilla_SpaceBunsLoose_Human_Male")</f>
        <v>Vanilla\Human\Male\Vanilla_SpaceBunsLoose_Human_Male</v>
      </c>
    </row>
    <row r="62">
      <c r="B62" s="12" t="str">
        <f>IFERROR(__xludf.DUMMYFUNCTION("""COMPUTED_VALUE"""),"Uvi_Wig_Spell_VHRU_SpaceBunsTight")</f>
        <v>Uvi_Wig_Spell_VHRU_SpaceBunsTight</v>
      </c>
      <c r="C62" s="12" t="str">
        <f>IFERROR(__xludf.DUMMYFUNCTION("IF($B62="""","""",SUBSTITUTE(SUBSTITUTE(SUBSTITUTE(SUBSTITUTE(INDEX(Hairstyles!$A:$A,MATCH($B62,Hairstyles!$F:$F,0)),"" "",""""),""'"",""""),""("",""""),"")"","""")&amp;""\""&amp;INDEX(SPLIT($A$2,""_""),1)&amp;""\""&amp;INDEX(SPLIT($A$2,""_""),2)&amp;""\""&amp;SUBSTITUTE(SUBSTIT"&amp;"UTE(SUBSTITUTE(SUBSTITUTE(SUBSTITUTE(INDEX(Hairstyles!$C:$C,MATCH($B62,Hairstyles!$F:$F,0)),"" "",""""),""'"",""""),""("",""""),"")"",""""),""-"",""_"")&amp;""_""&amp;$A$2)"),"Vanilla\Human\Male\Vanilla_SpaceBunsTight_Human_Male")</f>
        <v>Vanilla\Human\Male\Vanilla_SpaceBunsTight_Human_Male</v>
      </c>
    </row>
    <row r="63">
      <c r="B63" s="12" t="str">
        <f>IFERROR(__xludf.DUMMYFUNCTION("""COMPUTED_VALUE"""),"Uvi_Wig_Spell_VHRU_StraightLong")</f>
        <v>Uvi_Wig_Spell_VHRU_StraightLong</v>
      </c>
      <c r="C63" s="12" t="str">
        <f>IFERROR(__xludf.DUMMYFUNCTION("IF($B63="""","""",SUBSTITUTE(SUBSTITUTE(SUBSTITUTE(SUBSTITUTE(INDEX(Hairstyles!$A:$A,MATCH($B63,Hairstyles!$F:$F,0)),"" "",""""),""'"",""""),""("",""""),"")"","""")&amp;""\""&amp;INDEX(SPLIT($A$2,""_""),1)&amp;""\""&amp;INDEX(SPLIT($A$2,""_""),2)&amp;""\""&amp;SUBSTITUTE(SUBSTIT"&amp;"UTE(SUBSTITUTE(SUBSTITUTE(SUBSTITUTE(INDEX(Hairstyles!$C:$C,MATCH($B63,Hairstyles!$F:$F,0)),"" "",""""),""'"",""""),""("",""""),"")"",""""),""-"",""_"")&amp;""_""&amp;$A$2)"),"Vanilla\Human\Male\Vanilla_StraightLong_Human_Male")</f>
        <v>Vanilla\Human\Male\Vanilla_StraightLong_Human_Male</v>
      </c>
    </row>
    <row r="64">
      <c r="B64" s="12" t="str">
        <f>IFERROR(__xludf.DUMMYFUNCTION("""COMPUTED_VALUE"""),"Uvi_Wig_Spell_VHRU_StraightLongBraid")</f>
        <v>Uvi_Wig_Spell_VHRU_StraightLongBraid</v>
      </c>
      <c r="C64" s="12" t="str">
        <f>IFERROR(__xludf.DUMMYFUNCTION("IF($B64="""","""",SUBSTITUTE(SUBSTITUTE(SUBSTITUTE(SUBSTITUTE(INDEX(Hairstyles!$A:$A,MATCH($B64,Hairstyles!$F:$F,0)),"" "",""""),""'"",""""),""("",""""),"")"","""")&amp;""\""&amp;INDEX(SPLIT($A$2,""_""),1)&amp;""\""&amp;INDEX(SPLIT($A$2,""_""),2)&amp;""\""&amp;SUBSTITUTE(SUBSTIT"&amp;"UTE(SUBSTITUTE(SUBSTITUTE(SUBSTITUTE(INDEX(Hairstyles!$C:$C,MATCH($B64,Hairstyles!$F:$F,0)),"" "",""""),""'"",""""),""("",""""),"")"",""""),""-"",""_"")&amp;""_""&amp;$A$2)"),"Vanilla\Human\Male\Vanilla_StraightLongBraid_Human_Male")</f>
        <v>Vanilla\Human\Male\Vanilla_StraightLongBraid_Human_Male</v>
      </c>
    </row>
    <row r="65">
      <c r="B65" s="12" t="str">
        <f>IFERROR(__xludf.DUMMYFUNCTION("""COMPUTED_VALUE"""),"Uvi_Wig_Spell_VHRU_StraightLongScraggly")</f>
        <v>Uvi_Wig_Spell_VHRU_StraightLongScraggly</v>
      </c>
      <c r="C65" s="12" t="str">
        <f>IFERROR(__xludf.DUMMYFUNCTION("IF($B65="""","""",SUBSTITUTE(SUBSTITUTE(SUBSTITUTE(SUBSTITUTE(INDEX(Hairstyles!$A:$A,MATCH($B65,Hairstyles!$F:$F,0)),"" "",""""),""'"",""""),""("",""""),"")"","""")&amp;""\""&amp;INDEX(SPLIT($A$2,""_""),1)&amp;""\""&amp;INDEX(SPLIT($A$2,""_""),2)&amp;""\""&amp;SUBSTITUTE(SUBSTIT"&amp;"UTE(SUBSTITUTE(SUBSTITUTE(SUBSTITUTE(INDEX(Hairstyles!$C:$C,MATCH($B65,Hairstyles!$F:$F,0)),"" "",""""),""'"",""""),""("",""""),"")"",""""),""-"",""_"")&amp;""_""&amp;$A$2)"),"Vanilla\Human\Male\Vanilla_StraightLongScraggly_Human_Male")</f>
        <v>Vanilla\Human\Male\Vanilla_StraightLongScraggly_Human_Male</v>
      </c>
    </row>
    <row r="66">
      <c r="B66" s="12" t="str">
        <f>IFERROR(__xludf.DUMMYFUNCTION("""COMPUTED_VALUE"""),"Uvi_Wig_Spell_VHRU_StraightMedium")</f>
        <v>Uvi_Wig_Spell_VHRU_StraightMedium</v>
      </c>
      <c r="C66" s="12" t="str">
        <f>IFERROR(__xludf.DUMMYFUNCTION("IF($B66="""","""",SUBSTITUTE(SUBSTITUTE(SUBSTITUTE(SUBSTITUTE(INDEX(Hairstyles!$A:$A,MATCH($B66,Hairstyles!$F:$F,0)),"" "",""""),""'"",""""),""("",""""),"")"","""")&amp;""\""&amp;INDEX(SPLIT($A$2,""_""),1)&amp;""\""&amp;INDEX(SPLIT($A$2,""_""),2)&amp;""\""&amp;SUBSTITUTE(SUBSTIT"&amp;"UTE(SUBSTITUTE(SUBSTITUTE(SUBSTITUTE(INDEX(Hairstyles!$C:$C,MATCH($B66,Hairstyles!$F:$F,0)),"" "",""""),""'"",""""),""("",""""),"")"",""""),""-"",""_"")&amp;""_""&amp;$A$2)"),"Vanilla\Human\Male\Vanilla_StraightMedium_Human_Male")</f>
        <v>Vanilla\Human\Male\Vanilla_StraightMedium_Human_Male</v>
      </c>
    </row>
    <row r="67">
      <c r="B67" s="12" t="str">
        <f>IFERROR(__xludf.DUMMYFUNCTION("""COMPUTED_VALUE"""),"Uvi_Wig_Spell_VHRU_StraightBehindEars")</f>
        <v>Uvi_Wig_Spell_VHRU_StraightBehindEars</v>
      </c>
      <c r="C67" s="12" t="str">
        <f>IFERROR(__xludf.DUMMYFUNCTION("IF($B67="""","""",SUBSTITUTE(SUBSTITUTE(SUBSTITUTE(SUBSTITUTE(INDEX(Hairstyles!$A:$A,MATCH($B67,Hairstyles!$F:$F,0)),"" "",""""),""'"",""""),""("",""""),"")"","""")&amp;""\""&amp;INDEX(SPLIT($A$2,""_""),1)&amp;""\""&amp;INDEX(SPLIT($A$2,""_""),2)&amp;""\""&amp;SUBSTITUTE(SUBSTIT"&amp;"UTE(SUBSTITUTE(SUBSTITUTE(SUBSTITUTE(INDEX(Hairstyles!$C:$C,MATCH($B67,Hairstyles!$F:$F,0)),"" "",""""),""'"",""""),""("",""""),"")"",""""),""-"",""_"")&amp;""_""&amp;$A$2)"),"Vanilla\Human\Male\Vanilla_StraightBehindEars_Human_Male")</f>
        <v>Vanilla\Human\Male\Vanilla_StraightBehindEars_Human_Male</v>
      </c>
    </row>
    <row r="68">
      <c r="B68" s="12" t="str">
        <f>IFERROR(__xludf.DUMMYFUNCTION("""COMPUTED_VALUE"""),"Uvi_Wig_Spell_VHRU_StraightBehindLeftEar")</f>
        <v>Uvi_Wig_Spell_VHRU_StraightBehindLeftEar</v>
      </c>
      <c r="C68" s="12" t="str">
        <f>IFERROR(__xludf.DUMMYFUNCTION("IF($B68="""","""",SUBSTITUTE(SUBSTITUTE(SUBSTITUTE(SUBSTITUTE(INDEX(Hairstyles!$A:$A,MATCH($B68,Hairstyles!$F:$F,0)),"" "",""""),""'"",""""),""("",""""),"")"","""")&amp;""\""&amp;INDEX(SPLIT($A$2,""_""),1)&amp;""\""&amp;INDEX(SPLIT($A$2,""_""),2)&amp;""\""&amp;SUBSTITUTE(SUBSTIT"&amp;"UTE(SUBSTITUTE(SUBSTITUTE(SUBSTITUTE(INDEX(Hairstyles!$C:$C,MATCH($B68,Hairstyles!$F:$F,0)),"" "",""""),""'"",""""),""("",""""),"")"",""""),""-"",""_"")&amp;""_""&amp;$A$2)"),"Vanilla\Human\Male\Vanilla_StraightBehindLeftEar_Human_Male")</f>
        <v>Vanilla\Human\Male\Vanilla_StraightBehindLeftEar_Human_Male</v>
      </c>
    </row>
    <row r="69">
      <c r="B69" s="12" t="str">
        <f>IFERROR(__xludf.DUMMYFUNCTION("""COMPUTED_VALUE"""),"Uvi_Wig_Spell_VHRU_TopTiedBackSideBraids")</f>
        <v>Uvi_Wig_Spell_VHRU_TopTiedBackSideBraids</v>
      </c>
      <c r="C69" s="12" t="str">
        <f>IFERROR(__xludf.DUMMYFUNCTION("IF($B69="""","""",SUBSTITUTE(SUBSTITUTE(SUBSTITUTE(SUBSTITUTE(INDEX(Hairstyles!$A:$A,MATCH($B69,Hairstyles!$F:$F,0)),"" "",""""),""'"",""""),""("",""""),"")"","""")&amp;""\""&amp;INDEX(SPLIT($A$2,""_""),1)&amp;""\""&amp;INDEX(SPLIT($A$2,""_""),2)&amp;""\""&amp;SUBSTITUTE(SUBSTIT"&amp;"UTE(SUBSTITUTE(SUBSTITUTE(SUBSTITUTE(INDEX(Hairstyles!$C:$C,MATCH($B69,Hairstyles!$F:$F,0)),"" "",""""),""'"",""""),""("",""""),"")"",""""),""-"",""_"")&amp;""_""&amp;$A$2)"),"Vanilla\Human\Male\Vanilla_TopTiedBackSideBraids_Human_Male")</f>
        <v>Vanilla\Human\Male\Vanilla_TopTiedBackSideBraids_Human_Male</v>
      </c>
    </row>
    <row r="70">
      <c r="B70" s="12" t="str">
        <f>IFERROR(__xludf.DUMMYFUNCTION("""COMPUTED_VALUE"""),"Uvi_Wig_Spell_VHRU_UndercutPonytailBanded")</f>
        <v>Uvi_Wig_Spell_VHRU_UndercutPonytailBanded</v>
      </c>
      <c r="C70" s="12" t="str">
        <f>IFERROR(__xludf.DUMMYFUNCTION("IF($B70="""","""",SUBSTITUTE(SUBSTITUTE(SUBSTITUTE(SUBSTITUTE(INDEX(Hairstyles!$A:$A,MATCH($B70,Hairstyles!$F:$F,0)),"" "",""""),""'"",""""),""("",""""),"")"","""")&amp;""\""&amp;INDEX(SPLIT($A$2,""_""),1)&amp;""\""&amp;INDEX(SPLIT($A$2,""_""),2)&amp;""\""&amp;SUBSTITUTE(SUBSTIT"&amp;"UTE(SUBSTITUTE(SUBSTITUTE(SUBSTITUTE(INDEX(Hairstyles!$C:$C,MATCH($B70,Hairstyles!$F:$F,0)),"" "",""""),""'"",""""),""("",""""),"")"",""""),""-"",""_"")&amp;""_""&amp;$A$2)"),"Vanilla\Human\Male\Vanilla_UndercutPonytailBanded_Human_Male")</f>
        <v>Vanilla\Human\Male\Vanilla_UndercutPonytailBanded_Human_Male</v>
      </c>
    </row>
    <row r="71">
      <c r="B71" s="12" t="str">
        <f>IFERROR(__xludf.DUMMYFUNCTION("""COMPUTED_VALUE"""),"Uvi_Wig_Spell_VHRU_UndercutPonytailHigh")</f>
        <v>Uvi_Wig_Spell_VHRU_UndercutPonytailHigh</v>
      </c>
      <c r="C71" s="12" t="str">
        <f>IFERROR(__xludf.DUMMYFUNCTION("IF($B71="""","""",SUBSTITUTE(SUBSTITUTE(SUBSTITUTE(SUBSTITUTE(INDEX(Hairstyles!$A:$A,MATCH($B71,Hairstyles!$F:$F,0)),"" "",""""),""'"",""""),""("",""""),"")"","""")&amp;""\""&amp;INDEX(SPLIT($A$2,""_""),1)&amp;""\""&amp;INDEX(SPLIT($A$2,""_""),2)&amp;""\""&amp;SUBSTITUTE(SUBSTIT"&amp;"UTE(SUBSTITUTE(SUBSTITUTE(SUBSTITUTE(INDEX(Hairstyles!$C:$C,MATCH($B71,Hairstyles!$F:$F,0)),"" "",""""),""'"",""""),""("",""""),"")"",""""),""-"",""_"")&amp;""_""&amp;$A$2)"),"Vanilla\Human\Male\Vanilla_UndercutPonytailHigh_Human_Male")</f>
        <v>Vanilla\Human\Male\Vanilla_UndercutPonytailHigh_Human_Male</v>
      </c>
    </row>
    <row r="72">
      <c r="B72" s="12" t="str">
        <f>IFERROR(__xludf.DUMMYFUNCTION("""COMPUTED_VALUE"""),"Uvi_Wig_Spell_VHRU_UndercutPonytailLong")</f>
        <v>Uvi_Wig_Spell_VHRU_UndercutPonytailLong</v>
      </c>
      <c r="C72" s="12" t="str">
        <f>IFERROR(__xludf.DUMMYFUNCTION("IF($B72="""","""",SUBSTITUTE(SUBSTITUTE(SUBSTITUTE(SUBSTITUTE(INDEX(Hairstyles!$A:$A,MATCH($B72,Hairstyles!$F:$F,0)),"" "",""""),""'"",""""),""("",""""),"")"","""")&amp;""\""&amp;INDEX(SPLIT($A$2,""_""),1)&amp;""\""&amp;INDEX(SPLIT($A$2,""_""),2)&amp;""\""&amp;SUBSTITUTE(SUBSTIT"&amp;"UTE(SUBSTITUTE(SUBSTITUTE(SUBSTITUTE(INDEX(Hairstyles!$C:$C,MATCH($B72,Hairstyles!$F:$F,0)),"" "",""""),""'"",""""),""("",""""),"")"",""""),""-"",""_"")&amp;""_""&amp;$A$2)"),"Vanilla\Human\Male\Vanilla_UndercutPonytailLong_Human_Male")</f>
        <v>Vanilla\Human\Male\Vanilla_UndercutPonytailLong_Human_Male</v>
      </c>
    </row>
    <row r="73">
      <c r="B73" s="12" t="str">
        <f>IFERROR(__xludf.DUMMYFUNCTION("""COMPUTED_VALUE"""),"Uvi_Wig_Spell_VHRU_UndercutPonytailMedium")</f>
        <v>Uvi_Wig_Spell_VHRU_UndercutPonytailMedium</v>
      </c>
      <c r="C73" s="12" t="str">
        <f>IFERROR(__xludf.DUMMYFUNCTION("IF($B73="""","""",SUBSTITUTE(SUBSTITUTE(SUBSTITUTE(SUBSTITUTE(INDEX(Hairstyles!$A:$A,MATCH($B73,Hairstyles!$F:$F,0)),"" "",""""),""'"",""""),""("",""""),"")"","""")&amp;""\""&amp;INDEX(SPLIT($A$2,""_""),1)&amp;""\""&amp;INDEX(SPLIT($A$2,""_""),2)&amp;""\""&amp;SUBSTITUTE(SUBSTIT"&amp;"UTE(SUBSTITUTE(SUBSTITUTE(SUBSTITUTE(INDEX(Hairstyles!$C:$C,MATCH($B73,Hairstyles!$F:$F,0)),"" "",""""),""'"",""""),""("",""""),"")"",""""),""-"",""_"")&amp;""_""&amp;$A$2)"),"Vanilla\Human\Male\Vanilla_UndercutPonytailMedium_Human_Male")</f>
        <v>Vanilla\Human\Male\Vanilla_UndercutPonytailMedium_Human_Male</v>
      </c>
    </row>
    <row r="74">
      <c r="B74" s="12" t="str">
        <f>IFERROR(__xludf.DUMMYFUNCTION("""COMPUTED_VALUE"""),"Uvi_Wig_Spell_VHRU_UndercutPonytailReceding")</f>
        <v>Uvi_Wig_Spell_VHRU_UndercutPonytailReceding</v>
      </c>
      <c r="C74" s="12" t="str">
        <f>IFERROR(__xludf.DUMMYFUNCTION("IF($B74="""","""",SUBSTITUTE(SUBSTITUTE(SUBSTITUTE(SUBSTITUTE(INDEX(Hairstyles!$A:$A,MATCH($B74,Hairstyles!$F:$F,0)),"" "",""""),""'"",""""),""("",""""),"")"","""")&amp;""\""&amp;INDEX(SPLIT($A$2,""_""),1)&amp;""\""&amp;INDEX(SPLIT($A$2,""_""),2)&amp;""\""&amp;SUBSTITUTE(SUBSTIT"&amp;"UTE(SUBSTITUTE(SUBSTITUTE(SUBSTITUTE(INDEX(Hairstyles!$C:$C,MATCH($B74,Hairstyles!$F:$F,0)),"" "",""""),""'"",""""),""("",""""),"")"",""""),""-"",""_"")&amp;""_""&amp;$A$2)"),"Vanilla\Human\Male\Vanilla_UndercutPonytailReceding_Human_Male")</f>
        <v>Vanilla\Human\Male\Vanilla_UndercutPonytailReceding_Human_Male</v>
      </c>
    </row>
    <row r="75">
      <c r="B75" s="12" t="str">
        <f>IFERROR(__xludf.DUMMYFUNCTION("""COMPUTED_VALUE"""),"Uvi_Wig_Spell_VHRU_UndercutPonytailShort")</f>
        <v>Uvi_Wig_Spell_VHRU_UndercutPonytailShort</v>
      </c>
      <c r="C75" s="12" t="str">
        <f>IFERROR(__xludf.DUMMYFUNCTION("IF($B75="""","""",SUBSTITUTE(SUBSTITUTE(SUBSTITUTE(SUBSTITUTE(INDEX(Hairstyles!$A:$A,MATCH($B75,Hairstyles!$F:$F,0)),"" "",""""),""'"",""""),""("",""""),"")"","""")&amp;""\""&amp;INDEX(SPLIT($A$2,""_""),1)&amp;""\""&amp;INDEX(SPLIT($A$2,""_""),2)&amp;""\""&amp;SUBSTITUTE(SUBSTIT"&amp;"UTE(SUBSTITUTE(SUBSTITUTE(SUBSTITUTE(INDEX(Hairstyles!$C:$C,MATCH($B75,Hairstyles!$F:$F,0)),"" "",""""),""'"",""""),""("",""""),"")"",""""),""-"",""_"")&amp;""_""&amp;$A$2)"),"Vanilla\Human\Male\Vanilla_UndercutPonytailShort_Human_Male")</f>
        <v>Vanilla\Human\Male\Vanilla_UndercutPonytailShort_Human_Male</v>
      </c>
    </row>
    <row r="76">
      <c r="B76" s="12" t="str">
        <f>IFERROR(__xludf.DUMMYFUNCTION("""COMPUTED_VALUE"""),"Uvi_Wig_Spell_VHRU_WidowsPeakLong")</f>
        <v>Uvi_Wig_Spell_VHRU_WidowsPeakLong</v>
      </c>
      <c r="C76" s="12" t="str">
        <f>IFERROR(__xludf.DUMMYFUNCTION("IF($B76="""","""",SUBSTITUTE(SUBSTITUTE(SUBSTITUTE(SUBSTITUTE(INDEX(Hairstyles!$A:$A,MATCH($B76,Hairstyles!$F:$F,0)),"" "",""""),""'"",""""),""("",""""),"")"","""")&amp;""\""&amp;INDEX(SPLIT($A$2,""_""),1)&amp;""\""&amp;INDEX(SPLIT($A$2,""_""),2)&amp;""\""&amp;SUBSTITUTE(SUBSTIT"&amp;"UTE(SUBSTITUTE(SUBSTITUTE(SUBSTITUTE(INDEX(Hairstyles!$C:$C,MATCH($B76,Hairstyles!$F:$F,0)),"" "",""""),""'"",""""),""("",""""),"")"",""""),""-"",""_"")&amp;""_""&amp;$A$2)"),"Vanilla\Human\Male\Vanilla_WidowsPeakLong_Human_Male")</f>
        <v>Vanilla\Human\Male\Vanilla_WidowsPeakLong_Human_Male</v>
      </c>
    </row>
    <row r="77">
      <c r="B77" s="12" t="str">
        <f>IFERROR(__xludf.DUMMYFUNCTION("""COMPUTED_VALUE"""),"Uvi_Wig_Spell_VHRU_WidowsPeakShort")</f>
        <v>Uvi_Wig_Spell_VHRU_WidowsPeakShort</v>
      </c>
      <c r="C77" s="12" t="str">
        <f>IFERROR(__xludf.DUMMYFUNCTION("IF($B77="""","""",SUBSTITUTE(SUBSTITUTE(SUBSTITUTE(SUBSTITUTE(INDEX(Hairstyles!$A:$A,MATCH($B77,Hairstyles!$F:$F,0)),"" "",""""),""'"",""""),""("",""""),"")"","""")&amp;""\""&amp;INDEX(SPLIT($A$2,""_""),1)&amp;""\""&amp;INDEX(SPLIT($A$2,""_""),2)&amp;""\""&amp;SUBSTITUTE(SUBSTIT"&amp;"UTE(SUBSTITUTE(SUBSTITUTE(SUBSTITUTE(INDEX(Hairstyles!$C:$C,MATCH($B77,Hairstyles!$F:$F,0)),"" "",""""),""'"",""""),""("",""""),"")"",""""),""-"",""_"")&amp;""_""&amp;$A$2)"),"Vanilla\Human\Male\Vanilla_WidowsPeakShort_Human_Male")</f>
        <v>Vanilla\Human\Male\Vanilla_WidowsPeakShort_Human_Male</v>
      </c>
    </row>
    <row r="78">
      <c r="B78" s="12" t="str">
        <f>IFERROR(__xludf.DUMMYFUNCTION("""COMPUTED_VALUE"""),"Uvi_Wig_Spell_VHRU_WidowsPeakWindswept")</f>
        <v>Uvi_Wig_Spell_VHRU_WidowsPeakWindswept</v>
      </c>
      <c r="C78" s="12" t="str">
        <f>IFERROR(__xludf.DUMMYFUNCTION("IF($B78="""","""",SUBSTITUTE(SUBSTITUTE(SUBSTITUTE(SUBSTITUTE(INDEX(Hairstyles!$A:$A,MATCH($B78,Hairstyles!$F:$F,0)),"" "",""""),""'"",""""),""("",""""),"")"","""")&amp;""\""&amp;INDEX(SPLIT($A$2,""_""),1)&amp;""\""&amp;INDEX(SPLIT($A$2,""_""),2)&amp;""\""&amp;SUBSTITUTE(SUBSTIT"&amp;"UTE(SUBSTITUTE(SUBSTITUTE(SUBSTITUTE(INDEX(Hairstyles!$C:$C,MATCH($B78,Hairstyles!$F:$F,0)),"" "",""""),""'"",""""),""("",""""),"")"",""""),""-"",""_"")&amp;""_""&amp;$A$2)"),"Vanilla\Human\Male\Vanilla_WidowsPeakWindswept_Human_Male")</f>
        <v>Vanilla\Human\Male\Vanilla_WidowsPeakWindswept_Human_Male</v>
      </c>
    </row>
    <row r="79">
      <c r="B79" s="12" t="str">
        <f>IFERROR(__xludf.DUMMYFUNCTION("""COMPUTED_VALUE"""),"Uvi_Wig_Spell_Dint02_03")</f>
        <v>Uvi_Wig_Spell_Dint02_03</v>
      </c>
      <c r="C79" s="12" t="str">
        <f>IFERROR(__xludf.DUMMYFUNCTION("IF($B79="""","""",SUBSTITUTE(SUBSTITUTE(SUBSTITUTE(SUBSTITUTE(INDEX(Hairstyles!$A:$A,MATCH($B79,Hairstyles!$F:$F,0)),"" "",""""),""'"",""""),""("",""""),"")"","""")&amp;""\""&amp;INDEX(SPLIT($A$2,""_""),1)&amp;""\""&amp;INDEX(SPLIT($A$2,""_""),2)&amp;""\""&amp;SUBSTITUTE(SUBSTIT"&amp;"UTE(SUBSTITUTE(SUBSTITUTE(SUBSTITUTE(INDEX(Hairstyles!$C:$C,MATCH($B79,Hairstyles!$F:$F,0)),"" "",""""),""'"",""""),""("",""""),"")"",""""),""-"",""_"")&amp;""_""&amp;$A$2)"),"DintHairPack02\Human\Male\DintHairPack02_3_Human_Male")</f>
        <v>DintHairPack02\Human\Male\DintHairPack02_3_Human_Male</v>
      </c>
    </row>
    <row r="80">
      <c r="B80" s="12" t="str">
        <f>IFERROR(__xludf.DUMMYFUNCTION("""COMPUTED_VALUE"""),"Uvi_Wig_Spell_Dint02_04")</f>
        <v>Uvi_Wig_Spell_Dint02_04</v>
      </c>
      <c r="C80" s="12" t="str">
        <f>IFERROR(__xludf.DUMMYFUNCTION("IF($B80="""","""",SUBSTITUTE(SUBSTITUTE(SUBSTITUTE(SUBSTITUTE(INDEX(Hairstyles!$A:$A,MATCH($B80,Hairstyles!$F:$F,0)),"" "",""""),""'"",""""),""("",""""),"")"","""")&amp;""\""&amp;INDEX(SPLIT($A$2,""_""),1)&amp;""\""&amp;INDEX(SPLIT($A$2,""_""),2)&amp;""\""&amp;SUBSTITUTE(SUBSTIT"&amp;"UTE(SUBSTITUTE(SUBSTITUTE(SUBSTITUTE(INDEX(Hairstyles!$C:$C,MATCH($B80,Hairstyles!$F:$F,0)),"" "",""""),""'"",""""),""("",""""),"")"",""""),""-"",""_"")&amp;""_""&amp;$A$2)"),"DintHairPack02\Human\Male\DintHairPack02_4_Human_Male")</f>
        <v>DintHairPack02\Human\Male\DintHairPack02_4_Human_Male</v>
      </c>
    </row>
    <row r="81">
      <c r="B81" s="12" t="str">
        <f>IFERROR(__xludf.DUMMYFUNCTION("""COMPUTED_VALUE"""),"Uvi_Wig_Spell_Dint02_05")</f>
        <v>Uvi_Wig_Spell_Dint02_05</v>
      </c>
      <c r="C81" s="12" t="str">
        <f>IFERROR(__xludf.DUMMYFUNCTION("IF($B81="""","""",SUBSTITUTE(SUBSTITUTE(SUBSTITUTE(SUBSTITUTE(INDEX(Hairstyles!$A:$A,MATCH($B81,Hairstyles!$F:$F,0)),"" "",""""),""'"",""""),""("",""""),"")"","""")&amp;""\""&amp;INDEX(SPLIT($A$2,""_""),1)&amp;""\""&amp;INDEX(SPLIT($A$2,""_""),2)&amp;""\""&amp;SUBSTITUTE(SUBSTIT"&amp;"UTE(SUBSTITUTE(SUBSTITUTE(SUBSTITUTE(INDEX(Hairstyles!$C:$C,MATCH($B81,Hairstyles!$F:$F,0)),"" "",""""),""'"",""""),""("",""""),"")"",""""),""-"",""_"")&amp;""_""&amp;$A$2)"),"DintHairPack02\Human\Male\DintHairPack02_5_Human_Male")</f>
        <v>DintHairPack02\Human\Male\DintHairPack02_5_Human_Male</v>
      </c>
    </row>
    <row r="82">
      <c r="B82" s="12" t="str">
        <f>IFERROR(__xludf.DUMMYFUNCTION("""COMPUTED_VALUE"""),"Uvi_Wig_Spell_Dint02_06")</f>
        <v>Uvi_Wig_Spell_Dint02_06</v>
      </c>
      <c r="C82" s="12" t="str">
        <f>IFERROR(__xludf.DUMMYFUNCTION("IF($B82="""","""",SUBSTITUTE(SUBSTITUTE(SUBSTITUTE(SUBSTITUTE(INDEX(Hairstyles!$A:$A,MATCH($B82,Hairstyles!$F:$F,0)),"" "",""""),""'"",""""),""("",""""),"")"","""")&amp;""\""&amp;INDEX(SPLIT($A$2,""_""),1)&amp;""\""&amp;INDEX(SPLIT($A$2,""_""),2)&amp;""\""&amp;SUBSTITUTE(SUBSTIT"&amp;"UTE(SUBSTITUTE(SUBSTITUTE(SUBSTITUTE(INDEX(Hairstyles!$C:$C,MATCH($B82,Hairstyles!$F:$F,0)),"" "",""""),""'"",""""),""("",""""),"")"",""""),""-"",""_"")&amp;""_""&amp;$A$2)"),"DintHairPack02\Human\Male\DintHairPack02_6_Human_Male")</f>
        <v>DintHairPack02\Human\Male\DintHairPack02_6_Human_Male</v>
      </c>
    </row>
    <row r="83">
      <c r="B83" s="12" t="str">
        <f>IFERROR(__xludf.DUMMYFUNCTION("""COMPUTED_VALUE"""),"Uvi_Wig_Spell_Dint02_08")</f>
        <v>Uvi_Wig_Spell_Dint02_08</v>
      </c>
      <c r="C83" s="12" t="str">
        <f>IFERROR(__xludf.DUMMYFUNCTION("IF($B83="""","""",SUBSTITUTE(SUBSTITUTE(SUBSTITUTE(SUBSTITUTE(INDEX(Hairstyles!$A:$A,MATCH($B83,Hairstyles!$F:$F,0)),"" "",""""),""'"",""""),""("",""""),"")"","""")&amp;""\""&amp;INDEX(SPLIT($A$2,""_""),1)&amp;""\""&amp;INDEX(SPLIT($A$2,""_""),2)&amp;""\""&amp;SUBSTITUTE(SUBSTIT"&amp;"UTE(SUBSTITUTE(SUBSTITUTE(SUBSTITUTE(INDEX(Hairstyles!$C:$C,MATCH($B83,Hairstyles!$F:$F,0)),"" "",""""),""'"",""""),""("",""""),"")"",""""),""-"",""_"")&amp;""_""&amp;$A$2)"),"DintHairPack02\Human\Male\DintHairPack02_8_Human_Male")</f>
        <v>DintHairPack02\Human\Male\DintHairPack02_8_Human_Male</v>
      </c>
    </row>
    <row r="84">
      <c r="B84" s="12" t="str">
        <f>IFERROR(__xludf.DUMMYFUNCTION("""COMPUTED_VALUE"""),"Uvi_Wig_Spell_Dint02_10")</f>
        <v>Uvi_Wig_Spell_Dint02_10</v>
      </c>
      <c r="C84" s="12" t="str">
        <f>IFERROR(__xludf.DUMMYFUNCTION("IF($B84="""","""",SUBSTITUTE(SUBSTITUTE(SUBSTITUTE(SUBSTITUTE(INDEX(Hairstyles!$A:$A,MATCH($B84,Hairstyles!$F:$F,0)),"" "",""""),""'"",""""),""("",""""),"")"","""")&amp;""\""&amp;INDEX(SPLIT($A$2,""_""),1)&amp;""\""&amp;INDEX(SPLIT($A$2,""_""),2)&amp;""\""&amp;SUBSTITUTE(SUBSTIT"&amp;"UTE(SUBSTITUTE(SUBSTITUTE(SUBSTITUTE(INDEX(Hairstyles!$C:$C,MATCH($B84,Hairstyles!$F:$F,0)),"" "",""""),""'"",""""),""("",""""),"")"",""""),""-"",""_"")&amp;""_""&amp;$A$2)"),"DintHairPack02\Human\Male\DintHairPack02_10_Human_Male")</f>
        <v>DintHairPack02\Human\Male\DintHairPack02_10_Human_Male</v>
      </c>
    </row>
    <row r="85">
      <c r="B85" s="12" t="str">
        <f>IFERROR(__xludf.DUMMYFUNCTION("""COMPUTED_VALUE"""),"Uvi_Wig_Spell_Dint02_15")</f>
        <v>Uvi_Wig_Spell_Dint02_15</v>
      </c>
      <c r="C85" s="12" t="str">
        <f>IFERROR(__xludf.DUMMYFUNCTION("IF($B85="""","""",SUBSTITUTE(SUBSTITUTE(SUBSTITUTE(SUBSTITUTE(INDEX(Hairstyles!$A:$A,MATCH($B85,Hairstyles!$F:$F,0)),"" "",""""),""'"",""""),""("",""""),"")"","""")&amp;""\""&amp;INDEX(SPLIT($A$2,""_""),1)&amp;""\""&amp;INDEX(SPLIT($A$2,""_""),2)&amp;""\""&amp;SUBSTITUTE(SUBSTIT"&amp;"UTE(SUBSTITUTE(SUBSTITUTE(SUBSTITUTE(INDEX(Hairstyles!$C:$C,MATCH($B85,Hairstyles!$F:$F,0)),"" "",""""),""'"",""""),""("",""""),"")"",""""),""-"",""_"")&amp;""_""&amp;$A$2)"),"DintHairPack02\Human\Male\DintHairPack02_15_Human_Male")</f>
        <v>DintHairPack02\Human\Male\DintHairPack02_15_Human_Male</v>
      </c>
    </row>
    <row r="86">
      <c r="B86" s="12" t="str">
        <f>IFERROR(__xludf.DUMMYFUNCTION("""COMPUTED_VALUE"""),"Uvi_Wig_Spell_Dint02_16")</f>
        <v>Uvi_Wig_Spell_Dint02_16</v>
      </c>
      <c r="C86" s="12" t="str">
        <f>IFERROR(__xludf.DUMMYFUNCTION("IF($B86="""","""",SUBSTITUTE(SUBSTITUTE(SUBSTITUTE(SUBSTITUTE(INDEX(Hairstyles!$A:$A,MATCH($B86,Hairstyles!$F:$F,0)),"" "",""""),""'"",""""),""("",""""),"")"","""")&amp;""\""&amp;INDEX(SPLIT($A$2,""_""),1)&amp;""\""&amp;INDEX(SPLIT($A$2,""_""),2)&amp;""\""&amp;SUBSTITUTE(SUBSTIT"&amp;"UTE(SUBSTITUTE(SUBSTITUTE(SUBSTITUTE(INDEX(Hairstyles!$C:$C,MATCH($B86,Hairstyles!$F:$F,0)),"" "",""""),""'"",""""),""("",""""),"")"",""""),""-"",""_"")&amp;""_""&amp;$A$2)"),"DintHairPack02\Human\Male\DintHairPack02_16_Human_Male")</f>
        <v>DintHairPack02\Human\Male\DintHairPack02_16_Human_Male</v>
      </c>
    </row>
    <row r="87">
      <c r="B87" s="12" t="str">
        <f>IFERROR(__xludf.DUMMYFUNCTION("""COMPUTED_VALUE"""),"Uvi_Wig_Spell_Dint02_17")</f>
        <v>Uvi_Wig_Spell_Dint02_17</v>
      </c>
      <c r="C87" s="12" t="str">
        <f>IFERROR(__xludf.DUMMYFUNCTION("IF($B87="""","""",SUBSTITUTE(SUBSTITUTE(SUBSTITUTE(SUBSTITUTE(INDEX(Hairstyles!$A:$A,MATCH($B87,Hairstyles!$F:$F,0)),"" "",""""),""'"",""""),""("",""""),"")"","""")&amp;""\""&amp;INDEX(SPLIT($A$2,""_""),1)&amp;""\""&amp;INDEX(SPLIT($A$2,""_""),2)&amp;""\""&amp;SUBSTITUTE(SUBSTIT"&amp;"UTE(SUBSTITUTE(SUBSTITUTE(SUBSTITUTE(INDEX(Hairstyles!$C:$C,MATCH($B87,Hairstyles!$F:$F,0)),"" "",""""),""'"",""""),""("",""""),"")"",""""),""-"",""_"")&amp;""_""&amp;$A$2)"),"DintHairPack02\Human\Male\DintHairPack02_17_Human_Male")</f>
        <v>DintHairPack02\Human\Male\DintHairPack02_17_Human_Male</v>
      </c>
    </row>
    <row r="88">
      <c r="B88" s="12" t="str">
        <f>IFERROR(__xludf.DUMMYFUNCTION("""COMPUTED_VALUE"""),"Uvi_Wig_Spell_Dint02_18A")</f>
        <v>Uvi_Wig_Spell_Dint02_18A</v>
      </c>
      <c r="C88" s="12" t="str">
        <f>IFERROR(__xludf.DUMMYFUNCTION("IF($B88="""","""",SUBSTITUTE(SUBSTITUTE(SUBSTITUTE(SUBSTITUTE(INDEX(Hairstyles!$A:$A,MATCH($B88,Hairstyles!$F:$F,0)),"" "",""""),""'"",""""),""("",""""),"")"","""")&amp;""\""&amp;INDEX(SPLIT($A$2,""_""),1)&amp;""\""&amp;INDEX(SPLIT($A$2,""_""),2)&amp;""\""&amp;SUBSTITUTE(SUBSTIT"&amp;"UTE(SUBSTITUTE(SUBSTITUTE(SUBSTITUTE(INDEX(Hairstyles!$C:$C,MATCH($B88,Hairstyles!$F:$F,0)),"" "",""""),""'"",""""),""("",""""),"")"",""""),""-"",""_"")&amp;""_""&amp;$A$2)"),"DintHairPack02\Human\Male\DintHairPack02_18A_Human_Male")</f>
        <v>DintHairPack02\Human\Male\DintHairPack02_18A_Human_Male</v>
      </c>
    </row>
    <row r="89">
      <c r="B89" s="12" t="str">
        <f>IFERROR(__xludf.DUMMYFUNCTION("""COMPUTED_VALUE"""),"Uvi_Wig_Spell_Dint02_18B")</f>
        <v>Uvi_Wig_Spell_Dint02_18B</v>
      </c>
      <c r="C89" s="12" t="str">
        <f>IFERROR(__xludf.DUMMYFUNCTION("IF($B89="""","""",SUBSTITUTE(SUBSTITUTE(SUBSTITUTE(SUBSTITUTE(INDEX(Hairstyles!$A:$A,MATCH($B89,Hairstyles!$F:$F,0)),"" "",""""),""'"",""""),""("",""""),"")"","""")&amp;""\""&amp;INDEX(SPLIT($A$2,""_""),1)&amp;""\""&amp;INDEX(SPLIT($A$2,""_""),2)&amp;""\""&amp;SUBSTITUTE(SUBSTIT"&amp;"UTE(SUBSTITUTE(SUBSTITUTE(SUBSTITUTE(INDEX(Hairstyles!$C:$C,MATCH($B89,Hairstyles!$F:$F,0)),"" "",""""),""'"",""""),""("",""""),"")"",""""),""-"",""_"")&amp;""_""&amp;$A$2)"),"DintHairPack02\Human\Male\DintHairPack02_18B_Human_Male")</f>
        <v>DintHairPack02\Human\Male\DintHairPack02_18B_Human_Male</v>
      </c>
    </row>
    <row r="90">
      <c r="B90" s="12" t="str">
        <f>IFERROR(__xludf.DUMMYFUNCTION("""COMPUTED_VALUE"""),"Uvi_Wig_Spell_Dint02_18C")</f>
        <v>Uvi_Wig_Spell_Dint02_18C</v>
      </c>
      <c r="C90" s="12" t="str">
        <f>IFERROR(__xludf.DUMMYFUNCTION("IF($B90="""","""",SUBSTITUTE(SUBSTITUTE(SUBSTITUTE(SUBSTITUTE(INDEX(Hairstyles!$A:$A,MATCH($B90,Hairstyles!$F:$F,0)),"" "",""""),""'"",""""),""("",""""),"")"","""")&amp;""\""&amp;INDEX(SPLIT($A$2,""_""),1)&amp;""\""&amp;INDEX(SPLIT($A$2,""_""),2)&amp;""\""&amp;SUBSTITUTE(SUBSTIT"&amp;"UTE(SUBSTITUTE(SUBSTITUTE(SUBSTITUTE(INDEX(Hairstyles!$C:$C,MATCH($B90,Hairstyles!$F:$F,0)),"" "",""""),""'"",""""),""("",""""),"")"",""""),""-"",""_"")&amp;""_""&amp;$A$2)"),"DintHairPack02\Human\Male\DintHairPack02_18C_Human_Male")</f>
        <v>DintHairPack02\Human\Male\DintHairPack02_18C_Human_Male</v>
      </c>
    </row>
    <row r="91">
      <c r="B91" s="12" t="str">
        <f>IFERROR(__xludf.DUMMYFUNCTION("""COMPUTED_VALUE"""),"Uvi_Wig_Spell_Dint02_19")</f>
        <v>Uvi_Wig_Spell_Dint02_19</v>
      </c>
      <c r="C91" s="12" t="str">
        <f>IFERROR(__xludf.DUMMYFUNCTION("IF($B91="""","""",SUBSTITUTE(SUBSTITUTE(SUBSTITUTE(SUBSTITUTE(INDEX(Hairstyles!$A:$A,MATCH($B91,Hairstyles!$F:$F,0)),"" "",""""),""'"",""""),""("",""""),"")"","""")&amp;""\""&amp;INDEX(SPLIT($A$2,""_""),1)&amp;""\""&amp;INDEX(SPLIT($A$2,""_""),2)&amp;""\""&amp;SUBSTITUTE(SUBSTIT"&amp;"UTE(SUBSTITUTE(SUBSTITUTE(SUBSTITUTE(INDEX(Hairstyles!$C:$C,MATCH($B91,Hairstyles!$F:$F,0)),"" "",""""),""'"",""""),""("",""""),"")"",""""),""-"",""_"")&amp;""_""&amp;$A$2)"),"DintHairPack02\Human\Male\DintHairPack02_19_Human_Male")</f>
        <v>DintHairPack02\Human\Male\DintHairPack02_19_Human_Male</v>
      </c>
    </row>
    <row r="92">
      <c r="B92" s="12" t="str">
        <f>IFERROR(__xludf.DUMMYFUNCTION("""COMPUTED_VALUE"""),"Uvi_Wig_Spell_Dint02_20")</f>
        <v>Uvi_Wig_Spell_Dint02_20</v>
      </c>
      <c r="C92" s="12" t="str">
        <f>IFERROR(__xludf.DUMMYFUNCTION("IF($B92="""","""",SUBSTITUTE(SUBSTITUTE(SUBSTITUTE(SUBSTITUTE(INDEX(Hairstyles!$A:$A,MATCH($B92,Hairstyles!$F:$F,0)),"" "",""""),""'"",""""),""("",""""),"")"","""")&amp;""\""&amp;INDEX(SPLIT($A$2,""_""),1)&amp;""\""&amp;INDEX(SPLIT($A$2,""_""),2)&amp;""\""&amp;SUBSTITUTE(SUBSTIT"&amp;"UTE(SUBSTITUTE(SUBSTITUTE(SUBSTITUTE(INDEX(Hairstyles!$C:$C,MATCH($B92,Hairstyles!$F:$F,0)),"" "",""""),""'"",""""),""("",""""),"")"",""""),""-"",""_"")&amp;""_""&amp;$A$2)"),"DintHairPack02\Human\Male\DintHairPack02_20_Human_Male")</f>
        <v>DintHairPack02\Human\Male\DintHairPack02_20_Human_Male</v>
      </c>
    </row>
    <row r="93">
      <c r="B93" s="12" t="str">
        <f>IFERROR(__xludf.DUMMYFUNCTION("""COMPUTED_VALUE"""),"Uvi_Wig_Spell_Dint02_21")</f>
        <v>Uvi_Wig_Spell_Dint02_21</v>
      </c>
      <c r="C93" s="12" t="str">
        <f>IFERROR(__xludf.DUMMYFUNCTION("IF($B93="""","""",SUBSTITUTE(SUBSTITUTE(SUBSTITUTE(SUBSTITUTE(INDEX(Hairstyles!$A:$A,MATCH($B93,Hairstyles!$F:$F,0)),"" "",""""),""'"",""""),""("",""""),"")"","""")&amp;""\""&amp;INDEX(SPLIT($A$2,""_""),1)&amp;""\""&amp;INDEX(SPLIT($A$2,""_""),2)&amp;""\""&amp;SUBSTITUTE(SUBSTIT"&amp;"UTE(SUBSTITUTE(SUBSTITUTE(SUBSTITUTE(INDEX(Hairstyles!$C:$C,MATCH($B93,Hairstyles!$F:$F,0)),"" "",""""),""'"",""""),""("",""""),"")"",""""),""-"",""_"")&amp;""_""&amp;$A$2)"),"DintHairPack02\Human\Male\DintHairPack02_21_Human_Male")</f>
        <v>DintHairPack02\Human\Male\DintHairPack02_21_Human_Male</v>
      </c>
    </row>
    <row r="94">
      <c r="B94" s="12" t="str">
        <f>IFERROR(__xludf.DUMMYFUNCTION("""COMPUTED_VALUE"""),"Uvi_Wig_Spell_Dint02_22")</f>
        <v>Uvi_Wig_Spell_Dint02_22</v>
      </c>
      <c r="C94" s="12" t="str">
        <f>IFERROR(__xludf.DUMMYFUNCTION("IF($B94="""","""",SUBSTITUTE(SUBSTITUTE(SUBSTITUTE(SUBSTITUTE(INDEX(Hairstyles!$A:$A,MATCH($B94,Hairstyles!$F:$F,0)),"" "",""""),""'"",""""),""("",""""),"")"","""")&amp;""\""&amp;INDEX(SPLIT($A$2,""_""),1)&amp;""\""&amp;INDEX(SPLIT($A$2,""_""),2)&amp;""\""&amp;SUBSTITUTE(SUBSTIT"&amp;"UTE(SUBSTITUTE(SUBSTITUTE(SUBSTITUTE(INDEX(Hairstyles!$C:$C,MATCH($B94,Hairstyles!$F:$F,0)),"" "",""""),""'"",""""),""("",""""),"")"",""""),""-"",""_"")&amp;""_""&amp;$A$2)"),"DintHairPack02\Human\Male\DintHairPack02_22_Human_Male")</f>
        <v>DintHairPack02\Human\Male\DintHairPack02_22_Human_Male</v>
      </c>
    </row>
    <row r="95">
      <c r="B95" s="12" t="str">
        <f>IFERROR(__xludf.DUMMYFUNCTION("""COMPUTED_VALUE"""),"Uvi_Wig_Spell_Dint02_23")</f>
        <v>Uvi_Wig_Spell_Dint02_23</v>
      </c>
      <c r="C95" s="12" t="str">
        <f>IFERROR(__xludf.DUMMYFUNCTION("IF($B95="""","""",SUBSTITUTE(SUBSTITUTE(SUBSTITUTE(SUBSTITUTE(INDEX(Hairstyles!$A:$A,MATCH($B95,Hairstyles!$F:$F,0)),"" "",""""),""'"",""""),""("",""""),"")"","""")&amp;""\""&amp;INDEX(SPLIT($A$2,""_""),1)&amp;""\""&amp;INDEX(SPLIT($A$2,""_""),2)&amp;""\""&amp;SUBSTITUTE(SUBSTIT"&amp;"UTE(SUBSTITUTE(SUBSTITUTE(SUBSTITUTE(INDEX(Hairstyles!$C:$C,MATCH($B95,Hairstyles!$F:$F,0)),"" "",""""),""'"",""""),""("",""""),"")"",""""),""-"",""_"")&amp;""_""&amp;$A$2)"),"DintHairPack02\Human\Male\DintHairPack02_23_Human_Male")</f>
        <v>DintHairPack02\Human\Male\DintHairPack02_23_Human_Male</v>
      </c>
    </row>
    <row r="96">
      <c r="B96" s="12" t="str">
        <f>IFERROR(__xludf.DUMMYFUNCTION("""COMPUTED_VALUE"""),"Uvi_Wig_Spell_Dint02_24")</f>
        <v>Uvi_Wig_Spell_Dint02_24</v>
      </c>
      <c r="C96" s="12" t="str">
        <f>IFERROR(__xludf.DUMMYFUNCTION("IF($B96="""","""",SUBSTITUTE(SUBSTITUTE(SUBSTITUTE(SUBSTITUTE(INDEX(Hairstyles!$A:$A,MATCH($B96,Hairstyles!$F:$F,0)),"" "",""""),""'"",""""),""("",""""),"")"","""")&amp;""\""&amp;INDEX(SPLIT($A$2,""_""),1)&amp;""\""&amp;INDEX(SPLIT($A$2,""_""),2)&amp;""\""&amp;SUBSTITUTE(SUBSTIT"&amp;"UTE(SUBSTITUTE(SUBSTITUTE(SUBSTITUTE(INDEX(Hairstyles!$C:$C,MATCH($B96,Hairstyles!$F:$F,0)),"" "",""""),""'"",""""),""("",""""),"")"",""""),""-"",""_"")&amp;""_""&amp;$A$2)"),"DintHairPack02\Human\Male\DintHairPack02_24_Human_Male")</f>
        <v>DintHairPack02\Human\Male\DintHairPack02_24_Human_Male</v>
      </c>
    </row>
    <row r="97">
      <c r="B97" s="12" t="str">
        <f>IFERROR(__xludf.DUMMYFUNCTION("""COMPUTED_VALUE"""),"Uvi_Wig_Spell_Dint02_25")</f>
        <v>Uvi_Wig_Spell_Dint02_25</v>
      </c>
      <c r="C97" s="12" t="str">
        <f>IFERROR(__xludf.DUMMYFUNCTION("IF($B97="""","""",SUBSTITUTE(SUBSTITUTE(SUBSTITUTE(SUBSTITUTE(INDEX(Hairstyles!$A:$A,MATCH($B97,Hairstyles!$F:$F,0)),"" "",""""),""'"",""""),""("",""""),"")"","""")&amp;""\""&amp;INDEX(SPLIT($A$2,""_""),1)&amp;""\""&amp;INDEX(SPLIT($A$2,""_""),2)&amp;""\""&amp;SUBSTITUTE(SUBSTIT"&amp;"UTE(SUBSTITUTE(SUBSTITUTE(SUBSTITUTE(INDEX(Hairstyles!$C:$C,MATCH($B97,Hairstyles!$F:$F,0)),"" "",""""),""'"",""""),""("",""""),"")"",""""),""-"",""_"")&amp;""_""&amp;$A$2)"),"DintHairPack02\Human\Male\DintHairPack02_25_Human_Male")</f>
        <v>DintHairPack02\Human\Male\DintHairPack02_25_Human_Male</v>
      </c>
    </row>
    <row r="98">
      <c r="B98" s="12" t="str">
        <f>IFERROR(__xludf.DUMMYFUNCTION("""COMPUTED_VALUE"""),"Uvi_Wig_Spell_Dint02_26")</f>
        <v>Uvi_Wig_Spell_Dint02_26</v>
      </c>
      <c r="C98" s="12" t="str">
        <f>IFERROR(__xludf.DUMMYFUNCTION("IF($B98="""","""",SUBSTITUTE(SUBSTITUTE(SUBSTITUTE(SUBSTITUTE(INDEX(Hairstyles!$A:$A,MATCH($B98,Hairstyles!$F:$F,0)),"" "",""""),""'"",""""),""("",""""),"")"","""")&amp;""\""&amp;INDEX(SPLIT($A$2,""_""),1)&amp;""\""&amp;INDEX(SPLIT($A$2,""_""),2)&amp;""\""&amp;SUBSTITUTE(SUBSTIT"&amp;"UTE(SUBSTITUTE(SUBSTITUTE(SUBSTITUTE(INDEX(Hairstyles!$C:$C,MATCH($B98,Hairstyles!$F:$F,0)),"" "",""""),""'"",""""),""("",""""),"")"",""""),""-"",""_"")&amp;""_""&amp;$A$2)"),"DintHairPack02\Human\Male\DintHairPack02_26_Human_Male")</f>
        <v>DintHairPack02\Human\Male\DintHairPack02_26_Human_Male</v>
      </c>
    </row>
    <row r="99">
      <c r="B99" s="12" t="str">
        <f>IFERROR(__xludf.DUMMYFUNCTION("""COMPUTED_VALUE"""),"Uvi_Wig_Spell_Dint02_28")</f>
        <v>Uvi_Wig_Spell_Dint02_28</v>
      </c>
      <c r="C99" s="12" t="str">
        <f>IFERROR(__xludf.DUMMYFUNCTION("IF($B99="""","""",SUBSTITUTE(SUBSTITUTE(SUBSTITUTE(SUBSTITUTE(INDEX(Hairstyles!$A:$A,MATCH($B99,Hairstyles!$F:$F,0)),"" "",""""),""'"",""""),""("",""""),"")"","""")&amp;""\""&amp;INDEX(SPLIT($A$2,""_""),1)&amp;""\""&amp;INDEX(SPLIT($A$2,""_""),2)&amp;""\""&amp;SUBSTITUTE(SUBSTIT"&amp;"UTE(SUBSTITUTE(SUBSTITUTE(SUBSTITUTE(INDEX(Hairstyles!$C:$C,MATCH($B99,Hairstyles!$F:$F,0)),"" "",""""),""'"",""""),""("",""""),"")"",""""),""-"",""_"")&amp;""_""&amp;$A$2)"),"DintHairPack02\Human\Male\DintHairPack02_28_Human_Male")</f>
        <v>DintHairPack02\Human\Male\DintHairPack02_28_Human_Male</v>
      </c>
    </row>
    <row r="100">
      <c r="B100" s="12" t="str">
        <f>IFERROR(__xludf.DUMMYFUNCTION("""COMPUTED_VALUE"""),"Uvi_Wig_Spell_Dint02_30")</f>
        <v>Uvi_Wig_Spell_Dint02_30</v>
      </c>
      <c r="C100" s="12" t="str">
        <f>IFERROR(__xludf.DUMMYFUNCTION("IF($B100="""","""",SUBSTITUTE(SUBSTITUTE(SUBSTITUTE(SUBSTITUTE(INDEX(Hairstyles!$A:$A,MATCH($B100,Hairstyles!$F:$F,0)),"" "",""""),""'"",""""),""("",""""),"")"","""")&amp;""\""&amp;INDEX(SPLIT($A$2,""_""),1)&amp;""\""&amp;INDEX(SPLIT($A$2,""_""),2)&amp;""\""&amp;SUBSTITUTE(SUBST"&amp;"ITUTE(SUBSTITUTE(SUBSTITUTE(SUBSTITUTE(INDEX(Hairstyles!$C:$C,MATCH($B100,Hairstyles!$F:$F,0)),"" "",""""),""'"",""""),""("",""""),"")"",""""),""-"",""_"")&amp;""_""&amp;$A$2)"),"DintHairPack02\Human\Male\DintHairPack02_30_Human_Male")</f>
        <v>DintHairPack02\Human\Male\DintHairPack02_30_Human_Male</v>
      </c>
    </row>
    <row r="101">
      <c r="B101" s="12" t="str">
        <f>IFERROR(__xludf.DUMMYFUNCTION("""COMPUTED_VALUE"""),"Uvi_Wig_Spell_Dint02_33")</f>
        <v>Uvi_Wig_Spell_Dint02_33</v>
      </c>
      <c r="C101" s="12" t="str">
        <f>IFERROR(__xludf.DUMMYFUNCTION("IF($B101="""","""",SUBSTITUTE(SUBSTITUTE(SUBSTITUTE(SUBSTITUTE(INDEX(Hairstyles!$A:$A,MATCH($B101,Hairstyles!$F:$F,0)),"" "",""""),""'"",""""),""("",""""),"")"","""")&amp;""\""&amp;INDEX(SPLIT($A$2,""_""),1)&amp;""\""&amp;INDEX(SPLIT($A$2,""_""),2)&amp;""\""&amp;SUBSTITUTE(SUBST"&amp;"ITUTE(SUBSTITUTE(SUBSTITUTE(SUBSTITUTE(INDEX(Hairstyles!$C:$C,MATCH($B101,Hairstyles!$F:$F,0)),"" "",""""),""'"",""""),""("",""""),"")"",""""),""-"",""_"")&amp;""_""&amp;$A$2)"),"DintHairPack02\Human\Male\DintHairPack02_33_Human_Male")</f>
        <v>DintHairPack02\Human\Male\DintHairPack02_33_Human_Male</v>
      </c>
    </row>
    <row r="102">
      <c r="B102" s="12" t="str">
        <f>IFERROR(__xludf.DUMMYFUNCTION("""COMPUTED_VALUE"""),"Uvi_Wig_Spell_Fuse_Aldo")</f>
        <v>Uvi_Wig_Spell_Fuse_Aldo</v>
      </c>
      <c r="C102" s="12" t="str">
        <f>IFERROR(__xludf.DUMMYFUNCTION("IF($B102="""","""",SUBSTITUTE(SUBSTITUTE(SUBSTITUTE(SUBSTITUTE(INDEX(Hairstyles!$A:$A,MATCH($B102,Hairstyles!$F:$F,0)),"" "",""""),""'"",""""),""("",""""),"")"","""")&amp;""\""&amp;INDEX(SPLIT($A$2,""_""),1)&amp;""\""&amp;INDEX(SPLIT($A$2,""_""),2)&amp;""\""&amp;SUBSTITUTE(SUBST"&amp;"ITUTE(SUBSTITUTE(SUBSTITUTE(SUBSTITUTE(INDEX(Hairstyles!$C:$C,MATCH($B102,Hairstyles!$F:$F,0)),"" "",""""),""'"",""""),""("",""""),"")"",""""),""-"",""_"")&amp;""_""&amp;$A$2)"),"FuseHairstyles\Human\Male\FuseHairstyles_Aldo_Human_Male")</f>
        <v>FuseHairstyles\Human\Male\FuseHairstyles_Aldo_Human_Male</v>
      </c>
    </row>
    <row r="103">
      <c r="B103" s="12" t="str">
        <f>IFERROR(__xludf.DUMMYFUNCTION("""COMPUTED_VALUE"""),"Uvi_Wig_Spell_Fuse_Alucard")</f>
        <v>Uvi_Wig_Spell_Fuse_Alucard</v>
      </c>
      <c r="C103" s="12" t="str">
        <f>IFERROR(__xludf.DUMMYFUNCTION("IF($B103="""","""",SUBSTITUTE(SUBSTITUTE(SUBSTITUTE(SUBSTITUTE(INDEX(Hairstyles!$A:$A,MATCH($B103,Hairstyles!$F:$F,0)),"" "",""""),""'"",""""),""("",""""),"")"","""")&amp;""\""&amp;INDEX(SPLIT($A$2,""_""),1)&amp;""\""&amp;INDEX(SPLIT($A$2,""_""),2)&amp;""\""&amp;SUBSTITUTE(SUBST"&amp;"ITUTE(SUBSTITUTE(SUBSTITUTE(SUBSTITUTE(INDEX(Hairstyles!$C:$C,MATCH($B103,Hairstyles!$F:$F,0)),"" "",""""),""'"",""""),""("",""""),"")"",""""),""-"",""_"")&amp;""_""&amp;$A$2)"),"FuseHairstyles\Human\Male\FuseHairstyles_Alucard_Human_Male")</f>
        <v>FuseHairstyles\Human\Male\FuseHairstyles_Alucard_Human_Male</v>
      </c>
    </row>
    <row r="104">
      <c r="B104" s="12" t="str">
        <f>IFERROR(__xludf.DUMMYFUNCTION("""COMPUTED_VALUE"""),"Uvi_Wig_Spell_Fuse_Amber")</f>
        <v>Uvi_Wig_Spell_Fuse_Amber</v>
      </c>
      <c r="C104" s="12" t="str">
        <f>IFERROR(__xludf.DUMMYFUNCTION("IF($B104="""","""",SUBSTITUTE(SUBSTITUTE(SUBSTITUTE(SUBSTITUTE(INDEX(Hairstyles!$A:$A,MATCH($B104,Hairstyles!$F:$F,0)),"" "",""""),""'"",""""),""("",""""),"")"","""")&amp;""\""&amp;INDEX(SPLIT($A$2,""_""),1)&amp;""\""&amp;INDEX(SPLIT($A$2,""_""),2)&amp;""\""&amp;SUBSTITUTE(SUBST"&amp;"ITUTE(SUBSTITUTE(SUBSTITUTE(SUBSTITUTE(INDEX(Hairstyles!$C:$C,MATCH($B104,Hairstyles!$F:$F,0)),"" "",""""),""'"",""""),""("",""""),"")"",""""),""-"",""_"")&amp;""_""&amp;$A$2)"),"FuseHairstyles\Human\Male\FuseHairstyles_Amber_Human_Male")</f>
        <v>FuseHairstyles\Human\Male\FuseHairstyles_Amber_Human_Male</v>
      </c>
    </row>
    <row r="105">
      <c r="B105" s="12" t="str">
        <f>IFERROR(__xludf.DUMMYFUNCTION("""COMPUTED_VALUE"""),"Uvi_Wig_Spell_Fuse_Astri")</f>
        <v>Uvi_Wig_Spell_Fuse_Astri</v>
      </c>
      <c r="C105" s="12" t="str">
        <f>IFERROR(__xludf.DUMMYFUNCTION("IF($B105="""","""",SUBSTITUTE(SUBSTITUTE(SUBSTITUTE(SUBSTITUTE(INDEX(Hairstyles!$A:$A,MATCH($B105,Hairstyles!$F:$F,0)),"" "",""""),""'"",""""),""("",""""),"")"","""")&amp;""\""&amp;INDEX(SPLIT($A$2,""_""),1)&amp;""\""&amp;INDEX(SPLIT($A$2,""_""),2)&amp;""\""&amp;SUBSTITUTE(SUBST"&amp;"ITUTE(SUBSTITUTE(SUBSTITUTE(SUBSTITUTE(INDEX(Hairstyles!$C:$C,MATCH($B105,Hairstyles!$F:$F,0)),"" "",""""),""'"",""""),""("",""""),"")"",""""),""-"",""_"")&amp;""_""&amp;$A$2)"),"FuseHairstyles\Human\Male\FuseHairstyles_Astri_Human_Male")</f>
        <v>FuseHairstyles\Human\Male\FuseHairstyles_Astri_Human_Male</v>
      </c>
    </row>
    <row r="106">
      <c r="B106" s="12" t="str">
        <f>IFERROR(__xludf.DUMMYFUNCTION("""COMPUTED_VALUE"""),"Uvi_Wig_Spell_Fuse_Dreads")</f>
        <v>Uvi_Wig_Spell_Fuse_Dreads</v>
      </c>
      <c r="C106" s="12" t="str">
        <f>IFERROR(__xludf.DUMMYFUNCTION("IF($B106="""","""",SUBSTITUTE(SUBSTITUTE(SUBSTITUTE(SUBSTITUTE(INDEX(Hairstyles!$A:$A,MATCH($B106,Hairstyles!$F:$F,0)),"" "",""""),""'"",""""),""("",""""),"")"","""")&amp;""\""&amp;INDEX(SPLIT($A$2,""_""),1)&amp;""\""&amp;INDEX(SPLIT($A$2,""_""),2)&amp;""\""&amp;SUBSTITUTE(SUBST"&amp;"ITUTE(SUBSTITUTE(SUBSTITUTE(SUBSTITUTE(INDEX(Hairstyles!$C:$C,MATCH($B106,Hairstyles!$F:$F,0)),"" "",""""),""'"",""""),""("",""""),"")"",""""),""-"",""_"")&amp;""_""&amp;$A$2)"),"FuseHairstyles\Human\Male\FuseHairstyles_Dreads_Human_Male")</f>
        <v>FuseHairstyles\Human\Male\FuseHairstyles_Dreads_Human_Male</v>
      </c>
    </row>
    <row r="107">
      <c r="B107" s="12" t="str">
        <f>IFERROR(__xludf.DUMMYFUNCTION("""COMPUTED_VALUE"""),"Uvi_Wig_Spell_Fuse_Freyja")</f>
        <v>Uvi_Wig_Spell_Fuse_Freyja</v>
      </c>
      <c r="C107" s="12" t="str">
        <f>IFERROR(__xludf.DUMMYFUNCTION("IF($B107="""","""",SUBSTITUTE(SUBSTITUTE(SUBSTITUTE(SUBSTITUTE(INDEX(Hairstyles!$A:$A,MATCH($B107,Hairstyles!$F:$F,0)),"" "",""""),""'"",""""),""("",""""),"")"","""")&amp;""\""&amp;INDEX(SPLIT($A$2,""_""),1)&amp;""\""&amp;INDEX(SPLIT($A$2,""_""),2)&amp;""\""&amp;SUBSTITUTE(SUBST"&amp;"ITUTE(SUBSTITUTE(SUBSTITUTE(SUBSTITUTE(INDEX(Hairstyles!$C:$C,MATCH($B107,Hairstyles!$F:$F,0)),"" "",""""),""'"",""""),""("",""""),"")"",""""),""-"",""_"")&amp;""_""&amp;$A$2)"),"FuseHairstyles\Human\Male\FuseHairstyles_Freyja_Human_Male")</f>
        <v>FuseHairstyles\Human\Male\FuseHairstyles_Freyja_Human_Male</v>
      </c>
    </row>
    <row r="108">
      <c r="B108" s="12" t="str">
        <f>IFERROR(__xludf.DUMMYFUNCTION("""COMPUTED_VALUE"""),"Uvi_Wig_Spell_Fuse_Hilda")</f>
        <v>Uvi_Wig_Spell_Fuse_Hilda</v>
      </c>
      <c r="C108" s="12" t="str">
        <f>IFERROR(__xludf.DUMMYFUNCTION("IF($B108="""","""",SUBSTITUTE(SUBSTITUTE(SUBSTITUTE(SUBSTITUTE(INDEX(Hairstyles!$A:$A,MATCH($B108,Hairstyles!$F:$F,0)),"" "",""""),""'"",""""),""("",""""),"")"","""")&amp;""\""&amp;INDEX(SPLIT($A$2,""_""),1)&amp;""\""&amp;INDEX(SPLIT($A$2,""_""),2)&amp;""\""&amp;SUBSTITUTE(SUBST"&amp;"ITUTE(SUBSTITUTE(SUBSTITUTE(SUBSTITUTE(INDEX(Hairstyles!$C:$C,MATCH($B108,Hairstyles!$F:$F,0)),"" "",""""),""'"",""""),""("",""""),"")"",""""),""-"",""_"")&amp;""_""&amp;$A$2)"),"FuseHairstyles\Human\Male\FuseHairstyles_Hilda_Human_Male")</f>
        <v>FuseHairstyles\Human\Male\FuseHairstyles_Hilda_Human_Male</v>
      </c>
    </row>
    <row r="109">
      <c r="B109" s="12" t="str">
        <f>IFERROR(__xludf.DUMMYFUNCTION("""COMPUTED_VALUE"""),"Uvi_Wig_Spell_Fuse_King")</f>
        <v>Uvi_Wig_Spell_Fuse_King</v>
      </c>
      <c r="C109" s="12" t="str">
        <f>IFERROR(__xludf.DUMMYFUNCTION("IF($B109="""","""",SUBSTITUTE(SUBSTITUTE(SUBSTITUTE(SUBSTITUTE(INDEX(Hairstyles!$A:$A,MATCH($B109,Hairstyles!$F:$F,0)),"" "",""""),""'"",""""),""("",""""),"")"","""")&amp;""\""&amp;INDEX(SPLIT($A$2,""_""),1)&amp;""\""&amp;INDEX(SPLIT($A$2,""_""),2)&amp;""\""&amp;SUBSTITUTE(SUBST"&amp;"ITUTE(SUBSTITUTE(SUBSTITUTE(SUBSTITUTE(INDEX(Hairstyles!$C:$C,MATCH($B109,Hairstyles!$F:$F,0)),"" "",""""),""'"",""""),""("",""""),"")"",""""),""-"",""_"")&amp;""_""&amp;$A$2)"),"FuseHairstyles\Human\Male\FuseHairstyles_King_Human_Male")</f>
        <v>FuseHairstyles\Human\Male\FuseHairstyles_King_Human_Male</v>
      </c>
    </row>
    <row r="110">
      <c r="B110" s="12" t="str">
        <f>IFERROR(__xludf.DUMMYFUNCTION("""COMPUTED_VALUE"""),"Uvi_Wig_Spell_Fuse_Lagertha")</f>
        <v>Uvi_Wig_Spell_Fuse_Lagertha</v>
      </c>
      <c r="C110" s="12" t="str">
        <f>IFERROR(__xludf.DUMMYFUNCTION("IF($B110="""","""",SUBSTITUTE(SUBSTITUTE(SUBSTITUTE(SUBSTITUTE(INDEX(Hairstyles!$A:$A,MATCH($B110,Hairstyles!$F:$F,0)),"" "",""""),""'"",""""),""("",""""),"")"","""")&amp;""\""&amp;INDEX(SPLIT($A$2,""_""),1)&amp;""\""&amp;INDEX(SPLIT($A$2,""_""),2)&amp;""\""&amp;SUBSTITUTE(SUBST"&amp;"ITUTE(SUBSTITUTE(SUBSTITUTE(SUBSTITUTE(INDEX(Hairstyles!$C:$C,MATCH($B110,Hairstyles!$F:$F,0)),"" "",""""),""'"",""""),""("",""""),"")"",""""),""-"",""_"")&amp;""_""&amp;$A$2)"),"FuseHairstyles\Human\Male\FuseHairstyles_Lagertha_Human_Male")</f>
        <v>FuseHairstyles\Human\Male\FuseHairstyles_Lagertha_Human_Male</v>
      </c>
    </row>
    <row r="111">
      <c r="B111" s="12" t="str">
        <f>IFERROR(__xludf.DUMMYFUNCTION("""COMPUTED_VALUE"""),"Uvi_Wig_Spell_Fuse_Marco")</f>
        <v>Uvi_Wig_Spell_Fuse_Marco</v>
      </c>
      <c r="C111" s="12" t="str">
        <f>IFERROR(__xludf.DUMMYFUNCTION("IF($B111="""","""",SUBSTITUTE(SUBSTITUTE(SUBSTITUTE(SUBSTITUTE(INDEX(Hairstyles!$A:$A,MATCH($B111,Hairstyles!$F:$F,0)),"" "",""""),""'"",""""),""("",""""),"")"","""")&amp;""\""&amp;INDEX(SPLIT($A$2,""_""),1)&amp;""\""&amp;INDEX(SPLIT($A$2,""_""),2)&amp;""\""&amp;SUBSTITUTE(SUBST"&amp;"ITUTE(SUBSTITUTE(SUBSTITUTE(SUBSTITUTE(INDEX(Hairstyles!$C:$C,MATCH($B111,Hairstyles!$F:$F,0)),"" "",""""),""'"",""""),""("",""""),"")"",""""),""-"",""_"")&amp;""_""&amp;$A$2)"),"FuseHairstyles\Human\Male\FuseHairstyles_Marco_Human_Male")</f>
        <v>FuseHairstyles\Human\Male\FuseHairstyles_Marco_Human_Male</v>
      </c>
    </row>
    <row r="112">
      <c r="B112" s="12" t="str">
        <f>IFERROR(__xludf.DUMMYFUNCTION("""COMPUTED_VALUE"""),"Uvi_Wig_Spell_Fuse_P")</f>
        <v>Uvi_Wig_Spell_Fuse_P</v>
      </c>
      <c r="C112" s="12" t="str">
        <f>IFERROR(__xludf.DUMMYFUNCTION("IF($B112="""","""",SUBSTITUTE(SUBSTITUTE(SUBSTITUTE(SUBSTITUTE(INDEX(Hairstyles!$A:$A,MATCH($B112,Hairstyles!$F:$F,0)),"" "",""""),""'"",""""),""("",""""),"")"","""")&amp;""\""&amp;INDEX(SPLIT($A$2,""_""),1)&amp;""\""&amp;INDEX(SPLIT($A$2,""_""),2)&amp;""\""&amp;SUBSTITUTE(SUBST"&amp;"ITUTE(SUBSTITUTE(SUBSTITUTE(SUBSTITUTE(INDEX(Hairstyles!$C:$C,MATCH($B112,Hairstyles!$F:$F,0)),"" "",""""),""'"",""""),""("",""""),"")"",""""),""-"",""_"")&amp;""_""&amp;$A$2)"),"FuseHairstyles\Human\Male\FuseHairstyles_P_Human_Male")</f>
        <v>FuseHairstyles\Human\Male\FuseHairstyles_P_Human_Male</v>
      </c>
    </row>
    <row r="113">
      <c r="B113" s="12" t="str">
        <f>IFERROR(__xludf.DUMMYFUNCTION("""COMPUTED_VALUE"""),"Uvi_Wig_Spell_Fuse_Siren")</f>
        <v>Uvi_Wig_Spell_Fuse_Siren</v>
      </c>
      <c r="C113" s="12" t="str">
        <f>IFERROR(__xludf.DUMMYFUNCTION("IF($B113="""","""",SUBSTITUTE(SUBSTITUTE(SUBSTITUTE(SUBSTITUTE(INDEX(Hairstyles!$A:$A,MATCH($B113,Hairstyles!$F:$F,0)),"" "",""""),""'"",""""),""("",""""),"")"","""")&amp;""\""&amp;INDEX(SPLIT($A$2,""_""),1)&amp;""\""&amp;INDEX(SPLIT($A$2,""_""),2)&amp;""\""&amp;SUBSTITUTE(SUBST"&amp;"ITUTE(SUBSTITUTE(SUBSTITUTE(SUBSTITUTE(INDEX(Hairstyles!$C:$C,MATCH($B113,Hairstyles!$F:$F,0)),"" "",""""),""'"",""""),""("",""""),"")"",""""),""-"",""_"")&amp;""_""&amp;$A$2)"),"FuseHairstyles\Human\Male\FuseHairstyles_Siren_Human_Male")</f>
        <v>FuseHairstyles\Human\Male\FuseHairstyles_Siren_Human_Male</v>
      </c>
    </row>
    <row r="114">
      <c r="B114" s="12" t="str">
        <f>IFERROR(__xludf.DUMMYFUNCTION("""COMPUTED_VALUE"""),"Uvi_Wig_Spell_Fuse_Shar")</f>
        <v>Uvi_Wig_Spell_Fuse_Shar</v>
      </c>
      <c r="C114" s="12" t="str">
        <f>IFERROR(__xludf.DUMMYFUNCTION("IF($B114="""","""",SUBSTITUTE(SUBSTITUTE(SUBSTITUTE(SUBSTITUTE(INDEX(Hairstyles!$A:$A,MATCH($B114,Hairstyles!$F:$F,0)),"" "",""""),""'"",""""),""("",""""),"")"","""")&amp;""\""&amp;INDEX(SPLIT($A$2,""_""),1)&amp;""\""&amp;INDEX(SPLIT($A$2,""_""),2)&amp;""\""&amp;SUBSTITUTE(SUBST"&amp;"ITUTE(SUBSTITUTE(SUBSTITUTE(SUBSTITUTE(INDEX(Hairstyles!$C:$C,MATCH($B114,Hairstyles!$F:$F,0)),"" "",""""),""'"",""""),""("",""""),"")"",""""),""-"",""_"")&amp;""_""&amp;$A$2)"),"FuseHairstyles\Human\Male\FuseHairstyles_Shar_Human_Male")</f>
        <v>FuseHairstyles\Human\Male\FuseHairstyles_Shar_Human_Male</v>
      </c>
    </row>
    <row r="115">
      <c r="B115" s="12" t="str">
        <f>IFERROR(__xludf.DUMMYFUNCTION("""COMPUTED_VALUE"""),"Uvi_Wig_Spell_Fuse_Tauriel")</f>
        <v>Uvi_Wig_Spell_Fuse_Tauriel</v>
      </c>
      <c r="C115" s="12" t="str">
        <f>IFERROR(__xludf.DUMMYFUNCTION("IF($B115="""","""",SUBSTITUTE(SUBSTITUTE(SUBSTITUTE(SUBSTITUTE(INDEX(Hairstyles!$A:$A,MATCH($B115,Hairstyles!$F:$F,0)),"" "",""""),""'"",""""),""("",""""),"")"","""")&amp;""\""&amp;INDEX(SPLIT($A$2,""_""),1)&amp;""\""&amp;INDEX(SPLIT($A$2,""_""),2)&amp;""\""&amp;SUBSTITUTE(SUBST"&amp;"ITUTE(SUBSTITUTE(SUBSTITUTE(SUBSTITUTE(INDEX(Hairstyles!$C:$C,MATCH($B115,Hairstyles!$F:$F,0)),"" "",""""),""'"",""""),""("",""""),"")"",""""),""-"",""_"")&amp;""_""&amp;$A$2)"),"FuseHairstyles\Human\Male\FuseHairstyles_Tauriel_Human_Male")</f>
        <v>FuseHairstyles\Human\Male\FuseHairstyles_Tauriel_Human_Male</v>
      </c>
    </row>
    <row r="116">
      <c r="B116" s="12" t="str">
        <f>IFERROR(__xludf.DUMMYFUNCTION("""COMPUTED_VALUE"""),"Uvi_Wig_Spell_Fuse_Yen")</f>
        <v>Uvi_Wig_Spell_Fuse_Yen</v>
      </c>
      <c r="C116" s="12" t="str">
        <f>IFERROR(__xludf.DUMMYFUNCTION("IF($B116="""","""",SUBSTITUTE(SUBSTITUTE(SUBSTITUTE(SUBSTITUTE(INDEX(Hairstyles!$A:$A,MATCH($B116,Hairstyles!$F:$F,0)),"" "",""""),""'"",""""),""("",""""),"")"","""")&amp;""\""&amp;INDEX(SPLIT($A$2,""_""),1)&amp;""\""&amp;INDEX(SPLIT($A$2,""_""),2)&amp;""\""&amp;SUBSTITUTE(SUBST"&amp;"ITUTE(SUBSTITUTE(SUBSTITUTE(SUBSTITUTE(INDEX(Hairstyles!$C:$C,MATCH($B116,Hairstyles!$F:$F,0)),"" "",""""),""'"",""""),""("",""""),"")"",""""),""-"",""_"")&amp;""_""&amp;$A$2)"),"FuseHairstyles\Human\Male\FuseHairstyles_Yen_Human_Male")</f>
        <v>FuseHairstyles\Human\Male\FuseHairstyles_Yen_Human_Male</v>
      </c>
    </row>
    <row r="117">
      <c r="B117" s="12" t="str">
        <f>IFERROR(__xludf.DUMMYFUNCTION("""COMPUTED_VALUE"""),"Uvi_Wig_Spell_Valkyr_Bella")</f>
        <v>Uvi_Wig_Spell_Valkyr_Bella</v>
      </c>
      <c r="C117" s="12" t="str">
        <f>IFERROR(__xludf.DUMMYFUNCTION("IF($B117="""","""",SUBSTITUTE(SUBSTITUTE(SUBSTITUTE(SUBSTITUTE(INDEX(Hairstyles!$A:$A,MATCH($B117,Hairstyles!$F:$F,0)),"" "",""""),""'"",""""),""("",""""),"")"","""")&amp;""\""&amp;INDEX(SPLIT($A$2,""_""),1)&amp;""\""&amp;INDEX(SPLIT($A$2,""_""),2)&amp;""\""&amp;SUBSTITUTE(SUBST"&amp;"ITUTE(SUBSTITUTE(SUBSTITUTE(SUBSTITUTE(INDEX(Hairstyles!$C:$C,MATCH($B117,Hairstyles!$F:$F,0)),"" "",""""),""'"",""""),""("",""""),"")"",""""),""-"",""_"")&amp;""_""&amp;$A$2)"),"FuseValkyr1\Human\Male\FuseValkyr1_Bellatrix_Human_Male")</f>
        <v>FuseValkyr1\Human\Male\FuseValkyr1_Bellatrix_Human_Male</v>
      </c>
    </row>
    <row r="118">
      <c r="B118" s="12" t="str">
        <f>IFERROR(__xludf.DUMMYFUNCTION("""COMPUTED_VALUE"""),"Uvi_Wig_Spell_Valkyr_Eiraan")</f>
        <v>Uvi_Wig_Spell_Valkyr_Eiraan</v>
      </c>
      <c r="C118" s="12" t="str">
        <f>IFERROR(__xludf.DUMMYFUNCTION("IF($B118="""","""",SUBSTITUTE(SUBSTITUTE(SUBSTITUTE(SUBSTITUTE(INDEX(Hairstyles!$A:$A,MATCH($B118,Hairstyles!$F:$F,0)),"" "",""""),""'"",""""),""("",""""),"")"","""")&amp;""\""&amp;INDEX(SPLIT($A$2,""_""),1)&amp;""\""&amp;INDEX(SPLIT($A$2,""_""),2)&amp;""\""&amp;SUBSTITUTE(SUBST"&amp;"ITUTE(SUBSTITUTE(SUBSTITUTE(SUBSTITUTE(INDEX(Hairstyles!$C:$C,MATCH($B118,Hairstyles!$F:$F,0)),"" "",""""),""'"",""""),""("",""""),"")"",""""),""-"",""_"")&amp;""_""&amp;$A$2)"),"FuseValkyr1\Human\Male\FuseValkyr1_Eiraan_Human_Male")</f>
        <v>FuseValkyr1\Human\Male\FuseValkyr1_Eiraan_Human_Male</v>
      </c>
    </row>
    <row r="119">
      <c r="B119" s="12" t="str">
        <f>IFERROR(__xludf.DUMMYFUNCTION("""COMPUTED_VALUE"""),"Uvi_Wig_Spell_Valkyr_Ellie")</f>
        <v>Uvi_Wig_Spell_Valkyr_Ellie</v>
      </c>
      <c r="C119" s="12" t="str">
        <f>IFERROR(__xludf.DUMMYFUNCTION("IF($B119="""","""",SUBSTITUTE(SUBSTITUTE(SUBSTITUTE(SUBSTITUTE(INDEX(Hairstyles!$A:$A,MATCH($B119,Hairstyles!$F:$F,0)),"" "",""""),""'"",""""),""("",""""),"")"","""")&amp;""\""&amp;INDEX(SPLIT($A$2,""_""),1)&amp;""\""&amp;INDEX(SPLIT($A$2,""_""),2)&amp;""\""&amp;SUBSTITUTE(SUBST"&amp;"ITUTE(SUBSTITUTE(SUBSTITUTE(SUBSTITUTE(INDEX(Hairstyles!$C:$C,MATCH($B119,Hairstyles!$F:$F,0)),"" "",""""),""'"",""""),""("",""""),"")"",""""),""-"",""_"")&amp;""_""&amp;$A$2)"),"FuseValkyr1\Human\Male\FuseValkyr1_Ellie_Human_Male")</f>
        <v>FuseValkyr1\Human\Male\FuseValkyr1_Ellie_Human_Male</v>
      </c>
    </row>
    <row r="120">
      <c r="B120" s="12" t="str">
        <f>IFERROR(__xludf.DUMMYFUNCTION("""COMPUTED_VALUE"""),"Uvi_Wig_Spell_Valkyr_NDante")</f>
        <v>Uvi_Wig_Spell_Valkyr_NDante</v>
      </c>
      <c r="C120" s="12" t="str">
        <f>IFERROR(__xludf.DUMMYFUNCTION("IF($B120="""","""",SUBSTITUTE(SUBSTITUTE(SUBSTITUTE(SUBSTITUTE(INDEX(Hairstyles!$A:$A,MATCH($B120,Hairstyles!$F:$F,0)),"" "",""""),""'"",""""),""("",""""),"")"","""")&amp;""\""&amp;INDEX(SPLIT($A$2,""_""),1)&amp;""\""&amp;INDEX(SPLIT($A$2,""_""),2)&amp;""\""&amp;SUBSTITUTE(SUBST"&amp;"ITUTE(SUBSTITUTE(SUBSTITUTE(SUBSTITUTE(INDEX(Hairstyles!$C:$C,MATCH($B120,Hairstyles!$F:$F,0)),"" "",""""),""'"",""""),""("",""""),"")"",""""),""-"",""_"")&amp;""_""&amp;$A$2)"),"FuseValkyr1\Human\Male\FuseValkyr1_NeoDante_Human_Male")</f>
        <v>FuseValkyr1\Human\Male\FuseValkyr1_NeoDante_Human_Male</v>
      </c>
    </row>
    <row r="121">
      <c r="B121" s="12" t="str">
        <f>IFERROR(__xludf.DUMMYFUNCTION("""COMPUTED_VALUE"""),"Uvi_Wig_Spell_Valkyr_Roxy")</f>
        <v>Uvi_Wig_Spell_Valkyr_Roxy</v>
      </c>
      <c r="C121" s="12" t="str">
        <f>IFERROR(__xludf.DUMMYFUNCTION("IF($B121="""","""",SUBSTITUTE(SUBSTITUTE(SUBSTITUTE(SUBSTITUTE(INDEX(Hairstyles!$A:$A,MATCH($B121,Hairstyles!$F:$F,0)),"" "",""""),""'"",""""),""("",""""),"")"","""")&amp;""\""&amp;INDEX(SPLIT($A$2,""_""),1)&amp;""\""&amp;INDEX(SPLIT($A$2,""_""),2)&amp;""\""&amp;SUBSTITUTE(SUBST"&amp;"ITUTE(SUBSTITUTE(SUBSTITUTE(SUBSTITUTE(INDEX(Hairstyles!$C:$C,MATCH($B121,Hairstyles!$F:$F,0)),"" "",""""),""'"",""""),""("",""""),"")"",""""),""-"",""_"")&amp;""_""&amp;$A$2)"),"FuseValkyr1\Human\Male\FuseValkyr1_Roxy_Human_Male")</f>
        <v>FuseValkyr1\Human\Male\FuseValkyr1_Roxy_Human_Male</v>
      </c>
    </row>
    <row r="122">
      <c r="B122" s="12" t="str">
        <f>IFERROR(__xludf.DUMMYFUNCTION("""COMPUTED_VALUE"""),"Uvi_Wig_Spell_Valkyr_Yasha")</f>
        <v>Uvi_Wig_Spell_Valkyr_Yasha</v>
      </c>
      <c r="C122" s="12" t="str">
        <f>IFERROR(__xludf.DUMMYFUNCTION("IF($B122="""","""",SUBSTITUTE(SUBSTITUTE(SUBSTITUTE(SUBSTITUTE(INDEX(Hairstyles!$A:$A,MATCH($B122,Hairstyles!$F:$F,0)),"" "",""""),""'"",""""),""("",""""),"")"","""")&amp;""\""&amp;INDEX(SPLIT($A$2,""_""),1)&amp;""\""&amp;INDEX(SPLIT($A$2,""_""),2)&amp;""\""&amp;SUBSTITUTE(SUBST"&amp;"ITUTE(SUBSTITUTE(SUBSTITUTE(SUBSTITUTE(INDEX(Hairstyles!$C:$C,MATCH($B122,Hairstyles!$F:$F,0)),"" "",""""),""'"",""""),""("",""""),"")"",""""),""-"",""_"")&amp;""_""&amp;$A$2)"),"FuseValkyr1\Human\Male\FuseValkyr1_Yasha_Human_Male")</f>
        <v>FuseValkyr1\Human\Male\FuseValkyr1_Yasha_Human_Male</v>
      </c>
    </row>
    <row r="123">
      <c r="B123" s="12" t="str">
        <f>IFERROR(__xludf.DUMMYFUNCTION("""COMPUTED_VALUE"""),"Uvi_Wig_Spell_Valkyr_CDante")</f>
        <v>Uvi_Wig_Spell_Valkyr_CDante</v>
      </c>
      <c r="C123" s="12" t="str">
        <f>IFERROR(__xludf.DUMMYFUNCTION("IF($B123="""","""",SUBSTITUTE(SUBSTITUTE(SUBSTITUTE(SUBSTITUTE(INDEX(Hairstyles!$A:$A,MATCH($B123,Hairstyles!$F:$F,0)),"" "",""""),""'"",""""),""("",""""),"")"","""")&amp;""\""&amp;INDEX(SPLIT($A$2,""_""),1)&amp;""\""&amp;INDEX(SPLIT($A$2,""_""),2)&amp;""\""&amp;SUBSTITUTE(SUBST"&amp;"ITUTE(SUBSTITUTE(SUBSTITUTE(SUBSTITUTE(INDEX(Hairstyles!$C:$C,MATCH($B123,Hairstyles!$F:$F,0)),"" "",""""),""'"",""""),""("",""""),"")"",""""),""-"",""_"")&amp;""_""&amp;$A$2)"),"FuseValkyr2\Human\Male\FuseValkyr2_ClassicDante_Human_Male")</f>
        <v>FuseValkyr2\Human\Male\FuseValkyr2_ClassicDante_Human_Male</v>
      </c>
    </row>
    <row r="124">
      <c r="B124" s="12" t="str">
        <f>IFERROR(__xludf.DUMMYFUNCTION("""COMPUTED_VALUE"""),"Uvi_Wig_Spell_Valkyr_Dany")</f>
        <v>Uvi_Wig_Spell_Valkyr_Dany</v>
      </c>
      <c r="C124" s="12" t="str">
        <f>IFERROR(__xludf.DUMMYFUNCTION("IF($B124="""","""",SUBSTITUTE(SUBSTITUTE(SUBSTITUTE(SUBSTITUTE(INDEX(Hairstyles!$A:$A,MATCH($B124,Hairstyles!$F:$F,0)),"" "",""""),""'"",""""),""("",""""),"")"","""")&amp;""\""&amp;INDEX(SPLIT($A$2,""_""),1)&amp;""\""&amp;INDEX(SPLIT($A$2,""_""),2)&amp;""\""&amp;SUBSTITUTE(SUBST"&amp;"ITUTE(SUBSTITUTE(SUBSTITUTE(SUBSTITUTE(INDEX(Hairstyles!$C:$C,MATCH($B124,Hairstyles!$F:$F,0)),"" "",""""),""'"",""""),""("",""""),"")"",""""),""-"",""_"")&amp;""_""&amp;$A$2)"),"FuseValkyr2\Human\Male\FuseValkyr2_Danaerys_Human_Male")</f>
        <v>FuseValkyr2\Human\Male\FuseValkyr2_Danaerys_Human_Male</v>
      </c>
    </row>
    <row r="125">
      <c r="B125" s="12" t="str">
        <f>IFERROR(__xludf.DUMMYFUNCTION("""COMPUTED_VALUE"""),"Uvi_Wig_Spell_Valkyr_Ghost")</f>
        <v>Uvi_Wig_Spell_Valkyr_Ghost</v>
      </c>
      <c r="C125" s="12" t="str">
        <f>IFERROR(__xludf.DUMMYFUNCTION("IF($B125="""","""",SUBSTITUTE(SUBSTITUTE(SUBSTITUTE(SUBSTITUTE(INDEX(Hairstyles!$A:$A,MATCH($B125,Hairstyles!$F:$F,0)),"" "",""""),""'"",""""),""("",""""),"")"","""")&amp;""\""&amp;INDEX(SPLIT($A$2,""_""),1)&amp;""\""&amp;INDEX(SPLIT($A$2,""_""),2)&amp;""\""&amp;SUBSTITUTE(SUBST"&amp;"ITUTE(SUBSTITUTE(SUBSTITUTE(SUBSTITUTE(INDEX(Hairstyles!$C:$C,MATCH($B125,Hairstyles!$F:$F,0)),"" "",""""),""'"",""""),""("",""""),"")"",""""),""-"",""_"")&amp;""_""&amp;$A$2)"),"FuseValkyr2\Human\Male\FuseValkyr2_Ghost_Human_Male")</f>
        <v>FuseValkyr2\Human\Male\FuseValkyr2_Ghost_Human_Male</v>
      </c>
    </row>
    <row r="126">
      <c r="B126" s="12" t="str">
        <f>IFERROR(__xludf.DUMMYFUNCTION("""COMPUTED_VALUE"""),"Uvi_Wig_Spell_CK1_Wendy")</f>
        <v>Uvi_Wig_Spell_CK1_Wendy</v>
      </c>
      <c r="C126" s="12" t="str">
        <f>IFERROR(__xludf.DUMMYFUNCTION("IF($B126="""","""",SUBSTITUTE(SUBSTITUTE(SUBSTITUTE(SUBSTITUTE(INDEX(Hairstyles!$A:$A,MATCH($B126,Hairstyles!$F:$F,0)),"" "",""""),""'"",""""),""("",""""),"")"","""")&amp;""\""&amp;INDEX(SPLIT($A$2,""_""),1)&amp;""\""&amp;INDEX(SPLIT($A$2,""_""),2)&amp;""\""&amp;SUBSTITUTE(SUBST"&amp;"ITUTE(SUBSTITUTE(SUBSTITUTE(SUBSTITUTE(INDEX(Hairstyles!$C:$C,MATCH($B126,Hairstyles!$F:$F,0)),"" "",""""),""'"",""""),""("",""""),"")"",""""),""-"",""_"")&amp;""_""&amp;$A$2)"),"KoralinasCollection1\Human\Male\Koralina_Wendy_Human_Male")</f>
        <v>KoralinasCollection1\Human\Male\Koralina_Wendy_Human_Male</v>
      </c>
    </row>
    <row r="127">
      <c r="B127" s="12" t="str">
        <f>IFERROR(__xludf.DUMMYFUNCTION("""COMPUTED_VALUE"""),"Uvi_Wig_Spell_CK1_WolfCut")</f>
        <v>Uvi_Wig_Spell_CK1_WolfCut</v>
      </c>
      <c r="C127" s="12" t="str">
        <f>IFERROR(__xludf.DUMMYFUNCTION("IF($B127="""","""",SUBSTITUTE(SUBSTITUTE(SUBSTITUTE(SUBSTITUTE(INDEX(Hairstyles!$A:$A,MATCH($B127,Hairstyles!$F:$F,0)),"" "",""""),""'"",""""),""("",""""),"")"","""")&amp;""\""&amp;INDEX(SPLIT($A$2,""_""),1)&amp;""\""&amp;INDEX(SPLIT($A$2,""_""),2)&amp;""\""&amp;SUBSTITUTE(SUBST"&amp;"ITUTE(SUBSTITUTE(SUBSTITUTE(SUBSTITUTE(INDEX(Hairstyles!$C:$C,MATCH($B127,Hairstyles!$F:$F,0)),"" "",""""),""'"",""""),""("",""""),"")"",""""),""-"",""_"")&amp;""_""&amp;$A$2)"),"KoralinasCollection1\Human\Male\Koralina_WolfCut_Human_Male")</f>
        <v>KoralinasCollection1\Human\Male\Koralina_WolfCut_Human_Male</v>
      </c>
    </row>
    <row r="128">
      <c r="B128" s="12" t="str">
        <f>IFERROR(__xludf.DUMMYFUNCTION("""COMPUTED_VALUE"""),"Uvi_Wig_Spell_CK2_Aisha")</f>
        <v>Uvi_Wig_Spell_CK2_Aisha</v>
      </c>
      <c r="C128" s="12" t="str">
        <f>IFERROR(__xludf.DUMMYFUNCTION("IF($B128="""","""",SUBSTITUTE(SUBSTITUTE(SUBSTITUTE(SUBSTITUTE(INDEX(Hairstyles!$A:$A,MATCH($B128,Hairstyles!$F:$F,0)),"" "",""""),""'"",""""),""("",""""),"")"","""")&amp;""\""&amp;INDEX(SPLIT($A$2,""_""),1)&amp;""\""&amp;INDEX(SPLIT($A$2,""_""),2)&amp;""\""&amp;SUBSTITUTE(SUBST"&amp;"ITUTE(SUBSTITUTE(SUBSTITUTE(SUBSTITUTE(INDEX(Hairstyles!$C:$C,MATCH($B128,Hairstyles!$F:$F,0)),"" "",""""),""'"",""""),""("",""""),"")"",""""),""-"",""_"")&amp;""_""&amp;$A$2)"),"KoralinasCollection2\Human\Male\Koralina_Aisha_Human_Male")</f>
        <v>KoralinasCollection2\Human\Male\Koralina_Aisha_Human_Male</v>
      </c>
    </row>
    <row r="129">
      <c r="B129" s="12" t="str">
        <f>IFERROR(__xludf.DUMMYFUNCTION("""COMPUTED_VALUE"""),"Uvi_Wig_Spell_CK2_Siggy")</f>
        <v>Uvi_Wig_Spell_CK2_Siggy</v>
      </c>
      <c r="C129" s="12" t="str">
        <f>IFERROR(__xludf.DUMMYFUNCTION("IF($B129="""","""",SUBSTITUTE(SUBSTITUTE(SUBSTITUTE(SUBSTITUTE(INDEX(Hairstyles!$A:$A,MATCH($B129,Hairstyles!$F:$F,0)),"" "",""""),""'"",""""),""("",""""),"")"","""")&amp;""\""&amp;INDEX(SPLIT($A$2,""_""),1)&amp;""\""&amp;INDEX(SPLIT($A$2,""_""),2)&amp;""\""&amp;SUBSTITUTE(SUBST"&amp;"ITUTE(SUBSTITUTE(SUBSTITUTE(SUBSTITUTE(INDEX(Hairstyles!$C:$C,MATCH($B129,Hairstyles!$F:$F,0)),"" "",""""),""'"",""""),""("",""""),"")"",""""),""-"",""_"")&amp;""_""&amp;$A$2)"),"KoralinasCollection2\Human\Male\Koralina_Siggy_Human_Male")</f>
        <v>KoralinasCollection2\Human\Male\Koralina_Siggy_Human_Male</v>
      </c>
    </row>
    <row r="130">
      <c r="B130" s="12" t="str">
        <f>IFERROR(__xludf.DUMMYFUNCTION("""COMPUTED_VALUE"""),"Uvi_Wig_Spell_CK2_Wolf_01")</f>
        <v>Uvi_Wig_Spell_CK2_Wolf_01</v>
      </c>
      <c r="C130" s="12" t="str">
        <f>IFERROR(__xludf.DUMMYFUNCTION("IF($B130="""","""",SUBSTITUTE(SUBSTITUTE(SUBSTITUTE(SUBSTITUTE(INDEX(Hairstyles!$A:$A,MATCH($B130,Hairstyles!$F:$F,0)),"" "",""""),""'"",""""),""("",""""),"")"","""")&amp;""\""&amp;INDEX(SPLIT($A$2,""_""),1)&amp;""\""&amp;INDEX(SPLIT($A$2,""_""),2)&amp;""\""&amp;SUBSTITUTE(SUBST"&amp;"ITUTE(SUBSTITUTE(SUBSTITUTE(SUBSTITUTE(INDEX(Hairstyles!$C:$C,MATCH($B130,Hairstyles!$F:$F,0)),"" "",""""),""'"",""""),""("",""""),"")"",""""),""-"",""_"")&amp;""_""&amp;$A$2)"),"KoralinasCollection2\Human\Male\Koralina_Wolf_01_Human_Male")</f>
        <v>KoralinasCollection2\Human\Male\Koralina_Wolf_01_Human_Male</v>
      </c>
    </row>
    <row r="131">
      <c r="B131" s="12" t="str">
        <f>IFERROR(__xludf.DUMMYFUNCTION("""COMPUTED_VALUE"""),"Uvi_Wig_Spell_CK2_Wolf_02")</f>
        <v>Uvi_Wig_Spell_CK2_Wolf_02</v>
      </c>
      <c r="C131" s="12" t="str">
        <f>IFERROR(__xludf.DUMMYFUNCTION("IF($B131="""","""",SUBSTITUTE(SUBSTITUTE(SUBSTITUTE(SUBSTITUTE(INDEX(Hairstyles!$A:$A,MATCH($B131,Hairstyles!$F:$F,0)),"" "",""""),""'"",""""),""("",""""),"")"","""")&amp;""\""&amp;INDEX(SPLIT($A$2,""_""),1)&amp;""\""&amp;INDEX(SPLIT($A$2,""_""),2)&amp;""\""&amp;SUBSTITUTE(SUBST"&amp;"ITUTE(SUBSTITUTE(SUBSTITUTE(SUBSTITUTE(INDEX(Hairstyles!$C:$C,MATCH($B131,Hairstyles!$F:$F,0)),"" "",""""),""'"",""""),""("",""""),"")"",""""),""-"",""_"")&amp;""_""&amp;$A$2)"),"KoralinasCollection2\Human\Male\Koralina_Wolf_02_Human_Male")</f>
        <v>KoralinasCollection2\Human\Male\Koralina_Wolf_02_Human_Male</v>
      </c>
    </row>
    <row r="132">
      <c r="B132" s="12" t="str">
        <f>IFERROR(__xludf.DUMMYFUNCTION("""COMPUTED_VALUE"""),"Uvi_Wig_Spell_Evg_Dove")</f>
        <v>Uvi_Wig_Spell_Evg_Dove</v>
      </c>
      <c r="C132" s="12" t="str">
        <f>IFERROR(__xludf.DUMMYFUNCTION("IF($B132="""","""",SUBSTITUTE(SUBSTITUTE(SUBSTITUTE(SUBSTITUTE(INDEX(Hairstyles!$A:$A,MATCH($B132,Hairstyles!$F:$F,0)),"" "",""""),""'"",""""),""("",""""),"")"","""")&amp;""\""&amp;INDEX(SPLIT($A$2,""_""),1)&amp;""\""&amp;INDEX(SPLIT($A$2,""_""),2)&amp;""\""&amp;SUBSTITUTE(SUBST"&amp;"ITUTE(SUBSTITUTE(SUBSTITUTE(SUBSTITUTE(INDEX(Hairstyles!$C:$C,MATCH($B132,Hairstyles!$F:$F,0)),"" "",""""),""'"",""""),""("",""""),"")"",""""),""-"",""_"")&amp;""_""&amp;$A$2)"),"ModularSMPHair\Human\Male\ModularSMPHair_Dove_Human_Male")</f>
        <v>ModularSMPHair\Human\Male\ModularSMPHair_Dove_Human_Male</v>
      </c>
    </row>
    <row r="133">
      <c r="B133" s="12" t="str">
        <f>IFERROR(__xludf.DUMMYFUNCTION("""COMPUTED_VALUE"""),"Uvi_Wig_Spell_Evg_Eventually")</f>
        <v>Uvi_Wig_Spell_Evg_Eventually</v>
      </c>
      <c r="C133" s="12" t="str">
        <f>IFERROR(__xludf.DUMMYFUNCTION("IF($B133="""","""",SUBSTITUTE(SUBSTITUTE(SUBSTITUTE(SUBSTITUTE(INDEX(Hairstyles!$A:$A,MATCH($B133,Hairstyles!$F:$F,0)),"" "",""""),""'"",""""),""("",""""),"")"","""")&amp;""\""&amp;INDEX(SPLIT($A$2,""_""),1)&amp;""\""&amp;INDEX(SPLIT($A$2,""_""),2)&amp;""\""&amp;SUBSTITUTE(SUBST"&amp;"ITUTE(SUBSTITUTE(SUBSTITUTE(SUBSTITUTE(INDEX(Hairstyles!$C:$C,MATCH($B133,Hairstyles!$F:$F,0)),"" "",""""),""'"",""""),""("",""""),"")"",""""),""-"",""_"")&amp;""_""&amp;$A$2)"),"ModularSMPHair\Human\Male\ModularSMPHair_Eventually_Human_Male")</f>
        <v>ModularSMPHair\Human\Male\ModularSMPHair_Eventually_Human_Male</v>
      </c>
    </row>
    <row r="134">
      <c r="B134" s="12" t="str">
        <f>IFERROR(__xludf.DUMMYFUNCTION("""COMPUTED_VALUE"""),"Uvi_Wig_Spell_Evg_Intensity")</f>
        <v>Uvi_Wig_Spell_Evg_Intensity</v>
      </c>
      <c r="C134" s="12" t="str">
        <f>IFERROR(__xludf.DUMMYFUNCTION("IF($B134="""","""",SUBSTITUTE(SUBSTITUTE(SUBSTITUTE(SUBSTITUTE(INDEX(Hairstyles!$A:$A,MATCH($B134,Hairstyles!$F:$F,0)),"" "",""""),""'"",""""),""("",""""),"")"","""")&amp;""\""&amp;INDEX(SPLIT($A$2,""_""),1)&amp;""\""&amp;INDEX(SPLIT($A$2,""_""),2)&amp;""\""&amp;SUBSTITUTE(SUBST"&amp;"ITUTE(SUBSTITUTE(SUBSTITUTE(SUBSTITUTE(INDEX(Hairstyles!$C:$C,MATCH($B134,Hairstyles!$F:$F,0)),"" "",""""),""'"",""""),""("",""""),"")"",""""),""-"",""_"")&amp;""_""&amp;$A$2)"),"ModularSMPHair\Human\Male\ModularSMPHair_Intensity_Human_Male")</f>
        <v>ModularSMPHair\Human\Male\ModularSMPHair_Intensity_Human_Male</v>
      </c>
    </row>
    <row r="135">
      <c r="B135" s="12" t="str">
        <f>IFERROR(__xludf.DUMMYFUNCTION("""COMPUTED_VALUE"""),"Uvi_Wig_Spell_Evg_Oracle")</f>
        <v>Uvi_Wig_Spell_Evg_Oracle</v>
      </c>
      <c r="C135" s="12" t="str">
        <f>IFERROR(__xludf.DUMMYFUNCTION("IF($B135="""","""",SUBSTITUTE(SUBSTITUTE(SUBSTITUTE(SUBSTITUTE(INDEX(Hairstyles!$A:$A,MATCH($B135,Hairstyles!$F:$F,0)),"" "",""""),""'"",""""),""("",""""),"")"","""")&amp;""\""&amp;INDEX(SPLIT($A$2,""_""),1)&amp;""\""&amp;INDEX(SPLIT($A$2,""_""),2)&amp;""\""&amp;SUBSTITUTE(SUBST"&amp;"ITUTE(SUBSTITUTE(SUBSTITUTE(SUBSTITUTE(INDEX(Hairstyles!$C:$C,MATCH($B135,Hairstyles!$F:$F,0)),"" "",""""),""'"",""""),""("",""""),"")"",""""),""-"",""_"")&amp;""_""&amp;$A$2)"),"ModularSMPHair\Human\Male\ModularSMPHair_Oracle_Human_Male")</f>
        <v>ModularSMPHair\Human\Male\ModularSMPHair_Oracle_Human_Male</v>
      </c>
    </row>
    <row r="136">
      <c r="B136" s="12" t="str">
        <f>IFERROR(__xludf.DUMMYFUNCTION("""COMPUTED_VALUE"""),"Uvi_Wig_Spell_Evg_Rogueish")</f>
        <v>Uvi_Wig_Spell_Evg_Rogueish</v>
      </c>
      <c r="C136" s="12" t="str">
        <f>IFERROR(__xludf.DUMMYFUNCTION("IF($B136="""","""",SUBSTITUTE(SUBSTITUTE(SUBSTITUTE(SUBSTITUTE(INDEX(Hairstyles!$A:$A,MATCH($B136,Hairstyles!$F:$F,0)),"" "",""""),""'"",""""),""("",""""),"")"","""")&amp;""\""&amp;INDEX(SPLIT($A$2,""_""),1)&amp;""\""&amp;INDEX(SPLIT($A$2,""_""),2)&amp;""\""&amp;SUBSTITUTE(SUBST"&amp;"ITUTE(SUBSTITUTE(SUBSTITUTE(SUBSTITUTE(INDEX(Hairstyles!$C:$C,MATCH($B136,Hairstyles!$F:$F,0)),"" "",""""),""'"",""""),""("",""""),"")"",""""),""-"",""_"")&amp;""_""&amp;$A$2)"),"ModularSMPHair\Human\Male\ModularSMPHair_Rogueish_Human_Male")</f>
        <v>ModularSMPHair\Human\Male\ModularSMPHair_Rogueish_Human_Male</v>
      </c>
    </row>
    <row r="137">
      <c r="B137" s="12" t="str">
        <f>IFERROR(__xludf.DUMMYFUNCTION("""COMPUTED_VALUE"""),"Uvi_Wig_Spell_Evg_Scryer")</f>
        <v>Uvi_Wig_Spell_Evg_Scryer</v>
      </c>
      <c r="C137" s="12" t="str">
        <f>IFERROR(__xludf.DUMMYFUNCTION("IF($B137="""","""",SUBSTITUTE(SUBSTITUTE(SUBSTITUTE(SUBSTITUTE(INDEX(Hairstyles!$A:$A,MATCH($B137,Hairstyles!$F:$F,0)),"" "",""""),""'"",""""),""("",""""),"")"","""")&amp;""\""&amp;INDEX(SPLIT($A$2,""_""),1)&amp;""\""&amp;INDEX(SPLIT($A$2,""_""),2)&amp;""\""&amp;SUBSTITUTE(SUBST"&amp;"ITUTE(SUBSTITUTE(SUBSTITUTE(SUBSTITUTE(INDEX(Hairstyles!$C:$C,MATCH($B137,Hairstyles!$F:$F,0)),"" "",""""),""'"",""""),""("",""""),"")"",""""),""-"",""_"")&amp;""_""&amp;$A$2)"),"ModularSMPHair\Human\Male\ModularSMPHair_Scryer_Human_Male")</f>
        <v>ModularSMPHair\Human\Male\ModularSMPHair_Scryer_Human_Male</v>
      </c>
    </row>
    <row r="138">
      <c r="B138" s="12" t="str">
        <f>IFERROR(__xludf.DUMMYFUNCTION("""COMPUTED_VALUE"""),"Uvi_Wig_Spell_Evg_A")</f>
        <v>Uvi_Wig_Spell_Evg_A</v>
      </c>
      <c r="C138" s="12" t="str">
        <f>IFERROR(__xludf.DUMMYFUNCTION("IF($B138="""","""",SUBSTITUTE(SUBSTITUTE(SUBSTITUTE(SUBSTITUTE(INDEX(Hairstyles!$A:$A,MATCH($B138,Hairstyles!$F:$F,0)),"" "",""""),""'"",""""),""("",""""),"")"","""")&amp;""\""&amp;INDEX(SPLIT($A$2,""_""),1)&amp;""\""&amp;INDEX(SPLIT($A$2,""_""),2)&amp;""\""&amp;SUBSTITUTE(SUBST"&amp;"ITUTE(SUBSTITUTE(SUBSTITUTE(SUBSTITUTE(INDEX(Hairstyles!$C:$C,MATCH($B138,Hairstyles!$F:$F,0)),"" "",""""),""'"",""""),""("",""""),"")"",""""),""-"",""_"")&amp;""_""&amp;$A$2)"),"ModularSMPHair\Human\Male\ModularSMPHair_A_Human_Male")</f>
        <v>ModularSMPHair\Human\Male\ModularSMPHair_A_Human_Male</v>
      </c>
    </row>
    <row r="139">
      <c r="B139" s="12" t="str">
        <f>IFERROR(__xludf.DUMMYFUNCTION("""COMPUTED_VALUE"""),"Uvi_Wig_Spell_Evg_A-A")</f>
        <v>Uvi_Wig_Spell_Evg_A-A</v>
      </c>
      <c r="C139" s="12" t="str">
        <f>IFERROR(__xludf.DUMMYFUNCTION("IF($B139="""","""",SUBSTITUTE(SUBSTITUTE(SUBSTITUTE(SUBSTITUTE(INDEX(Hairstyles!$A:$A,MATCH($B139,Hairstyles!$F:$F,0)),"" "",""""),""'"",""""),""("",""""),"")"","""")&amp;""\""&amp;INDEX(SPLIT($A$2,""_""),1)&amp;""\""&amp;INDEX(SPLIT($A$2,""_""),2)&amp;""\""&amp;SUBSTITUTE(SUBST"&amp;"ITUTE(SUBSTITUTE(SUBSTITUTE(SUBSTITUTE(INDEX(Hairstyles!$C:$C,MATCH($B139,Hairstyles!$F:$F,0)),"" "",""""),""'"",""""),""("",""""),"")"",""""),""-"",""_"")&amp;""_""&amp;$A$2)"),"ModularSMPHair\Human\Male\ModularSMPHair_AA_Human_Male")</f>
        <v>ModularSMPHair\Human\Male\ModularSMPHair_AA_Human_Male</v>
      </c>
    </row>
    <row r="140">
      <c r="B140" s="12" t="str">
        <f>IFERROR(__xludf.DUMMYFUNCTION("""COMPUTED_VALUE"""),"Uvi_Wig_Spell_Evg_A-B")</f>
        <v>Uvi_Wig_Spell_Evg_A-B</v>
      </c>
      <c r="C140" s="12" t="str">
        <f>IFERROR(__xludf.DUMMYFUNCTION("IF($B140="""","""",SUBSTITUTE(SUBSTITUTE(SUBSTITUTE(SUBSTITUTE(INDEX(Hairstyles!$A:$A,MATCH($B140,Hairstyles!$F:$F,0)),"" "",""""),""'"",""""),""("",""""),"")"","""")&amp;""\""&amp;INDEX(SPLIT($A$2,""_""),1)&amp;""\""&amp;INDEX(SPLIT($A$2,""_""),2)&amp;""\""&amp;SUBSTITUTE(SUBST"&amp;"ITUTE(SUBSTITUTE(SUBSTITUTE(SUBSTITUTE(INDEX(Hairstyles!$C:$C,MATCH($B140,Hairstyles!$F:$F,0)),"" "",""""),""'"",""""),""("",""""),"")"",""""),""-"",""_"")&amp;""_""&amp;$A$2)"),"ModularSMPHair\Human\Male\ModularSMPHair_AB_Human_Male")</f>
        <v>ModularSMPHair\Human\Male\ModularSMPHair_AB_Human_Male</v>
      </c>
    </row>
    <row r="141">
      <c r="B141" s="12" t="str">
        <f>IFERROR(__xludf.DUMMYFUNCTION("""COMPUTED_VALUE"""),"Uvi_Wig_Spell_Evg_A-C")</f>
        <v>Uvi_Wig_Spell_Evg_A-C</v>
      </c>
      <c r="C141" s="12" t="str">
        <f>IFERROR(__xludf.DUMMYFUNCTION("IF($B141="""","""",SUBSTITUTE(SUBSTITUTE(SUBSTITUTE(SUBSTITUTE(INDEX(Hairstyles!$A:$A,MATCH($B141,Hairstyles!$F:$F,0)),"" "",""""),""'"",""""),""("",""""),"")"","""")&amp;""\""&amp;INDEX(SPLIT($A$2,""_""),1)&amp;""\""&amp;INDEX(SPLIT($A$2,""_""),2)&amp;""\""&amp;SUBSTITUTE(SUBST"&amp;"ITUTE(SUBSTITUTE(SUBSTITUTE(SUBSTITUTE(INDEX(Hairstyles!$C:$C,MATCH($B141,Hairstyles!$F:$F,0)),"" "",""""),""'"",""""),""("",""""),"")"",""""),""-"",""_"")&amp;""_""&amp;$A$2)"),"ModularSMPHair\Human\Male\ModularSMPHair_AC_Human_Male")</f>
        <v>ModularSMPHair\Human\Male\ModularSMPHair_AC_Human_Male</v>
      </c>
    </row>
    <row r="142">
      <c r="B142" s="12" t="str">
        <f>IFERROR(__xludf.DUMMYFUNCTION("""COMPUTED_VALUE"""),"Uvi_Wig_Spell_Evg_A-D")</f>
        <v>Uvi_Wig_Spell_Evg_A-D</v>
      </c>
      <c r="C142" s="12" t="str">
        <f>IFERROR(__xludf.DUMMYFUNCTION("IF($B142="""","""",SUBSTITUTE(SUBSTITUTE(SUBSTITUTE(SUBSTITUTE(INDEX(Hairstyles!$A:$A,MATCH($B142,Hairstyles!$F:$F,0)),"" "",""""),""'"",""""),""("",""""),"")"","""")&amp;""\""&amp;INDEX(SPLIT($A$2,""_""),1)&amp;""\""&amp;INDEX(SPLIT($A$2,""_""),2)&amp;""\""&amp;SUBSTITUTE(SUBST"&amp;"ITUTE(SUBSTITUTE(SUBSTITUTE(SUBSTITUTE(INDEX(Hairstyles!$C:$C,MATCH($B142,Hairstyles!$F:$F,0)),"" "",""""),""'"",""""),""("",""""),"")"",""""),""-"",""_"")&amp;""_""&amp;$A$2)"),"ModularSMPHair\Human\Male\ModularSMPHair_AD_Human_Male")</f>
        <v>ModularSMPHair\Human\Male\ModularSMPHair_AD_Human_Male</v>
      </c>
    </row>
    <row r="143">
      <c r="B143" s="12" t="str">
        <f>IFERROR(__xludf.DUMMYFUNCTION("""COMPUTED_VALUE"""),"Uvi_Wig_Spell_Evg_A-E")</f>
        <v>Uvi_Wig_Spell_Evg_A-E</v>
      </c>
      <c r="C143" s="12" t="str">
        <f>IFERROR(__xludf.DUMMYFUNCTION("IF($B143="""","""",SUBSTITUTE(SUBSTITUTE(SUBSTITUTE(SUBSTITUTE(INDEX(Hairstyles!$A:$A,MATCH($B143,Hairstyles!$F:$F,0)),"" "",""""),""'"",""""),""("",""""),"")"","""")&amp;""\""&amp;INDEX(SPLIT($A$2,""_""),1)&amp;""\""&amp;INDEX(SPLIT($A$2,""_""),2)&amp;""\""&amp;SUBSTITUTE(SUBST"&amp;"ITUTE(SUBSTITUTE(SUBSTITUTE(SUBSTITUTE(INDEX(Hairstyles!$C:$C,MATCH($B143,Hairstyles!$F:$F,0)),"" "",""""),""'"",""""),""("",""""),"")"",""""),""-"",""_"")&amp;""_""&amp;$A$2)"),"ModularSMPHair\Human\Male\ModularSMPHair_AE_Human_Male")</f>
        <v>ModularSMPHair\Human\Male\ModularSMPHair_AE_Human_Male</v>
      </c>
    </row>
    <row r="144">
      <c r="B144" s="12" t="str">
        <f>IFERROR(__xludf.DUMMYFUNCTION("""COMPUTED_VALUE"""),"Uvi_Wig_Spell_Evg_A-F")</f>
        <v>Uvi_Wig_Spell_Evg_A-F</v>
      </c>
      <c r="C144" s="12" t="str">
        <f>IFERROR(__xludf.DUMMYFUNCTION("IF($B144="""","""",SUBSTITUTE(SUBSTITUTE(SUBSTITUTE(SUBSTITUTE(INDEX(Hairstyles!$A:$A,MATCH($B144,Hairstyles!$F:$F,0)),"" "",""""),""'"",""""),""("",""""),"")"","""")&amp;""\""&amp;INDEX(SPLIT($A$2,""_""),1)&amp;""\""&amp;INDEX(SPLIT($A$2,""_""),2)&amp;""\""&amp;SUBSTITUTE(SUBST"&amp;"ITUTE(SUBSTITUTE(SUBSTITUTE(SUBSTITUTE(INDEX(Hairstyles!$C:$C,MATCH($B144,Hairstyles!$F:$F,0)),"" "",""""),""'"",""""),""("",""""),"")"",""""),""-"",""_"")&amp;""_""&amp;$A$2)"),"ModularSMPHair\Human\Male\ModularSMPHair_AF_Human_Male")</f>
        <v>ModularSMPHair\Human\Male\ModularSMPHair_AF_Human_Male</v>
      </c>
    </row>
    <row r="145">
      <c r="B145" s="12" t="str">
        <f>IFERROR(__xludf.DUMMYFUNCTION("""COMPUTED_VALUE"""),"Uvi_Wig_Spell_Evg_A-G")</f>
        <v>Uvi_Wig_Spell_Evg_A-G</v>
      </c>
      <c r="C145" s="12" t="str">
        <f>IFERROR(__xludf.DUMMYFUNCTION("IF($B145="""","""",SUBSTITUTE(SUBSTITUTE(SUBSTITUTE(SUBSTITUTE(INDEX(Hairstyles!$A:$A,MATCH($B145,Hairstyles!$F:$F,0)),"" "",""""),""'"",""""),""("",""""),"")"","""")&amp;""\""&amp;INDEX(SPLIT($A$2,""_""),1)&amp;""\""&amp;INDEX(SPLIT($A$2,""_""),2)&amp;""\""&amp;SUBSTITUTE(SUBST"&amp;"ITUTE(SUBSTITUTE(SUBSTITUTE(SUBSTITUTE(INDEX(Hairstyles!$C:$C,MATCH($B145,Hairstyles!$F:$F,0)),"" "",""""),""'"",""""),""("",""""),"")"",""""),""-"",""_"")&amp;""_""&amp;$A$2)"),"ModularSMPHair\Human\Male\ModularSMPHair_AG_Human_Male")</f>
        <v>ModularSMPHair\Human\Male\ModularSMPHair_AG_Human_Male</v>
      </c>
    </row>
    <row r="146">
      <c r="B146" s="12" t="str">
        <f>IFERROR(__xludf.DUMMYFUNCTION("""COMPUTED_VALUE"""),"Uvi_Wig_Spell_Evg_A-I")</f>
        <v>Uvi_Wig_Spell_Evg_A-I</v>
      </c>
      <c r="C146" s="12" t="str">
        <f>IFERROR(__xludf.DUMMYFUNCTION("IF($B146="""","""",SUBSTITUTE(SUBSTITUTE(SUBSTITUTE(SUBSTITUTE(INDEX(Hairstyles!$A:$A,MATCH($B146,Hairstyles!$F:$F,0)),"" "",""""),""'"",""""),""("",""""),"")"","""")&amp;""\""&amp;INDEX(SPLIT($A$2,""_""),1)&amp;""\""&amp;INDEX(SPLIT($A$2,""_""),2)&amp;""\""&amp;SUBSTITUTE(SUBST"&amp;"ITUTE(SUBSTITUTE(SUBSTITUTE(SUBSTITUTE(INDEX(Hairstyles!$C:$C,MATCH($B146,Hairstyles!$F:$F,0)),"" "",""""),""'"",""""),""("",""""),"")"",""""),""-"",""_"")&amp;""_""&amp;$A$2)"),"ModularSMPHair\Human\Male\ModularSMPHair_AI_Human_Male")</f>
        <v>ModularSMPHair\Human\Male\ModularSMPHair_AI_Human_Male</v>
      </c>
    </row>
    <row r="147">
      <c r="B147" s="12" t="str">
        <f>IFERROR(__xludf.DUMMYFUNCTION("""COMPUTED_VALUE"""),"Uvi_Wig_Spell_Evg_A-J")</f>
        <v>Uvi_Wig_Spell_Evg_A-J</v>
      </c>
      <c r="C147" s="12" t="str">
        <f>IFERROR(__xludf.DUMMYFUNCTION("IF($B147="""","""",SUBSTITUTE(SUBSTITUTE(SUBSTITUTE(SUBSTITUTE(INDEX(Hairstyles!$A:$A,MATCH($B147,Hairstyles!$F:$F,0)),"" "",""""),""'"",""""),""("",""""),"")"","""")&amp;""\""&amp;INDEX(SPLIT($A$2,""_""),1)&amp;""\""&amp;INDEX(SPLIT($A$2,""_""),2)&amp;""\""&amp;SUBSTITUTE(SUBST"&amp;"ITUTE(SUBSTITUTE(SUBSTITUTE(SUBSTITUTE(INDEX(Hairstyles!$C:$C,MATCH($B147,Hairstyles!$F:$F,0)),"" "",""""),""'"",""""),""("",""""),"")"",""""),""-"",""_"")&amp;""_""&amp;$A$2)"),"ModularSMPHair\Human\Male\ModularSMPHair_AJ_Human_Male")</f>
        <v>ModularSMPHair\Human\Male\ModularSMPHair_AJ_Human_Male</v>
      </c>
    </row>
    <row r="148">
      <c r="B148" s="12" t="str">
        <f>IFERROR(__xludf.DUMMYFUNCTION("""COMPUTED_VALUE"""),"Uvi_Wig_Spell_Evg_A-K")</f>
        <v>Uvi_Wig_Spell_Evg_A-K</v>
      </c>
      <c r="C148" s="12" t="str">
        <f>IFERROR(__xludf.DUMMYFUNCTION("IF($B148="""","""",SUBSTITUTE(SUBSTITUTE(SUBSTITUTE(SUBSTITUTE(INDEX(Hairstyles!$A:$A,MATCH($B148,Hairstyles!$F:$F,0)),"" "",""""),""'"",""""),""("",""""),"")"","""")&amp;""\""&amp;INDEX(SPLIT($A$2,""_""),1)&amp;""\""&amp;INDEX(SPLIT($A$2,""_""),2)&amp;""\""&amp;SUBSTITUTE(SUBST"&amp;"ITUTE(SUBSTITUTE(SUBSTITUTE(SUBSTITUTE(INDEX(Hairstyles!$C:$C,MATCH($B148,Hairstyles!$F:$F,0)),"" "",""""),""'"",""""),""("",""""),"")"",""""),""-"",""_"")&amp;""_""&amp;$A$2)"),"ModularSMPHair\Human\Male\ModularSMPHair_AK_Human_Male")</f>
        <v>ModularSMPHair\Human\Male\ModularSMPHair_AK_Human_Male</v>
      </c>
    </row>
    <row r="149">
      <c r="B149" s="12" t="str">
        <f>IFERROR(__xludf.DUMMYFUNCTION("""COMPUTED_VALUE"""),"Uvi_Wig_Spell_Evg_A-L")</f>
        <v>Uvi_Wig_Spell_Evg_A-L</v>
      </c>
      <c r="C149" s="12" t="str">
        <f>IFERROR(__xludf.DUMMYFUNCTION("IF($B149="""","""",SUBSTITUTE(SUBSTITUTE(SUBSTITUTE(SUBSTITUTE(INDEX(Hairstyles!$A:$A,MATCH($B149,Hairstyles!$F:$F,0)),"" "",""""),""'"",""""),""("",""""),"")"","""")&amp;""\""&amp;INDEX(SPLIT($A$2,""_""),1)&amp;""\""&amp;INDEX(SPLIT($A$2,""_""),2)&amp;""\""&amp;SUBSTITUTE(SUBST"&amp;"ITUTE(SUBSTITUTE(SUBSTITUTE(SUBSTITUTE(INDEX(Hairstyles!$C:$C,MATCH($B149,Hairstyles!$F:$F,0)),"" "",""""),""'"",""""),""("",""""),"")"",""""),""-"",""_"")&amp;""_""&amp;$A$2)"),"ModularSMPHair\Human\Male\ModularSMPHair_AL_Human_Male")</f>
        <v>ModularSMPHair\Human\Male\ModularSMPHair_AL_Human_Male</v>
      </c>
    </row>
    <row r="150">
      <c r="B150" s="12" t="str">
        <f>IFERROR(__xludf.DUMMYFUNCTION("""COMPUTED_VALUE"""),"Uvi_Wig_Spell_Evg_A-M1")</f>
        <v>Uvi_Wig_Spell_Evg_A-M1</v>
      </c>
      <c r="C150" s="12" t="str">
        <f>IFERROR(__xludf.DUMMYFUNCTION("IF($B150="""","""",SUBSTITUTE(SUBSTITUTE(SUBSTITUTE(SUBSTITUTE(INDEX(Hairstyles!$A:$A,MATCH($B150,Hairstyles!$F:$F,0)),"" "",""""),""'"",""""),""("",""""),"")"","""")&amp;""\""&amp;INDEX(SPLIT($A$2,""_""),1)&amp;""\""&amp;INDEX(SPLIT($A$2,""_""),2)&amp;""\""&amp;SUBSTITUTE(SUBST"&amp;"ITUTE(SUBSTITUTE(SUBSTITUTE(SUBSTITUTE(INDEX(Hairstyles!$C:$C,MATCH($B150,Hairstyles!$F:$F,0)),"" "",""""),""'"",""""),""("",""""),"")"",""""),""-"",""_"")&amp;""_""&amp;$A$2)"),"ModularSMPHair\Human\Male\ModularSMPHair_AM1_Human_Male")</f>
        <v>ModularSMPHair\Human\Male\ModularSMPHair_AM1_Human_Male</v>
      </c>
    </row>
    <row r="151">
      <c r="B151" s="12" t="str">
        <f>IFERROR(__xludf.DUMMYFUNCTION("""COMPUTED_VALUE"""),"Uvi_Wig_Spell_Evg_A-M2")</f>
        <v>Uvi_Wig_Spell_Evg_A-M2</v>
      </c>
      <c r="C151" s="12" t="str">
        <f>IFERROR(__xludf.DUMMYFUNCTION("IF($B151="""","""",SUBSTITUTE(SUBSTITUTE(SUBSTITUTE(SUBSTITUTE(INDEX(Hairstyles!$A:$A,MATCH($B151,Hairstyles!$F:$F,0)),"" "",""""),""'"",""""),""("",""""),"")"","""")&amp;""\""&amp;INDEX(SPLIT($A$2,""_""),1)&amp;""\""&amp;INDEX(SPLIT($A$2,""_""),2)&amp;""\""&amp;SUBSTITUTE(SUBST"&amp;"ITUTE(SUBSTITUTE(SUBSTITUTE(SUBSTITUTE(INDEX(Hairstyles!$C:$C,MATCH($B151,Hairstyles!$F:$F,0)),"" "",""""),""'"",""""),""("",""""),"")"",""""),""-"",""_"")&amp;""_""&amp;$A$2)"),"ModularSMPHair\Human\Male\ModularSMPHair_AM2_Human_Male")</f>
        <v>ModularSMPHair\Human\Male\ModularSMPHair_AM2_Human_Male</v>
      </c>
    </row>
    <row r="152">
      <c r="B152" s="12" t="str">
        <f>IFERROR(__xludf.DUMMYFUNCTION("""COMPUTED_VALUE"""),"Uvi_Wig_Spell_Evg_B")</f>
        <v>Uvi_Wig_Spell_Evg_B</v>
      </c>
      <c r="C152" s="12" t="str">
        <f>IFERROR(__xludf.DUMMYFUNCTION("IF($B152="""","""",SUBSTITUTE(SUBSTITUTE(SUBSTITUTE(SUBSTITUTE(INDEX(Hairstyles!$A:$A,MATCH($B152,Hairstyles!$F:$F,0)),"" "",""""),""'"",""""),""("",""""),"")"","""")&amp;""\""&amp;INDEX(SPLIT($A$2,""_""),1)&amp;""\""&amp;INDEX(SPLIT($A$2,""_""),2)&amp;""\""&amp;SUBSTITUTE(SUBST"&amp;"ITUTE(SUBSTITUTE(SUBSTITUTE(SUBSTITUTE(INDEX(Hairstyles!$C:$C,MATCH($B152,Hairstyles!$F:$F,0)),"" "",""""),""'"",""""),""("",""""),"")"",""""),""-"",""_"")&amp;""_""&amp;$A$2)"),"ModularSMPHair\Human\Male\ModularSMPHair_B_Human_Male")</f>
        <v>ModularSMPHair\Human\Male\ModularSMPHair_B_Human_Male</v>
      </c>
    </row>
    <row r="153">
      <c r="B153" s="12" t="str">
        <f>IFERROR(__xludf.DUMMYFUNCTION("""COMPUTED_VALUE"""),"Uvi_Wig_Spell_Evg_B-A")</f>
        <v>Uvi_Wig_Spell_Evg_B-A</v>
      </c>
      <c r="C153" s="12" t="str">
        <f>IFERROR(__xludf.DUMMYFUNCTION("IF($B153="""","""",SUBSTITUTE(SUBSTITUTE(SUBSTITUTE(SUBSTITUTE(INDEX(Hairstyles!$A:$A,MATCH($B153,Hairstyles!$F:$F,0)),"" "",""""),""'"",""""),""("",""""),"")"","""")&amp;""\""&amp;INDEX(SPLIT($A$2,""_""),1)&amp;""\""&amp;INDEX(SPLIT($A$2,""_""),2)&amp;""\""&amp;SUBSTITUTE(SUBST"&amp;"ITUTE(SUBSTITUTE(SUBSTITUTE(SUBSTITUTE(INDEX(Hairstyles!$C:$C,MATCH($B153,Hairstyles!$F:$F,0)),"" "",""""),""'"",""""),""("",""""),"")"",""""),""-"",""_"")&amp;""_""&amp;$A$2)"),"ModularSMPHair\Human\Male\ModularSMPHair_BA_Human_Male")</f>
        <v>ModularSMPHair\Human\Male\ModularSMPHair_BA_Human_Male</v>
      </c>
    </row>
    <row r="154">
      <c r="B154" s="12" t="str">
        <f>IFERROR(__xludf.DUMMYFUNCTION("""COMPUTED_VALUE"""),"Uvi_Wig_Spell_Evg_B-B")</f>
        <v>Uvi_Wig_Spell_Evg_B-B</v>
      </c>
      <c r="C154" s="12" t="str">
        <f>IFERROR(__xludf.DUMMYFUNCTION("IF($B154="""","""",SUBSTITUTE(SUBSTITUTE(SUBSTITUTE(SUBSTITUTE(INDEX(Hairstyles!$A:$A,MATCH($B154,Hairstyles!$F:$F,0)),"" "",""""),""'"",""""),""("",""""),"")"","""")&amp;""\""&amp;INDEX(SPLIT($A$2,""_""),1)&amp;""\""&amp;INDEX(SPLIT($A$2,""_""),2)&amp;""\""&amp;SUBSTITUTE(SUBST"&amp;"ITUTE(SUBSTITUTE(SUBSTITUTE(SUBSTITUTE(INDEX(Hairstyles!$C:$C,MATCH($B154,Hairstyles!$F:$F,0)),"" "",""""),""'"",""""),""("",""""),"")"",""""),""-"",""_"")&amp;""_""&amp;$A$2)"),"ModularSMPHair\Human\Male\ModularSMPHair_BB_Human_Male")</f>
        <v>ModularSMPHair\Human\Male\ModularSMPHair_BB_Human_Male</v>
      </c>
    </row>
    <row r="155">
      <c r="B155" s="12" t="str">
        <f>IFERROR(__xludf.DUMMYFUNCTION("""COMPUTED_VALUE"""),"Uvi_Wig_Spell_Evg_B-C")</f>
        <v>Uvi_Wig_Spell_Evg_B-C</v>
      </c>
      <c r="C155" s="12" t="str">
        <f>IFERROR(__xludf.DUMMYFUNCTION("IF($B155="""","""",SUBSTITUTE(SUBSTITUTE(SUBSTITUTE(SUBSTITUTE(INDEX(Hairstyles!$A:$A,MATCH($B155,Hairstyles!$F:$F,0)),"" "",""""),""'"",""""),""("",""""),"")"","""")&amp;""\""&amp;INDEX(SPLIT($A$2,""_""),1)&amp;""\""&amp;INDEX(SPLIT($A$2,""_""),2)&amp;""\""&amp;SUBSTITUTE(SUBST"&amp;"ITUTE(SUBSTITUTE(SUBSTITUTE(SUBSTITUTE(INDEX(Hairstyles!$C:$C,MATCH($B155,Hairstyles!$F:$F,0)),"" "",""""),""'"",""""),""("",""""),"")"",""""),""-"",""_"")&amp;""_""&amp;$A$2)"),"ModularSMPHair\Human\Male\ModularSMPHair_BC_Human_Male")</f>
        <v>ModularSMPHair\Human\Male\ModularSMPHair_BC_Human_Male</v>
      </c>
    </row>
    <row r="156">
      <c r="B156" s="12" t="str">
        <f>IFERROR(__xludf.DUMMYFUNCTION("""COMPUTED_VALUE"""),"Uvi_Wig_Spell_Evg_B-D")</f>
        <v>Uvi_Wig_Spell_Evg_B-D</v>
      </c>
      <c r="C156" s="12" t="str">
        <f>IFERROR(__xludf.DUMMYFUNCTION("IF($B156="""","""",SUBSTITUTE(SUBSTITUTE(SUBSTITUTE(SUBSTITUTE(INDEX(Hairstyles!$A:$A,MATCH($B156,Hairstyles!$F:$F,0)),"" "",""""),""'"",""""),""("",""""),"")"","""")&amp;""\""&amp;INDEX(SPLIT($A$2,""_""),1)&amp;""\""&amp;INDEX(SPLIT($A$2,""_""),2)&amp;""\""&amp;SUBSTITUTE(SUBST"&amp;"ITUTE(SUBSTITUTE(SUBSTITUTE(SUBSTITUTE(INDEX(Hairstyles!$C:$C,MATCH($B156,Hairstyles!$F:$F,0)),"" "",""""),""'"",""""),""("",""""),"")"",""""),""-"",""_"")&amp;""_""&amp;$A$2)"),"ModularSMPHair\Human\Male\ModularSMPHair_BD_Human_Male")</f>
        <v>ModularSMPHair\Human\Male\ModularSMPHair_BD_Human_Male</v>
      </c>
    </row>
    <row r="157">
      <c r="B157" s="12" t="str">
        <f>IFERROR(__xludf.DUMMYFUNCTION("""COMPUTED_VALUE"""),"Uvi_Wig_Spell_Evg_B-E")</f>
        <v>Uvi_Wig_Spell_Evg_B-E</v>
      </c>
      <c r="C157" s="12" t="str">
        <f>IFERROR(__xludf.DUMMYFUNCTION("IF($B157="""","""",SUBSTITUTE(SUBSTITUTE(SUBSTITUTE(SUBSTITUTE(INDEX(Hairstyles!$A:$A,MATCH($B157,Hairstyles!$F:$F,0)),"" "",""""),""'"",""""),""("",""""),"")"","""")&amp;""\""&amp;INDEX(SPLIT($A$2,""_""),1)&amp;""\""&amp;INDEX(SPLIT($A$2,""_""),2)&amp;""\""&amp;SUBSTITUTE(SUBST"&amp;"ITUTE(SUBSTITUTE(SUBSTITUTE(SUBSTITUTE(INDEX(Hairstyles!$C:$C,MATCH($B157,Hairstyles!$F:$F,0)),"" "",""""),""'"",""""),""("",""""),"")"",""""),""-"",""_"")&amp;""_""&amp;$A$2)"),"ModularSMPHair\Human\Male\ModularSMPHair_BE_Human_Male")</f>
        <v>ModularSMPHair\Human\Male\ModularSMPHair_BE_Human_Male</v>
      </c>
    </row>
    <row r="158">
      <c r="B158" s="12" t="str">
        <f>IFERROR(__xludf.DUMMYFUNCTION("""COMPUTED_VALUE"""),"Uvi_Wig_Spell_Evg_B-F")</f>
        <v>Uvi_Wig_Spell_Evg_B-F</v>
      </c>
      <c r="C158" s="12" t="str">
        <f>IFERROR(__xludf.DUMMYFUNCTION("IF($B158="""","""",SUBSTITUTE(SUBSTITUTE(SUBSTITUTE(SUBSTITUTE(INDEX(Hairstyles!$A:$A,MATCH($B158,Hairstyles!$F:$F,0)),"" "",""""),""'"",""""),""("",""""),"")"","""")&amp;""\""&amp;INDEX(SPLIT($A$2,""_""),1)&amp;""\""&amp;INDEX(SPLIT($A$2,""_""),2)&amp;""\""&amp;SUBSTITUTE(SUBST"&amp;"ITUTE(SUBSTITUTE(SUBSTITUTE(SUBSTITUTE(INDEX(Hairstyles!$C:$C,MATCH($B158,Hairstyles!$F:$F,0)),"" "",""""),""'"",""""),""("",""""),"")"",""""),""-"",""_"")&amp;""_""&amp;$A$2)"),"ModularSMPHair\Human\Male\ModularSMPHair_BF_Human_Male")</f>
        <v>ModularSMPHair\Human\Male\ModularSMPHair_BF_Human_Male</v>
      </c>
    </row>
    <row r="159">
      <c r="B159" s="12" t="str">
        <f>IFERROR(__xludf.DUMMYFUNCTION("""COMPUTED_VALUE"""),"Uvi_Wig_Spell_Evg_B-G")</f>
        <v>Uvi_Wig_Spell_Evg_B-G</v>
      </c>
      <c r="C159" s="12" t="str">
        <f>IFERROR(__xludf.DUMMYFUNCTION("IF($B159="""","""",SUBSTITUTE(SUBSTITUTE(SUBSTITUTE(SUBSTITUTE(INDEX(Hairstyles!$A:$A,MATCH($B159,Hairstyles!$F:$F,0)),"" "",""""),""'"",""""),""("",""""),"")"","""")&amp;""\""&amp;INDEX(SPLIT($A$2,""_""),1)&amp;""\""&amp;INDEX(SPLIT($A$2,""_""),2)&amp;""\""&amp;SUBSTITUTE(SUBST"&amp;"ITUTE(SUBSTITUTE(SUBSTITUTE(SUBSTITUTE(INDEX(Hairstyles!$C:$C,MATCH($B159,Hairstyles!$F:$F,0)),"" "",""""),""'"",""""),""("",""""),"")"",""""),""-"",""_"")&amp;""_""&amp;$A$2)"),"ModularSMPHair\Human\Male\ModularSMPHair_BG_Human_Male")</f>
        <v>ModularSMPHair\Human\Male\ModularSMPHair_BG_Human_Male</v>
      </c>
    </row>
    <row r="160">
      <c r="B160" s="12" t="str">
        <f>IFERROR(__xludf.DUMMYFUNCTION("""COMPUTED_VALUE"""),"Uvi_Wig_Spell_Evg_B-I")</f>
        <v>Uvi_Wig_Spell_Evg_B-I</v>
      </c>
      <c r="C160" s="12" t="str">
        <f>IFERROR(__xludf.DUMMYFUNCTION("IF($B160="""","""",SUBSTITUTE(SUBSTITUTE(SUBSTITUTE(SUBSTITUTE(INDEX(Hairstyles!$A:$A,MATCH($B160,Hairstyles!$F:$F,0)),"" "",""""),""'"",""""),""("",""""),"")"","""")&amp;""\""&amp;INDEX(SPLIT($A$2,""_""),1)&amp;""\""&amp;INDEX(SPLIT($A$2,""_""),2)&amp;""\""&amp;SUBSTITUTE(SUBST"&amp;"ITUTE(SUBSTITUTE(SUBSTITUTE(SUBSTITUTE(INDEX(Hairstyles!$C:$C,MATCH($B160,Hairstyles!$F:$F,0)),"" "",""""),""'"",""""),""("",""""),"")"",""""),""-"",""_"")&amp;""_""&amp;$A$2)"),"ModularSMPHair\Human\Male\ModularSMPHair_BI_Human_Male")</f>
        <v>ModularSMPHair\Human\Male\ModularSMPHair_BI_Human_Male</v>
      </c>
    </row>
    <row r="161">
      <c r="B161" s="12" t="str">
        <f>IFERROR(__xludf.DUMMYFUNCTION("""COMPUTED_VALUE"""),"Uvi_Wig_Spell_Evg_B-J")</f>
        <v>Uvi_Wig_Spell_Evg_B-J</v>
      </c>
      <c r="C161" s="12" t="str">
        <f>IFERROR(__xludf.DUMMYFUNCTION("IF($B161="""","""",SUBSTITUTE(SUBSTITUTE(SUBSTITUTE(SUBSTITUTE(INDEX(Hairstyles!$A:$A,MATCH($B161,Hairstyles!$F:$F,0)),"" "",""""),""'"",""""),""("",""""),"")"","""")&amp;""\""&amp;INDEX(SPLIT($A$2,""_""),1)&amp;""\""&amp;INDEX(SPLIT($A$2,""_""),2)&amp;""\""&amp;SUBSTITUTE(SUBST"&amp;"ITUTE(SUBSTITUTE(SUBSTITUTE(SUBSTITUTE(INDEX(Hairstyles!$C:$C,MATCH($B161,Hairstyles!$F:$F,0)),"" "",""""),""'"",""""),""("",""""),"")"",""""),""-"",""_"")&amp;""_""&amp;$A$2)"),"ModularSMPHair\Human\Male\ModularSMPHair_BJ_Human_Male")</f>
        <v>ModularSMPHair\Human\Male\ModularSMPHair_BJ_Human_Male</v>
      </c>
    </row>
    <row r="162">
      <c r="B162" s="12" t="str">
        <f>IFERROR(__xludf.DUMMYFUNCTION("""COMPUTED_VALUE"""),"Uvi_Wig_Spell_Evg_B-K")</f>
        <v>Uvi_Wig_Spell_Evg_B-K</v>
      </c>
      <c r="C162" s="12" t="str">
        <f>IFERROR(__xludf.DUMMYFUNCTION("IF($B162="""","""",SUBSTITUTE(SUBSTITUTE(SUBSTITUTE(SUBSTITUTE(INDEX(Hairstyles!$A:$A,MATCH($B162,Hairstyles!$F:$F,0)),"" "",""""),""'"",""""),""("",""""),"")"","""")&amp;""\""&amp;INDEX(SPLIT($A$2,""_""),1)&amp;""\""&amp;INDEX(SPLIT($A$2,""_""),2)&amp;""\""&amp;SUBSTITUTE(SUBST"&amp;"ITUTE(SUBSTITUTE(SUBSTITUTE(SUBSTITUTE(INDEX(Hairstyles!$C:$C,MATCH($B162,Hairstyles!$F:$F,0)),"" "",""""),""'"",""""),""("",""""),"")"",""""),""-"",""_"")&amp;""_""&amp;$A$2)"),"ModularSMPHair\Human\Male\ModularSMPHair_BK_Human_Male")</f>
        <v>ModularSMPHair\Human\Male\ModularSMPHair_BK_Human_Male</v>
      </c>
    </row>
    <row r="163">
      <c r="B163" s="12" t="str">
        <f>IFERROR(__xludf.DUMMYFUNCTION("""COMPUTED_VALUE"""),"Uvi_Wig_Spell_Evg_B-L")</f>
        <v>Uvi_Wig_Spell_Evg_B-L</v>
      </c>
      <c r="C163" s="12" t="str">
        <f>IFERROR(__xludf.DUMMYFUNCTION("IF($B163="""","""",SUBSTITUTE(SUBSTITUTE(SUBSTITUTE(SUBSTITUTE(INDEX(Hairstyles!$A:$A,MATCH($B163,Hairstyles!$F:$F,0)),"" "",""""),""'"",""""),""("",""""),"")"","""")&amp;""\""&amp;INDEX(SPLIT($A$2,""_""),1)&amp;""\""&amp;INDEX(SPLIT($A$2,""_""),2)&amp;""\""&amp;SUBSTITUTE(SUBST"&amp;"ITUTE(SUBSTITUTE(SUBSTITUTE(SUBSTITUTE(INDEX(Hairstyles!$C:$C,MATCH($B163,Hairstyles!$F:$F,0)),"" "",""""),""'"",""""),""("",""""),"")"",""""),""-"",""_"")&amp;""_""&amp;$A$2)"),"ModularSMPHair\Human\Male\ModularSMPHair_BL_Human_Male")</f>
        <v>ModularSMPHair\Human\Male\ModularSMPHair_BL_Human_Male</v>
      </c>
    </row>
    <row r="164">
      <c r="B164" s="12" t="str">
        <f>IFERROR(__xludf.DUMMYFUNCTION("""COMPUTED_VALUE"""),"Uvi_Wig_Spell_Evg_B-M1")</f>
        <v>Uvi_Wig_Spell_Evg_B-M1</v>
      </c>
      <c r="C164" s="12" t="str">
        <f>IFERROR(__xludf.DUMMYFUNCTION("IF($B164="""","""",SUBSTITUTE(SUBSTITUTE(SUBSTITUTE(SUBSTITUTE(INDEX(Hairstyles!$A:$A,MATCH($B164,Hairstyles!$F:$F,0)),"" "",""""),""'"",""""),""("",""""),"")"","""")&amp;""\""&amp;INDEX(SPLIT($A$2,""_""),1)&amp;""\""&amp;INDEX(SPLIT($A$2,""_""),2)&amp;""\""&amp;SUBSTITUTE(SUBST"&amp;"ITUTE(SUBSTITUTE(SUBSTITUTE(SUBSTITUTE(INDEX(Hairstyles!$C:$C,MATCH($B164,Hairstyles!$F:$F,0)),"" "",""""),""'"",""""),""("",""""),"")"",""""),""-"",""_"")&amp;""_""&amp;$A$2)"),"ModularSMPHair\Human\Male\ModularSMPHair_BM1_Human_Male")</f>
        <v>ModularSMPHair\Human\Male\ModularSMPHair_BM1_Human_Male</v>
      </c>
    </row>
    <row r="165">
      <c r="B165" s="12" t="str">
        <f>IFERROR(__xludf.DUMMYFUNCTION("""COMPUTED_VALUE"""),"Uvi_Wig_Spell_Evg_B-M2")</f>
        <v>Uvi_Wig_Spell_Evg_B-M2</v>
      </c>
      <c r="C165" s="12" t="str">
        <f>IFERROR(__xludf.DUMMYFUNCTION("IF($B165="""","""",SUBSTITUTE(SUBSTITUTE(SUBSTITUTE(SUBSTITUTE(INDEX(Hairstyles!$A:$A,MATCH($B165,Hairstyles!$F:$F,0)),"" "",""""),""'"",""""),""("",""""),"")"","""")&amp;""\""&amp;INDEX(SPLIT($A$2,""_""),1)&amp;""\""&amp;INDEX(SPLIT($A$2,""_""),2)&amp;""\""&amp;SUBSTITUTE(SUBST"&amp;"ITUTE(SUBSTITUTE(SUBSTITUTE(SUBSTITUTE(INDEX(Hairstyles!$C:$C,MATCH($B165,Hairstyles!$F:$F,0)),"" "",""""),""'"",""""),""("",""""),"")"",""""),""-"",""_"")&amp;""_""&amp;$A$2)"),"ModularSMPHair\Human\Male\ModularSMPHair_BM2_Human_Male")</f>
        <v>ModularSMPHair\Human\Male\ModularSMPHair_BM2_Human_Male</v>
      </c>
    </row>
    <row r="166">
      <c r="B166" s="12" t="str">
        <f>IFERROR(__xludf.DUMMYFUNCTION("""COMPUTED_VALUE"""),"Uvi_Wig_Spell_Evg_C")</f>
        <v>Uvi_Wig_Spell_Evg_C</v>
      </c>
      <c r="C166" s="12" t="str">
        <f>IFERROR(__xludf.DUMMYFUNCTION("IF($B166="""","""",SUBSTITUTE(SUBSTITUTE(SUBSTITUTE(SUBSTITUTE(INDEX(Hairstyles!$A:$A,MATCH($B166,Hairstyles!$F:$F,0)),"" "",""""),""'"",""""),""("",""""),"")"","""")&amp;""\""&amp;INDEX(SPLIT($A$2,""_""),1)&amp;""\""&amp;INDEX(SPLIT($A$2,""_""),2)&amp;""\""&amp;SUBSTITUTE(SUBST"&amp;"ITUTE(SUBSTITUTE(SUBSTITUTE(SUBSTITUTE(INDEX(Hairstyles!$C:$C,MATCH($B166,Hairstyles!$F:$F,0)),"" "",""""),""'"",""""),""("",""""),"")"",""""),""-"",""_"")&amp;""_""&amp;$A$2)"),"ModularSMPHair\Human\Male\ModularSMPHair_C_Human_Male")</f>
        <v>ModularSMPHair\Human\Male\ModularSMPHair_C_Human_Male</v>
      </c>
    </row>
    <row r="167">
      <c r="B167" s="12" t="str">
        <f>IFERROR(__xludf.DUMMYFUNCTION("""COMPUTED_VALUE"""),"Uvi_Wig_Spell_Evg_C-A")</f>
        <v>Uvi_Wig_Spell_Evg_C-A</v>
      </c>
      <c r="C167" s="12" t="str">
        <f>IFERROR(__xludf.DUMMYFUNCTION("IF($B167="""","""",SUBSTITUTE(SUBSTITUTE(SUBSTITUTE(SUBSTITUTE(INDEX(Hairstyles!$A:$A,MATCH($B167,Hairstyles!$F:$F,0)),"" "",""""),""'"",""""),""("",""""),"")"","""")&amp;""\""&amp;INDEX(SPLIT($A$2,""_""),1)&amp;""\""&amp;INDEX(SPLIT($A$2,""_""),2)&amp;""\""&amp;SUBSTITUTE(SUBST"&amp;"ITUTE(SUBSTITUTE(SUBSTITUTE(SUBSTITUTE(INDEX(Hairstyles!$C:$C,MATCH($B167,Hairstyles!$F:$F,0)),"" "",""""),""'"",""""),""("",""""),"")"",""""),""-"",""_"")&amp;""_""&amp;$A$2)"),"ModularSMPHair\Human\Male\ModularSMPHair_CA_Human_Male")</f>
        <v>ModularSMPHair\Human\Male\ModularSMPHair_CA_Human_Male</v>
      </c>
    </row>
    <row r="168">
      <c r="B168" s="12" t="str">
        <f>IFERROR(__xludf.DUMMYFUNCTION("""COMPUTED_VALUE"""),"Uvi_Wig_Spell_Evg_C-B")</f>
        <v>Uvi_Wig_Spell_Evg_C-B</v>
      </c>
      <c r="C168" s="12" t="str">
        <f>IFERROR(__xludf.DUMMYFUNCTION("IF($B168="""","""",SUBSTITUTE(SUBSTITUTE(SUBSTITUTE(SUBSTITUTE(INDEX(Hairstyles!$A:$A,MATCH($B168,Hairstyles!$F:$F,0)),"" "",""""),""'"",""""),""("",""""),"")"","""")&amp;""\""&amp;INDEX(SPLIT($A$2,""_""),1)&amp;""\""&amp;INDEX(SPLIT($A$2,""_""),2)&amp;""\""&amp;SUBSTITUTE(SUBST"&amp;"ITUTE(SUBSTITUTE(SUBSTITUTE(SUBSTITUTE(INDEX(Hairstyles!$C:$C,MATCH($B168,Hairstyles!$F:$F,0)),"" "",""""),""'"",""""),""("",""""),"")"",""""),""-"",""_"")&amp;""_""&amp;$A$2)"),"ModularSMPHair\Human\Male\ModularSMPHair_CB_Human_Male")</f>
        <v>ModularSMPHair\Human\Male\ModularSMPHair_CB_Human_Male</v>
      </c>
    </row>
    <row r="169">
      <c r="B169" s="12" t="str">
        <f>IFERROR(__xludf.DUMMYFUNCTION("""COMPUTED_VALUE"""),"Uvi_Wig_Spell_Evg_C-C")</f>
        <v>Uvi_Wig_Spell_Evg_C-C</v>
      </c>
      <c r="C169" s="12" t="str">
        <f>IFERROR(__xludf.DUMMYFUNCTION("IF($B169="""","""",SUBSTITUTE(SUBSTITUTE(SUBSTITUTE(SUBSTITUTE(INDEX(Hairstyles!$A:$A,MATCH($B169,Hairstyles!$F:$F,0)),"" "",""""),""'"",""""),""("",""""),"")"","""")&amp;""\""&amp;INDEX(SPLIT($A$2,""_""),1)&amp;""\""&amp;INDEX(SPLIT($A$2,""_""),2)&amp;""\""&amp;SUBSTITUTE(SUBST"&amp;"ITUTE(SUBSTITUTE(SUBSTITUTE(SUBSTITUTE(INDEX(Hairstyles!$C:$C,MATCH($B169,Hairstyles!$F:$F,0)),"" "",""""),""'"",""""),""("",""""),"")"",""""),""-"",""_"")&amp;""_""&amp;$A$2)"),"ModularSMPHair\Human\Male\ModularSMPHair_CC_Human_Male")</f>
        <v>ModularSMPHair\Human\Male\ModularSMPHair_CC_Human_Male</v>
      </c>
    </row>
    <row r="170">
      <c r="B170" s="12" t="str">
        <f>IFERROR(__xludf.DUMMYFUNCTION("""COMPUTED_VALUE"""),"Uvi_Wig_Spell_Evg_C-D")</f>
        <v>Uvi_Wig_Spell_Evg_C-D</v>
      </c>
      <c r="C170" s="12" t="str">
        <f>IFERROR(__xludf.DUMMYFUNCTION("IF($B170="""","""",SUBSTITUTE(SUBSTITUTE(SUBSTITUTE(SUBSTITUTE(INDEX(Hairstyles!$A:$A,MATCH($B170,Hairstyles!$F:$F,0)),"" "",""""),""'"",""""),""("",""""),"")"","""")&amp;""\""&amp;INDEX(SPLIT($A$2,""_""),1)&amp;""\""&amp;INDEX(SPLIT($A$2,""_""),2)&amp;""\""&amp;SUBSTITUTE(SUBST"&amp;"ITUTE(SUBSTITUTE(SUBSTITUTE(SUBSTITUTE(INDEX(Hairstyles!$C:$C,MATCH($B170,Hairstyles!$F:$F,0)),"" "",""""),""'"",""""),""("",""""),"")"",""""),""-"",""_"")&amp;""_""&amp;$A$2)"),"ModularSMPHair\Human\Male\ModularSMPHair_CD_Human_Male")</f>
        <v>ModularSMPHair\Human\Male\ModularSMPHair_CD_Human_Male</v>
      </c>
    </row>
    <row r="171">
      <c r="B171" s="12" t="str">
        <f>IFERROR(__xludf.DUMMYFUNCTION("""COMPUTED_VALUE"""),"Uvi_Wig_Spell_Evg_C-E")</f>
        <v>Uvi_Wig_Spell_Evg_C-E</v>
      </c>
      <c r="C171" s="12" t="str">
        <f>IFERROR(__xludf.DUMMYFUNCTION("IF($B171="""","""",SUBSTITUTE(SUBSTITUTE(SUBSTITUTE(SUBSTITUTE(INDEX(Hairstyles!$A:$A,MATCH($B171,Hairstyles!$F:$F,0)),"" "",""""),""'"",""""),""("",""""),"")"","""")&amp;""\""&amp;INDEX(SPLIT($A$2,""_""),1)&amp;""\""&amp;INDEX(SPLIT($A$2,""_""),2)&amp;""\""&amp;SUBSTITUTE(SUBST"&amp;"ITUTE(SUBSTITUTE(SUBSTITUTE(SUBSTITUTE(INDEX(Hairstyles!$C:$C,MATCH($B171,Hairstyles!$F:$F,0)),"" "",""""),""'"",""""),""("",""""),"")"",""""),""-"",""_"")&amp;""_""&amp;$A$2)"),"ModularSMPHair\Human\Male\ModularSMPHair_CE_Human_Male")</f>
        <v>ModularSMPHair\Human\Male\ModularSMPHair_CE_Human_Male</v>
      </c>
    </row>
    <row r="172">
      <c r="B172" s="12" t="str">
        <f>IFERROR(__xludf.DUMMYFUNCTION("""COMPUTED_VALUE"""),"Uvi_Wig_Spell_Evg_C-F")</f>
        <v>Uvi_Wig_Spell_Evg_C-F</v>
      </c>
      <c r="C172" s="12" t="str">
        <f>IFERROR(__xludf.DUMMYFUNCTION("IF($B172="""","""",SUBSTITUTE(SUBSTITUTE(SUBSTITUTE(SUBSTITUTE(INDEX(Hairstyles!$A:$A,MATCH($B172,Hairstyles!$F:$F,0)),"" "",""""),""'"",""""),""("",""""),"")"","""")&amp;""\""&amp;INDEX(SPLIT($A$2,""_""),1)&amp;""\""&amp;INDEX(SPLIT($A$2,""_""),2)&amp;""\""&amp;SUBSTITUTE(SUBST"&amp;"ITUTE(SUBSTITUTE(SUBSTITUTE(SUBSTITUTE(INDEX(Hairstyles!$C:$C,MATCH($B172,Hairstyles!$F:$F,0)),"" "",""""),""'"",""""),""("",""""),"")"",""""),""-"",""_"")&amp;""_""&amp;$A$2)"),"ModularSMPHair\Human\Male\ModularSMPHair_CF_Human_Male")</f>
        <v>ModularSMPHair\Human\Male\ModularSMPHair_CF_Human_Male</v>
      </c>
    </row>
    <row r="173">
      <c r="B173" s="12" t="str">
        <f>IFERROR(__xludf.DUMMYFUNCTION("""COMPUTED_VALUE"""),"Uvi_Wig_Spell_Evg_C-G")</f>
        <v>Uvi_Wig_Spell_Evg_C-G</v>
      </c>
      <c r="C173" s="12" t="str">
        <f>IFERROR(__xludf.DUMMYFUNCTION("IF($B173="""","""",SUBSTITUTE(SUBSTITUTE(SUBSTITUTE(SUBSTITUTE(INDEX(Hairstyles!$A:$A,MATCH($B173,Hairstyles!$F:$F,0)),"" "",""""),""'"",""""),""("",""""),"")"","""")&amp;""\""&amp;INDEX(SPLIT($A$2,""_""),1)&amp;""\""&amp;INDEX(SPLIT($A$2,""_""),2)&amp;""\""&amp;SUBSTITUTE(SUBST"&amp;"ITUTE(SUBSTITUTE(SUBSTITUTE(SUBSTITUTE(INDEX(Hairstyles!$C:$C,MATCH($B173,Hairstyles!$F:$F,0)),"" "",""""),""'"",""""),""("",""""),"")"",""""),""-"",""_"")&amp;""_""&amp;$A$2)"),"ModularSMPHair\Human\Male\ModularSMPHair_CG_Human_Male")</f>
        <v>ModularSMPHair\Human\Male\ModularSMPHair_CG_Human_Male</v>
      </c>
    </row>
    <row r="174">
      <c r="B174" s="12" t="str">
        <f>IFERROR(__xludf.DUMMYFUNCTION("""COMPUTED_VALUE"""),"Uvi_Wig_Spell_Evg_C-I")</f>
        <v>Uvi_Wig_Spell_Evg_C-I</v>
      </c>
      <c r="C174" s="12" t="str">
        <f>IFERROR(__xludf.DUMMYFUNCTION("IF($B174="""","""",SUBSTITUTE(SUBSTITUTE(SUBSTITUTE(SUBSTITUTE(INDEX(Hairstyles!$A:$A,MATCH($B174,Hairstyles!$F:$F,0)),"" "",""""),""'"",""""),""("",""""),"")"","""")&amp;""\""&amp;INDEX(SPLIT($A$2,""_""),1)&amp;""\""&amp;INDEX(SPLIT($A$2,""_""),2)&amp;""\""&amp;SUBSTITUTE(SUBST"&amp;"ITUTE(SUBSTITUTE(SUBSTITUTE(SUBSTITUTE(INDEX(Hairstyles!$C:$C,MATCH($B174,Hairstyles!$F:$F,0)),"" "",""""),""'"",""""),""("",""""),"")"",""""),""-"",""_"")&amp;""_""&amp;$A$2)"),"ModularSMPHair\Human\Male\ModularSMPHair_CI_Human_Male")</f>
        <v>ModularSMPHair\Human\Male\ModularSMPHair_CI_Human_Male</v>
      </c>
    </row>
    <row r="175">
      <c r="B175" s="12" t="str">
        <f>IFERROR(__xludf.DUMMYFUNCTION("""COMPUTED_VALUE"""),"Uvi_Wig_Spell_Evg_C-J")</f>
        <v>Uvi_Wig_Spell_Evg_C-J</v>
      </c>
      <c r="C175" s="12" t="str">
        <f>IFERROR(__xludf.DUMMYFUNCTION("IF($B175="""","""",SUBSTITUTE(SUBSTITUTE(SUBSTITUTE(SUBSTITUTE(INDEX(Hairstyles!$A:$A,MATCH($B175,Hairstyles!$F:$F,0)),"" "",""""),""'"",""""),""("",""""),"")"","""")&amp;""\""&amp;INDEX(SPLIT($A$2,""_""),1)&amp;""\""&amp;INDEX(SPLIT($A$2,""_""),2)&amp;""\""&amp;SUBSTITUTE(SUBST"&amp;"ITUTE(SUBSTITUTE(SUBSTITUTE(SUBSTITUTE(INDEX(Hairstyles!$C:$C,MATCH($B175,Hairstyles!$F:$F,0)),"" "",""""),""'"",""""),""("",""""),"")"",""""),""-"",""_"")&amp;""_""&amp;$A$2)"),"ModularSMPHair\Human\Male\ModularSMPHair_CJ_Human_Male")</f>
        <v>ModularSMPHair\Human\Male\ModularSMPHair_CJ_Human_Male</v>
      </c>
    </row>
    <row r="176">
      <c r="B176" s="12" t="str">
        <f>IFERROR(__xludf.DUMMYFUNCTION("""COMPUTED_VALUE"""),"Uvi_Wig_Spell_Evg_C-K")</f>
        <v>Uvi_Wig_Spell_Evg_C-K</v>
      </c>
      <c r="C176" s="12" t="str">
        <f>IFERROR(__xludf.DUMMYFUNCTION("IF($B176="""","""",SUBSTITUTE(SUBSTITUTE(SUBSTITUTE(SUBSTITUTE(INDEX(Hairstyles!$A:$A,MATCH($B176,Hairstyles!$F:$F,0)),"" "",""""),""'"",""""),""("",""""),"")"","""")&amp;""\""&amp;INDEX(SPLIT($A$2,""_""),1)&amp;""\""&amp;INDEX(SPLIT($A$2,""_""),2)&amp;""\""&amp;SUBSTITUTE(SUBST"&amp;"ITUTE(SUBSTITUTE(SUBSTITUTE(SUBSTITUTE(INDEX(Hairstyles!$C:$C,MATCH($B176,Hairstyles!$F:$F,0)),"" "",""""),""'"",""""),""("",""""),"")"",""""),""-"",""_"")&amp;""_""&amp;$A$2)"),"ModularSMPHair\Human\Male\ModularSMPHair_CK_Human_Male")</f>
        <v>ModularSMPHair\Human\Male\ModularSMPHair_CK_Human_Male</v>
      </c>
    </row>
    <row r="177">
      <c r="B177" s="12" t="str">
        <f>IFERROR(__xludf.DUMMYFUNCTION("""COMPUTED_VALUE"""),"Uvi_Wig_Spell_Evg_C-L")</f>
        <v>Uvi_Wig_Spell_Evg_C-L</v>
      </c>
      <c r="C177" s="12" t="str">
        <f>IFERROR(__xludf.DUMMYFUNCTION("IF($B177="""","""",SUBSTITUTE(SUBSTITUTE(SUBSTITUTE(SUBSTITUTE(INDEX(Hairstyles!$A:$A,MATCH($B177,Hairstyles!$F:$F,0)),"" "",""""),""'"",""""),""("",""""),"")"","""")&amp;""\""&amp;INDEX(SPLIT($A$2,""_""),1)&amp;""\""&amp;INDEX(SPLIT($A$2,""_""),2)&amp;""\""&amp;SUBSTITUTE(SUBST"&amp;"ITUTE(SUBSTITUTE(SUBSTITUTE(SUBSTITUTE(INDEX(Hairstyles!$C:$C,MATCH($B177,Hairstyles!$F:$F,0)),"" "",""""),""'"",""""),""("",""""),"")"",""""),""-"",""_"")&amp;""_""&amp;$A$2)"),"ModularSMPHair\Human\Male\ModularSMPHair_CL_Human_Male")</f>
        <v>ModularSMPHair\Human\Male\ModularSMPHair_CL_Human_Male</v>
      </c>
    </row>
    <row r="178">
      <c r="B178" s="12" t="str">
        <f>IFERROR(__xludf.DUMMYFUNCTION("""COMPUTED_VALUE"""),"Uvi_Wig_Spell_Evg_C-M1")</f>
        <v>Uvi_Wig_Spell_Evg_C-M1</v>
      </c>
      <c r="C178" s="12" t="str">
        <f>IFERROR(__xludf.DUMMYFUNCTION("IF($B178="""","""",SUBSTITUTE(SUBSTITUTE(SUBSTITUTE(SUBSTITUTE(INDEX(Hairstyles!$A:$A,MATCH($B178,Hairstyles!$F:$F,0)),"" "",""""),""'"",""""),""("",""""),"")"","""")&amp;""\""&amp;INDEX(SPLIT($A$2,""_""),1)&amp;""\""&amp;INDEX(SPLIT($A$2,""_""),2)&amp;""\""&amp;SUBSTITUTE(SUBST"&amp;"ITUTE(SUBSTITUTE(SUBSTITUTE(SUBSTITUTE(INDEX(Hairstyles!$C:$C,MATCH($B178,Hairstyles!$F:$F,0)),"" "",""""),""'"",""""),""("",""""),"")"",""""),""-"",""_"")&amp;""_""&amp;$A$2)"),"ModularSMPHair\Human\Male\ModularSMPHair_CM1_Human_Male")</f>
        <v>ModularSMPHair\Human\Male\ModularSMPHair_CM1_Human_Male</v>
      </c>
    </row>
    <row r="179">
      <c r="B179" s="12" t="str">
        <f>IFERROR(__xludf.DUMMYFUNCTION("""COMPUTED_VALUE"""),"Uvi_Wig_Spell_Evg_C-M2")</f>
        <v>Uvi_Wig_Spell_Evg_C-M2</v>
      </c>
      <c r="C179" s="12" t="str">
        <f>IFERROR(__xludf.DUMMYFUNCTION("IF($B179="""","""",SUBSTITUTE(SUBSTITUTE(SUBSTITUTE(SUBSTITUTE(INDEX(Hairstyles!$A:$A,MATCH($B179,Hairstyles!$F:$F,0)),"" "",""""),""'"",""""),""("",""""),"")"","""")&amp;""\""&amp;INDEX(SPLIT($A$2,""_""),1)&amp;""\""&amp;INDEX(SPLIT($A$2,""_""),2)&amp;""\""&amp;SUBSTITUTE(SUBST"&amp;"ITUTE(SUBSTITUTE(SUBSTITUTE(SUBSTITUTE(INDEX(Hairstyles!$C:$C,MATCH($B179,Hairstyles!$F:$F,0)),"" "",""""),""'"",""""),""("",""""),"")"",""""),""-"",""_"")&amp;""_""&amp;$A$2)"),"ModularSMPHair\Human\Male\ModularSMPHair_CM2_Human_Male")</f>
        <v>ModularSMPHair\Human\Male\ModularSMPHair_CM2_Human_Male</v>
      </c>
    </row>
    <row r="180">
      <c r="B180" s="12" t="str">
        <f>IFERROR(__xludf.DUMMYFUNCTION("""COMPUTED_VALUE"""),"Uvi_Wig_Spell_Evg_D")</f>
        <v>Uvi_Wig_Spell_Evg_D</v>
      </c>
      <c r="C180" s="12" t="str">
        <f>IFERROR(__xludf.DUMMYFUNCTION("IF($B180="""","""",SUBSTITUTE(SUBSTITUTE(SUBSTITUTE(SUBSTITUTE(INDEX(Hairstyles!$A:$A,MATCH($B180,Hairstyles!$F:$F,0)),"" "",""""),""'"",""""),""("",""""),"")"","""")&amp;""\""&amp;INDEX(SPLIT($A$2,""_""),1)&amp;""\""&amp;INDEX(SPLIT($A$2,""_""),2)&amp;""\""&amp;SUBSTITUTE(SUBST"&amp;"ITUTE(SUBSTITUTE(SUBSTITUTE(SUBSTITUTE(INDEX(Hairstyles!$C:$C,MATCH($B180,Hairstyles!$F:$F,0)),"" "",""""),""'"",""""),""("",""""),"")"",""""),""-"",""_"")&amp;""_""&amp;$A$2)"),"ModularSMPHair\Human\Male\ModularSMPHair_D_Human_Male")</f>
        <v>ModularSMPHair\Human\Male\ModularSMPHair_D_Human_Male</v>
      </c>
    </row>
    <row r="181">
      <c r="B181" s="12" t="str">
        <f>IFERROR(__xludf.DUMMYFUNCTION("""COMPUTED_VALUE"""),"Uvi_Wig_Spell_Evg_D-B")</f>
        <v>Uvi_Wig_Spell_Evg_D-B</v>
      </c>
      <c r="C181" s="12" t="str">
        <f>IFERROR(__xludf.DUMMYFUNCTION("IF($B181="""","""",SUBSTITUTE(SUBSTITUTE(SUBSTITUTE(SUBSTITUTE(INDEX(Hairstyles!$A:$A,MATCH($B181,Hairstyles!$F:$F,0)),"" "",""""),""'"",""""),""("",""""),"")"","""")&amp;""\""&amp;INDEX(SPLIT($A$2,""_""),1)&amp;""\""&amp;INDEX(SPLIT($A$2,""_""),2)&amp;""\""&amp;SUBSTITUTE(SUBST"&amp;"ITUTE(SUBSTITUTE(SUBSTITUTE(SUBSTITUTE(INDEX(Hairstyles!$C:$C,MATCH($B181,Hairstyles!$F:$F,0)),"" "",""""),""'"",""""),""("",""""),"")"",""""),""-"",""_"")&amp;""_""&amp;$A$2)"),"ModularSMPHair\Human\Male\ModularSMPHair_DB_Human_Male")</f>
        <v>ModularSMPHair\Human\Male\ModularSMPHair_DB_Human_Male</v>
      </c>
    </row>
    <row r="182">
      <c r="B182" s="12" t="str">
        <f>IFERROR(__xludf.DUMMYFUNCTION("""COMPUTED_VALUE"""),"Uvi_Wig_Spell_Evg_D-C")</f>
        <v>Uvi_Wig_Spell_Evg_D-C</v>
      </c>
      <c r="C182" s="12" t="str">
        <f>IFERROR(__xludf.DUMMYFUNCTION("IF($B182="""","""",SUBSTITUTE(SUBSTITUTE(SUBSTITUTE(SUBSTITUTE(INDEX(Hairstyles!$A:$A,MATCH($B182,Hairstyles!$F:$F,0)),"" "",""""),""'"",""""),""("",""""),"")"","""")&amp;""\""&amp;INDEX(SPLIT($A$2,""_""),1)&amp;""\""&amp;INDEX(SPLIT($A$2,""_""),2)&amp;""\""&amp;SUBSTITUTE(SUBST"&amp;"ITUTE(SUBSTITUTE(SUBSTITUTE(SUBSTITUTE(INDEX(Hairstyles!$C:$C,MATCH($B182,Hairstyles!$F:$F,0)),"" "",""""),""'"",""""),""("",""""),"")"",""""),""-"",""_"")&amp;""_""&amp;$A$2)"),"ModularSMPHair\Human\Male\ModularSMPHair_DC_Human_Male")</f>
        <v>ModularSMPHair\Human\Male\ModularSMPHair_DC_Human_Male</v>
      </c>
    </row>
    <row r="183">
      <c r="B183" s="12" t="str">
        <f>IFERROR(__xludf.DUMMYFUNCTION("""COMPUTED_VALUE"""),"Uvi_Wig_Spell_Evg_D-E")</f>
        <v>Uvi_Wig_Spell_Evg_D-E</v>
      </c>
      <c r="C183" s="12" t="str">
        <f>IFERROR(__xludf.DUMMYFUNCTION("IF($B183="""","""",SUBSTITUTE(SUBSTITUTE(SUBSTITUTE(SUBSTITUTE(INDEX(Hairstyles!$A:$A,MATCH($B183,Hairstyles!$F:$F,0)),"" "",""""),""'"",""""),""("",""""),"")"","""")&amp;""\""&amp;INDEX(SPLIT($A$2,""_""),1)&amp;""\""&amp;INDEX(SPLIT($A$2,""_""),2)&amp;""\""&amp;SUBSTITUTE(SUBST"&amp;"ITUTE(SUBSTITUTE(SUBSTITUTE(SUBSTITUTE(INDEX(Hairstyles!$C:$C,MATCH($B183,Hairstyles!$F:$F,0)),"" "",""""),""'"",""""),""("",""""),"")"",""""),""-"",""_"")&amp;""_""&amp;$A$2)"),"ModularSMPHair\Human\Male\ModularSMPHair_DE_Human_Male")</f>
        <v>ModularSMPHair\Human\Male\ModularSMPHair_DE_Human_Male</v>
      </c>
    </row>
    <row r="184">
      <c r="B184" s="12" t="str">
        <f>IFERROR(__xludf.DUMMYFUNCTION("""COMPUTED_VALUE"""),"Uvi_Wig_Spell_Evg_D-F")</f>
        <v>Uvi_Wig_Spell_Evg_D-F</v>
      </c>
      <c r="C184" s="12" t="str">
        <f>IFERROR(__xludf.DUMMYFUNCTION("IF($B184="""","""",SUBSTITUTE(SUBSTITUTE(SUBSTITUTE(SUBSTITUTE(INDEX(Hairstyles!$A:$A,MATCH($B184,Hairstyles!$F:$F,0)),"" "",""""),""'"",""""),""("",""""),"")"","""")&amp;""\""&amp;INDEX(SPLIT($A$2,""_""),1)&amp;""\""&amp;INDEX(SPLIT($A$2,""_""),2)&amp;""\""&amp;SUBSTITUTE(SUBST"&amp;"ITUTE(SUBSTITUTE(SUBSTITUTE(SUBSTITUTE(INDEX(Hairstyles!$C:$C,MATCH($B184,Hairstyles!$F:$F,0)),"" "",""""),""'"",""""),""("",""""),"")"",""""),""-"",""_"")&amp;""_""&amp;$A$2)"),"ModularSMPHair\Human\Male\ModularSMPHair_DF_Human_Male")</f>
        <v>ModularSMPHair\Human\Male\ModularSMPHair_DF_Human_Male</v>
      </c>
    </row>
    <row r="185">
      <c r="B185" s="12" t="str">
        <f>IFERROR(__xludf.DUMMYFUNCTION("""COMPUTED_VALUE"""),"Uvi_Wig_Spell_Evg_D-G")</f>
        <v>Uvi_Wig_Spell_Evg_D-G</v>
      </c>
      <c r="C185" s="12" t="str">
        <f>IFERROR(__xludf.DUMMYFUNCTION("IF($B185="""","""",SUBSTITUTE(SUBSTITUTE(SUBSTITUTE(SUBSTITUTE(INDEX(Hairstyles!$A:$A,MATCH($B185,Hairstyles!$F:$F,0)),"" "",""""),""'"",""""),""("",""""),"")"","""")&amp;""\""&amp;INDEX(SPLIT($A$2,""_""),1)&amp;""\""&amp;INDEX(SPLIT($A$2,""_""),2)&amp;""\""&amp;SUBSTITUTE(SUBST"&amp;"ITUTE(SUBSTITUTE(SUBSTITUTE(SUBSTITUTE(INDEX(Hairstyles!$C:$C,MATCH($B185,Hairstyles!$F:$F,0)),"" "",""""),""'"",""""),""("",""""),"")"",""""),""-"",""_"")&amp;""_""&amp;$A$2)"),"ModularSMPHair\Human\Male\ModularSMPHair_DG_Human_Male")</f>
        <v>ModularSMPHair\Human\Male\ModularSMPHair_DG_Human_Male</v>
      </c>
    </row>
    <row r="186">
      <c r="B186" s="12" t="str">
        <f>IFERROR(__xludf.DUMMYFUNCTION("""COMPUTED_VALUE"""),"Uvi_Wig_Spell_Evg_D-H")</f>
        <v>Uvi_Wig_Spell_Evg_D-H</v>
      </c>
      <c r="C186" s="12" t="str">
        <f>IFERROR(__xludf.DUMMYFUNCTION("IF($B186="""","""",SUBSTITUTE(SUBSTITUTE(SUBSTITUTE(SUBSTITUTE(INDEX(Hairstyles!$A:$A,MATCH($B186,Hairstyles!$F:$F,0)),"" "",""""),""'"",""""),""("",""""),"")"","""")&amp;""\""&amp;INDEX(SPLIT($A$2,""_""),1)&amp;""\""&amp;INDEX(SPLIT($A$2,""_""),2)&amp;""\""&amp;SUBSTITUTE(SUBST"&amp;"ITUTE(SUBSTITUTE(SUBSTITUTE(SUBSTITUTE(INDEX(Hairstyles!$C:$C,MATCH($B186,Hairstyles!$F:$F,0)),"" "",""""),""'"",""""),""("",""""),"")"",""""),""-"",""_"")&amp;""_""&amp;$A$2)"),"ModularSMPHair\Human\Male\ModularSMPHair_DH_Human_Male")</f>
        <v>ModularSMPHair\Human\Male\ModularSMPHair_DH_Human_Male</v>
      </c>
    </row>
    <row r="187">
      <c r="B187" s="12" t="str">
        <f>IFERROR(__xludf.DUMMYFUNCTION("""COMPUTED_VALUE"""),"Uvi_Wig_Spell_Evg_D-I")</f>
        <v>Uvi_Wig_Spell_Evg_D-I</v>
      </c>
      <c r="C187" s="12" t="str">
        <f>IFERROR(__xludf.DUMMYFUNCTION("IF($B187="""","""",SUBSTITUTE(SUBSTITUTE(SUBSTITUTE(SUBSTITUTE(INDEX(Hairstyles!$A:$A,MATCH($B187,Hairstyles!$F:$F,0)),"" "",""""),""'"",""""),""("",""""),"")"","""")&amp;""\""&amp;INDEX(SPLIT($A$2,""_""),1)&amp;""\""&amp;INDEX(SPLIT($A$2,""_""),2)&amp;""\""&amp;SUBSTITUTE(SUBST"&amp;"ITUTE(SUBSTITUTE(SUBSTITUTE(SUBSTITUTE(INDEX(Hairstyles!$C:$C,MATCH($B187,Hairstyles!$F:$F,0)),"" "",""""),""'"",""""),""("",""""),"")"",""""),""-"",""_"")&amp;""_""&amp;$A$2)"),"ModularSMPHair\Human\Male\ModularSMPHair_DI_Human_Male")</f>
        <v>ModularSMPHair\Human\Male\ModularSMPHair_DI_Human_Male</v>
      </c>
    </row>
    <row r="188">
      <c r="B188" s="12" t="str">
        <f>IFERROR(__xludf.DUMMYFUNCTION("""COMPUTED_VALUE"""),"Uvi_Wig_Spell_Evg_D-J")</f>
        <v>Uvi_Wig_Spell_Evg_D-J</v>
      </c>
      <c r="C188" s="12" t="str">
        <f>IFERROR(__xludf.DUMMYFUNCTION("IF($B188="""","""",SUBSTITUTE(SUBSTITUTE(SUBSTITUTE(SUBSTITUTE(INDEX(Hairstyles!$A:$A,MATCH($B188,Hairstyles!$F:$F,0)),"" "",""""),""'"",""""),""("",""""),"")"","""")&amp;""\""&amp;INDEX(SPLIT($A$2,""_""),1)&amp;""\""&amp;INDEX(SPLIT($A$2,""_""),2)&amp;""\""&amp;SUBSTITUTE(SUBST"&amp;"ITUTE(SUBSTITUTE(SUBSTITUTE(SUBSTITUTE(INDEX(Hairstyles!$C:$C,MATCH($B188,Hairstyles!$F:$F,0)),"" "",""""),""'"",""""),""("",""""),"")"",""""),""-"",""_"")&amp;""_""&amp;$A$2)"),"ModularSMPHair\Human\Male\ModularSMPHair_DJ_Human_Male")</f>
        <v>ModularSMPHair\Human\Male\ModularSMPHair_DJ_Human_Male</v>
      </c>
    </row>
    <row r="189">
      <c r="B189" s="12" t="str">
        <f>IFERROR(__xludf.DUMMYFUNCTION("""COMPUTED_VALUE"""),"Uvi_Wig_Spell_Evg_D-K")</f>
        <v>Uvi_Wig_Spell_Evg_D-K</v>
      </c>
      <c r="C189" s="12" t="str">
        <f>IFERROR(__xludf.DUMMYFUNCTION("IF($B189="""","""",SUBSTITUTE(SUBSTITUTE(SUBSTITUTE(SUBSTITUTE(INDEX(Hairstyles!$A:$A,MATCH($B189,Hairstyles!$F:$F,0)),"" "",""""),""'"",""""),""("",""""),"")"","""")&amp;""\""&amp;INDEX(SPLIT($A$2,""_""),1)&amp;""\""&amp;INDEX(SPLIT($A$2,""_""),2)&amp;""\""&amp;SUBSTITUTE(SUBST"&amp;"ITUTE(SUBSTITUTE(SUBSTITUTE(SUBSTITUTE(INDEX(Hairstyles!$C:$C,MATCH($B189,Hairstyles!$F:$F,0)),"" "",""""),""'"",""""),""("",""""),"")"",""""),""-"",""_"")&amp;""_""&amp;$A$2)"),"ModularSMPHair\Human\Male\ModularSMPHair_DK_Human_Male")</f>
        <v>ModularSMPHair\Human\Male\ModularSMPHair_DK_Human_Male</v>
      </c>
    </row>
    <row r="190">
      <c r="B190" s="12" t="str">
        <f>IFERROR(__xludf.DUMMYFUNCTION("""COMPUTED_VALUE"""),"Uvi_Wig_Spell_Evg_D-L")</f>
        <v>Uvi_Wig_Spell_Evg_D-L</v>
      </c>
      <c r="C190" s="12" t="str">
        <f>IFERROR(__xludf.DUMMYFUNCTION("IF($B190="""","""",SUBSTITUTE(SUBSTITUTE(SUBSTITUTE(SUBSTITUTE(INDEX(Hairstyles!$A:$A,MATCH($B190,Hairstyles!$F:$F,0)),"" "",""""),""'"",""""),""("",""""),"")"","""")&amp;""\""&amp;INDEX(SPLIT($A$2,""_""),1)&amp;""\""&amp;INDEX(SPLIT($A$2,""_""),2)&amp;""\""&amp;SUBSTITUTE(SUBST"&amp;"ITUTE(SUBSTITUTE(SUBSTITUTE(SUBSTITUTE(INDEX(Hairstyles!$C:$C,MATCH($B190,Hairstyles!$F:$F,0)),"" "",""""),""'"",""""),""("",""""),"")"",""""),""-"",""_"")&amp;""_""&amp;$A$2)"),"ModularSMPHair\Human\Male\ModularSMPHair_DL_Human_Male")</f>
        <v>ModularSMPHair\Human\Male\ModularSMPHair_DL_Human_Male</v>
      </c>
    </row>
    <row r="191">
      <c r="B191" s="12" t="str">
        <f>IFERROR(__xludf.DUMMYFUNCTION("""COMPUTED_VALUE"""),"Uvi_Wig_Spell_Evg_D-M1")</f>
        <v>Uvi_Wig_Spell_Evg_D-M1</v>
      </c>
      <c r="C191" s="12" t="str">
        <f>IFERROR(__xludf.DUMMYFUNCTION("IF($B191="""","""",SUBSTITUTE(SUBSTITUTE(SUBSTITUTE(SUBSTITUTE(INDEX(Hairstyles!$A:$A,MATCH($B191,Hairstyles!$F:$F,0)),"" "",""""),""'"",""""),""("",""""),"")"","""")&amp;""\""&amp;INDEX(SPLIT($A$2,""_""),1)&amp;""\""&amp;INDEX(SPLIT($A$2,""_""),2)&amp;""\""&amp;SUBSTITUTE(SUBST"&amp;"ITUTE(SUBSTITUTE(SUBSTITUTE(SUBSTITUTE(INDEX(Hairstyles!$C:$C,MATCH($B191,Hairstyles!$F:$F,0)),"" "",""""),""'"",""""),""("",""""),"")"",""""),""-"",""_"")&amp;""_""&amp;$A$2)"),"ModularSMPHair\Human\Male\ModularSMPHair_DM1_Human_Male")</f>
        <v>ModularSMPHair\Human\Male\ModularSMPHair_DM1_Human_Male</v>
      </c>
    </row>
    <row r="192">
      <c r="B192" s="12" t="str">
        <f>IFERROR(__xludf.DUMMYFUNCTION("""COMPUTED_VALUE"""),"Uvi_Wig_Spell_Evg_D-M2")</f>
        <v>Uvi_Wig_Spell_Evg_D-M2</v>
      </c>
      <c r="C192" s="12" t="str">
        <f>IFERROR(__xludf.DUMMYFUNCTION("IF($B192="""","""",SUBSTITUTE(SUBSTITUTE(SUBSTITUTE(SUBSTITUTE(INDEX(Hairstyles!$A:$A,MATCH($B192,Hairstyles!$F:$F,0)),"" "",""""),""'"",""""),""("",""""),"")"","""")&amp;""\""&amp;INDEX(SPLIT($A$2,""_""),1)&amp;""\""&amp;INDEX(SPLIT($A$2,""_""),2)&amp;""\""&amp;SUBSTITUTE(SUBST"&amp;"ITUTE(SUBSTITUTE(SUBSTITUTE(SUBSTITUTE(INDEX(Hairstyles!$C:$C,MATCH($B192,Hairstyles!$F:$F,0)),"" "",""""),""'"",""""),""("",""""),"")"",""""),""-"",""_"")&amp;""_""&amp;$A$2)"),"ModularSMPHair\Human\Male\ModularSMPHair_DM2_Human_Male")</f>
        <v>ModularSMPHair\Human\Male\ModularSMPHair_DM2_Human_Male</v>
      </c>
    </row>
    <row r="193">
      <c r="B193" s="12" t="str">
        <f>IFERROR(__xludf.DUMMYFUNCTION("""COMPUTED_VALUE"""),"Uvi_Wig_Spell_Evg_E")</f>
        <v>Uvi_Wig_Spell_Evg_E</v>
      </c>
      <c r="C193" s="12" t="str">
        <f>IFERROR(__xludf.DUMMYFUNCTION("IF($B193="""","""",SUBSTITUTE(SUBSTITUTE(SUBSTITUTE(SUBSTITUTE(INDEX(Hairstyles!$A:$A,MATCH($B193,Hairstyles!$F:$F,0)),"" "",""""),""'"",""""),""("",""""),"")"","""")&amp;""\""&amp;INDEX(SPLIT($A$2,""_""),1)&amp;""\""&amp;INDEX(SPLIT($A$2,""_""),2)&amp;""\""&amp;SUBSTITUTE(SUBST"&amp;"ITUTE(SUBSTITUTE(SUBSTITUTE(SUBSTITUTE(INDEX(Hairstyles!$C:$C,MATCH($B193,Hairstyles!$F:$F,0)),"" "",""""),""'"",""""),""("",""""),"")"",""""),""-"",""_"")&amp;""_""&amp;$A$2)"),"ModularSMPHair\Human\Male\ModularSMPHair_E_Human_Male")</f>
        <v>ModularSMPHair\Human\Male\ModularSMPHair_E_Human_Male</v>
      </c>
    </row>
    <row r="194">
      <c r="B194" s="12" t="str">
        <f>IFERROR(__xludf.DUMMYFUNCTION("""COMPUTED_VALUE"""),"Uvi_Wig_Spell_Evg_E-B")</f>
        <v>Uvi_Wig_Spell_Evg_E-B</v>
      </c>
      <c r="C194" s="12" t="str">
        <f>IFERROR(__xludf.DUMMYFUNCTION("IF($B194="""","""",SUBSTITUTE(SUBSTITUTE(SUBSTITUTE(SUBSTITUTE(INDEX(Hairstyles!$A:$A,MATCH($B194,Hairstyles!$F:$F,0)),"" "",""""),""'"",""""),""("",""""),"")"","""")&amp;""\""&amp;INDEX(SPLIT($A$2,""_""),1)&amp;""\""&amp;INDEX(SPLIT($A$2,""_""),2)&amp;""\""&amp;SUBSTITUTE(SUBST"&amp;"ITUTE(SUBSTITUTE(SUBSTITUTE(SUBSTITUTE(INDEX(Hairstyles!$C:$C,MATCH($B194,Hairstyles!$F:$F,0)),"" "",""""),""'"",""""),""("",""""),"")"",""""),""-"",""_"")&amp;""_""&amp;$A$2)"),"ModularSMPHair\Human\Male\ModularSMPHair_EB_Human_Male")</f>
        <v>ModularSMPHair\Human\Male\ModularSMPHair_EB_Human_Male</v>
      </c>
    </row>
    <row r="195">
      <c r="B195" s="12" t="str">
        <f>IFERROR(__xludf.DUMMYFUNCTION("""COMPUTED_VALUE"""),"Uvi_Wig_Spell_Evg_E-C")</f>
        <v>Uvi_Wig_Spell_Evg_E-C</v>
      </c>
      <c r="C195" s="12" t="str">
        <f>IFERROR(__xludf.DUMMYFUNCTION("IF($B195="""","""",SUBSTITUTE(SUBSTITUTE(SUBSTITUTE(SUBSTITUTE(INDEX(Hairstyles!$A:$A,MATCH($B195,Hairstyles!$F:$F,0)),"" "",""""),""'"",""""),""("",""""),"")"","""")&amp;""\""&amp;INDEX(SPLIT($A$2,""_""),1)&amp;""\""&amp;INDEX(SPLIT($A$2,""_""),2)&amp;""\""&amp;SUBSTITUTE(SUBST"&amp;"ITUTE(SUBSTITUTE(SUBSTITUTE(SUBSTITUTE(INDEX(Hairstyles!$C:$C,MATCH($B195,Hairstyles!$F:$F,0)),"" "",""""),""'"",""""),""("",""""),"")"",""""),""-"",""_"")&amp;""_""&amp;$A$2)"),"ModularSMPHair\Human\Male\ModularSMPHair_EC_Human_Male")</f>
        <v>ModularSMPHair\Human\Male\ModularSMPHair_EC_Human_Male</v>
      </c>
    </row>
    <row r="196">
      <c r="B196" s="12" t="str">
        <f>IFERROR(__xludf.DUMMYFUNCTION("""COMPUTED_VALUE"""),"Uvi_Wig_Spell_Evg_E-E")</f>
        <v>Uvi_Wig_Spell_Evg_E-E</v>
      </c>
      <c r="C196" s="12" t="str">
        <f>IFERROR(__xludf.DUMMYFUNCTION("IF($B196="""","""",SUBSTITUTE(SUBSTITUTE(SUBSTITUTE(SUBSTITUTE(INDEX(Hairstyles!$A:$A,MATCH($B196,Hairstyles!$F:$F,0)),"" "",""""),""'"",""""),""("",""""),"")"","""")&amp;""\""&amp;INDEX(SPLIT($A$2,""_""),1)&amp;""\""&amp;INDEX(SPLIT($A$2,""_""),2)&amp;""\""&amp;SUBSTITUTE(SUBST"&amp;"ITUTE(SUBSTITUTE(SUBSTITUTE(SUBSTITUTE(INDEX(Hairstyles!$C:$C,MATCH($B196,Hairstyles!$F:$F,0)),"" "",""""),""'"",""""),""("",""""),"")"",""""),""-"",""_"")&amp;""_""&amp;$A$2)"),"ModularSMPHair\Human\Male\ModularSMPHair_EE_Human_Male")</f>
        <v>ModularSMPHair\Human\Male\ModularSMPHair_EE_Human_Male</v>
      </c>
    </row>
    <row r="197">
      <c r="B197" s="12" t="str">
        <f>IFERROR(__xludf.DUMMYFUNCTION("""COMPUTED_VALUE"""),"Uvi_Wig_Spell_Evg_E-F")</f>
        <v>Uvi_Wig_Spell_Evg_E-F</v>
      </c>
      <c r="C197" s="12" t="str">
        <f>IFERROR(__xludf.DUMMYFUNCTION("IF($B197="""","""",SUBSTITUTE(SUBSTITUTE(SUBSTITUTE(SUBSTITUTE(INDEX(Hairstyles!$A:$A,MATCH($B197,Hairstyles!$F:$F,0)),"" "",""""),""'"",""""),""("",""""),"")"","""")&amp;""\""&amp;INDEX(SPLIT($A$2,""_""),1)&amp;""\""&amp;INDEX(SPLIT($A$2,""_""),2)&amp;""\""&amp;SUBSTITUTE(SUBST"&amp;"ITUTE(SUBSTITUTE(SUBSTITUTE(SUBSTITUTE(INDEX(Hairstyles!$C:$C,MATCH($B197,Hairstyles!$F:$F,0)),"" "",""""),""'"",""""),""("",""""),"")"",""""),""-"",""_"")&amp;""_""&amp;$A$2)"),"ModularSMPHair\Human\Male\ModularSMPHair_EF_Human_Male")</f>
        <v>ModularSMPHair\Human\Male\ModularSMPHair_EF_Human_Male</v>
      </c>
    </row>
    <row r="198">
      <c r="B198" s="12" t="str">
        <f>IFERROR(__xludf.DUMMYFUNCTION("""COMPUTED_VALUE"""),"Uvi_Wig_Spell_Evg_E-G")</f>
        <v>Uvi_Wig_Spell_Evg_E-G</v>
      </c>
      <c r="C198" s="12" t="str">
        <f>IFERROR(__xludf.DUMMYFUNCTION("IF($B198="""","""",SUBSTITUTE(SUBSTITUTE(SUBSTITUTE(SUBSTITUTE(INDEX(Hairstyles!$A:$A,MATCH($B198,Hairstyles!$F:$F,0)),"" "",""""),""'"",""""),""("",""""),"")"","""")&amp;""\""&amp;INDEX(SPLIT($A$2,""_""),1)&amp;""\""&amp;INDEX(SPLIT($A$2,""_""),2)&amp;""\""&amp;SUBSTITUTE(SUBST"&amp;"ITUTE(SUBSTITUTE(SUBSTITUTE(SUBSTITUTE(INDEX(Hairstyles!$C:$C,MATCH($B198,Hairstyles!$F:$F,0)),"" "",""""),""'"",""""),""("",""""),"")"",""""),""-"",""_"")&amp;""_""&amp;$A$2)"),"ModularSMPHair\Human\Male\ModularSMPHair_EG_Human_Male")</f>
        <v>ModularSMPHair\Human\Male\ModularSMPHair_EG_Human_Male</v>
      </c>
    </row>
    <row r="199">
      <c r="B199" s="12" t="str">
        <f>IFERROR(__xludf.DUMMYFUNCTION("""COMPUTED_VALUE"""),"Uvi_Wig_Spell_Evg_E-H")</f>
        <v>Uvi_Wig_Spell_Evg_E-H</v>
      </c>
      <c r="C199" s="12" t="str">
        <f>IFERROR(__xludf.DUMMYFUNCTION("IF($B199="""","""",SUBSTITUTE(SUBSTITUTE(SUBSTITUTE(SUBSTITUTE(INDEX(Hairstyles!$A:$A,MATCH($B199,Hairstyles!$F:$F,0)),"" "",""""),""'"",""""),""("",""""),"")"","""")&amp;""\""&amp;INDEX(SPLIT($A$2,""_""),1)&amp;""\""&amp;INDEX(SPLIT($A$2,""_""),2)&amp;""\""&amp;SUBSTITUTE(SUBST"&amp;"ITUTE(SUBSTITUTE(SUBSTITUTE(SUBSTITUTE(INDEX(Hairstyles!$C:$C,MATCH($B199,Hairstyles!$F:$F,0)),"" "",""""),""'"",""""),""("",""""),"")"",""""),""-"",""_"")&amp;""_""&amp;$A$2)"),"ModularSMPHair\Human\Male\ModularSMPHair_EH_Human_Male")</f>
        <v>ModularSMPHair\Human\Male\ModularSMPHair_EH_Human_Male</v>
      </c>
    </row>
    <row r="200">
      <c r="B200" s="12" t="str">
        <f>IFERROR(__xludf.DUMMYFUNCTION("""COMPUTED_VALUE"""),"Uvi_Wig_Spell_Evg_E-I")</f>
        <v>Uvi_Wig_Spell_Evg_E-I</v>
      </c>
      <c r="C200" s="12" t="str">
        <f>IFERROR(__xludf.DUMMYFUNCTION("IF($B200="""","""",SUBSTITUTE(SUBSTITUTE(SUBSTITUTE(SUBSTITUTE(INDEX(Hairstyles!$A:$A,MATCH($B200,Hairstyles!$F:$F,0)),"" "",""""),""'"",""""),""("",""""),"")"","""")&amp;""\""&amp;INDEX(SPLIT($A$2,""_""),1)&amp;""\""&amp;INDEX(SPLIT($A$2,""_""),2)&amp;""\""&amp;SUBSTITUTE(SUBST"&amp;"ITUTE(SUBSTITUTE(SUBSTITUTE(SUBSTITUTE(INDEX(Hairstyles!$C:$C,MATCH($B200,Hairstyles!$F:$F,0)),"" "",""""),""'"",""""),""("",""""),"")"",""""),""-"",""_"")&amp;""_""&amp;$A$2)"),"ModularSMPHair\Human\Male\ModularSMPHair_EI_Human_Male")</f>
        <v>ModularSMPHair\Human\Male\ModularSMPHair_EI_Human_Male</v>
      </c>
    </row>
    <row r="201">
      <c r="B201" s="12" t="str">
        <f>IFERROR(__xludf.DUMMYFUNCTION("""COMPUTED_VALUE"""),"Uvi_Wig_Spell_Evg_E-J")</f>
        <v>Uvi_Wig_Spell_Evg_E-J</v>
      </c>
      <c r="C201" s="12" t="str">
        <f>IFERROR(__xludf.DUMMYFUNCTION("IF($B201="""","""",SUBSTITUTE(SUBSTITUTE(SUBSTITUTE(SUBSTITUTE(INDEX(Hairstyles!$A:$A,MATCH($B201,Hairstyles!$F:$F,0)),"" "",""""),""'"",""""),""("",""""),"")"","""")&amp;""\""&amp;INDEX(SPLIT($A$2,""_""),1)&amp;""\""&amp;INDEX(SPLIT($A$2,""_""),2)&amp;""\""&amp;SUBSTITUTE(SUBST"&amp;"ITUTE(SUBSTITUTE(SUBSTITUTE(SUBSTITUTE(INDEX(Hairstyles!$C:$C,MATCH($B201,Hairstyles!$F:$F,0)),"" "",""""),""'"",""""),""("",""""),"")"",""""),""-"",""_"")&amp;""_""&amp;$A$2)"),"ModularSMPHair\Human\Male\ModularSMPHair_EJ_Human_Male")</f>
        <v>ModularSMPHair\Human\Male\ModularSMPHair_EJ_Human_Male</v>
      </c>
    </row>
    <row r="202">
      <c r="B202" s="12" t="str">
        <f>IFERROR(__xludf.DUMMYFUNCTION("""COMPUTED_VALUE"""),"Uvi_Wig_Spell_Evg_E-K")</f>
        <v>Uvi_Wig_Spell_Evg_E-K</v>
      </c>
      <c r="C202" s="12" t="str">
        <f>IFERROR(__xludf.DUMMYFUNCTION("IF($B202="""","""",SUBSTITUTE(SUBSTITUTE(SUBSTITUTE(SUBSTITUTE(INDEX(Hairstyles!$A:$A,MATCH($B202,Hairstyles!$F:$F,0)),"" "",""""),""'"",""""),""("",""""),"")"","""")&amp;""\""&amp;INDEX(SPLIT($A$2,""_""),1)&amp;""\""&amp;INDEX(SPLIT($A$2,""_""),2)&amp;""\""&amp;SUBSTITUTE(SUBST"&amp;"ITUTE(SUBSTITUTE(SUBSTITUTE(SUBSTITUTE(INDEX(Hairstyles!$C:$C,MATCH($B202,Hairstyles!$F:$F,0)),"" "",""""),""'"",""""),""("",""""),"")"",""""),""-"",""_"")&amp;""_""&amp;$A$2)"),"ModularSMPHair\Human\Male\ModularSMPHair_EK_Human_Male")</f>
        <v>ModularSMPHair\Human\Male\ModularSMPHair_EK_Human_Male</v>
      </c>
    </row>
    <row r="203">
      <c r="B203" s="12" t="str">
        <f>IFERROR(__xludf.DUMMYFUNCTION("""COMPUTED_VALUE"""),"Uvi_Wig_Spell_Evg_E-L")</f>
        <v>Uvi_Wig_Spell_Evg_E-L</v>
      </c>
      <c r="C203" s="12" t="str">
        <f>IFERROR(__xludf.DUMMYFUNCTION("IF($B203="""","""",SUBSTITUTE(SUBSTITUTE(SUBSTITUTE(SUBSTITUTE(INDEX(Hairstyles!$A:$A,MATCH($B203,Hairstyles!$F:$F,0)),"" "",""""),""'"",""""),""("",""""),"")"","""")&amp;""\""&amp;INDEX(SPLIT($A$2,""_""),1)&amp;""\""&amp;INDEX(SPLIT($A$2,""_""),2)&amp;""\""&amp;SUBSTITUTE(SUBST"&amp;"ITUTE(SUBSTITUTE(SUBSTITUTE(SUBSTITUTE(INDEX(Hairstyles!$C:$C,MATCH($B203,Hairstyles!$F:$F,0)),"" "",""""),""'"",""""),""("",""""),"")"",""""),""-"",""_"")&amp;""_""&amp;$A$2)"),"ModularSMPHair\Human\Male\ModularSMPHair_EL_Human_Male")</f>
        <v>ModularSMPHair\Human\Male\ModularSMPHair_EL_Human_Male</v>
      </c>
    </row>
    <row r="204">
      <c r="B204" s="12" t="str">
        <f>IFERROR(__xludf.DUMMYFUNCTION("""COMPUTED_VALUE"""),"Uvi_Wig_Spell_Evg_E-M1")</f>
        <v>Uvi_Wig_Spell_Evg_E-M1</v>
      </c>
      <c r="C204" s="12" t="str">
        <f>IFERROR(__xludf.DUMMYFUNCTION("IF($B204="""","""",SUBSTITUTE(SUBSTITUTE(SUBSTITUTE(SUBSTITUTE(INDEX(Hairstyles!$A:$A,MATCH($B204,Hairstyles!$F:$F,0)),"" "",""""),""'"",""""),""("",""""),"")"","""")&amp;""\""&amp;INDEX(SPLIT($A$2,""_""),1)&amp;""\""&amp;INDEX(SPLIT($A$2,""_""),2)&amp;""\""&amp;SUBSTITUTE(SUBST"&amp;"ITUTE(SUBSTITUTE(SUBSTITUTE(SUBSTITUTE(INDEX(Hairstyles!$C:$C,MATCH($B204,Hairstyles!$F:$F,0)),"" "",""""),""'"",""""),""("",""""),"")"",""""),""-"",""_"")&amp;""_""&amp;$A$2)"),"ModularSMPHair\Human\Male\ModularSMPHair_EM1_Human_Male")</f>
        <v>ModularSMPHair\Human\Male\ModularSMPHair_EM1_Human_Male</v>
      </c>
    </row>
    <row r="205">
      <c r="B205" s="12" t="str">
        <f>IFERROR(__xludf.DUMMYFUNCTION("""COMPUTED_VALUE"""),"Uvi_Wig_Spell_Evg_E-M2")</f>
        <v>Uvi_Wig_Spell_Evg_E-M2</v>
      </c>
      <c r="C205" s="12" t="str">
        <f>IFERROR(__xludf.DUMMYFUNCTION("IF($B205="""","""",SUBSTITUTE(SUBSTITUTE(SUBSTITUTE(SUBSTITUTE(INDEX(Hairstyles!$A:$A,MATCH($B205,Hairstyles!$F:$F,0)),"" "",""""),""'"",""""),""("",""""),"")"","""")&amp;""\""&amp;INDEX(SPLIT($A$2,""_""),1)&amp;""\""&amp;INDEX(SPLIT($A$2,""_""),2)&amp;""\""&amp;SUBSTITUTE(SUBST"&amp;"ITUTE(SUBSTITUTE(SUBSTITUTE(SUBSTITUTE(INDEX(Hairstyles!$C:$C,MATCH($B205,Hairstyles!$F:$F,0)),"" "",""""),""'"",""""),""("",""""),"")"",""""),""-"",""_"")&amp;""_""&amp;$A$2)"),"ModularSMPHair\Human\Male\ModularSMPHair_EM2_Human_Male")</f>
        <v>ModularSMPHair\Human\Male\ModularSMPHair_EM2_Human_Male</v>
      </c>
    </row>
    <row r="206">
      <c r="B206" s="12" t="str">
        <f>IFERROR(__xludf.DUMMYFUNCTION("""COMPUTED_VALUE"""),"Uvi_Wig_Spell_Evg_F")</f>
        <v>Uvi_Wig_Spell_Evg_F</v>
      </c>
      <c r="C206" s="12" t="str">
        <f>IFERROR(__xludf.DUMMYFUNCTION("IF($B206="""","""",SUBSTITUTE(SUBSTITUTE(SUBSTITUTE(SUBSTITUTE(INDEX(Hairstyles!$A:$A,MATCH($B206,Hairstyles!$F:$F,0)),"" "",""""),""'"",""""),""("",""""),"")"","""")&amp;""\""&amp;INDEX(SPLIT($A$2,""_""),1)&amp;""\""&amp;INDEX(SPLIT($A$2,""_""),2)&amp;""\""&amp;SUBSTITUTE(SUBST"&amp;"ITUTE(SUBSTITUTE(SUBSTITUTE(SUBSTITUTE(INDEX(Hairstyles!$C:$C,MATCH($B206,Hairstyles!$F:$F,0)),"" "",""""),""'"",""""),""("",""""),"")"",""""),""-"",""_"")&amp;""_""&amp;$A$2)"),"ModularSMPHair\Human\Male\ModularSMPHair_F_Human_Male")</f>
        <v>ModularSMPHair\Human\Male\ModularSMPHair_F_Human_Male</v>
      </c>
    </row>
    <row r="207">
      <c r="B207" s="12" t="str">
        <f>IFERROR(__xludf.DUMMYFUNCTION("""COMPUTED_VALUE"""),"Uvi_Wig_Spell_Evg_F-B")</f>
        <v>Uvi_Wig_Spell_Evg_F-B</v>
      </c>
      <c r="C207" s="12" t="str">
        <f>IFERROR(__xludf.DUMMYFUNCTION("IF($B207="""","""",SUBSTITUTE(SUBSTITUTE(SUBSTITUTE(SUBSTITUTE(INDEX(Hairstyles!$A:$A,MATCH($B207,Hairstyles!$F:$F,0)),"" "",""""),""'"",""""),""("",""""),"")"","""")&amp;""\""&amp;INDEX(SPLIT($A$2,""_""),1)&amp;""\""&amp;INDEX(SPLIT($A$2,""_""),2)&amp;""\""&amp;SUBSTITUTE(SUBST"&amp;"ITUTE(SUBSTITUTE(SUBSTITUTE(SUBSTITUTE(INDEX(Hairstyles!$C:$C,MATCH($B207,Hairstyles!$F:$F,0)),"" "",""""),""'"",""""),""("",""""),"")"",""""),""-"",""_"")&amp;""_""&amp;$A$2)"),"ModularSMPHair\Human\Male\ModularSMPHair_FB_Human_Male")</f>
        <v>ModularSMPHair\Human\Male\ModularSMPHair_FB_Human_Male</v>
      </c>
    </row>
    <row r="208">
      <c r="B208" s="12" t="str">
        <f>IFERROR(__xludf.DUMMYFUNCTION("""COMPUTED_VALUE"""),"Uvi_Wig_Spell_Evg_F-C")</f>
        <v>Uvi_Wig_Spell_Evg_F-C</v>
      </c>
      <c r="C208" s="12" t="str">
        <f>IFERROR(__xludf.DUMMYFUNCTION("IF($B208="""","""",SUBSTITUTE(SUBSTITUTE(SUBSTITUTE(SUBSTITUTE(INDEX(Hairstyles!$A:$A,MATCH($B208,Hairstyles!$F:$F,0)),"" "",""""),""'"",""""),""("",""""),"")"","""")&amp;""\""&amp;INDEX(SPLIT($A$2,""_""),1)&amp;""\""&amp;INDEX(SPLIT($A$2,""_""),2)&amp;""\""&amp;SUBSTITUTE(SUBST"&amp;"ITUTE(SUBSTITUTE(SUBSTITUTE(SUBSTITUTE(INDEX(Hairstyles!$C:$C,MATCH($B208,Hairstyles!$F:$F,0)),"" "",""""),""'"",""""),""("",""""),"")"",""""),""-"",""_"")&amp;""_""&amp;$A$2)"),"ModularSMPHair\Human\Male\ModularSMPHair_FC_Human_Male")</f>
        <v>ModularSMPHair\Human\Male\ModularSMPHair_FC_Human_Male</v>
      </c>
    </row>
    <row r="209">
      <c r="B209" s="12" t="str">
        <f>IFERROR(__xludf.DUMMYFUNCTION("""COMPUTED_VALUE"""),"Uvi_Wig_Spell_Evg_F-E")</f>
        <v>Uvi_Wig_Spell_Evg_F-E</v>
      </c>
      <c r="C209" s="12" t="str">
        <f>IFERROR(__xludf.DUMMYFUNCTION("IF($B209="""","""",SUBSTITUTE(SUBSTITUTE(SUBSTITUTE(SUBSTITUTE(INDEX(Hairstyles!$A:$A,MATCH($B209,Hairstyles!$F:$F,0)),"" "",""""),""'"",""""),""("",""""),"")"","""")&amp;""\""&amp;INDEX(SPLIT($A$2,""_""),1)&amp;""\""&amp;INDEX(SPLIT($A$2,""_""),2)&amp;""\""&amp;SUBSTITUTE(SUBST"&amp;"ITUTE(SUBSTITUTE(SUBSTITUTE(SUBSTITUTE(INDEX(Hairstyles!$C:$C,MATCH($B209,Hairstyles!$F:$F,0)),"" "",""""),""'"",""""),""("",""""),"")"",""""),""-"",""_"")&amp;""_""&amp;$A$2)"),"ModularSMPHair\Human\Male\ModularSMPHair_FE_Human_Male")</f>
        <v>ModularSMPHair\Human\Male\ModularSMPHair_FE_Human_Male</v>
      </c>
    </row>
    <row r="210">
      <c r="B210" s="12" t="str">
        <f>IFERROR(__xludf.DUMMYFUNCTION("""COMPUTED_VALUE"""),"Uvi_Wig_Spell_Evg_F-F")</f>
        <v>Uvi_Wig_Spell_Evg_F-F</v>
      </c>
      <c r="C210" s="12" t="str">
        <f>IFERROR(__xludf.DUMMYFUNCTION("IF($B210="""","""",SUBSTITUTE(SUBSTITUTE(SUBSTITUTE(SUBSTITUTE(INDEX(Hairstyles!$A:$A,MATCH($B210,Hairstyles!$F:$F,0)),"" "",""""),""'"",""""),""("",""""),"")"","""")&amp;""\""&amp;INDEX(SPLIT($A$2,""_""),1)&amp;""\""&amp;INDEX(SPLIT($A$2,""_""),2)&amp;""\""&amp;SUBSTITUTE(SUBST"&amp;"ITUTE(SUBSTITUTE(SUBSTITUTE(SUBSTITUTE(INDEX(Hairstyles!$C:$C,MATCH($B210,Hairstyles!$F:$F,0)),"" "",""""),""'"",""""),""("",""""),"")"",""""),""-"",""_"")&amp;""_""&amp;$A$2)"),"ModularSMPHair\Human\Male\ModularSMPHair_FF_Human_Male")</f>
        <v>ModularSMPHair\Human\Male\ModularSMPHair_FF_Human_Male</v>
      </c>
    </row>
    <row r="211">
      <c r="B211" s="12" t="str">
        <f>IFERROR(__xludf.DUMMYFUNCTION("""COMPUTED_VALUE"""),"Uvi_Wig_Spell_Evg_F-G")</f>
        <v>Uvi_Wig_Spell_Evg_F-G</v>
      </c>
      <c r="C211" s="12" t="str">
        <f>IFERROR(__xludf.DUMMYFUNCTION("IF($B211="""","""",SUBSTITUTE(SUBSTITUTE(SUBSTITUTE(SUBSTITUTE(INDEX(Hairstyles!$A:$A,MATCH($B211,Hairstyles!$F:$F,0)),"" "",""""),""'"",""""),""("",""""),"")"","""")&amp;""\""&amp;INDEX(SPLIT($A$2,""_""),1)&amp;""\""&amp;INDEX(SPLIT($A$2,""_""),2)&amp;""\""&amp;SUBSTITUTE(SUBST"&amp;"ITUTE(SUBSTITUTE(SUBSTITUTE(SUBSTITUTE(INDEX(Hairstyles!$C:$C,MATCH($B211,Hairstyles!$F:$F,0)),"" "",""""),""'"",""""),""("",""""),"")"",""""),""-"",""_"")&amp;""_""&amp;$A$2)"),"ModularSMPHair\Human\Male\ModularSMPHair_FG_Human_Male")</f>
        <v>ModularSMPHair\Human\Male\ModularSMPHair_FG_Human_Male</v>
      </c>
    </row>
    <row r="212">
      <c r="B212" s="12" t="str">
        <f>IFERROR(__xludf.DUMMYFUNCTION("""COMPUTED_VALUE"""),"Uvi_Wig_Spell_Evg_F-H")</f>
        <v>Uvi_Wig_Spell_Evg_F-H</v>
      </c>
      <c r="C212" s="12" t="str">
        <f>IFERROR(__xludf.DUMMYFUNCTION("IF($B212="""","""",SUBSTITUTE(SUBSTITUTE(SUBSTITUTE(SUBSTITUTE(INDEX(Hairstyles!$A:$A,MATCH($B212,Hairstyles!$F:$F,0)),"" "",""""),""'"",""""),""("",""""),"")"","""")&amp;""\""&amp;INDEX(SPLIT($A$2,""_""),1)&amp;""\""&amp;INDEX(SPLIT($A$2,""_""),2)&amp;""\""&amp;SUBSTITUTE(SUBST"&amp;"ITUTE(SUBSTITUTE(SUBSTITUTE(SUBSTITUTE(INDEX(Hairstyles!$C:$C,MATCH($B212,Hairstyles!$F:$F,0)),"" "",""""),""'"",""""),""("",""""),"")"",""""),""-"",""_"")&amp;""_""&amp;$A$2)"),"ModularSMPHair\Human\Male\ModularSMPHair_FH_Human_Male")</f>
        <v>ModularSMPHair\Human\Male\ModularSMPHair_FH_Human_Male</v>
      </c>
    </row>
    <row r="213">
      <c r="B213" s="12" t="str">
        <f>IFERROR(__xludf.DUMMYFUNCTION("""COMPUTED_VALUE"""),"Uvi_Wig_Spell_Evg_F-I")</f>
        <v>Uvi_Wig_Spell_Evg_F-I</v>
      </c>
      <c r="C213" s="12" t="str">
        <f>IFERROR(__xludf.DUMMYFUNCTION("IF($B213="""","""",SUBSTITUTE(SUBSTITUTE(SUBSTITUTE(SUBSTITUTE(INDEX(Hairstyles!$A:$A,MATCH($B213,Hairstyles!$F:$F,0)),"" "",""""),""'"",""""),""("",""""),"")"","""")&amp;""\""&amp;INDEX(SPLIT($A$2,""_""),1)&amp;""\""&amp;INDEX(SPLIT($A$2,""_""),2)&amp;""\""&amp;SUBSTITUTE(SUBST"&amp;"ITUTE(SUBSTITUTE(SUBSTITUTE(SUBSTITUTE(INDEX(Hairstyles!$C:$C,MATCH($B213,Hairstyles!$F:$F,0)),"" "",""""),""'"",""""),""("",""""),"")"",""""),""-"",""_"")&amp;""_""&amp;$A$2)"),"ModularSMPHair\Human\Male\ModularSMPHair_FI_Human_Male")</f>
        <v>ModularSMPHair\Human\Male\ModularSMPHair_FI_Human_Male</v>
      </c>
    </row>
    <row r="214">
      <c r="B214" s="12" t="str">
        <f>IFERROR(__xludf.DUMMYFUNCTION("""COMPUTED_VALUE"""),"Uvi_Wig_Spell_Evg_F-J")</f>
        <v>Uvi_Wig_Spell_Evg_F-J</v>
      </c>
      <c r="C214" s="12" t="str">
        <f>IFERROR(__xludf.DUMMYFUNCTION("IF($B214="""","""",SUBSTITUTE(SUBSTITUTE(SUBSTITUTE(SUBSTITUTE(INDEX(Hairstyles!$A:$A,MATCH($B214,Hairstyles!$F:$F,0)),"" "",""""),""'"",""""),""("",""""),"")"","""")&amp;""\""&amp;INDEX(SPLIT($A$2,""_""),1)&amp;""\""&amp;INDEX(SPLIT($A$2,""_""),2)&amp;""\""&amp;SUBSTITUTE(SUBST"&amp;"ITUTE(SUBSTITUTE(SUBSTITUTE(SUBSTITUTE(INDEX(Hairstyles!$C:$C,MATCH($B214,Hairstyles!$F:$F,0)),"" "",""""),""'"",""""),""("",""""),"")"",""""),""-"",""_"")&amp;""_""&amp;$A$2)"),"ModularSMPHair\Human\Male\ModularSMPHair_FJ_Human_Male")</f>
        <v>ModularSMPHair\Human\Male\ModularSMPHair_FJ_Human_Male</v>
      </c>
    </row>
    <row r="215">
      <c r="B215" s="12" t="str">
        <f>IFERROR(__xludf.DUMMYFUNCTION("""COMPUTED_VALUE"""),"Uvi_Wig_Spell_Evg_F-K")</f>
        <v>Uvi_Wig_Spell_Evg_F-K</v>
      </c>
      <c r="C215" s="12" t="str">
        <f>IFERROR(__xludf.DUMMYFUNCTION("IF($B215="""","""",SUBSTITUTE(SUBSTITUTE(SUBSTITUTE(SUBSTITUTE(INDEX(Hairstyles!$A:$A,MATCH($B215,Hairstyles!$F:$F,0)),"" "",""""),""'"",""""),""("",""""),"")"","""")&amp;""\""&amp;INDEX(SPLIT($A$2,""_""),1)&amp;""\""&amp;INDEX(SPLIT($A$2,""_""),2)&amp;""\""&amp;SUBSTITUTE(SUBST"&amp;"ITUTE(SUBSTITUTE(SUBSTITUTE(SUBSTITUTE(INDEX(Hairstyles!$C:$C,MATCH($B215,Hairstyles!$F:$F,0)),"" "",""""),""'"",""""),""("",""""),"")"",""""),""-"",""_"")&amp;""_""&amp;$A$2)"),"ModularSMPHair\Human\Male\ModularSMPHair_FK_Human_Male")</f>
        <v>ModularSMPHair\Human\Male\ModularSMPHair_FK_Human_Male</v>
      </c>
    </row>
    <row r="216">
      <c r="B216" s="12" t="str">
        <f>IFERROR(__xludf.DUMMYFUNCTION("""COMPUTED_VALUE"""),"Uvi_Wig_Spell_Evg_F-L")</f>
        <v>Uvi_Wig_Spell_Evg_F-L</v>
      </c>
      <c r="C216" s="12" t="str">
        <f>IFERROR(__xludf.DUMMYFUNCTION("IF($B216="""","""",SUBSTITUTE(SUBSTITUTE(SUBSTITUTE(SUBSTITUTE(INDEX(Hairstyles!$A:$A,MATCH($B216,Hairstyles!$F:$F,0)),"" "",""""),""'"",""""),""("",""""),"")"","""")&amp;""\""&amp;INDEX(SPLIT($A$2,""_""),1)&amp;""\""&amp;INDEX(SPLIT($A$2,""_""),2)&amp;""\""&amp;SUBSTITUTE(SUBST"&amp;"ITUTE(SUBSTITUTE(SUBSTITUTE(SUBSTITUTE(INDEX(Hairstyles!$C:$C,MATCH($B216,Hairstyles!$F:$F,0)),"" "",""""),""'"",""""),""("",""""),"")"",""""),""-"",""_"")&amp;""_""&amp;$A$2)"),"ModularSMPHair\Human\Male\ModularSMPHair_FL_Human_Male")</f>
        <v>ModularSMPHair\Human\Male\ModularSMPHair_FL_Human_Male</v>
      </c>
    </row>
    <row r="217">
      <c r="B217" s="12" t="str">
        <f>IFERROR(__xludf.DUMMYFUNCTION("""COMPUTED_VALUE"""),"Uvi_Wig_Spell_Evg_F-M1")</f>
        <v>Uvi_Wig_Spell_Evg_F-M1</v>
      </c>
      <c r="C217" s="12" t="str">
        <f>IFERROR(__xludf.DUMMYFUNCTION("IF($B217="""","""",SUBSTITUTE(SUBSTITUTE(SUBSTITUTE(SUBSTITUTE(INDEX(Hairstyles!$A:$A,MATCH($B217,Hairstyles!$F:$F,0)),"" "",""""),""'"",""""),""("",""""),"")"","""")&amp;""\""&amp;INDEX(SPLIT($A$2,""_""),1)&amp;""\""&amp;INDEX(SPLIT($A$2,""_""),2)&amp;""\""&amp;SUBSTITUTE(SUBST"&amp;"ITUTE(SUBSTITUTE(SUBSTITUTE(SUBSTITUTE(INDEX(Hairstyles!$C:$C,MATCH($B217,Hairstyles!$F:$F,0)),"" "",""""),""'"",""""),""("",""""),"")"",""""),""-"",""_"")&amp;""_""&amp;$A$2)"),"ModularSMPHair\Human\Male\ModularSMPHair_FM1_Human_Male")</f>
        <v>ModularSMPHair\Human\Male\ModularSMPHair_FM1_Human_Male</v>
      </c>
    </row>
    <row r="218">
      <c r="B218" s="12" t="str">
        <f>IFERROR(__xludf.DUMMYFUNCTION("""COMPUTED_VALUE"""),"Uvi_Wig_Spell_Evg_F-M2")</f>
        <v>Uvi_Wig_Spell_Evg_F-M2</v>
      </c>
      <c r="C218" s="12" t="str">
        <f>IFERROR(__xludf.DUMMYFUNCTION("IF($B218="""","""",SUBSTITUTE(SUBSTITUTE(SUBSTITUTE(SUBSTITUTE(INDEX(Hairstyles!$A:$A,MATCH($B218,Hairstyles!$F:$F,0)),"" "",""""),""'"",""""),""("",""""),"")"","""")&amp;""\""&amp;INDEX(SPLIT($A$2,""_""),1)&amp;""\""&amp;INDEX(SPLIT($A$2,""_""),2)&amp;""\""&amp;SUBSTITUTE(SUBST"&amp;"ITUTE(SUBSTITUTE(SUBSTITUTE(SUBSTITUTE(INDEX(Hairstyles!$C:$C,MATCH($B218,Hairstyles!$F:$F,0)),"" "",""""),""'"",""""),""("",""""),"")"",""""),""-"",""_"")&amp;""_""&amp;$A$2)"),"ModularSMPHair\Human\Male\ModularSMPHair_FM2_Human_Male")</f>
        <v>ModularSMPHair\Human\Male\ModularSMPHair_FM2_Human_Male</v>
      </c>
    </row>
    <row r="219">
      <c r="B219" s="12" t="str">
        <f>IFERROR(__xludf.DUMMYFUNCTION("""COMPUTED_VALUE"""),"Uvi_Wig_Spell_Evg_G")</f>
        <v>Uvi_Wig_Spell_Evg_G</v>
      </c>
      <c r="C219" s="12" t="str">
        <f>IFERROR(__xludf.DUMMYFUNCTION("IF($B219="""","""",SUBSTITUTE(SUBSTITUTE(SUBSTITUTE(SUBSTITUTE(INDEX(Hairstyles!$A:$A,MATCH($B219,Hairstyles!$F:$F,0)),"" "",""""),""'"",""""),""("",""""),"")"","""")&amp;""\""&amp;INDEX(SPLIT($A$2,""_""),1)&amp;""\""&amp;INDEX(SPLIT($A$2,""_""),2)&amp;""\""&amp;SUBSTITUTE(SUBST"&amp;"ITUTE(SUBSTITUTE(SUBSTITUTE(SUBSTITUTE(INDEX(Hairstyles!$C:$C,MATCH($B219,Hairstyles!$F:$F,0)),"" "",""""),""'"",""""),""("",""""),"")"",""""),""-"",""_"")&amp;""_""&amp;$A$2)"),"ModularSMPHair\Human\Male\ModularSMPHair_G_Human_Male")</f>
        <v>ModularSMPHair\Human\Male\ModularSMPHair_G_Human_Male</v>
      </c>
    </row>
    <row r="220">
      <c r="B220" s="12" t="str">
        <f>IFERROR(__xludf.DUMMYFUNCTION("""COMPUTED_VALUE"""),"Uvi_Wig_Spell_Evg_G-B")</f>
        <v>Uvi_Wig_Spell_Evg_G-B</v>
      </c>
      <c r="C220" s="12" t="str">
        <f>IFERROR(__xludf.DUMMYFUNCTION("IF($B220="""","""",SUBSTITUTE(SUBSTITUTE(SUBSTITUTE(SUBSTITUTE(INDEX(Hairstyles!$A:$A,MATCH($B220,Hairstyles!$F:$F,0)),"" "",""""),""'"",""""),""("",""""),"")"","""")&amp;""\""&amp;INDEX(SPLIT($A$2,""_""),1)&amp;""\""&amp;INDEX(SPLIT($A$2,""_""),2)&amp;""\""&amp;SUBSTITUTE(SUBST"&amp;"ITUTE(SUBSTITUTE(SUBSTITUTE(SUBSTITUTE(INDEX(Hairstyles!$C:$C,MATCH($B220,Hairstyles!$F:$F,0)),"" "",""""),""'"",""""),""("",""""),"")"",""""),""-"",""_"")&amp;""_""&amp;$A$2)"),"ModularSMPHair\Human\Male\ModularSMPHair_GB_Human_Male")</f>
        <v>ModularSMPHair\Human\Male\ModularSMPHair_GB_Human_Male</v>
      </c>
    </row>
    <row r="221">
      <c r="B221" s="12" t="str">
        <f>IFERROR(__xludf.DUMMYFUNCTION("""COMPUTED_VALUE"""),"Uvi_Wig_Spell_Evg_G-C")</f>
        <v>Uvi_Wig_Spell_Evg_G-C</v>
      </c>
      <c r="C221" s="12" t="str">
        <f>IFERROR(__xludf.DUMMYFUNCTION("IF($B221="""","""",SUBSTITUTE(SUBSTITUTE(SUBSTITUTE(SUBSTITUTE(INDEX(Hairstyles!$A:$A,MATCH($B221,Hairstyles!$F:$F,0)),"" "",""""),""'"",""""),""("",""""),"")"","""")&amp;""\""&amp;INDEX(SPLIT($A$2,""_""),1)&amp;""\""&amp;INDEX(SPLIT($A$2,""_""),2)&amp;""\""&amp;SUBSTITUTE(SUBST"&amp;"ITUTE(SUBSTITUTE(SUBSTITUTE(SUBSTITUTE(INDEX(Hairstyles!$C:$C,MATCH($B221,Hairstyles!$F:$F,0)),"" "",""""),""'"",""""),""("",""""),"")"",""""),""-"",""_"")&amp;""_""&amp;$A$2)"),"ModularSMPHair\Human\Male\ModularSMPHair_GC_Human_Male")</f>
        <v>ModularSMPHair\Human\Male\ModularSMPHair_GC_Human_Male</v>
      </c>
    </row>
    <row r="222">
      <c r="B222" s="12" t="str">
        <f>IFERROR(__xludf.DUMMYFUNCTION("""COMPUTED_VALUE"""),"Uvi_Wig_Spell_Evg_G-E")</f>
        <v>Uvi_Wig_Spell_Evg_G-E</v>
      </c>
      <c r="C222" s="12" t="str">
        <f>IFERROR(__xludf.DUMMYFUNCTION("IF($B222="""","""",SUBSTITUTE(SUBSTITUTE(SUBSTITUTE(SUBSTITUTE(INDEX(Hairstyles!$A:$A,MATCH($B222,Hairstyles!$F:$F,0)),"" "",""""),""'"",""""),""("",""""),"")"","""")&amp;""\""&amp;INDEX(SPLIT($A$2,""_""),1)&amp;""\""&amp;INDEX(SPLIT($A$2,""_""),2)&amp;""\""&amp;SUBSTITUTE(SUBST"&amp;"ITUTE(SUBSTITUTE(SUBSTITUTE(SUBSTITUTE(INDEX(Hairstyles!$C:$C,MATCH($B222,Hairstyles!$F:$F,0)),"" "",""""),""'"",""""),""("",""""),"")"",""""),""-"",""_"")&amp;""_""&amp;$A$2)"),"ModularSMPHair\Human\Male\ModularSMPHair_GE_Human_Male")</f>
        <v>ModularSMPHair\Human\Male\ModularSMPHair_GE_Human_Male</v>
      </c>
    </row>
    <row r="223">
      <c r="B223" s="12" t="str">
        <f>IFERROR(__xludf.DUMMYFUNCTION("""COMPUTED_VALUE"""),"Uvi_Wig_Spell_Evg_G-F")</f>
        <v>Uvi_Wig_Spell_Evg_G-F</v>
      </c>
      <c r="C223" s="12" t="str">
        <f>IFERROR(__xludf.DUMMYFUNCTION("IF($B223="""","""",SUBSTITUTE(SUBSTITUTE(SUBSTITUTE(SUBSTITUTE(INDEX(Hairstyles!$A:$A,MATCH($B223,Hairstyles!$F:$F,0)),"" "",""""),""'"",""""),""("",""""),"")"","""")&amp;""\""&amp;INDEX(SPLIT($A$2,""_""),1)&amp;""\""&amp;INDEX(SPLIT($A$2,""_""),2)&amp;""\""&amp;SUBSTITUTE(SUBST"&amp;"ITUTE(SUBSTITUTE(SUBSTITUTE(SUBSTITUTE(INDEX(Hairstyles!$C:$C,MATCH($B223,Hairstyles!$F:$F,0)),"" "",""""),""'"",""""),""("",""""),"")"",""""),""-"",""_"")&amp;""_""&amp;$A$2)"),"ModularSMPHair\Human\Male\ModularSMPHair_GF_Human_Male")</f>
        <v>ModularSMPHair\Human\Male\ModularSMPHair_GF_Human_Male</v>
      </c>
    </row>
    <row r="224">
      <c r="B224" s="12" t="str">
        <f>IFERROR(__xludf.DUMMYFUNCTION("""COMPUTED_VALUE"""),"Uvi_Wig_Spell_Evg_G-G")</f>
        <v>Uvi_Wig_Spell_Evg_G-G</v>
      </c>
      <c r="C224" s="12" t="str">
        <f>IFERROR(__xludf.DUMMYFUNCTION("IF($B224="""","""",SUBSTITUTE(SUBSTITUTE(SUBSTITUTE(SUBSTITUTE(INDEX(Hairstyles!$A:$A,MATCH($B224,Hairstyles!$F:$F,0)),"" "",""""),""'"",""""),""("",""""),"")"","""")&amp;""\""&amp;INDEX(SPLIT($A$2,""_""),1)&amp;""\""&amp;INDEX(SPLIT($A$2,""_""),2)&amp;""\""&amp;SUBSTITUTE(SUBST"&amp;"ITUTE(SUBSTITUTE(SUBSTITUTE(SUBSTITUTE(INDEX(Hairstyles!$C:$C,MATCH($B224,Hairstyles!$F:$F,0)),"" "",""""),""'"",""""),""("",""""),"")"",""""),""-"",""_"")&amp;""_""&amp;$A$2)"),"ModularSMPHair\Human\Male\ModularSMPHair_GG_Human_Male")</f>
        <v>ModularSMPHair\Human\Male\ModularSMPHair_GG_Human_Male</v>
      </c>
    </row>
    <row r="225">
      <c r="B225" s="12" t="str">
        <f>IFERROR(__xludf.DUMMYFUNCTION("""COMPUTED_VALUE"""),"Uvi_Wig_Spell_Evg_G-H")</f>
        <v>Uvi_Wig_Spell_Evg_G-H</v>
      </c>
      <c r="C225" s="12" t="str">
        <f>IFERROR(__xludf.DUMMYFUNCTION("IF($B225="""","""",SUBSTITUTE(SUBSTITUTE(SUBSTITUTE(SUBSTITUTE(INDEX(Hairstyles!$A:$A,MATCH($B225,Hairstyles!$F:$F,0)),"" "",""""),""'"",""""),""("",""""),"")"","""")&amp;""\""&amp;INDEX(SPLIT($A$2,""_""),1)&amp;""\""&amp;INDEX(SPLIT($A$2,""_""),2)&amp;""\""&amp;SUBSTITUTE(SUBST"&amp;"ITUTE(SUBSTITUTE(SUBSTITUTE(SUBSTITUTE(INDEX(Hairstyles!$C:$C,MATCH($B225,Hairstyles!$F:$F,0)),"" "",""""),""'"",""""),""("",""""),"")"",""""),""-"",""_"")&amp;""_""&amp;$A$2)"),"ModularSMPHair\Human\Male\ModularSMPHair_GH_Human_Male")</f>
        <v>ModularSMPHair\Human\Male\ModularSMPHair_GH_Human_Male</v>
      </c>
    </row>
    <row r="226">
      <c r="B226" s="12" t="str">
        <f>IFERROR(__xludf.DUMMYFUNCTION("""COMPUTED_VALUE"""),"Uvi_Wig_Spell_Evg_G-I")</f>
        <v>Uvi_Wig_Spell_Evg_G-I</v>
      </c>
      <c r="C226" s="12" t="str">
        <f>IFERROR(__xludf.DUMMYFUNCTION("IF($B226="""","""",SUBSTITUTE(SUBSTITUTE(SUBSTITUTE(SUBSTITUTE(INDEX(Hairstyles!$A:$A,MATCH($B226,Hairstyles!$F:$F,0)),"" "",""""),""'"",""""),""("",""""),"")"","""")&amp;""\""&amp;INDEX(SPLIT($A$2,""_""),1)&amp;""\""&amp;INDEX(SPLIT($A$2,""_""),2)&amp;""\""&amp;SUBSTITUTE(SUBST"&amp;"ITUTE(SUBSTITUTE(SUBSTITUTE(SUBSTITUTE(INDEX(Hairstyles!$C:$C,MATCH($B226,Hairstyles!$F:$F,0)),"" "",""""),""'"",""""),""("",""""),"")"",""""),""-"",""_"")&amp;""_""&amp;$A$2)"),"ModularSMPHair\Human\Male\ModularSMPHair_GI_Human_Male")</f>
        <v>ModularSMPHair\Human\Male\ModularSMPHair_GI_Human_Male</v>
      </c>
    </row>
    <row r="227">
      <c r="B227" s="12" t="str">
        <f>IFERROR(__xludf.DUMMYFUNCTION("""COMPUTED_VALUE"""),"Uvi_Wig_Spell_Evg_G-J")</f>
        <v>Uvi_Wig_Spell_Evg_G-J</v>
      </c>
      <c r="C227" s="12" t="str">
        <f>IFERROR(__xludf.DUMMYFUNCTION("IF($B227="""","""",SUBSTITUTE(SUBSTITUTE(SUBSTITUTE(SUBSTITUTE(INDEX(Hairstyles!$A:$A,MATCH($B227,Hairstyles!$F:$F,0)),"" "",""""),""'"",""""),""("",""""),"")"","""")&amp;""\""&amp;INDEX(SPLIT($A$2,""_""),1)&amp;""\""&amp;INDEX(SPLIT($A$2,""_""),2)&amp;""\""&amp;SUBSTITUTE(SUBST"&amp;"ITUTE(SUBSTITUTE(SUBSTITUTE(SUBSTITUTE(INDEX(Hairstyles!$C:$C,MATCH($B227,Hairstyles!$F:$F,0)),"" "",""""),""'"",""""),""("",""""),"")"",""""),""-"",""_"")&amp;""_""&amp;$A$2)"),"ModularSMPHair\Human\Male\ModularSMPHair_GJ_Human_Male")</f>
        <v>ModularSMPHair\Human\Male\ModularSMPHair_GJ_Human_Male</v>
      </c>
    </row>
    <row r="228">
      <c r="B228" s="12" t="str">
        <f>IFERROR(__xludf.DUMMYFUNCTION("""COMPUTED_VALUE"""),"Uvi_Wig_Spell_Evg_G-K")</f>
        <v>Uvi_Wig_Spell_Evg_G-K</v>
      </c>
      <c r="C228" s="12" t="str">
        <f>IFERROR(__xludf.DUMMYFUNCTION("IF($B228="""","""",SUBSTITUTE(SUBSTITUTE(SUBSTITUTE(SUBSTITUTE(INDEX(Hairstyles!$A:$A,MATCH($B228,Hairstyles!$F:$F,0)),"" "",""""),""'"",""""),""("",""""),"")"","""")&amp;""\""&amp;INDEX(SPLIT($A$2,""_""),1)&amp;""\""&amp;INDEX(SPLIT($A$2,""_""),2)&amp;""\""&amp;SUBSTITUTE(SUBST"&amp;"ITUTE(SUBSTITUTE(SUBSTITUTE(SUBSTITUTE(INDEX(Hairstyles!$C:$C,MATCH($B228,Hairstyles!$F:$F,0)),"" "",""""),""'"",""""),""("",""""),"")"",""""),""-"",""_"")&amp;""_""&amp;$A$2)"),"ModularSMPHair\Human\Male\ModularSMPHair_GK_Human_Male")</f>
        <v>ModularSMPHair\Human\Male\ModularSMPHair_GK_Human_Male</v>
      </c>
    </row>
    <row r="229">
      <c r="B229" s="12" t="str">
        <f>IFERROR(__xludf.DUMMYFUNCTION("""COMPUTED_VALUE"""),"Uvi_Wig_Spell_Evg_G-L")</f>
        <v>Uvi_Wig_Spell_Evg_G-L</v>
      </c>
      <c r="C229" s="12" t="str">
        <f>IFERROR(__xludf.DUMMYFUNCTION("IF($B229="""","""",SUBSTITUTE(SUBSTITUTE(SUBSTITUTE(SUBSTITUTE(INDEX(Hairstyles!$A:$A,MATCH($B229,Hairstyles!$F:$F,0)),"" "",""""),""'"",""""),""("",""""),"")"","""")&amp;""\""&amp;INDEX(SPLIT($A$2,""_""),1)&amp;""\""&amp;INDEX(SPLIT($A$2,""_""),2)&amp;""\""&amp;SUBSTITUTE(SUBST"&amp;"ITUTE(SUBSTITUTE(SUBSTITUTE(SUBSTITUTE(INDEX(Hairstyles!$C:$C,MATCH($B229,Hairstyles!$F:$F,0)),"" "",""""),""'"",""""),""("",""""),"")"",""""),""-"",""_"")&amp;""_""&amp;$A$2)"),"ModularSMPHair\Human\Male\ModularSMPHair_GL_Human_Male")</f>
        <v>ModularSMPHair\Human\Male\ModularSMPHair_GL_Human_Male</v>
      </c>
    </row>
    <row r="230">
      <c r="B230" s="12" t="str">
        <f>IFERROR(__xludf.DUMMYFUNCTION("""COMPUTED_VALUE"""),"Uvi_Wig_Spell_Evg_G-M1")</f>
        <v>Uvi_Wig_Spell_Evg_G-M1</v>
      </c>
      <c r="C230" s="12" t="str">
        <f>IFERROR(__xludf.DUMMYFUNCTION("IF($B230="""","""",SUBSTITUTE(SUBSTITUTE(SUBSTITUTE(SUBSTITUTE(INDEX(Hairstyles!$A:$A,MATCH($B230,Hairstyles!$F:$F,0)),"" "",""""),""'"",""""),""("",""""),"")"","""")&amp;""\""&amp;INDEX(SPLIT($A$2,""_""),1)&amp;""\""&amp;INDEX(SPLIT($A$2,""_""),2)&amp;""\""&amp;SUBSTITUTE(SUBST"&amp;"ITUTE(SUBSTITUTE(SUBSTITUTE(SUBSTITUTE(INDEX(Hairstyles!$C:$C,MATCH($B230,Hairstyles!$F:$F,0)),"" "",""""),""'"",""""),""("",""""),"")"",""""),""-"",""_"")&amp;""_""&amp;$A$2)"),"ModularSMPHair\Human\Male\ModularSMPHair_GM1_Human_Male")</f>
        <v>ModularSMPHair\Human\Male\ModularSMPHair_GM1_Human_Male</v>
      </c>
    </row>
    <row r="231">
      <c r="B231" s="12" t="str">
        <f>IFERROR(__xludf.DUMMYFUNCTION("""COMPUTED_VALUE"""),"Uvi_Wig_Spell_Evg_G-M2")</f>
        <v>Uvi_Wig_Spell_Evg_G-M2</v>
      </c>
      <c r="C231" s="12" t="str">
        <f>IFERROR(__xludf.DUMMYFUNCTION("IF($B231="""","""",SUBSTITUTE(SUBSTITUTE(SUBSTITUTE(SUBSTITUTE(INDEX(Hairstyles!$A:$A,MATCH($B231,Hairstyles!$F:$F,0)),"" "",""""),""'"",""""),""("",""""),"")"","""")&amp;""\""&amp;INDEX(SPLIT($A$2,""_""),1)&amp;""\""&amp;INDEX(SPLIT($A$2,""_""),2)&amp;""\""&amp;SUBSTITUTE(SUBST"&amp;"ITUTE(SUBSTITUTE(SUBSTITUTE(SUBSTITUTE(INDEX(Hairstyles!$C:$C,MATCH($B231,Hairstyles!$F:$F,0)),"" "",""""),""'"",""""),""("",""""),"")"",""""),""-"",""_"")&amp;""_""&amp;$A$2)"),"ModularSMPHair\Human\Male\ModularSMPHair_GM2_Human_Male")</f>
        <v>ModularSMPHair\Human\Male\ModularSMPHair_GM2_Human_Male</v>
      </c>
    </row>
    <row r="232">
      <c r="B232" s="12" t="str">
        <f>IFERROR(__xludf.DUMMYFUNCTION("""COMPUTED_VALUE"""),"Uvi_Wig_Spell_Evg_H")</f>
        <v>Uvi_Wig_Spell_Evg_H</v>
      </c>
      <c r="C232" s="12" t="str">
        <f>IFERROR(__xludf.DUMMYFUNCTION("IF($B232="""","""",SUBSTITUTE(SUBSTITUTE(SUBSTITUTE(SUBSTITUTE(INDEX(Hairstyles!$A:$A,MATCH($B232,Hairstyles!$F:$F,0)),"" "",""""),""'"",""""),""("",""""),"")"","""")&amp;""\""&amp;INDEX(SPLIT($A$2,""_""),1)&amp;""\""&amp;INDEX(SPLIT($A$2,""_""),2)&amp;""\""&amp;SUBSTITUTE(SUBST"&amp;"ITUTE(SUBSTITUTE(SUBSTITUTE(SUBSTITUTE(INDEX(Hairstyles!$C:$C,MATCH($B232,Hairstyles!$F:$F,0)),"" "",""""),""'"",""""),""("",""""),"")"",""""),""-"",""_"")&amp;""_""&amp;$A$2)"),"ModularSMPHair\Human\Male\ModularSMPHair_H_Human_Male")</f>
        <v>ModularSMPHair\Human\Male\ModularSMPHair_H_Human_Male</v>
      </c>
    </row>
    <row r="233">
      <c r="B233" s="12" t="str">
        <f>IFERROR(__xludf.DUMMYFUNCTION("""COMPUTED_VALUE"""),"Uvi_Wig_Spell_Evg_H-B")</f>
        <v>Uvi_Wig_Spell_Evg_H-B</v>
      </c>
      <c r="C233" s="12" t="str">
        <f>IFERROR(__xludf.DUMMYFUNCTION("IF($B233="""","""",SUBSTITUTE(SUBSTITUTE(SUBSTITUTE(SUBSTITUTE(INDEX(Hairstyles!$A:$A,MATCH($B233,Hairstyles!$F:$F,0)),"" "",""""),""'"",""""),""("",""""),"")"","""")&amp;""\""&amp;INDEX(SPLIT($A$2,""_""),1)&amp;""\""&amp;INDEX(SPLIT($A$2,""_""),2)&amp;""\""&amp;SUBSTITUTE(SUBST"&amp;"ITUTE(SUBSTITUTE(SUBSTITUTE(SUBSTITUTE(INDEX(Hairstyles!$C:$C,MATCH($B233,Hairstyles!$F:$F,0)),"" "",""""),""'"",""""),""("",""""),"")"",""""),""-"",""_"")&amp;""_""&amp;$A$2)"),"ModularSMPHair\Human\Male\ModularSMPHair_HB_Human_Male")</f>
        <v>ModularSMPHair\Human\Male\ModularSMPHair_HB_Human_Male</v>
      </c>
    </row>
    <row r="234">
      <c r="B234" s="12" t="str">
        <f>IFERROR(__xludf.DUMMYFUNCTION("""COMPUTED_VALUE"""),"Uvi_Wig_Spell_Evg_H-C")</f>
        <v>Uvi_Wig_Spell_Evg_H-C</v>
      </c>
      <c r="C234" s="12" t="str">
        <f>IFERROR(__xludf.DUMMYFUNCTION("IF($B234="""","""",SUBSTITUTE(SUBSTITUTE(SUBSTITUTE(SUBSTITUTE(INDEX(Hairstyles!$A:$A,MATCH($B234,Hairstyles!$F:$F,0)),"" "",""""),""'"",""""),""("",""""),"")"","""")&amp;""\""&amp;INDEX(SPLIT($A$2,""_""),1)&amp;""\""&amp;INDEX(SPLIT($A$2,""_""),2)&amp;""\""&amp;SUBSTITUTE(SUBST"&amp;"ITUTE(SUBSTITUTE(SUBSTITUTE(SUBSTITUTE(INDEX(Hairstyles!$C:$C,MATCH($B234,Hairstyles!$F:$F,0)),"" "",""""),""'"",""""),""("",""""),"")"",""""),""-"",""_"")&amp;""_""&amp;$A$2)"),"ModularSMPHair\Human\Male\ModularSMPHair_HC_Human_Male")</f>
        <v>ModularSMPHair\Human\Male\ModularSMPHair_HC_Human_Male</v>
      </c>
    </row>
    <row r="235">
      <c r="B235" s="12" t="str">
        <f>IFERROR(__xludf.DUMMYFUNCTION("""COMPUTED_VALUE"""),"Uvi_Wig_Spell_Evg_H-E")</f>
        <v>Uvi_Wig_Spell_Evg_H-E</v>
      </c>
      <c r="C235" s="12" t="str">
        <f>IFERROR(__xludf.DUMMYFUNCTION("IF($B235="""","""",SUBSTITUTE(SUBSTITUTE(SUBSTITUTE(SUBSTITUTE(INDEX(Hairstyles!$A:$A,MATCH($B235,Hairstyles!$F:$F,0)),"" "",""""),""'"",""""),""("",""""),"")"","""")&amp;""\""&amp;INDEX(SPLIT($A$2,""_""),1)&amp;""\""&amp;INDEX(SPLIT($A$2,""_""),2)&amp;""\""&amp;SUBSTITUTE(SUBST"&amp;"ITUTE(SUBSTITUTE(SUBSTITUTE(SUBSTITUTE(INDEX(Hairstyles!$C:$C,MATCH($B235,Hairstyles!$F:$F,0)),"" "",""""),""'"",""""),""("",""""),"")"",""""),""-"",""_"")&amp;""_""&amp;$A$2)"),"ModularSMPHair\Human\Male\ModularSMPHair_HE_Human_Male")</f>
        <v>ModularSMPHair\Human\Male\ModularSMPHair_HE_Human_Male</v>
      </c>
    </row>
    <row r="236">
      <c r="B236" s="12" t="str">
        <f>IFERROR(__xludf.DUMMYFUNCTION("""COMPUTED_VALUE"""),"Uvi_Wig_Spell_Evg_H-F")</f>
        <v>Uvi_Wig_Spell_Evg_H-F</v>
      </c>
      <c r="C236" s="12" t="str">
        <f>IFERROR(__xludf.DUMMYFUNCTION("IF($B236="""","""",SUBSTITUTE(SUBSTITUTE(SUBSTITUTE(SUBSTITUTE(INDEX(Hairstyles!$A:$A,MATCH($B236,Hairstyles!$F:$F,0)),"" "",""""),""'"",""""),""("",""""),"")"","""")&amp;""\""&amp;INDEX(SPLIT($A$2,""_""),1)&amp;""\""&amp;INDEX(SPLIT($A$2,""_""),2)&amp;""\""&amp;SUBSTITUTE(SUBST"&amp;"ITUTE(SUBSTITUTE(SUBSTITUTE(SUBSTITUTE(INDEX(Hairstyles!$C:$C,MATCH($B236,Hairstyles!$F:$F,0)),"" "",""""),""'"",""""),""("",""""),"")"",""""),""-"",""_"")&amp;""_""&amp;$A$2)"),"ModularSMPHair\Human\Male\ModularSMPHair_HF_Human_Male")</f>
        <v>ModularSMPHair\Human\Male\ModularSMPHair_HF_Human_Male</v>
      </c>
    </row>
    <row r="237">
      <c r="B237" s="12" t="str">
        <f>IFERROR(__xludf.DUMMYFUNCTION("""COMPUTED_VALUE"""),"Uvi_Wig_Spell_Evg_H-G")</f>
        <v>Uvi_Wig_Spell_Evg_H-G</v>
      </c>
      <c r="C237" s="12" t="str">
        <f>IFERROR(__xludf.DUMMYFUNCTION("IF($B237="""","""",SUBSTITUTE(SUBSTITUTE(SUBSTITUTE(SUBSTITUTE(INDEX(Hairstyles!$A:$A,MATCH($B237,Hairstyles!$F:$F,0)),"" "",""""),""'"",""""),""("",""""),"")"","""")&amp;""\""&amp;INDEX(SPLIT($A$2,""_""),1)&amp;""\""&amp;INDEX(SPLIT($A$2,""_""),2)&amp;""\""&amp;SUBSTITUTE(SUBST"&amp;"ITUTE(SUBSTITUTE(SUBSTITUTE(SUBSTITUTE(INDEX(Hairstyles!$C:$C,MATCH($B237,Hairstyles!$F:$F,0)),"" "",""""),""'"",""""),""("",""""),"")"",""""),""-"",""_"")&amp;""_""&amp;$A$2)"),"ModularSMPHair\Human\Male\ModularSMPHair_HG_Human_Male")</f>
        <v>ModularSMPHair\Human\Male\ModularSMPHair_HG_Human_Male</v>
      </c>
    </row>
    <row r="238">
      <c r="B238" s="12" t="str">
        <f>IFERROR(__xludf.DUMMYFUNCTION("""COMPUTED_VALUE"""),"Uvi_Wig_Spell_Evg_H-H")</f>
        <v>Uvi_Wig_Spell_Evg_H-H</v>
      </c>
      <c r="C238" s="12" t="str">
        <f>IFERROR(__xludf.DUMMYFUNCTION("IF($B238="""","""",SUBSTITUTE(SUBSTITUTE(SUBSTITUTE(SUBSTITUTE(INDEX(Hairstyles!$A:$A,MATCH($B238,Hairstyles!$F:$F,0)),"" "",""""),""'"",""""),""("",""""),"")"","""")&amp;""\""&amp;INDEX(SPLIT($A$2,""_""),1)&amp;""\""&amp;INDEX(SPLIT($A$2,""_""),2)&amp;""\""&amp;SUBSTITUTE(SUBST"&amp;"ITUTE(SUBSTITUTE(SUBSTITUTE(SUBSTITUTE(INDEX(Hairstyles!$C:$C,MATCH($B238,Hairstyles!$F:$F,0)),"" "",""""),""'"",""""),""("",""""),"")"",""""),""-"",""_"")&amp;""_""&amp;$A$2)"),"ModularSMPHair\Human\Male\ModularSMPHair_HH_Human_Male")</f>
        <v>ModularSMPHair\Human\Male\ModularSMPHair_HH_Human_Male</v>
      </c>
    </row>
    <row r="239">
      <c r="B239" s="12" t="str">
        <f>IFERROR(__xludf.DUMMYFUNCTION("""COMPUTED_VALUE"""),"Uvi_Wig_Spell_Evg_H-I")</f>
        <v>Uvi_Wig_Spell_Evg_H-I</v>
      </c>
      <c r="C239" s="12" t="str">
        <f>IFERROR(__xludf.DUMMYFUNCTION("IF($B239="""","""",SUBSTITUTE(SUBSTITUTE(SUBSTITUTE(SUBSTITUTE(INDEX(Hairstyles!$A:$A,MATCH($B239,Hairstyles!$F:$F,0)),"" "",""""),""'"",""""),""("",""""),"")"","""")&amp;""\""&amp;INDEX(SPLIT($A$2,""_""),1)&amp;""\""&amp;INDEX(SPLIT($A$2,""_""),2)&amp;""\""&amp;SUBSTITUTE(SUBST"&amp;"ITUTE(SUBSTITUTE(SUBSTITUTE(SUBSTITUTE(INDEX(Hairstyles!$C:$C,MATCH($B239,Hairstyles!$F:$F,0)),"" "",""""),""'"",""""),""("",""""),"")"",""""),""-"",""_"")&amp;""_""&amp;$A$2)"),"ModularSMPHair\Human\Male\ModularSMPHair_HI_Human_Male")</f>
        <v>ModularSMPHair\Human\Male\ModularSMPHair_HI_Human_Male</v>
      </c>
    </row>
    <row r="240">
      <c r="B240" s="12" t="str">
        <f>IFERROR(__xludf.DUMMYFUNCTION("""COMPUTED_VALUE"""),"Uvi_Wig_Spell_Evg_H-J")</f>
        <v>Uvi_Wig_Spell_Evg_H-J</v>
      </c>
      <c r="C240" s="12" t="str">
        <f>IFERROR(__xludf.DUMMYFUNCTION("IF($B240="""","""",SUBSTITUTE(SUBSTITUTE(SUBSTITUTE(SUBSTITUTE(INDEX(Hairstyles!$A:$A,MATCH($B240,Hairstyles!$F:$F,0)),"" "",""""),""'"",""""),""("",""""),"")"","""")&amp;""\""&amp;INDEX(SPLIT($A$2,""_""),1)&amp;""\""&amp;INDEX(SPLIT($A$2,""_""),2)&amp;""\""&amp;SUBSTITUTE(SUBST"&amp;"ITUTE(SUBSTITUTE(SUBSTITUTE(SUBSTITUTE(INDEX(Hairstyles!$C:$C,MATCH($B240,Hairstyles!$F:$F,0)),"" "",""""),""'"",""""),""("",""""),"")"",""""),""-"",""_"")&amp;""_""&amp;$A$2)"),"ModularSMPHair\Human\Male\ModularSMPHair_HJ_Human_Male")</f>
        <v>ModularSMPHair\Human\Male\ModularSMPHair_HJ_Human_Male</v>
      </c>
    </row>
    <row r="241">
      <c r="B241" s="12" t="str">
        <f>IFERROR(__xludf.DUMMYFUNCTION("""COMPUTED_VALUE"""),"Uvi_Wig_Spell_Evg_H-K")</f>
        <v>Uvi_Wig_Spell_Evg_H-K</v>
      </c>
      <c r="C241" s="12" t="str">
        <f>IFERROR(__xludf.DUMMYFUNCTION("IF($B241="""","""",SUBSTITUTE(SUBSTITUTE(SUBSTITUTE(SUBSTITUTE(INDEX(Hairstyles!$A:$A,MATCH($B241,Hairstyles!$F:$F,0)),"" "",""""),""'"",""""),""("",""""),"")"","""")&amp;""\""&amp;INDEX(SPLIT($A$2,""_""),1)&amp;""\""&amp;INDEX(SPLIT($A$2,""_""),2)&amp;""\""&amp;SUBSTITUTE(SUBST"&amp;"ITUTE(SUBSTITUTE(SUBSTITUTE(SUBSTITUTE(INDEX(Hairstyles!$C:$C,MATCH($B241,Hairstyles!$F:$F,0)),"" "",""""),""'"",""""),""("",""""),"")"",""""),""-"",""_"")&amp;""_""&amp;$A$2)"),"ModularSMPHair\Human\Male\ModularSMPHair_HK_Human_Male")</f>
        <v>ModularSMPHair\Human\Male\ModularSMPHair_HK_Human_Male</v>
      </c>
    </row>
    <row r="242">
      <c r="B242" s="12" t="str">
        <f>IFERROR(__xludf.DUMMYFUNCTION("""COMPUTED_VALUE"""),"Uvi_Wig_Spell_Evg_H-L")</f>
        <v>Uvi_Wig_Spell_Evg_H-L</v>
      </c>
      <c r="C242" s="12" t="str">
        <f>IFERROR(__xludf.DUMMYFUNCTION("IF($B242="""","""",SUBSTITUTE(SUBSTITUTE(SUBSTITUTE(SUBSTITUTE(INDEX(Hairstyles!$A:$A,MATCH($B242,Hairstyles!$F:$F,0)),"" "",""""),""'"",""""),""("",""""),"")"","""")&amp;""\""&amp;INDEX(SPLIT($A$2,""_""),1)&amp;""\""&amp;INDEX(SPLIT($A$2,""_""),2)&amp;""\""&amp;SUBSTITUTE(SUBST"&amp;"ITUTE(SUBSTITUTE(SUBSTITUTE(SUBSTITUTE(INDEX(Hairstyles!$C:$C,MATCH($B242,Hairstyles!$F:$F,0)),"" "",""""),""'"",""""),""("",""""),"")"",""""),""-"",""_"")&amp;""_""&amp;$A$2)"),"ModularSMPHair\Human\Male\ModularSMPHair_HL_Human_Male")</f>
        <v>ModularSMPHair\Human\Male\ModularSMPHair_HL_Human_Male</v>
      </c>
    </row>
    <row r="243">
      <c r="B243" s="12" t="str">
        <f>IFERROR(__xludf.DUMMYFUNCTION("""COMPUTED_VALUE"""),"Uvi_Wig_Spell_Evg_H-M1")</f>
        <v>Uvi_Wig_Spell_Evg_H-M1</v>
      </c>
      <c r="C243" s="12" t="str">
        <f>IFERROR(__xludf.DUMMYFUNCTION("IF($B243="""","""",SUBSTITUTE(SUBSTITUTE(SUBSTITUTE(SUBSTITUTE(INDEX(Hairstyles!$A:$A,MATCH($B243,Hairstyles!$F:$F,0)),"" "",""""),""'"",""""),""("",""""),"")"","""")&amp;""\""&amp;INDEX(SPLIT($A$2,""_""),1)&amp;""\""&amp;INDEX(SPLIT($A$2,""_""),2)&amp;""\""&amp;SUBSTITUTE(SUBST"&amp;"ITUTE(SUBSTITUTE(SUBSTITUTE(SUBSTITUTE(INDEX(Hairstyles!$C:$C,MATCH($B243,Hairstyles!$F:$F,0)),"" "",""""),""'"",""""),""("",""""),"")"",""""),""-"",""_"")&amp;""_""&amp;$A$2)"),"ModularSMPHair\Human\Male\ModularSMPHair_HM1_Human_Male")</f>
        <v>ModularSMPHair\Human\Male\ModularSMPHair_HM1_Human_Male</v>
      </c>
    </row>
    <row r="244">
      <c r="B244" s="12" t="str">
        <f>IFERROR(__xludf.DUMMYFUNCTION("""COMPUTED_VALUE"""),"Uvi_Wig_Spell_Evg_H-M2")</f>
        <v>Uvi_Wig_Spell_Evg_H-M2</v>
      </c>
      <c r="C244" s="12" t="str">
        <f>IFERROR(__xludf.DUMMYFUNCTION("IF($B244="""","""",SUBSTITUTE(SUBSTITUTE(SUBSTITUTE(SUBSTITUTE(INDEX(Hairstyles!$A:$A,MATCH($B244,Hairstyles!$F:$F,0)),"" "",""""),""'"",""""),""("",""""),"")"","""")&amp;""\""&amp;INDEX(SPLIT($A$2,""_""),1)&amp;""\""&amp;INDEX(SPLIT($A$2,""_""),2)&amp;""\""&amp;SUBSTITUTE(SUBST"&amp;"ITUTE(SUBSTITUTE(SUBSTITUTE(SUBSTITUTE(INDEX(Hairstyles!$C:$C,MATCH($B244,Hairstyles!$F:$F,0)),"" "",""""),""'"",""""),""("",""""),"")"",""""),""-"",""_"")&amp;""_""&amp;$A$2)"),"ModularSMPHair\Human\Male\ModularSMPHair_HM2_Human_Male")</f>
        <v>ModularSMPHair\Human\Male\ModularSMPHair_HM2_Human_Male</v>
      </c>
    </row>
    <row r="245">
      <c r="B245" s="12" t="str">
        <f>IFERROR(__xludf.DUMMYFUNCTION("""COMPUTED_VALUE"""),"Uvi_Wig_Spell_Evg_I")</f>
        <v>Uvi_Wig_Spell_Evg_I</v>
      </c>
      <c r="C245" s="12" t="str">
        <f>IFERROR(__xludf.DUMMYFUNCTION("IF($B245="""","""",SUBSTITUTE(SUBSTITUTE(SUBSTITUTE(SUBSTITUTE(INDEX(Hairstyles!$A:$A,MATCH($B245,Hairstyles!$F:$F,0)),"" "",""""),""'"",""""),""("",""""),"")"","""")&amp;""\""&amp;INDEX(SPLIT($A$2,""_""),1)&amp;""\""&amp;INDEX(SPLIT($A$2,""_""),2)&amp;""\""&amp;SUBSTITUTE(SUBST"&amp;"ITUTE(SUBSTITUTE(SUBSTITUTE(SUBSTITUTE(INDEX(Hairstyles!$C:$C,MATCH($B245,Hairstyles!$F:$F,0)),"" "",""""),""'"",""""),""("",""""),"")"",""""),""-"",""_"")&amp;""_""&amp;$A$2)"),"ModularSMPHair\Human\Male\ModularSMPHair_I_Human_Male")</f>
        <v>ModularSMPHair\Human\Male\ModularSMPHair_I_Human_Male</v>
      </c>
    </row>
    <row r="246">
      <c r="B246" s="12" t="str">
        <f>IFERROR(__xludf.DUMMYFUNCTION("""COMPUTED_VALUE"""),"Uvi_Wig_Spell_Evg_I-B")</f>
        <v>Uvi_Wig_Spell_Evg_I-B</v>
      </c>
      <c r="C246" s="12" t="str">
        <f>IFERROR(__xludf.DUMMYFUNCTION("IF($B246="""","""",SUBSTITUTE(SUBSTITUTE(SUBSTITUTE(SUBSTITUTE(INDEX(Hairstyles!$A:$A,MATCH($B246,Hairstyles!$F:$F,0)),"" "",""""),""'"",""""),""("",""""),"")"","""")&amp;""\""&amp;INDEX(SPLIT($A$2,""_""),1)&amp;""\""&amp;INDEX(SPLIT($A$2,""_""),2)&amp;""\""&amp;SUBSTITUTE(SUBST"&amp;"ITUTE(SUBSTITUTE(SUBSTITUTE(SUBSTITUTE(INDEX(Hairstyles!$C:$C,MATCH($B246,Hairstyles!$F:$F,0)),"" "",""""),""'"",""""),""("",""""),"")"",""""),""-"",""_"")&amp;""_""&amp;$A$2)"),"ModularSMPHair\Human\Male\ModularSMPHair_IB_Human_Male")</f>
        <v>ModularSMPHair\Human\Male\ModularSMPHair_IB_Human_Male</v>
      </c>
    </row>
    <row r="247">
      <c r="B247" s="12" t="str">
        <f>IFERROR(__xludf.DUMMYFUNCTION("""COMPUTED_VALUE"""),"Uvi_Wig_Spell_Evg_I-C")</f>
        <v>Uvi_Wig_Spell_Evg_I-C</v>
      </c>
      <c r="C247" s="12" t="str">
        <f>IFERROR(__xludf.DUMMYFUNCTION("IF($B247="""","""",SUBSTITUTE(SUBSTITUTE(SUBSTITUTE(SUBSTITUTE(INDEX(Hairstyles!$A:$A,MATCH($B247,Hairstyles!$F:$F,0)),"" "",""""),""'"",""""),""("",""""),"")"","""")&amp;""\""&amp;INDEX(SPLIT($A$2,""_""),1)&amp;""\""&amp;INDEX(SPLIT($A$2,""_""),2)&amp;""\""&amp;SUBSTITUTE(SUBST"&amp;"ITUTE(SUBSTITUTE(SUBSTITUTE(SUBSTITUTE(INDEX(Hairstyles!$C:$C,MATCH($B247,Hairstyles!$F:$F,0)),"" "",""""),""'"",""""),""("",""""),"")"",""""),""-"",""_"")&amp;""_""&amp;$A$2)"),"ModularSMPHair\Human\Male\ModularSMPHair_IC_Human_Male")</f>
        <v>ModularSMPHair\Human\Male\ModularSMPHair_IC_Human_Male</v>
      </c>
    </row>
    <row r="248">
      <c r="B248" s="12" t="str">
        <f>IFERROR(__xludf.DUMMYFUNCTION("""COMPUTED_VALUE"""),"Uvi_Wig_Spell_Evg_I-E")</f>
        <v>Uvi_Wig_Spell_Evg_I-E</v>
      </c>
      <c r="C248" s="12" t="str">
        <f>IFERROR(__xludf.DUMMYFUNCTION("IF($B248="""","""",SUBSTITUTE(SUBSTITUTE(SUBSTITUTE(SUBSTITUTE(INDEX(Hairstyles!$A:$A,MATCH($B248,Hairstyles!$F:$F,0)),"" "",""""),""'"",""""),""("",""""),"")"","""")&amp;""\""&amp;INDEX(SPLIT($A$2,""_""),1)&amp;""\""&amp;INDEX(SPLIT($A$2,""_""),2)&amp;""\""&amp;SUBSTITUTE(SUBST"&amp;"ITUTE(SUBSTITUTE(SUBSTITUTE(SUBSTITUTE(INDEX(Hairstyles!$C:$C,MATCH($B248,Hairstyles!$F:$F,0)),"" "",""""),""'"",""""),""("",""""),"")"",""""),""-"",""_"")&amp;""_""&amp;$A$2)"),"ModularSMPHair\Human\Male\ModularSMPHair_IE_Human_Male")</f>
        <v>ModularSMPHair\Human\Male\ModularSMPHair_IE_Human_Male</v>
      </c>
    </row>
    <row r="249">
      <c r="B249" s="12" t="str">
        <f>IFERROR(__xludf.DUMMYFUNCTION("""COMPUTED_VALUE"""),"Uvi_Wig_Spell_Evg_I-F")</f>
        <v>Uvi_Wig_Spell_Evg_I-F</v>
      </c>
      <c r="C249" s="12" t="str">
        <f>IFERROR(__xludf.DUMMYFUNCTION("IF($B249="""","""",SUBSTITUTE(SUBSTITUTE(SUBSTITUTE(SUBSTITUTE(INDEX(Hairstyles!$A:$A,MATCH($B249,Hairstyles!$F:$F,0)),"" "",""""),""'"",""""),""("",""""),"")"","""")&amp;""\""&amp;INDEX(SPLIT($A$2,""_""),1)&amp;""\""&amp;INDEX(SPLIT($A$2,""_""),2)&amp;""\""&amp;SUBSTITUTE(SUBST"&amp;"ITUTE(SUBSTITUTE(SUBSTITUTE(SUBSTITUTE(INDEX(Hairstyles!$C:$C,MATCH($B249,Hairstyles!$F:$F,0)),"" "",""""),""'"",""""),""("",""""),"")"",""""),""-"",""_"")&amp;""_""&amp;$A$2)"),"ModularSMPHair\Human\Male\ModularSMPHair_IF_Human_Male")</f>
        <v>ModularSMPHair\Human\Male\ModularSMPHair_IF_Human_Male</v>
      </c>
    </row>
    <row r="250">
      <c r="B250" s="12" t="str">
        <f>IFERROR(__xludf.DUMMYFUNCTION("""COMPUTED_VALUE"""),"Uvi_Wig_Spell_Evg_I-G")</f>
        <v>Uvi_Wig_Spell_Evg_I-G</v>
      </c>
      <c r="C250" s="12" t="str">
        <f>IFERROR(__xludf.DUMMYFUNCTION("IF($B250="""","""",SUBSTITUTE(SUBSTITUTE(SUBSTITUTE(SUBSTITUTE(INDEX(Hairstyles!$A:$A,MATCH($B250,Hairstyles!$F:$F,0)),"" "",""""),""'"",""""),""("",""""),"")"","""")&amp;""\""&amp;INDEX(SPLIT($A$2,""_""),1)&amp;""\""&amp;INDEX(SPLIT($A$2,""_""),2)&amp;""\""&amp;SUBSTITUTE(SUBST"&amp;"ITUTE(SUBSTITUTE(SUBSTITUTE(SUBSTITUTE(INDEX(Hairstyles!$C:$C,MATCH($B250,Hairstyles!$F:$F,0)),"" "",""""),""'"",""""),""("",""""),"")"",""""),""-"",""_"")&amp;""_""&amp;$A$2)"),"ModularSMPHair\Human\Male\ModularSMPHair_IG_Human_Male")</f>
        <v>ModularSMPHair\Human\Male\ModularSMPHair_IG_Human_Male</v>
      </c>
    </row>
    <row r="251">
      <c r="B251" s="12" t="str">
        <f>IFERROR(__xludf.DUMMYFUNCTION("""COMPUTED_VALUE"""),"Uvi_Wig_Spell_Evg_I-H")</f>
        <v>Uvi_Wig_Spell_Evg_I-H</v>
      </c>
      <c r="C251" s="12" t="str">
        <f>IFERROR(__xludf.DUMMYFUNCTION("IF($B251="""","""",SUBSTITUTE(SUBSTITUTE(SUBSTITUTE(SUBSTITUTE(INDEX(Hairstyles!$A:$A,MATCH($B251,Hairstyles!$F:$F,0)),"" "",""""),""'"",""""),""("",""""),"")"","""")&amp;""\""&amp;INDEX(SPLIT($A$2,""_""),1)&amp;""\""&amp;INDEX(SPLIT($A$2,""_""),2)&amp;""\""&amp;SUBSTITUTE(SUBST"&amp;"ITUTE(SUBSTITUTE(SUBSTITUTE(SUBSTITUTE(INDEX(Hairstyles!$C:$C,MATCH($B251,Hairstyles!$F:$F,0)),"" "",""""),""'"",""""),""("",""""),"")"",""""),""-"",""_"")&amp;""_""&amp;$A$2)"),"ModularSMPHair\Human\Male\ModularSMPHair_IH_Human_Male")</f>
        <v>ModularSMPHair\Human\Male\ModularSMPHair_IH_Human_Male</v>
      </c>
    </row>
    <row r="252">
      <c r="B252" s="12" t="str">
        <f>IFERROR(__xludf.DUMMYFUNCTION("""COMPUTED_VALUE"""),"Uvi_Wig_Spell_Evg_I-I")</f>
        <v>Uvi_Wig_Spell_Evg_I-I</v>
      </c>
      <c r="C252" s="12" t="str">
        <f>IFERROR(__xludf.DUMMYFUNCTION("IF($B252="""","""",SUBSTITUTE(SUBSTITUTE(SUBSTITUTE(SUBSTITUTE(INDEX(Hairstyles!$A:$A,MATCH($B252,Hairstyles!$F:$F,0)),"" "",""""),""'"",""""),""("",""""),"")"","""")&amp;""\""&amp;INDEX(SPLIT($A$2,""_""),1)&amp;""\""&amp;INDEX(SPLIT($A$2,""_""),2)&amp;""\""&amp;SUBSTITUTE(SUBST"&amp;"ITUTE(SUBSTITUTE(SUBSTITUTE(SUBSTITUTE(INDEX(Hairstyles!$C:$C,MATCH($B252,Hairstyles!$F:$F,0)),"" "",""""),""'"",""""),""("",""""),"")"",""""),""-"",""_"")&amp;""_""&amp;$A$2)"),"ModularSMPHair\Human\Male\ModularSMPHair_II_Human_Male")</f>
        <v>ModularSMPHair\Human\Male\ModularSMPHair_II_Human_Male</v>
      </c>
    </row>
    <row r="253">
      <c r="B253" s="12" t="str">
        <f>IFERROR(__xludf.DUMMYFUNCTION("""COMPUTED_VALUE"""),"Uvi_Wig_Spell_Evg_I-J")</f>
        <v>Uvi_Wig_Spell_Evg_I-J</v>
      </c>
      <c r="C253" s="12" t="str">
        <f>IFERROR(__xludf.DUMMYFUNCTION("IF($B253="""","""",SUBSTITUTE(SUBSTITUTE(SUBSTITUTE(SUBSTITUTE(INDEX(Hairstyles!$A:$A,MATCH($B253,Hairstyles!$F:$F,0)),"" "",""""),""'"",""""),""("",""""),"")"","""")&amp;""\""&amp;INDEX(SPLIT($A$2,""_""),1)&amp;""\""&amp;INDEX(SPLIT($A$2,""_""),2)&amp;""\""&amp;SUBSTITUTE(SUBST"&amp;"ITUTE(SUBSTITUTE(SUBSTITUTE(SUBSTITUTE(INDEX(Hairstyles!$C:$C,MATCH($B253,Hairstyles!$F:$F,0)),"" "",""""),""'"",""""),""("",""""),"")"",""""),""-"",""_"")&amp;""_""&amp;$A$2)"),"ModularSMPHair\Human\Male\ModularSMPHair_IJ_Human_Male")</f>
        <v>ModularSMPHair\Human\Male\ModularSMPHair_IJ_Human_Male</v>
      </c>
    </row>
    <row r="254">
      <c r="B254" s="12" t="str">
        <f>IFERROR(__xludf.DUMMYFUNCTION("""COMPUTED_VALUE"""),"Uvi_Wig_Spell_Evg_I-K")</f>
        <v>Uvi_Wig_Spell_Evg_I-K</v>
      </c>
      <c r="C254" s="12" t="str">
        <f>IFERROR(__xludf.DUMMYFUNCTION("IF($B254="""","""",SUBSTITUTE(SUBSTITUTE(SUBSTITUTE(SUBSTITUTE(INDEX(Hairstyles!$A:$A,MATCH($B254,Hairstyles!$F:$F,0)),"" "",""""),""'"",""""),""("",""""),"")"","""")&amp;""\""&amp;INDEX(SPLIT($A$2,""_""),1)&amp;""\""&amp;INDEX(SPLIT($A$2,""_""),2)&amp;""\""&amp;SUBSTITUTE(SUBST"&amp;"ITUTE(SUBSTITUTE(SUBSTITUTE(SUBSTITUTE(INDEX(Hairstyles!$C:$C,MATCH($B254,Hairstyles!$F:$F,0)),"" "",""""),""'"",""""),""("",""""),"")"",""""),""-"",""_"")&amp;""_""&amp;$A$2)"),"ModularSMPHair\Human\Male\ModularSMPHair_IK_Human_Male")</f>
        <v>ModularSMPHair\Human\Male\ModularSMPHair_IK_Human_Male</v>
      </c>
    </row>
    <row r="255">
      <c r="B255" s="12" t="str">
        <f>IFERROR(__xludf.DUMMYFUNCTION("""COMPUTED_VALUE"""),"Uvi_Wig_Spell_Evg_I-L")</f>
        <v>Uvi_Wig_Spell_Evg_I-L</v>
      </c>
      <c r="C255" s="12" t="str">
        <f>IFERROR(__xludf.DUMMYFUNCTION("IF($B255="""","""",SUBSTITUTE(SUBSTITUTE(SUBSTITUTE(SUBSTITUTE(INDEX(Hairstyles!$A:$A,MATCH($B255,Hairstyles!$F:$F,0)),"" "",""""),""'"",""""),""("",""""),"")"","""")&amp;""\""&amp;INDEX(SPLIT($A$2,""_""),1)&amp;""\""&amp;INDEX(SPLIT($A$2,""_""),2)&amp;""\""&amp;SUBSTITUTE(SUBST"&amp;"ITUTE(SUBSTITUTE(SUBSTITUTE(SUBSTITUTE(INDEX(Hairstyles!$C:$C,MATCH($B255,Hairstyles!$F:$F,0)),"" "",""""),""'"",""""),""("",""""),"")"",""""),""-"",""_"")&amp;""_""&amp;$A$2)"),"ModularSMPHair\Human\Male\ModularSMPHair_IL_Human_Male")</f>
        <v>ModularSMPHair\Human\Male\ModularSMPHair_IL_Human_Male</v>
      </c>
    </row>
    <row r="256">
      <c r="B256" s="12" t="str">
        <f>IFERROR(__xludf.DUMMYFUNCTION("""COMPUTED_VALUE"""),"Uvi_Wig_Spell_Evg_I-M1")</f>
        <v>Uvi_Wig_Spell_Evg_I-M1</v>
      </c>
      <c r="C256" s="12" t="str">
        <f>IFERROR(__xludf.DUMMYFUNCTION("IF($B256="""","""",SUBSTITUTE(SUBSTITUTE(SUBSTITUTE(SUBSTITUTE(INDEX(Hairstyles!$A:$A,MATCH($B256,Hairstyles!$F:$F,0)),"" "",""""),""'"",""""),""("",""""),"")"","""")&amp;""\""&amp;INDEX(SPLIT($A$2,""_""),1)&amp;""\""&amp;INDEX(SPLIT($A$2,""_""),2)&amp;""\""&amp;SUBSTITUTE(SUBST"&amp;"ITUTE(SUBSTITUTE(SUBSTITUTE(SUBSTITUTE(INDEX(Hairstyles!$C:$C,MATCH($B256,Hairstyles!$F:$F,0)),"" "",""""),""'"",""""),""("",""""),"")"",""""),""-"",""_"")&amp;""_""&amp;$A$2)"),"ModularSMPHair\Human\Male\ModularSMPHair_IM1_Human_Male")</f>
        <v>ModularSMPHair\Human\Male\ModularSMPHair_IM1_Human_Male</v>
      </c>
    </row>
    <row r="257">
      <c r="B257" s="12" t="str">
        <f>IFERROR(__xludf.DUMMYFUNCTION("""COMPUTED_VALUE"""),"Uvi_Wig_Spell_Evg_I-M2")</f>
        <v>Uvi_Wig_Spell_Evg_I-M2</v>
      </c>
      <c r="C257" s="12" t="str">
        <f>IFERROR(__xludf.DUMMYFUNCTION("IF($B257="""","""",SUBSTITUTE(SUBSTITUTE(SUBSTITUTE(SUBSTITUTE(INDEX(Hairstyles!$A:$A,MATCH($B257,Hairstyles!$F:$F,0)),"" "",""""),""'"",""""),""("",""""),"")"","""")&amp;""\""&amp;INDEX(SPLIT($A$2,""_""),1)&amp;""\""&amp;INDEX(SPLIT($A$2,""_""),2)&amp;""\""&amp;SUBSTITUTE(SUBST"&amp;"ITUTE(SUBSTITUTE(SUBSTITUTE(SUBSTITUTE(INDEX(Hairstyles!$C:$C,MATCH($B257,Hairstyles!$F:$F,0)),"" "",""""),""'"",""""),""("",""""),"")"",""""),""-"",""_"")&amp;""_""&amp;$A$2)"),"ModularSMPHair\Human\Male\ModularSMPHair_IM2_Human_Male")</f>
        <v>ModularSMPHair\Human\Male\ModularSMPHair_IM2_Human_Male</v>
      </c>
    </row>
    <row r="258">
      <c r="B258" s="12" t="str">
        <f>IFERROR(__xludf.DUMMYFUNCTION("""COMPUTED_VALUE"""),"Uvi_Wig_Spell_Evg_J")</f>
        <v>Uvi_Wig_Spell_Evg_J</v>
      </c>
      <c r="C258" s="12" t="str">
        <f>IFERROR(__xludf.DUMMYFUNCTION("IF($B258="""","""",SUBSTITUTE(SUBSTITUTE(SUBSTITUTE(SUBSTITUTE(INDEX(Hairstyles!$A:$A,MATCH($B258,Hairstyles!$F:$F,0)),"" "",""""),""'"",""""),""("",""""),"")"","""")&amp;""\""&amp;INDEX(SPLIT($A$2,""_""),1)&amp;""\""&amp;INDEX(SPLIT($A$2,""_""),2)&amp;""\""&amp;SUBSTITUTE(SUBST"&amp;"ITUTE(SUBSTITUTE(SUBSTITUTE(SUBSTITUTE(INDEX(Hairstyles!$C:$C,MATCH($B258,Hairstyles!$F:$F,0)),"" "",""""),""'"",""""),""("",""""),"")"",""""),""-"",""_"")&amp;""_""&amp;$A$2)"),"ModularSMPHair\Human\Male\ModularSMPHair_J_Human_Male")</f>
        <v>ModularSMPHair\Human\Male\ModularSMPHair_J_Human_Male</v>
      </c>
    </row>
    <row r="259">
      <c r="B259" s="12" t="str">
        <f>IFERROR(__xludf.DUMMYFUNCTION("""COMPUTED_VALUE"""),"Uvi_Wig_Spell_Evg_J-A")</f>
        <v>Uvi_Wig_Spell_Evg_J-A</v>
      </c>
      <c r="C259" s="12" t="str">
        <f>IFERROR(__xludf.DUMMYFUNCTION("IF($B259="""","""",SUBSTITUTE(SUBSTITUTE(SUBSTITUTE(SUBSTITUTE(INDEX(Hairstyles!$A:$A,MATCH($B259,Hairstyles!$F:$F,0)),"" "",""""),""'"",""""),""("",""""),"")"","""")&amp;""\""&amp;INDEX(SPLIT($A$2,""_""),1)&amp;""\""&amp;INDEX(SPLIT($A$2,""_""),2)&amp;""\""&amp;SUBSTITUTE(SUBST"&amp;"ITUTE(SUBSTITUTE(SUBSTITUTE(SUBSTITUTE(INDEX(Hairstyles!$C:$C,MATCH($B259,Hairstyles!$F:$F,0)),"" "",""""),""'"",""""),""("",""""),"")"",""""),""-"",""_"")&amp;""_""&amp;$A$2)"),"ModularSMPHair\Human\Male\ModularSMPHair_JA_Human_Male")</f>
        <v>ModularSMPHair\Human\Male\ModularSMPHair_JA_Human_Male</v>
      </c>
    </row>
    <row r="260">
      <c r="B260" s="12" t="str">
        <f>IFERROR(__xludf.DUMMYFUNCTION("""COMPUTED_VALUE"""),"Uvi_Wig_Spell_Evg_J-B")</f>
        <v>Uvi_Wig_Spell_Evg_J-B</v>
      </c>
      <c r="C260" s="12" t="str">
        <f>IFERROR(__xludf.DUMMYFUNCTION("IF($B260="""","""",SUBSTITUTE(SUBSTITUTE(SUBSTITUTE(SUBSTITUTE(INDEX(Hairstyles!$A:$A,MATCH($B260,Hairstyles!$F:$F,0)),"" "",""""),""'"",""""),""("",""""),"")"","""")&amp;""\""&amp;INDEX(SPLIT($A$2,""_""),1)&amp;""\""&amp;INDEX(SPLIT($A$2,""_""),2)&amp;""\""&amp;SUBSTITUTE(SUBST"&amp;"ITUTE(SUBSTITUTE(SUBSTITUTE(SUBSTITUTE(INDEX(Hairstyles!$C:$C,MATCH($B260,Hairstyles!$F:$F,0)),"" "",""""),""'"",""""),""("",""""),"")"",""""),""-"",""_"")&amp;""_""&amp;$A$2)"),"ModularSMPHair\Human\Male\ModularSMPHair_JB_Human_Male")</f>
        <v>ModularSMPHair\Human\Male\ModularSMPHair_JB_Human_Male</v>
      </c>
    </row>
    <row r="261">
      <c r="B261" s="12" t="str">
        <f>IFERROR(__xludf.DUMMYFUNCTION("""COMPUTED_VALUE"""),"Uvi_Wig_Spell_Evg_J-C")</f>
        <v>Uvi_Wig_Spell_Evg_J-C</v>
      </c>
      <c r="C261" s="12" t="str">
        <f>IFERROR(__xludf.DUMMYFUNCTION("IF($B261="""","""",SUBSTITUTE(SUBSTITUTE(SUBSTITUTE(SUBSTITUTE(INDEX(Hairstyles!$A:$A,MATCH($B261,Hairstyles!$F:$F,0)),"" "",""""),""'"",""""),""("",""""),"")"","""")&amp;""\""&amp;INDEX(SPLIT($A$2,""_""),1)&amp;""\""&amp;INDEX(SPLIT($A$2,""_""),2)&amp;""\""&amp;SUBSTITUTE(SUBST"&amp;"ITUTE(SUBSTITUTE(SUBSTITUTE(SUBSTITUTE(INDEX(Hairstyles!$C:$C,MATCH($B261,Hairstyles!$F:$F,0)),"" "",""""),""'"",""""),""("",""""),"")"",""""),""-"",""_"")&amp;""_""&amp;$A$2)"),"ModularSMPHair\Human\Male\ModularSMPHair_JC_Human_Male")</f>
        <v>ModularSMPHair\Human\Male\ModularSMPHair_JC_Human_Male</v>
      </c>
    </row>
    <row r="262">
      <c r="B262" s="12" t="str">
        <f>IFERROR(__xludf.DUMMYFUNCTION("""COMPUTED_VALUE"""),"Uvi_Wig_Spell_Evg_J-D")</f>
        <v>Uvi_Wig_Spell_Evg_J-D</v>
      </c>
      <c r="C262" s="12" t="str">
        <f>IFERROR(__xludf.DUMMYFUNCTION("IF($B262="""","""",SUBSTITUTE(SUBSTITUTE(SUBSTITUTE(SUBSTITUTE(INDEX(Hairstyles!$A:$A,MATCH($B262,Hairstyles!$F:$F,0)),"" "",""""),""'"",""""),""("",""""),"")"","""")&amp;""\""&amp;INDEX(SPLIT($A$2,""_""),1)&amp;""\""&amp;INDEX(SPLIT($A$2,""_""),2)&amp;""\""&amp;SUBSTITUTE(SUBST"&amp;"ITUTE(SUBSTITUTE(SUBSTITUTE(SUBSTITUTE(INDEX(Hairstyles!$C:$C,MATCH($B262,Hairstyles!$F:$F,0)),"" "",""""),""'"",""""),""("",""""),"")"",""""),""-"",""_"")&amp;""_""&amp;$A$2)"),"ModularSMPHair\Human\Male\ModularSMPHair_JD_Human_Male")</f>
        <v>ModularSMPHair\Human\Male\ModularSMPHair_JD_Human_Male</v>
      </c>
    </row>
    <row r="263">
      <c r="B263" s="12" t="str">
        <f>IFERROR(__xludf.DUMMYFUNCTION("""COMPUTED_VALUE"""),"Uvi_Wig_Spell_Evg_J-E")</f>
        <v>Uvi_Wig_Spell_Evg_J-E</v>
      </c>
      <c r="C263" s="12" t="str">
        <f>IFERROR(__xludf.DUMMYFUNCTION("IF($B263="""","""",SUBSTITUTE(SUBSTITUTE(SUBSTITUTE(SUBSTITUTE(INDEX(Hairstyles!$A:$A,MATCH($B263,Hairstyles!$F:$F,0)),"" "",""""),""'"",""""),""("",""""),"")"","""")&amp;""\""&amp;INDEX(SPLIT($A$2,""_""),1)&amp;""\""&amp;INDEX(SPLIT($A$2,""_""),2)&amp;""\""&amp;SUBSTITUTE(SUBST"&amp;"ITUTE(SUBSTITUTE(SUBSTITUTE(SUBSTITUTE(INDEX(Hairstyles!$C:$C,MATCH($B263,Hairstyles!$F:$F,0)),"" "",""""),""'"",""""),""("",""""),"")"",""""),""-"",""_"")&amp;""_""&amp;$A$2)"),"ModularSMPHair\Human\Male\ModularSMPHair_JE_Human_Male")</f>
        <v>ModularSMPHair\Human\Male\ModularSMPHair_JE_Human_Male</v>
      </c>
    </row>
    <row r="264">
      <c r="B264" s="12" t="str">
        <f>IFERROR(__xludf.DUMMYFUNCTION("""COMPUTED_VALUE"""),"Uvi_Wig_Spell_Evg_J-F")</f>
        <v>Uvi_Wig_Spell_Evg_J-F</v>
      </c>
      <c r="C264" s="12" t="str">
        <f>IFERROR(__xludf.DUMMYFUNCTION("IF($B264="""","""",SUBSTITUTE(SUBSTITUTE(SUBSTITUTE(SUBSTITUTE(INDEX(Hairstyles!$A:$A,MATCH($B264,Hairstyles!$F:$F,0)),"" "",""""),""'"",""""),""("",""""),"")"","""")&amp;""\""&amp;INDEX(SPLIT($A$2,""_""),1)&amp;""\""&amp;INDEX(SPLIT($A$2,""_""),2)&amp;""\""&amp;SUBSTITUTE(SUBST"&amp;"ITUTE(SUBSTITUTE(SUBSTITUTE(SUBSTITUTE(INDEX(Hairstyles!$C:$C,MATCH($B264,Hairstyles!$F:$F,0)),"" "",""""),""'"",""""),""("",""""),"")"",""""),""-"",""_"")&amp;""_""&amp;$A$2)"),"ModularSMPHair\Human\Male\ModularSMPHair_JF_Human_Male")</f>
        <v>ModularSMPHair\Human\Male\ModularSMPHair_JF_Human_Male</v>
      </c>
    </row>
    <row r="265">
      <c r="B265" s="12" t="str">
        <f>IFERROR(__xludf.DUMMYFUNCTION("""COMPUTED_VALUE"""),"Uvi_Wig_Spell_Evg_J-G")</f>
        <v>Uvi_Wig_Spell_Evg_J-G</v>
      </c>
      <c r="C265" s="12" t="str">
        <f>IFERROR(__xludf.DUMMYFUNCTION("IF($B265="""","""",SUBSTITUTE(SUBSTITUTE(SUBSTITUTE(SUBSTITUTE(INDEX(Hairstyles!$A:$A,MATCH($B265,Hairstyles!$F:$F,0)),"" "",""""),""'"",""""),""("",""""),"")"","""")&amp;""\""&amp;INDEX(SPLIT($A$2,""_""),1)&amp;""\""&amp;INDEX(SPLIT($A$2,""_""),2)&amp;""\""&amp;SUBSTITUTE(SUBST"&amp;"ITUTE(SUBSTITUTE(SUBSTITUTE(SUBSTITUTE(INDEX(Hairstyles!$C:$C,MATCH($B265,Hairstyles!$F:$F,0)),"" "",""""),""'"",""""),""("",""""),"")"",""""),""-"",""_"")&amp;""_""&amp;$A$2)"),"ModularSMPHair\Human\Male\ModularSMPHair_JG_Human_Male")</f>
        <v>ModularSMPHair\Human\Male\ModularSMPHair_JG_Human_Male</v>
      </c>
    </row>
    <row r="266">
      <c r="B266" s="12" t="str">
        <f>IFERROR(__xludf.DUMMYFUNCTION("""COMPUTED_VALUE"""),"Uvi_Wig_Spell_Evg_J-I")</f>
        <v>Uvi_Wig_Spell_Evg_J-I</v>
      </c>
      <c r="C266" s="12" t="str">
        <f>IFERROR(__xludf.DUMMYFUNCTION("IF($B266="""","""",SUBSTITUTE(SUBSTITUTE(SUBSTITUTE(SUBSTITUTE(INDEX(Hairstyles!$A:$A,MATCH($B266,Hairstyles!$F:$F,0)),"" "",""""),""'"",""""),""("",""""),"")"","""")&amp;""\""&amp;INDEX(SPLIT($A$2,""_""),1)&amp;""\""&amp;INDEX(SPLIT($A$2,""_""),2)&amp;""\""&amp;SUBSTITUTE(SUBST"&amp;"ITUTE(SUBSTITUTE(SUBSTITUTE(SUBSTITUTE(INDEX(Hairstyles!$C:$C,MATCH($B266,Hairstyles!$F:$F,0)),"" "",""""),""'"",""""),""("",""""),"")"",""""),""-"",""_"")&amp;""_""&amp;$A$2)"),"ModularSMPHair\Human\Male\ModularSMPHair_JI_Human_Male")</f>
        <v>ModularSMPHair\Human\Male\ModularSMPHair_JI_Human_Male</v>
      </c>
    </row>
    <row r="267">
      <c r="B267" s="12" t="str">
        <f>IFERROR(__xludf.DUMMYFUNCTION("""COMPUTED_VALUE"""),"Uvi_Wig_Spell_Evg_J-J")</f>
        <v>Uvi_Wig_Spell_Evg_J-J</v>
      </c>
      <c r="C267" s="12" t="str">
        <f>IFERROR(__xludf.DUMMYFUNCTION("IF($B267="""","""",SUBSTITUTE(SUBSTITUTE(SUBSTITUTE(SUBSTITUTE(INDEX(Hairstyles!$A:$A,MATCH($B267,Hairstyles!$F:$F,0)),"" "",""""),""'"",""""),""("",""""),"")"","""")&amp;""\""&amp;INDEX(SPLIT($A$2,""_""),1)&amp;""\""&amp;INDEX(SPLIT($A$2,""_""),2)&amp;""\""&amp;SUBSTITUTE(SUBST"&amp;"ITUTE(SUBSTITUTE(SUBSTITUTE(SUBSTITUTE(INDEX(Hairstyles!$C:$C,MATCH($B267,Hairstyles!$F:$F,0)),"" "",""""),""'"",""""),""("",""""),"")"",""""),""-"",""_"")&amp;""_""&amp;$A$2)"),"ModularSMPHair\Human\Male\ModularSMPHair_JJ_Human_Male")</f>
        <v>ModularSMPHair\Human\Male\ModularSMPHair_JJ_Human_Male</v>
      </c>
    </row>
    <row r="268">
      <c r="B268" s="12" t="str">
        <f>IFERROR(__xludf.DUMMYFUNCTION("""COMPUTED_VALUE"""),"Uvi_Wig_Spell_Evg_J-K")</f>
        <v>Uvi_Wig_Spell_Evg_J-K</v>
      </c>
      <c r="C268" s="12" t="str">
        <f>IFERROR(__xludf.DUMMYFUNCTION("IF($B268="""","""",SUBSTITUTE(SUBSTITUTE(SUBSTITUTE(SUBSTITUTE(INDEX(Hairstyles!$A:$A,MATCH($B268,Hairstyles!$F:$F,0)),"" "",""""),""'"",""""),""("",""""),"")"","""")&amp;""\""&amp;INDEX(SPLIT($A$2,""_""),1)&amp;""\""&amp;INDEX(SPLIT($A$2,""_""),2)&amp;""\""&amp;SUBSTITUTE(SUBST"&amp;"ITUTE(SUBSTITUTE(SUBSTITUTE(SUBSTITUTE(INDEX(Hairstyles!$C:$C,MATCH($B268,Hairstyles!$F:$F,0)),"" "",""""),""'"",""""),""("",""""),"")"",""""),""-"",""_"")&amp;""_""&amp;$A$2)"),"ModularSMPHair\Human\Male\ModularSMPHair_JK_Human_Male")</f>
        <v>ModularSMPHair\Human\Male\ModularSMPHair_JK_Human_Male</v>
      </c>
    </row>
    <row r="269">
      <c r="B269" s="12" t="str">
        <f>IFERROR(__xludf.DUMMYFUNCTION("""COMPUTED_VALUE"""),"Uvi_Wig_Spell_Evg_J-L")</f>
        <v>Uvi_Wig_Spell_Evg_J-L</v>
      </c>
      <c r="C269" s="12" t="str">
        <f>IFERROR(__xludf.DUMMYFUNCTION("IF($B269="""","""",SUBSTITUTE(SUBSTITUTE(SUBSTITUTE(SUBSTITUTE(INDEX(Hairstyles!$A:$A,MATCH($B269,Hairstyles!$F:$F,0)),"" "",""""),""'"",""""),""("",""""),"")"","""")&amp;""\""&amp;INDEX(SPLIT($A$2,""_""),1)&amp;""\""&amp;INDEX(SPLIT($A$2,""_""),2)&amp;""\""&amp;SUBSTITUTE(SUBST"&amp;"ITUTE(SUBSTITUTE(SUBSTITUTE(SUBSTITUTE(INDEX(Hairstyles!$C:$C,MATCH($B269,Hairstyles!$F:$F,0)),"" "",""""),""'"",""""),""("",""""),"")"",""""),""-"",""_"")&amp;""_""&amp;$A$2)"),"ModularSMPHair\Human\Male\ModularSMPHair_JL_Human_Male")</f>
        <v>ModularSMPHair\Human\Male\ModularSMPHair_JL_Human_Male</v>
      </c>
    </row>
    <row r="270">
      <c r="B270" s="12" t="str">
        <f>IFERROR(__xludf.DUMMYFUNCTION("""COMPUTED_VALUE"""),"Uvi_Wig_Spell_Evg_J-M1")</f>
        <v>Uvi_Wig_Spell_Evg_J-M1</v>
      </c>
      <c r="C270" s="12" t="str">
        <f>IFERROR(__xludf.DUMMYFUNCTION("IF($B270="""","""",SUBSTITUTE(SUBSTITUTE(SUBSTITUTE(SUBSTITUTE(INDEX(Hairstyles!$A:$A,MATCH($B270,Hairstyles!$F:$F,0)),"" "",""""),""'"",""""),""("",""""),"")"","""")&amp;""\""&amp;INDEX(SPLIT($A$2,""_""),1)&amp;""\""&amp;INDEX(SPLIT($A$2,""_""),2)&amp;""\""&amp;SUBSTITUTE(SUBST"&amp;"ITUTE(SUBSTITUTE(SUBSTITUTE(SUBSTITUTE(INDEX(Hairstyles!$C:$C,MATCH($B270,Hairstyles!$F:$F,0)),"" "",""""),""'"",""""),""("",""""),"")"",""""),""-"",""_"")&amp;""_""&amp;$A$2)"),"ModularSMPHair\Human\Male\ModularSMPHair_JM1_Human_Male")</f>
        <v>ModularSMPHair\Human\Male\ModularSMPHair_JM1_Human_Male</v>
      </c>
    </row>
    <row r="271">
      <c r="B271" s="12" t="str">
        <f>IFERROR(__xludf.DUMMYFUNCTION("""COMPUTED_VALUE"""),"Uvi_Wig_Spell_Evg_J-M2")</f>
        <v>Uvi_Wig_Spell_Evg_J-M2</v>
      </c>
      <c r="C271" s="12" t="str">
        <f>IFERROR(__xludf.DUMMYFUNCTION("IF($B271="""","""",SUBSTITUTE(SUBSTITUTE(SUBSTITUTE(SUBSTITUTE(INDEX(Hairstyles!$A:$A,MATCH($B271,Hairstyles!$F:$F,0)),"" "",""""),""'"",""""),""("",""""),"")"","""")&amp;""\""&amp;INDEX(SPLIT($A$2,""_""),1)&amp;""\""&amp;INDEX(SPLIT($A$2,""_""),2)&amp;""\""&amp;SUBSTITUTE(SUBST"&amp;"ITUTE(SUBSTITUTE(SUBSTITUTE(SUBSTITUTE(INDEX(Hairstyles!$C:$C,MATCH($B271,Hairstyles!$F:$F,0)),"" "",""""),""'"",""""),""("",""""),"")"",""""),""-"",""_"")&amp;""_""&amp;$A$2)"),"ModularSMPHair\Human\Male\ModularSMPHair_JM2_Human_Male")</f>
        <v>ModularSMPHair\Human\Male\ModularSMPHair_JM2_Human_Male</v>
      </c>
    </row>
    <row r="272">
      <c r="B272" s="12" t="str">
        <f>IFERROR(__xludf.DUMMYFUNCTION("""COMPUTED_VALUE"""),"Uvi_Wig_Spell_Evg_L")</f>
        <v>Uvi_Wig_Spell_Evg_L</v>
      </c>
      <c r="C272" s="12" t="str">
        <f>IFERROR(__xludf.DUMMYFUNCTION("IF($B272="""","""",SUBSTITUTE(SUBSTITUTE(SUBSTITUTE(SUBSTITUTE(INDEX(Hairstyles!$A:$A,MATCH($B272,Hairstyles!$F:$F,0)),"" "",""""),""'"",""""),""("",""""),"")"","""")&amp;""\""&amp;INDEX(SPLIT($A$2,""_""),1)&amp;""\""&amp;INDEX(SPLIT($A$2,""_""),2)&amp;""\""&amp;SUBSTITUTE(SUBST"&amp;"ITUTE(SUBSTITUTE(SUBSTITUTE(SUBSTITUTE(INDEX(Hairstyles!$C:$C,MATCH($B272,Hairstyles!$F:$F,0)),"" "",""""),""'"",""""),""("",""""),"")"",""""),""-"",""_"")&amp;""_""&amp;$A$2)"),"ModularSMPHair\Human\Male\ModularSMPHair_L_Human_Male")</f>
        <v>ModularSMPHair\Human\Male\ModularSMPHair_L_Human_Male</v>
      </c>
    </row>
    <row r="273">
      <c r="B273" s="12" t="str">
        <f>IFERROR(__xludf.DUMMYFUNCTION("""COMPUTED_VALUE"""),"Uvi_Wig_Spell_Evg_L-A")</f>
        <v>Uvi_Wig_Spell_Evg_L-A</v>
      </c>
      <c r="C273" s="12" t="str">
        <f>IFERROR(__xludf.DUMMYFUNCTION("IF($B273="""","""",SUBSTITUTE(SUBSTITUTE(SUBSTITUTE(SUBSTITUTE(INDEX(Hairstyles!$A:$A,MATCH($B273,Hairstyles!$F:$F,0)),"" "",""""),""'"",""""),""("",""""),"")"","""")&amp;""\""&amp;INDEX(SPLIT($A$2,""_""),1)&amp;""\""&amp;INDEX(SPLIT($A$2,""_""),2)&amp;""\""&amp;SUBSTITUTE(SUBST"&amp;"ITUTE(SUBSTITUTE(SUBSTITUTE(SUBSTITUTE(INDEX(Hairstyles!$C:$C,MATCH($B273,Hairstyles!$F:$F,0)),"" "",""""),""'"",""""),""("",""""),"")"",""""),""-"",""_"")&amp;""_""&amp;$A$2)"),"ModularSMPHair\Human\Male\ModularSMPHair_LA_Human_Male")</f>
        <v>ModularSMPHair\Human\Male\ModularSMPHair_LA_Human_Male</v>
      </c>
    </row>
    <row r="274">
      <c r="B274" s="12" t="str">
        <f>IFERROR(__xludf.DUMMYFUNCTION("""COMPUTED_VALUE"""),"Uvi_Wig_Spell_Evg_L-B")</f>
        <v>Uvi_Wig_Spell_Evg_L-B</v>
      </c>
      <c r="C274" s="12" t="str">
        <f>IFERROR(__xludf.DUMMYFUNCTION("IF($B274="""","""",SUBSTITUTE(SUBSTITUTE(SUBSTITUTE(SUBSTITUTE(INDEX(Hairstyles!$A:$A,MATCH($B274,Hairstyles!$F:$F,0)),"" "",""""),""'"",""""),""("",""""),"")"","""")&amp;""\""&amp;INDEX(SPLIT($A$2,""_""),1)&amp;""\""&amp;INDEX(SPLIT($A$2,""_""),2)&amp;""\""&amp;SUBSTITUTE(SUBST"&amp;"ITUTE(SUBSTITUTE(SUBSTITUTE(SUBSTITUTE(INDEX(Hairstyles!$C:$C,MATCH($B274,Hairstyles!$F:$F,0)),"" "",""""),""'"",""""),""("",""""),"")"",""""),""-"",""_"")&amp;""_""&amp;$A$2)"),"ModularSMPHair\Human\Male\ModularSMPHair_LB_Human_Male")</f>
        <v>ModularSMPHair\Human\Male\ModularSMPHair_LB_Human_Male</v>
      </c>
    </row>
    <row r="275">
      <c r="B275" s="12" t="str">
        <f>IFERROR(__xludf.DUMMYFUNCTION("""COMPUTED_VALUE"""),"Uvi_Wig_Spell_Evg_L-C")</f>
        <v>Uvi_Wig_Spell_Evg_L-C</v>
      </c>
      <c r="C275" s="12" t="str">
        <f>IFERROR(__xludf.DUMMYFUNCTION("IF($B275="""","""",SUBSTITUTE(SUBSTITUTE(SUBSTITUTE(SUBSTITUTE(INDEX(Hairstyles!$A:$A,MATCH($B275,Hairstyles!$F:$F,0)),"" "",""""),""'"",""""),""("",""""),"")"","""")&amp;""\""&amp;INDEX(SPLIT($A$2,""_""),1)&amp;""\""&amp;INDEX(SPLIT($A$2,""_""),2)&amp;""\""&amp;SUBSTITUTE(SUBST"&amp;"ITUTE(SUBSTITUTE(SUBSTITUTE(SUBSTITUTE(INDEX(Hairstyles!$C:$C,MATCH($B275,Hairstyles!$F:$F,0)),"" "",""""),""'"",""""),""("",""""),"")"",""""),""-"",""_"")&amp;""_""&amp;$A$2)"),"ModularSMPHair\Human\Male\ModularSMPHair_LC_Human_Male")</f>
        <v>ModularSMPHair\Human\Male\ModularSMPHair_LC_Human_Male</v>
      </c>
    </row>
    <row r="276">
      <c r="B276" s="12" t="str">
        <f>IFERROR(__xludf.DUMMYFUNCTION("""COMPUTED_VALUE"""),"Uvi_Wig_Spell_Evg_L-D")</f>
        <v>Uvi_Wig_Spell_Evg_L-D</v>
      </c>
      <c r="C276" s="12" t="str">
        <f>IFERROR(__xludf.DUMMYFUNCTION("IF($B276="""","""",SUBSTITUTE(SUBSTITUTE(SUBSTITUTE(SUBSTITUTE(INDEX(Hairstyles!$A:$A,MATCH($B276,Hairstyles!$F:$F,0)),"" "",""""),""'"",""""),""("",""""),"")"","""")&amp;""\""&amp;INDEX(SPLIT($A$2,""_""),1)&amp;""\""&amp;INDEX(SPLIT($A$2,""_""),2)&amp;""\""&amp;SUBSTITUTE(SUBST"&amp;"ITUTE(SUBSTITUTE(SUBSTITUTE(SUBSTITUTE(INDEX(Hairstyles!$C:$C,MATCH($B276,Hairstyles!$F:$F,0)),"" "",""""),""'"",""""),""("",""""),"")"",""""),""-"",""_"")&amp;""_""&amp;$A$2)"),"ModularSMPHair\Human\Male\ModularSMPHair_LD_Human_Male")</f>
        <v>ModularSMPHair\Human\Male\ModularSMPHair_LD_Human_Male</v>
      </c>
    </row>
    <row r="277">
      <c r="B277" s="12" t="str">
        <f>IFERROR(__xludf.DUMMYFUNCTION("""COMPUTED_VALUE"""),"Uvi_Wig_Spell_Evg_L-E")</f>
        <v>Uvi_Wig_Spell_Evg_L-E</v>
      </c>
      <c r="C277" s="12" t="str">
        <f>IFERROR(__xludf.DUMMYFUNCTION("IF($B277="""","""",SUBSTITUTE(SUBSTITUTE(SUBSTITUTE(SUBSTITUTE(INDEX(Hairstyles!$A:$A,MATCH($B277,Hairstyles!$F:$F,0)),"" "",""""),""'"",""""),""("",""""),"")"","""")&amp;""\""&amp;INDEX(SPLIT($A$2,""_""),1)&amp;""\""&amp;INDEX(SPLIT($A$2,""_""),2)&amp;""\""&amp;SUBSTITUTE(SUBST"&amp;"ITUTE(SUBSTITUTE(SUBSTITUTE(SUBSTITUTE(INDEX(Hairstyles!$C:$C,MATCH($B277,Hairstyles!$F:$F,0)),"" "",""""),""'"",""""),""("",""""),"")"",""""),""-"",""_"")&amp;""_""&amp;$A$2)"),"ModularSMPHair\Human\Male\ModularSMPHair_LE_Human_Male")</f>
        <v>ModularSMPHair\Human\Male\ModularSMPHair_LE_Human_Male</v>
      </c>
    </row>
    <row r="278">
      <c r="B278" s="12" t="str">
        <f>IFERROR(__xludf.DUMMYFUNCTION("""COMPUTED_VALUE"""),"Uvi_Wig_Spell_Evg_L-F")</f>
        <v>Uvi_Wig_Spell_Evg_L-F</v>
      </c>
      <c r="C278" s="12" t="str">
        <f>IFERROR(__xludf.DUMMYFUNCTION("IF($B278="""","""",SUBSTITUTE(SUBSTITUTE(SUBSTITUTE(SUBSTITUTE(INDEX(Hairstyles!$A:$A,MATCH($B278,Hairstyles!$F:$F,0)),"" "",""""),""'"",""""),""("",""""),"")"","""")&amp;""\""&amp;INDEX(SPLIT($A$2,""_""),1)&amp;""\""&amp;INDEX(SPLIT($A$2,""_""),2)&amp;""\""&amp;SUBSTITUTE(SUBST"&amp;"ITUTE(SUBSTITUTE(SUBSTITUTE(SUBSTITUTE(INDEX(Hairstyles!$C:$C,MATCH($B278,Hairstyles!$F:$F,0)),"" "",""""),""'"",""""),""("",""""),"")"",""""),""-"",""_"")&amp;""_""&amp;$A$2)"),"ModularSMPHair\Human\Male\ModularSMPHair_LF_Human_Male")</f>
        <v>ModularSMPHair\Human\Male\ModularSMPHair_LF_Human_Male</v>
      </c>
    </row>
    <row r="279">
      <c r="B279" s="12" t="str">
        <f>IFERROR(__xludf.DUMMYFUNCTION("""COMPUTED_VALUE"""),"Uvi_Wig_Spell_Evg_L-G")</f>
        <v>Uvi_Wig_Spell_Evg_L-G</v>
      </c>
      <c r="C279" s="12" t="str">
        <f>IFERROR(__xludf.DUMMYFUNCTION("IF($B279="""","""",SUBSTITUTE(SUBSTITUTE(SUBSTITUTE(SUBSTITUTE(INDEX(Hairstyles!$A:$A,MATCH($B279,Hairstyles!$F:$F,0)),"" "",""""),""'"",""""),""("",""""),"")"","""")&amp;""\""&amp;INDEX(SPLIT($A$2,""_""),1)&amp;""\""&amp;INDEX(SPLIT($A$2,""_""),2)&amp;""\""&amp;SUBSTITUTE(SUBST"&amp;"ITUTE(SUBSTITUTE(SUBSTITUTE(SUBSTITUTE(INDEX(Hairstyles!$C:$C,MATCH($B279,Hairstyles!$F:$F,0)),"" "",""""),""'"",""""),""("",""""),"")"",""""),""-"",""_"")&amp;""_""&amp;$A$2)"),"ModularSMPHair\Human\Male\ModularSMPHair_LG_Human_Male")</f>
        <v>ModularSMPHair\Human\Male\ModularSMPHair_LG_Human_Male</v>
      </c>
    </row>
    <row r="280">
      <c r="B280" s="12" t="str">
        <f>IFERROR(__xludf.DUMMYFUNCTION("""COMPUTED_VALUE"""),"Uvi_Wig_Spell_Evg_L-I")</f>
        <v>Uvi_Wig_Spell_Evg_L-I</v>
      </c>
      <c r="C280" s="12" t="str">
        <f>IFERROR(__xludf.DUMMYFUNCTION("IF($B280="""","""",SUBSTITUTE(SUBSTITUTE(SUBSTITUTE(SUBSTITUTE(INDEX(Hairstyles!$A:$A,MATCH($B280,Hairstyles!$F:$F,0)),"" "",""""),""'"",""""),""("",""""),"")"","""")&amp;""\""&amp;INDEX(SPLIT($A$2,""_""),1)&amp;""\""&amp;INDEX(SPLIT($A$2,""_""),2)&amp;""\""&amp;SUBSTITUTE(SUBST"&amp;"ITUTE(SUBSTITUTE(SUBSTITUTE(SUBSTITUTE(INDEX(Hairstyles!$C:$C,MATCH($B280,Hairstyles!$F:$F,0)),"" "",""""),""'"",""""),""("",""""),"")"",""""),""-"",""_"")&amp;""_""&amp;$A$2)"),"ModularSMPHair\Human\Male\ModularSMPHair_LI_Human_Male")</f>
        <v>ModularSMPHair\Human\Male\ModularSMPHair_LI_Human_Male</v>
      </c>
    </row>
    <row r="281">
      <c r="B281" s="12" t="str">
        <f>IFERROR(__xludf.DUMMYFUNCTION("""COMPUTED_VALUE"""),"Uvi_Wig_Spell_Evg_L-J")</f>
        <v>Uvi_Wig_Spell_Evg_L-J</v>
      </c>
      <c r="C281" s="12" t="str">
        <f>IFERROR(__xludf.DUMMYFUNCTION("IF($B281="""","""",SUBSTITUTE(SUBSTITUTE(SUBSTITUTE(SUBSTITUTE(INDEX(Hairstyles!$A:$A,MATCH($B281,Hairstyles!$F:$F,0)),"" "",""""),""'"",""""),""("",""""),"")"","""")&amp;""\""&amp;INDEX(SPLIT($A$2,""_""),1)&amp;""\""&amp;INDEX(SPLIT($A$2,""_""),2)&amp;""\""&amp;SUBSTITUTE(SUBST"&amp;"ITUTE(SUBSTITUTE(SUBSTITUTE(SUBSTITUTE(INDEX(Hairstyles!$C:$C,MATCH($B281,Hairstyles!$F:$F,0)),"" "",""""),""'"",""""),""("",""""),"")"",""""),""-"",""_"")&amp;""_""&amp;$A$2)"),"ModularSMPHair\Human\Male\ModularSMPHair_LJ_Human_Male")</f>
        <v>ModularSMPHair\Human\Male\ModularSMPHair_LJ_Human_Male</v>
      </c>
    </row>
    <row r="282">
      <c r="B282" s="12" t="str">
        <f>IFERROR(__xludf.DUMMYFUNCTION("""COMPUTED_VALUE"""),"Uvi_Wig_Spell_Evg_L-K")</f>
        <v>Uvi_Wig_Spell_Evg_L-K</v>
      </c>
      <c r="C282" s="12" t="str">
        <f>IFERROR(__xludf.DUMMYFUNCTION("IF($B282="""","""",SUBSTITUTE(SUBSTITUTE(SUBSTITUTE(SUBSTITUTE(INDEX(Hairstyles!$A:$A,MATCH($B282,Hairstyles!$F:$F,0)),"" "",""""),""'"",""""),""("",""""),"")"","""")&amp;""\""&amp;INDEX(SPLIT($A$2,""_""),1)&amp;""\""&amp;INDEX(SPLIT($A$2,""_""),2)&amp;""\""&amp;SUBSTITUTE(SUBST"&amp;"ITUTE(SUBSTITUTE(SUBSTITUTE(SUBSTITUTE(INDEX(Hairstyles!$C:$C,MATCH($B282,Hairstyles!$F:$F,0)),"" "",""""),""'"",""""),""("",""""),"")"",""""),""-"",""_"")&amp;""_""&amp;$A$2)"),"ModularSMPHair\Human\Male\ModularSMPHair_LK_Human_Male")</f>
        <v>ModularSMPHair\Human\Male\ModularSMPHair_LK_Human_Male</v>
      </c>
    </row>
    <row r="283">
      <c r="B283" s="12" t="str">
        <f>IFERROR(__xludf.DUMMYFUNCTION("""COMPUTED_VALUE"""),"Uvi_Wig_Spell_Evg_L-L")</f>
        <v>Uvi_Wig_Spell_Evg_L-L</v>
      </c>
      <c r="C283" s="12" t="str">
        <f>IFERROR(__xludf.DUMMYFUNCTION("IF($B283="""","""",SUBSTITUTE(SUBSTITUTE(SUBSTITUTE(SUBSTITUTE(INDEX(Hairstyles!$A:$A,MATCH($B283,Hairstyles!$F:$F,0)),"" "",""""),""'"",""""),""("",""""),"")"","""")&amp;""\""&amp;INDEX(SPLIT($A$2,""_""),1)&amp;""\""&amp;INDEX(SPLIT($A$2,""_""),2)&amp;""\""&amp;SUBSTITUTE(SUBST"&amp;"ITUTE(SUBSTITUTE(SUBSTITUTE(SUBSTITUTE(INDEX(Hairstyles!$C:$C,MATCH($B283,Hairstyles!$F:$F,0)),"" "",""""),""'"",""""),""("",""""),"")"",""""),""-"",""_"")&amp;""_""&amp;$A$2)"),"ModularSMPHair\Human\Male\ModularSMPHair_LL_Human_Male")</f>
        <v>ModularSMPHair\Human\Male\ModularSMPHair_LL_Human_Male</v>
      </c>
    </row>
    <row r="284">
      <c r="B284" s="12" t="str">
        <f>IFERROR(__xludf.DUMMYFUNCTION("""COMPUTED_VALUE"""),"Uvi_Wig_Spell_Evg_L-M1")</f>
        <v>Uvi_Wig_Spell_Evg_L-M1</v>
      </c>
      <c r="C284" s="12" t="str">
        <f>IFERROR(__xludf.DUMMYFUNCTION("IF($B284="""","""",SUBSTITUTE(SUBSTITUTE(SUBSTITUTE(SUBSTITUTE(INDEX(Hairstyles!$A:$A,MATCH($B284,Hairstyles!$F:$F,0)),"" "",""""),""'"",""""),""("",""""),"")"","""")&amp;""\""&amp;INDEX(SPLIT($A$2,""_""),1)&amp;""\""&amp;INDEX(SPLIT($A$2,""_""),2)&amp;""\""&amp;SUBSTITUTE(SUBST"&amp;"ITUTE(SUBSTITUTE(SUBSTITUTE(SUBSTITUTE(INDEX(Hairstyles!$C:$C,MATCH($B284,Hairstyles!$F:$F,0)),"" "",""""),""'"",""""),""("",""""),"")"",""""),""-"",""_"")&amp;""_""&amp;$A$2)"),"ModularSMPHair\Human\Male\ModularSMPHair_LM1_Human_Male")</f>
        <v>ModularSMPHair\Human\Male\ModularSMPHair_LM1_Human_Male</v>
      </c>
    </row>
    <row r="285">
      <c r="B285" s="12" t="str">
        <f>IFERROR(__xludf.DUMMYFUNCTION("""COMPUTED_VALUE"""),"Uvi_Wig_Spell_Evg_L-M2")</f>
        <v>Uvi_Wig_Spell_Evg_L-M2</v>
      </c>
      <c r="C285" s="12" t="str">
        <f>IFERROR(__xludf.DUMMYFUNCTION("IF($B285="""","""",SUBSTITUTE(SUBSTITUTE(SUBSTITUTE(SUBSTITUTE(INDEX(Hairstyles!$A:$A,MATCH($B285,Hairstyles!$F:$F,0)),"" "",""""),""'"",""""),""("",""""),"")"","""")&amp;""\""&amp;INDEX(SPLIT($A$2,""_""),1)&amp;""\""&amp;INDEX(SPLIT($A$2,""_""),2)&amp;""\""&amp;SUBSTITUTE(SUBST"&amp;"ITUTE(SUBSTITUTE(SUBSTITUTE(SUBSTITUTE(INDEX(Hairstyles!$C:$C,MATCH($B285,Hairstyles!$F:$F,0)),"" "",""""),""'"",""""),""("",""""),"")"",""""),""-"",""_"")&amp;""_""&amp;$A$2)"),"ModularSMPHair\Human\Male\ModularSMPHair_LM2_Human_Male")</f>
        <v>ModularSMPHair\Human\Male\ModularSMPHair_LM2_Human_Male</v>
      </c>
    </row>
    <row r="286">
      <c r="B286" s="12" t="str">
        <f>IFERROR(__xludf.DUMMYFUNCTION("""COMPUTED_VALUE"""),"Uvi_Wig_Spell_Evg_M")</f>
        <v>Uvi_Wig_Spell_Evg_M</v>
      </c>
      <c r="C286" s="12" t="str">
        <f>IFERROR(__xludf.DUMMYFUNCTION("IF($B286="""","""",SUBSTITUTE(SUBSTITUTE(SUBSTITUTE(SUBSTITUTE(INDEX(Hairstyles!$A:$A,MATCH($B286,Hairstyles!$F:$F,0)),"" "",""""),""'"",""""),""("",""""),"")"","""")&amp;""\""&amp;INDEX(SPLIT($A$2,""_""),1)&amp;""\""&amp;INDEX(SPLIT($A$2,""_""),2)&amp;""\""&amp;SUBSTITUTE(SUBST"&amp;"ITUTE(SUBSTITUTE(SUBSTITUTE(SUBSTITUTE(INDEX(Hairstyles!$C:$C,MATCH($B286,Hairstyles!$F:$F,0)),"" "",""""),""'"",""""),""("",""""),"")"",""""),""-"",""_"")&amp;""_""&amp;$A$2)"),"ModularSMPHair\Human\Male\ModularSMPHair_M_Human_Male")</f>
        <v>ModularSMPHair\Human\Male\ModularSMPHair_M_Human_Male</v>
      </c>
    </row>
    <row r="287">
      <c r="B287" s="12" t="str">
        <f>IFERROR(__xludf.DUMMYFUNCTION("""COMPUTED_VALUE"""),"Uvi_Wig_Spell_Evg_M-B")</f>
        <v>Uvi_Wig_Spell_Evg_M-B</v>
      </c>
      <c r="C287" s="12" t="str">
        <f>IFERROR(__xludf.DUMMYFUNCTION("IF($B287="""","""",SUBSTITUTE(SUBSTITUTE(SUBSTITUTE(SUBSTITUTE(INDEX(Hairstyles!$A:$A,MATCH($B287,Hairstyles!$F:$F,0)),"" "",""""),""'"",""""),""("",""""),"")"","""")&amp;""\""&amp;INDEX(SPLIT($A$2,""_""),1)&amp;""\""&amp;INDEX(SPLIT($A$2,""_""),2)&amp;""\""&amp;SUBSTITUTE(SUBST"&amp;"ITUTE(SUBSTITUTE(SUBSTITUTE(SUBSTITUTE(INDEX(Hairstyles!$C:$C,MATCH($B287,Hairstyles!$F:$F,0)),"" "",""""),""'"",""""),""("",""""),"")"",""""),""-"",""_"")&amp;""_""&amp;$A$2)"),"ModularSMPHair\Human\Male\ModularSMPHair_MB_Human_Male")</f>
        <v>ModularSMPHair\Human\Male\ModularSMPHair_MB_Human_Male</v>
      </c>
    </row>
    <row r="288">
      <c r="B288" s="12" t="str">
        <f>IFERROR(__xludf.DUMMYFUNCTION("""COMPUTED_VALUE"""),"Uvi_Wig_Spell_Evg_M-C")</f>
        <v>Uvi_Wig_Spell_Evg_M-C</v>
      </c>
      <c r="C288" s="12" t="str">
        <f>IFERROR(__xludf.DUMMYFUNCTION("IF($B288="""","""",SUBSTITUTE(SUBSTITUTE(SUBSTITUTE(SUBSTITUTE(INDEX(Hairstyles!$A:$A,MATCH($B288,Hairstyles!$F:$F,0)),"" "",""""),""'"",""""),""("",""""),"")"","""")&amp;""\""&amp;INDEX(SPLIT($A$2,""_""),1)&amp;""\""&amp;INDEX(SPLIT($A$2,""_""),2)&amp;""\""&amp;SUBSTITUTE(SUBST"&amp;"ITUTE(SUBSTITUTE(SUBSTITUTE(SUBSTITUTE(INDEX(Hairstyles!$C:$C,MATCH($B288,Hairstyles!$F:$F,0)),"" "",""""),""'"",""""),""("",""""),"")"",""""),""-"",""_"")&amp;""_""&amp;$A$2)"),"ModularSMPHair\Human\Male\ModularSMPHair_MC_Human_Male")</f>
        <v>ModularSMPHair\Human\Male\ModularSMPHair_MC_Human_Male</v>
      </c>
    </row>
    <row r="289">
      <c r="B289" s="12" t="str">
        <f>IFERROR(__xludf.DUMMYFUNCTION("""COMPUTED_VALUE"""),"Uvi_Wig_Spell_Evg_M-E")</f>
        <v>Uvi_Wig_Spell_Evg_M-E</v>
      </c>
      <c r="C289" s="12" t="str">
        <f>IFERROR(__xludf.DUMMYFUNCTION("IF($B289="""","""",SUBSTITUTE(SUBSTITUTE(SUBSTITUTE(SUBSTITUTE(INDEX(Hairstyles!$A:$A,MATCH($B289,Hairstyles!$F:$F,0)),"" "",""""),""'"",""""),""("",""""),"")"","""")&amp;""\""&amp;INDEX(SPLIT($A$2,""_""),1)&amp;""\""&amp;INDEX(SPLIT($A$2,""_""),2)&amp;""\""&amp;SUBSTITUTE(SUBST"&amp;"ITUTE(SUBSTITUTE(SUBSTITUTE(SUBSTITUTE(INDEX(Hairstyles!$C:$C,MATCH($B289,Hairstyles!$F:$F,0)),"" "",""""),""'"",""""),""("",""""),"")"",""""),""-"",""_"")&amp;""_""&amp;$A$2)"),"ModularSMPHair\Human\Male\ModularSMPHair_ME_Human_Male")</f>
        <v>ModularSMPHair\Human\Male\ModularSMPHair_ME_Human_Male</v>
      </c>
    </row>
    <row r="290">
      <c r="B290" s="12" t="str">
        <f>IFERROR(__xludf.DUMMYFUNCTION("""COMPUTED_VALUE"""),"Uvi_Wig_Spell_Evg_M-F")</f>
        <v>Uvi_Wig_Spell_Evg_M-F</v>
      </c>
      <c r="C290" s="12" t="str">
        <f>IFERROR(__xludf.DUMMYFUNCTION("IF($B290="""","""",SUBSTITUTE(SUBSTITUTE(SUBSTITUTE(SUBSTITUTE(INDEX(Hairstyles!$A:$A,MATCH($B290,Hairstyles!$F:$F,0)),"" "",""""),""'"",""""),""("",""""),"")"","""")&amp;""\""&amp;INDEX(SPLIT($A$2,""_""),1)&amp;""\""&amp;INDEX(SPLIT($A$2,""_""),2)&amp;""\""&amp;SUBSTITUTE(SUBST"&amp;"ITUTE(SUBSTITUTE(SUBSTITUTE(SUBSTITUTE(INDEX(Hairstyles!$C:$C,MATCH($B290,Hairstyles!$F:$F,0)),"" "",""""),""'"",""""),""("",""""),"")"",""""),""-"",""_"")&amp;""_""&amp;$A$2)"),"ModularSMPHair\Human\Male\ModularSMPHair_MF_Human_Male")</f>
        <v>ModularSMPHair\Human\Male\ModularSMPHair_MF_Human_Male</v>
      </c>
    </row>
    <row r="291">
      <c r="B291" s="12" t="str">
        <f>IFERROR(__xludf.DUMMYFUNCTION("""COMPUTED_VALUE"""),"Uvi_Wig_Spell_Evg_M-G")</f>
        <v>Uvi_Wig_Spell_Evg_M-G</v>
      </c>
      <c r="C291" s="12" t="str">
        <f>IFERROR(__xludf.DUMMYFUNCTION("IF($B291="""","""",SUBSTITUTE(SUBSTITUTE(SUBSTITUTE(SUBSTITUTE(INDEX(Hairstyles!$A:$A,MATCH($B291,Hairstyles!$F:$F,0)),"" "",""""),""'"",""""),""("",""""),"")"","""")&amp;""\""&amp;INDEX(SPLIT($A$2,""_""),1)&amp;""\""&amp;INDEX(SPLIT($A$2,""_""),2)&amp;""\""&amp;SUBSTITUTE(SUBST"&amp;"ITUTE(SUBSTITUTE(SUBSTITUTE(SUBSTITUTE(INDEX(Hairstyles!$C:$C,MATCH($B291,Hairstyles!$F:$F,0)),"" "",""""),""'"",""""),""("",""""),"")"",""""),""-"",""_"")&amp;""_""&amp;$A$2)"),"ModularSMPHair\Human\Male\ModularSMPHair_MG_Human_Male")</f>
        <v>ModularSMPHair\Human\Male\ModularSMPHair_MG_Human_Male</v>
      </c>
    </row>
    <row r="292">
      <c r="B292" s="12" t="str">
        <f>IFERROR(__xludf.DUMMYFUNCTION("""COMPUTED_VALUE"""),"Uvi_Wig_Spell_Evg_M-H")</f>
        <v>Uvi_Wig_Spell_Evg_M-H</v>
      </c>
      <c r="C292" s="12" t="str">
        <f>IFERROR(__xludf.DUMMYFUNCTION("IF($B292="""","""",SUBSTITUTE(SUBSTITUTE(SUBSTITUTE(SUBSTITUTE(INDEX(Hairstyles!$A:$A,MATCH($B292,Hairstyles!$F:$F,0)),"" "",""""),""'"",""""),""("",""""),"")"","""")&amp;""\""&amp;INDEX(SPLIT($A$2,""_""),1)&amp;""\""&amp;INDEX(SPLIT($A$2,""_""),2)&amp;""\""&amp;SUBSTITUTE(SUBST"&amp;"ITUTE(SUBSTITUTE(SUBSTITUTE(SUBSTITUTE(INDEX(Hairstyles!$C:$C,MATCH($B292,Hairstyles!$F:$F,0)),"" "",""""),""'"",""""),""("",""""),"")"",""""),""-"",""_"")&amp;""_""&amp;$A$2)"),"ModularSMPHair\Human\Male\ModularSMPHair_MH_Human_Male")</f>
        <v>ModularSMPHair\Human\Male\ModularSMPHair_MH_Human_Male</v>
      </c>
    </row>
    <row r="293">
      <c r="B293" s="12" t="str">
        <f>IFERROR(__xludf.DUMMYFUNCTION("""COMPUTED_VALUE"""),"Uvi_Wig_Spell_Evg_M-I")</f>
        <v>Uvi_Wig_Spell_Evg_M-I</v>
      </c>
      <c r="C293" s="12" t="str">
        <f>IFERROR(__xludf.DUMMYFUNCTION("IF($B293="""","""",SUBSTITUTE(SUBSTITUTE(SUBSTITUTE(SUBSTITUTE(INDEX(Hairstyles!$A:$A,MATCH($B293,Hairstyles!$F:$F,0)),"" "",""""),""'"",""""),""("",""""),"")"","""")&amp;""\""&amp;INDEX(SPLIT($A$2,""_""),1)&amp;""\""&amp;INDEX(SPLIT($A$2,""_""),2)&amp;""\""&amp;SUBSTITUTE(SUBST"&amp;"ITUTE(SUBSTITUTE(SUBSTITUTE(SUBSTITUTE(INDEX(Hairstyles!$C:$C,MATCH($B293,Hairstyles!$F:$F,0)),"" "",""""),""'"",""""),""("",""""),"")"",""""),""-"",""_"")&amp;""_""&amp;$A$2)"),"ModularSMPHair\Human\Male\ModularSMPHair_MI_Human_Male")</f>
        <v>ModularSMPHair\Human\Male\ModularSMPHair_MI_Human_Male</v>
      </c>
    </row>
    <row r="294">
      <c r="B294" s="12" t="str">
        <f>IFERROR(__xludf.DUMMYFUNCTION("""COMPUTED_VALUE"""),"Uvi_Wig_Spell_Evg_M-J")</f>
        <v>Uvi_Wig_Spell_Evg_M-J</v>
      </c>
      <c r="C294" s="12" t="str">
        <f>IFERROR(__xludf.DUMMYFUNCTION("IF($B294="""","""",SUBSTITUTE(SUBSTITUTE(SUBSTITUTE(SUBSTITUTE(INDEX(Hairstyles!$A:$A,MATCH($B294,Hairstyles!$F:$F,0)),"" "",""""),""'"",""""),""("",""""),"")"","""")&amp;""\""&amp;INDEX(SPLIT($A$2,""_""),1)&amp;""\""&amp;INDEX(SPLIT($A$2,""_""),2)&amp;""\""&amp;SUBSTITUTE(SUBST"&amp;"ITUTE(SUBSTITUTE(SUBSTITUTE(SUBSTITUTE(INDEX(Hairstyles!$C:$C,MATCH($B294,Hairstyles!$F:$F,0)),"" "",""""),""'"",""""),""("",""""),"")"",""""),""-"",""_"")&amp;""_""&amp;$A$2)"),"ModularSMPHair\Human\Male\ModularSMPHair_MJ_Human_Male")</f>
        <v>ModularSMPHair\Human\Male\ModularSMPHair_MJ_Human_Male</v>
      </c>
    </row>
    <row r="295">
      <c r="B295" s="12" t="str">
        <f>IFERROR(__xludf.DUMMYFUNCTION("""COMPUTED_VALUE"""),"Uvi_Wig_Spell_Evg_M-K")</f>
        <v>Uvi_Wig_Spell_Evg_M-K</v>
      </c>
      <c r="C295" s="12" t="str">
        <f>IFERROR(__xludf.DUMMYFUNCTION("IF($B295="""","""",SUBSTITUTE(SUBSTITUTE(SUBSTITUTE(SUBSTITUTE(INDEX(Hairstyles!$A:$A,MATCH($B295,Hairstyles!$F:$F,0)),"" "",""""),""'"",""""),""("",""""),"")"","""")&amp;""\""&amp;INDEX(SPLIT($A$2,""_""),1)&amp;""\""&amp;INDEX(SPLIT($A$2,""_""),2)&amp;""\""&amp;SUBSTITUTE(SUBST"&amp;"ITUTE(SUBSTITUTE(SUBSTITUTE(SUBSTITUTE(INDEX(Hairstyles!$C:$C,MATCH($B295,Hairstyles!$F:$F,0)),"" "",""""),""'"",""""),""("",""""),"")"",""""),""-"",""_"")&amp;""_""&amp;$A$2)"),"ModularSMPHair\Human\Male\ModularSMPHair_MK_Human_Male")</f>
        <v>ModularSMPHair\Human\Male\ModularSMPHair_MK_Human_Male</v>
      </c>
    </row>
    <row r="296">
      <c r="B296" s="12" t="str">
        <f>IFERROR(__xludf.DUMMYFUNCTION("""COMPUTED_VALUE"""),"Uvi_Wig_Spell_Evg_M-L")</f>
        <v>Uvi_Wig_Spell_Evg_M-L</v>
      </c>
      <c r="C296" s="12" t="str">
        <f>IFERROR(__xludf.DUMMYFUNCTION("IF($B296="""","""",SUBSTITUTE(SUBSTITUTE(SUBSTITUTE(SUBSTITUTE(INDEX(Hairstyles!$A:$A,MATCH($B296,Hairstyles!$F:$F,0)),"" "",""""),""'"",""""),""("",""""),"")"","""")&amp;""\""&amp;INDEX(SPLIT($A$2,""_""),1)&amp;""\""&amp;INDEX(SPLIT($A$2,""_""),2)&amp;""\""&amp;SUBSTITUTE(SUBST"&amp;"ITUTE(SUBSTITUTE(SUBSTITUTE(SUBSTITUTE(INDEX(Hairstyles!$C:$C,MATCH($B296,Hairstyles!$F:$F,0)),"" "",""""),""'"",""""),""("",""""),"")"",""""),""-"",""_"")&amp;""_""&amp;$A$2)"),"ModularSMPHair\Human\Male\ModularSMPHair_ML_Human_Male")</f>
        <v>ModularSMPHair\Human\Male\ModularSMPHair_ML_Human_Male</v>
      </c>
    </row>
    <row r="297">
      <c r="B297" s="12" t="str">
        <f>IFERROR(__xludf.DUMMYFUNCTION("""COMPUTED_VALUE"""),"Uvi_Wig_Spell_Evg_M-M1")</f>
        <v>Uvi_Wig_Spell_Evg_M-M1</v>
      </c>
      <c r="C297" s="12" t="str">
        <f>IFERROR(__xludf.DUMMYFUNCTION("IF($B297="""","""",SUBSTITUTE(SUBSTITUTE(SUBSTITUTE(SUBSTITUTE(INDEX(Hairstyles!$A:$A,MATCH($B297,Hairstyles!$F:$F,0)),"" "",""""),""'"",""""),""("",""""),"")"","""")&amp;""\""&amp;INDEX(SPLIT($A$2,""_""),1)&amp;""\""&amp;INDEX(SPLIT($A$2,""_""),2)&amp;""\""&amp;SUBSTITUTE(SUBST"&amp;"ITUTE(SUBSTITUTE(SUBSTITUTE(SUBSTITUTE(INDEX(Hairstyles!$C:$C,MATCH($B297,Hairstyles!$F:$F,0)),"" "",""""),""'"",""""),""("",""""),"")"",""""),""-"",""_"")&amp;""_""&amp;$A$2)"),"ModularSMPHair\Human\Male\ModularSMPHair_MM1_Human_Male")</f>
        <v>ModularSMPHair\Human\Male\ModularSMPHair_MM1_Human_Male</v>
      </c>
    </row>
    <row r="298">
      <c r="B298" s="12" t="str">
        <f>IFERROR(__xludf.DUMMYFUNCTION("""COMPUTED_VALUE"""),"Uvi_Wig_Spell_Evg_M-M2")</f>
        <v>Uvi_Wig_Spell_Evg_M-M2</v>
      </c>
      <c r="C298" s="12" t="str">
        <f>IFERROR(__xludf.DUMMYFUNCTION("IF($B298="""","""",SUBSTITUTE(SUBSTITUTE(SUBSTITUTE(SUBSTITUTE(INDEX(Hairstyles!$A:$A,MATCH($B298,Hairstyles!$F:$F,0)),"" "",""""),""'"",""""),""("",""""),"")"","""")&amp;""\""&amp;INDEX(SPLIT($A$2,""_""),1)&amp;""\""&amp;INDEX(SPLIT($A$2,""_""),2)&amp;""\""&amp;SUBSTITUTE(SUBST"&amp;"ITUTE(SUBSTITUTE(SUBSTITUTE(SUBSTITUTE(INDEX(Hairstyles!$C:$C,MATCH($B298,Hairstyles!$F:$F,0)),"" "",""""),""'"",""""),""("",""""),"")"",""""),""-"",""_"")&amp;""_""&amp;$A$2)"),"ModularSMPHair\Human\Male\ModularSMPHair_MM2_Human_Male")</f>
        <v>ModularSMPHair\Human\Male\ModularSMPHair_MM2_Human_Male</v>
      </c>
    </row>
    <row r="299">
      <c r="B299" s="12" t="str">
        <f>IFERROR(__xludf.DUMMYFUNCTION("""COMPUTED_VALUE"""),"Uvi_Wig_Spell_X_Fuse_AlessoCookie")</f>
        <v>Uvi_Wig_Spell_X_Fuse_AlessoCookie</v>
      </c>
      <c r="C299" s="12" t="str">
        <f>IFERROR(__xludf.DUMMYFUNCTION("IF($B299="""","""",SUBSTITUTE(SUBSTITUTE(SUBSTITUTE(SUBSTITUTE(INDEX(Hairstyles!$A:$A,MATCH($B299,Hairstyles!$F:$F,0)),"" "",""""),""'"",""""),""("",""""),"")"","""")&amp;""\""&amp;INDEX(SPLIT($A$2,""_""),1)&amp;""\""&amp;INDEX(SPLIT($A$2,""_""),2)&amp;""\""&amp;SUBSTITUTE(SUBST"&amp;"ITUTE(SUBSTITUTE(SUBSTITUTE(SUBSTITUTE(INDEX(Hairstyles!$C:$C,MATCH($B299,Hairstyles!$F:$F,0)),"" "",""""),""'"",""""),""("",""""),"")"",""""),""-"",""_"")&amp;""_""&amp;$A$2)"),"XingHDT-SMPWigs\Human\Male\Xing_FuseAlessoCookie_Human_Male")</f>
        <v>XingHDT-SMPWigs\Human\Male\Xing_FuseAlessoCookie_Human_Male</v>
      </c>
    </row>
    <row r="300">
      <c r="B300" s="12" t="str">
        <f>IFERROR(__xludf.DUMMYFUNCTION("""COMPUTED_VALUE"""),"Uvi_Wig_Spell_X_Fuse_Nightcrawler")</f>
        <v>Uvi_Wig_Spell_X_Fuse_Nightcrawler</v>
      </c>
      <c r="C300" s="12" t="str">
        <f>IFERROR(__xludf.DUMMYFUNCTION("IF($B300="""","""",SUBSTITUTE(SUBSTITUTE(SUBSTITUTE(SUBSTITUTE(INDEX(Hairstyles!$A:$A,MATCH($B300,Hairstyles!$F:$F,0)),"" "",""""),""'"",""""),""("",""""),"")"","""")&amp;""\""&amp;INDEX(SPLIT($A$2,""_""),1)&amp;""\""&amp;INDEX(SPLIT($A$2,""_""),2)&amp;""\""&amp;SUBSTITUTE(SUBST"&amp;"ITUTE(SUBSTITUTE(SUBSTITUTE(SUBSTITUTE(INDEX(Hairstyles!$C:$C,MATCH($B300,Hairstyles!$F:$F,0)),"" "",""""),""'"",""""),""("",""""),"")"",""""),""-"",""_"")&amp;""_""&amp;$A$2)"),"XingHDT-SMPWigs\Human\Male\Xing_FuseNightcrawler_Human_Male")</f>
        <v>XingHDT-SMPWigs\Human\Male\Xing_FuseNightcrawler_Human_Male</v>
      </c>
    </row>
    <row r="301">
      <c r="B301" s="12" t="str">
        <f>IFERROR(__xludf.DUMMYFUNCTION("""COMPUTED_VALUE"""),"Uvi_Wig_Spell_X_Fuse_NightcrawlerPuch")</f>
        <v>Uvi_Wig_Spell_X_Fuse_NightcrawlerPuch</v>
      </c>
      <c r="C301" s="12" t="str">
        <f>IFERROR(__xludf.DUMMYFUNCTION("IF($B301="""","""",SUBSTITUTE(SUBSTITUTE(SUBSTITUTE(SUBSTITUTE(INDEX(Hairstyles!$A:$A,MATCH($B301,Hairstyles!$F:$F,0)),"" "",""""),""'"",""""),""("",""""),"")"","""")&amp;""\""&amp;INDEX(SPLIT($A$2,""_""),1)&amp;""\""&amp;INDEX(SPLIT($A$2,""_""),2)&amp;""\""&amp;SUBSTITUTE(SUBST"&amp;"ITUTE(SUBSTITUTE(SUBSTITUTE(SUBSTITUTE(INDEX(Hairstyles!$C:$C,MATCH($B301,Hairstyles!$F:$F,0)),"" "",""""),""'"",""""),""("",""""),"")"",""""),""-"",""_"")&amp;""_""&amp;$A$2)"),"XingHDT-SMPWigs\Human\Male\Xing_FuseNightcrawlerPuch_Human_Male")</f>
        <v>XingHDT-SMPWigs\Human\Male\Xing_FuseNightcrawlerPuch_Human_Male</v>
      </c>
    </row>
    <row r="302">
      <c r="B302" s="12" t="str">
        <f>IFERROR(__xludf.DUMMYFUNCTION("""COMPUTED_VALUE"""),"Uvi_Wig_Spell_X_Fuse_NightcrawlerStraight")</f>
        <v>Uvi_Wig_Spell_X_Fuse_NightcrawlerStraight</v>
      </c>
      <c r="C302" s="12" t="str">
        <f>IFERROR(__xludf.DUMMYFUNCTION("IF($B302="""","""",SUBSTITUTE(SUBSTITUTE(SUBSTITUTE(SUBSTITUTE(INDEX(Hairstyles!$A:$A,MATCH($B302,Hairstyles!$F:$F,0)),"" "",""""),""'"",""""),""("",""""),"")"","""")&amp;""\""&amp;INDEX(SPLIT($A$2,""_""),1)&amp;""\""&amp;INDEX(SPLIT($A$2,""_""),2)&amp;""\""&amp;SUBSTITUTE(SUBST"&amp;"ITUTE(SUBSTITUTE(SUBSTITUTE(SUBSTITUTE(INDEX(Hairstyles!$C:$C,MATCH($B302,Hairstyles!$F:$F,0)),"" "",""""),""'"",""""),""("",""""),"")"",""""),""-"",""_"")&amp;""_""&amp;$A$2)"),"XingHDT-SMPWigs\Human\Male\Xing_FuseNightcrawlerStraight_Human_Male")</f>
        <v>XingHDT-SMPWigs\Human\Male\Xing_FuseNightcrawlerStraight_Human_Male</v>
      </c>
    </row>
    <row r="303">
      <c r="B303" s="12" t="str">
        <f>IFERROR(__xludf.DUMMYFUNCTION("""COMPUTED_VALUE"""),"Uvi_Wig_Spell_X_Fuse_SG35")</f>
        <v>Uvi_Wig_Spell_X_Fuse_SG35</v>
      </c>
      <c r="C303" s="12" t="str">
        <f>IFERROR(__xludf.DUMMYFUNCTION("IF($B303="""","""",SUBSTITUTE(SUBSTITUTE(SUBSTITUTE(SUBSTITUTE(INDEX(Hairstyles!$A:$A,MATCH($B303,Hairstyles!$F:$F,0)),"" "",""""),""'"",""""),""("",""""),"")"","""")&amp;""\""&amp;INDEX(SPLIT($A$2,""_""),1)&amp;""\""&amp;INDEX(SPLIT($A$2,""_""),2)&amp;""\""&amp;SUBSTITUTE(SUBST"&amp;"ITUTE(SUBSTITUTE(SUBSTITUTE(SUBSTITUTE(INDEX(Hairstyles!$C:$C,MATCH($B303,Hairstyles!$F:$F,0)),"" "",""""),""'"",""""),""("",""""),"")"",""""),""-"",""_"")&amp;""_""&amp;$A$2)"),"XingHDT-SMPWigs\Human\Male\Xing_FuseSG35_Human_Male")</f>
        <v>XingHDT-SMPWigs\Human\Male\Xing_FuseSG35_Human_Male</v>
      </c>
    </row>
    <row r="304">
      <c r="B304" s="12" t="str">
        <f>IFERROR(__xludf.DUMMYFUNCTION("""COMPUTED_VALUE"""),"Uvi_Wig_Spell_X_Fuse_SintikliaMR")</f>
        <v>Uvi_Wig_Spell_X_Fuse_SintikliaMR</v>
      </c>
      <c r="C304" s="12" t="str">
        <f>IFERROR(__xludf.DUMMYFUNCTION("IF($B304="""","""",SUBSTITUTE(SUBSTITUTE(SUBSTITUTE(SUBSTITUTE(INDEX(Hairstyles!$A:$A,MATCH($B304,Hairstyles!$F:$F,0)),"" "",""""),""'"",""""),""("",""""),"")"","""")&amp;""\""&amp;INDEX(SPLIT($A$2,""_""),1)&amp;""\""&amp;INDEX(SPLIT($A$2,""_""),2)&amp;""\""&amp;SUBSTITUTE(SUBST"&amp;"ITUTE(SUBSTITUTE(SUBSTITUTE(SUBSTITUTE(INDEX(Hairstyles!$C:$C,MATCH($B304,Hairstyles!$F:$F,0)),"" "",""""),""'"",""""),""("",""""),"")"",""""),""-"",""_"")&amp;""_""&amp;$A$2)"),"XingHDT-SMPWigs\Human\Male\Xing_FuseSintikliaMR_Human_Male")</f>
        <v>XingHDT-SMPWigs\Human\Male\Xing_FuseSintikliaMR_Human_Male</v>
      </c>
    </row>
    <row r="305">
      <c r="B305" s="12" t="str">
        <f>IFERROR(__xludf.DUMMYFUNCTION("""COMPUTED_VALUE"""),"Uvi_Wig_Spell_X_Dint_HG_ColdHeart")</f>
        <v>Uvi_Wig_Spell_X_Dint_HG_ColdHeart</v>
      </c>
      <c r="C305" s="12" t="str">
        <f>IFERROR(__xludf.DUMMYFUNCTION("IF($B305="""","""",SUBSTITUTE(SUBSTITUTE(SUBSTITUTE(SUBSTITUTE(INDEX(Hairstyles!$A:$A,MATCH($B305,Hairstyles!$F:$F,0)),"" "",""""),""'"",""""),""("",""""),"")"","""")&amp;""\""&amp;INDEX(SPLIT($A$2,""_""),1)&amp;""\""&amp;INDEX(SPLIT($A$2,""_""),2)&amp;""\""&amp;SUBSTITUTE(SUBST"&amp;"ITUTE(SUBSTITUTE(SUBSTITUTE(SUBSTITUTE(INDEX(Hairstyles!$C:$C,MATCH($B305,Hairstyles!$F:$F,0)),"" "",""""),""'"",""""),""("",""""),"")"",""""),""-"",""_"")&amp;""_""&amp;$A$2)"),"XingHDT-SMPWigs\Human\Male\Xing_HGColdHeart_Human_Male")</f>
        <v>XingHDT-SMPWigs\Human\Male\Xing_HGColdHeart_Human_Male</v>
      </c>
    </row>
    <row r="306">
      <c r="B306" s="12" t="str">
        <f>IFERROR(__xludf.DUMMYFUNCTION("""COMPUTED_VALUE"""),"Uvi_Wig_Spell_X_Dint_HG_ColdHeart2")</f>
        <v>Uvi_Wig_Spell_X_Dint_HG_ColdHeart2</v>
      </c>
      <c r="C306" s="12" t="str">
        <f>IFERROR(__xludf.DUMMYFUNCTION("IF($B306="""","""",SUBSTITUTE(SUBSTITUTE(SUBSTITUTE(SUBSTITUTE(INDEX(Hairstyles!$A:$A,MATCH($B306,Hairstyles!$F:$F,0)),"" "",""""),""'"",""""),""("",""""),"")"","""")&amp;""\""&amp;INDEX(SPLIT($A$2,""_""),1)&amp;""\""&amp;INDEX(SPLIT($A$2,""_""),2)&amp;""\""&amp;SUBSTITUTE(SUBST"&amp;"ITUTE(SUBSTITUTE(SUBSTITUTE(SUBSTITUTE(INDEX(Hairstyles!$C:$C,MATCH($B306,Hairstyles!$F:$F,0)),"" "",""""),""'"",""""),""("",""""),"")"",""""),""-"",""_"")&amp;""_""&amp;$A$2)"),"XingHDT-SMPWigs\Human\Male\Xing_HGColdHeart2_Human_Male")</f>
        <v>XingHDT-SMPWigs\Human\Male\Xing_HGColdHeart2_Human_Male</v>
      </c>
    </row>
    <row r="307">
      <c r="B307" s="12" t="str">
        <f>IFERROR(__xludf.DUMMYFUNCTION("""COMPUTED_VALUE"""),"Uvi_Wig_Spell_X_Dint_HG_Emori")</f>
        <v>Uvi_Wig_Spell_X_Dint_HG_Emori</v>
      </c>
      <c r="C307" s="12" t="str">
        <f>IFERROR(__xludf.DUMMYFUNCTION("IF($B307="""","""",SUBSTITUTE(SUBSTITUTE(SUBSTITUTE(SUBSTITUTE(INDEX(Hairstyles!$A:$A,MATCH($B307,Hairstyles!$F:$F,0)),"" "",""""),""'"",""""),""("",""""),"")"","""")&amp;""\""&amp;INDEX(SPLIT($A$2,""_""),1)&amp;""\""&amp;INDEX(SPLIT($A$2,""_""),2)&amp;""\""&amp;SUBSTITUTE(SUBST"&amp;"ITUTE(SUBSTITUTE(SUBSTITUTE(SUBSTITUTE(INDEX(Hairstyles!$C:$C,MATCH($B307,Hairstyles!$F:$F,0)),"" "",""""),""'"",""""),""("",""""),"")"",""""),""-"",""_"")&amp;""_""&amp;$A$2)"),"XingHDT-SMPWigs\Human\Male\Xing_HGEmori_Human_Male")</f>
        <v>XingHDT-SMPWigs\Human\Male\Xing_HGEmori_Human_Male</v>
      </c>
    </row>
    <row r="308">
      <c r="B308" s="12" t="str">
        <f>IFERROR(__xludf.DUMMYFUNCTION("""COMPUTED_VALUE"""),"Uvi_Wig_Spell_X_Dint_HG_Esmerald")</f>
        <v>Uvi_Wig_Spell_X_Dint_HG_Esmerald</v>
      </c>
      <c r="C308" s="12" t="str">
        <f>IFERROR(__xludf.DUMMYFUNCTION("IF($B308="""","""",SUBSTITUTE(SUBSTITUTE(SUBSTITUTE(SUBSTITUTE(INDEX(Hairstyles!$A:$A,MATCH($B308,Hairstyles!$F:$F,0)),"" "",""""),""'"",""""),""("",""""),"")"","""")&amp;""\""&amp;INDEX(SPLIT($A$2,""_""),1)&amp;""\""&amp;INDEX(SPLIT($A$2,""_""),2)&amp;""\""&amp;SUBSTITUTE(SUBST"&amp;"ITUTE(SUBSTITUTE(SUBSTITUTE(SUBSTITUTE(INDEX(Hairstyles!$C:$C,MATCH($B308,Hairstyles!$F:$F,0)),"" "",""""),""'"",""""),""("",""""),"")"",""""),""-"",""_"")&amp;""_""&amp;$A$2)"),"XingHDT-SMPWigs\Human\Male\Xing_HGEsmerald_Human_Male")</f>
        <v>XingHDT-SMPWigs\Human\Male\Xing_HGEsmerald_Human_Male</v>
      </c>
    </row>
    <row r="309">
      <c r="B309" s="12" t="str">
        <f>IFERROR(__xludf.DUMMYFUNCTION("""COMPUTED_VALUE"""),"Uvi_Wig_Spell_X_Dint_HG_FlyingMinaj")</f>
        <v>Uvi_Wig_Spell_X_Dint_HG_FlyingMinaj</v>
      </c>
      <c r="C309" s="12" t="str">
        <f>IFERROR(__xludf.DUMMYFUNCTION("IF($B309="""","""",SUBSTITUTE(SUBSTITUTE(SUBSTITUTE(SUBSTITUTE(INDEX(Hairstyles!$A:$A,MATCH($B309,Hairstyles!$F:$F,0)),"" "",""""),""'"",""""),""("",""""),"")"","""")&amp;""\""&amp;INDEX(SPLIT($A$2,""_""),1)&amp;""\""&amp;INDEX(SPLIT($A$2,""_""),2)&amp;""\""&amp;SUBSTITUTE(SUBST"&amp;"ITUTE(SUBSTITUTE(SUBSTITUTE(SUBSTITUTE(INDEX(Hairstyles!$C:$C,MATCH($B309,Hairstyles!$F:$F,0)),"" "",""""),""'"",""""),""("",""""),"")"",""""),""-"",""_"")&amp;""_""&amp;$A$2)"),"XingHDT-SMPWigs\Human\Male\Xing_HGFlyingMinaj_Human_Male")</f>
        <v>XingHDT-SMPWigs\Human\Male\Xing_HGFlyingMinaj_Human_Male</v>
      </c>
    </row>
    <row r="310">
      <c r="B310" s="12" t="str">
        <f>IFERROR(__xludf.DUMMYFUNCTION("""COMPUTED_VALUE"""),"Uvi_Wig_Spell_X_Dint_HG_Focus")</f>
        <v>Uvi_Wig_Spell_X_Dint_HG_Focus</v>
      </c>
      <c r="C310" s="12" t="str">
        <f>IFERROR(__xludf.DUMMYFUNCTION("IF($B310="""","""",SUBSTITUTE(SUBSTITUTE(SUBSTITUTE(SUBSTITUTE(INDEX(Hairstyles!$A:$A,MATCH($B310,Hairstyles!$F:$F,0)),"" "",""""),""'"",""""),""("",""""),"")"","""")&amp;""\""&amp;INDEX(SPLIT($A$2,""_""),1)&amp;""\""&amp;INDEX(SPLIT($A$2,""_""),2)&amp;""\""&amp;SUBSTITUTE(SUBST"&amp;"ITUTE(SUBSTITUTE(SUBSTITUTE(SUBSTITUTE(INDEX(Hairstyles!$C:$C,MATCH($B310,Hairstyles!$F:$F,0)),"" "",""""),""'"",""""),""("",""""),"")"",""""),""-"",""_"")&amp;""_""&amp;$A$2)"),"XingHDT-SMPWigs\Human\Male\Xing_HGFocus_Human_Male")</f>
        <v>XingHDT-SMPWigs\Human\Male\Xing_HGFocus_Human_Male</v>
      </c>
    </row>
    <row r="311">
      <c r="B311" s="12" t="str">
        <f>IFERROR(__xludf.DUMMYFUNCTION("""COMPUTED_VALUE"""),"Uvi_Wig_Spell_X_Dint_HG_Focus2")</f>
        <v>Uvi_Wig_Spell_X_Dint_HG_Focus2</v>
      </c>
      <c r="C311" s="12" t="str">
        <f>IFERROR(__xludf.DUMMYFUNCTION("IF($B311="""","""",SUBSTITUTE(SUBSTITUTE(SUBSTITUTE(SUBSTITUTE(INDEX(Hairstyles!$A:$A,MATCH($B311,Hairstyles!$F:$F,0)),"" "",""""),""'"",""""),""("",""""),"")"","""")&amp;""\""&amp;INDEX(SPLIT($A$2,""_""),1)&amp;""\""&amp;INDEX(SPLIT($A$2,""_""),2)&amp;""\""&amp;SUBSTITUTE(SUBST"&amp;"ITUTE(SUBSTITUTE(SUBSTITUTE(SUBSTITUTE(INDEX(Hairstyles!$C:$C,MATCH($B311,Hairstyles!$F:$F,0)),"" "",""""),""'"",""""),""("",""""),"")"",""""),""-"",""_"")&amp;""_""&amp;$A$2)"),"XingHDT-SMPWigs\Human\Male\Xing_HGFocus2_Human_Male")</f>
        <v>XingHDT-SMPWigs\Human\Male\Xing_HGFocus2_Human_Male</v>
      </c>
    </row>
    <row r="312">
      <c r="B312" s="12" t="str">
        <f>IFERROR(__xludf.DUMMYFUNCTION("""COMPUTED_VALUE"""),"Uvi_Wig_Spell_X_Dint_HG_Gorum")</f>
        <v>Uvi_Wig_Spell_X_Dint_HG_Gorum</v>
      </c>
      <c r="C312" s="12" t="str">
        <f>IFERROR(__xludf.DUMMYFUNCTION("IF($B312="""","""",SUBSTITUTE(SUBSTITUTE(SUBSTITUTE(SUBSTITUTE(INDEX(Hairstyles!$A:$A,MATCH($B312,Hairstyles!$F:$F,0)),"" "",""""),""'"",""""),""("",""""),"")"","""")&amp;""\""&amp;INDEX(SPLIT($A$2,""_""),1)&amp;""\""&amp;INDEX(SPLIT($A$2,""_""),2)&amp;""\""&amp;SUBSTITUTE(SUBST"&amp;"ITUTE(SUBSTITUTE(SUBSTITUTE(SUBSTITUTE(INDEX(Hairstyles!$C:$C,MATCH($B312,Hairstyles!$F:$F,0)),"" "",""""),""'"",""""),""("",""""),"")"",""""),""-"",""_"")&amp;""_""&amp;$A$2)"),"XingHDT-SMPWigs\Human\Male\Xing_HGGorum_Human_Male")</f>
        <v>XingHDT-SMPWigs\Human\Male\Xing_HGGorum_Human_Male</v>
      </c>
    </row>
    <row r="313">
      <c r="B313" s="12" t="str">
        <f>IFERROR(__xludf.DUMMYFUNCTION("""COMPUTED_VALUE"""),"Uvi_Wig_Spell_X_Dint_HG_GuineaPig")</f>
        <v>Uvi_Wig_Spell_X_Dint_HG_GuineaPig</v>
      </c>
      <c r="C313" s="12" t="str">
        <f>IFERROR(__xludf.DUMMYFUNCTION("IF($B313="""","""",SUBSTITUTE(SUBSTITUTE(SUBSTITUTE(SUBSTITUTE(INDEX(Hairstyles!$A:$A,MATCH($B313,Hairstyles!$F:$F,0)),"" "",""""),""'"",""""),""("",""""),"")"","""")&amp;""\""&amp;INDEX(SPLIT($A$2,""_""),1)&amp;""\""&amp;INDEX(SPLIT($A$2,""_""),2)&amp;""\""&amp;SUBSTITUTE(SUBST"&amp;"ITUTE(SUBSTITUTE(SUBSTITUTE(SUBSTITUTE(INDEX(Hairstyles!$C:$C,MATCH($B313,Hairstyles!$F:$F,0)),"" "",""""),""'"",""""),""("",""""),"")"",""""),""-"",""_"")&amp;""_""&amp;$A$2)"),"XingHDT-SMPWigs\Human\Male\Xing_HGGuineaPig_Human_Male")</f>
        <v>XingHDT-SMPWigs\Human\Male\Xing_HGGuineaPig_Human_Male</v>
      </c>
    </row>
    <row r="314">
      <c r="B314" s="12" t="str">
        <f>IFERROR(__xludf.DUMMYFUNCTION("""COMPUTED_VALUE"""),"Uvi_Wig_Spell_X_Dint_HG_GuineaPigBow")</f>
        <v>Uvi_Wig_Spell_X_Dint_HG_GuineaPigBow</v>
      </c>
      <c r="C314" s="12" t="str">
        <f>IFERROR(__xludf.DUMMYFUNCTION("IF($B314="""","""",SUBSTITUTE(SUBSTITUTE(SUBSTITUTE(SUBSTITUTE(INDEX(Hairstyles!$A:$A,MATCH($B314,Hairstyles!$F:$F,0)),"" "",""""),""'"",""""),""("",""""),"")"","""")&amp;""\""&amp;INDEX(SPLIT($A$2,""_""),1)&amp;""\""&amp;INDEX(SPLIT($A$2,""_""),2)&amp;""\""&amp;SUBSTITUTE(SUBST"&amp;"ITUTE(SUBSTITUTE(SUBSTITUTE(SUBSTITUTE(INDEX(Hairstyles!$C:$C,MATCH($B314,Hairstyles!$F:$F,0)),"" "",""""),""'"",""""),""("",""""),"")"",""""),""-"",""_"")&amp;""_""&amp;$A$2)"),"XingHDT-SMPWigs\Human\Male\Xing_HGGuineaPigBow_Human_Male")</f>
        <v>XingHDT-SMPWigs\Human\Male\Xing_HGGuineaPigBow_Human_Male</v>
      </c>
    </row>
    <row r="315">
      <c r="B315" s="12" t="str">
        <f>IFERROR(__xludf.DUMMYFUNCTION("""COMPUTED_VALUE"""),"Uvi_Wig_Spell_X_Dint_HG_LetsFrompiNu")</f>
        <v>Uvi_Wig_Spell_X_Dint_HG_LetsFrompiNu</v>
      </c>
      <c r="C315" s="12" t="str">
        <f>IFERROR(__xludf.DUMMYFUNCTION("IF($B315="""","""",SUBSTITUTE(SUBSTITUTE(SUBSTITUTE(SUBSTITUTE(INDEX(Hairstyles!$A:$A,MATCH($B315,Hairstyles!$F:$F,0)),"" "",""""),""'"",""""),""("",""""),"")"","""")&amp;""\""&amp;INDEX(SPLIT($A$2,""_""),1)&amp;""\""&amp;INDEX(SPLIT($A$2,""_""),2)&amp;""\""&amp;SUBSTITUTE(SUBST"&amp;"ITUTE(SUBSTITUTE(SUBSTITUTE(SUBSTITUTE(INDEX(Hairstyles!$C:$C,MATCH($B315,Hairstyles!$F:$F,0)),"" "",""""),""'"",""""),""("",""""),"")"",""""),""-"",""_"")&amp;""_""&amp;$A$2)"),"XingHDT-SMPWigs\Human\Male\Xing_HGKrissi_Human_Male")</f>
        <v>XingHDT-SMPWigs\Human\Male\Xing_HGKrissi_Human_Male</v>
      </c>
    </row>
    <row r="316">
      <c r="B316" s="12" t="str">
        <f>IFERROR(__xludf.DUMMYFUNCTION("""COMPUTED_VALUE"""),"Uvi_Wig_Spell_X_Dint_HG_Lena")</f>
        <v>Uvi_Wig_Spell_X_Dint_HG_Lena</v>
      </c>
      <c r="C316" s="12" t="str">
        <f>IFERROR(__xludf.DUMMYFUNCTION("IF($B316="""","""",SUBSTITUTE(SUBSTITUTE(SUBSTITUTE(SUBSTITUTE(INDEX(Hairstyles!$A:$A,MATCH($B316,Hairstyles!$F:$F,0)),"" "",""""),""'"",""""),""("",""""),"")"","""")&amp;""\""&amp;INDEX(SPLIT($A$2,""_""),1)&amp;""\""&amp;INDEX(SPLIT($A$2,""_""),2)&amp;""\""&amp;SUBSTITUTE(SUBST"&amp;"ITUTE(SUBSTITUTE(SUBSTITUTE(SUBSTITUTE(INDEX(Hairstyles!$C:$C,MATCH($B316,Hairstyles!$F:$F,0)),"" "",""""),""'"",""""),""("",""""),"")"",""""),""-"",""_"")&amp;""_""&amp;$A$2)"),"XingHDT-SMPWigs\Human\Male\Xing_HGLena_Human_Male")</f>
        <v>XingHDT-SMPWigs\Human\Male\Xing_HGLena_Human_Male</v>
      </c>
    </row>
    <row r="317">
      <c r="B317" s="12" t="str">
        <f>IFERROR(__xludf.DUMMYFUNCTION("""COMPUTED_VALUE"""),"Uvi_Wig_Spell_X_Dint_HG_Lisa")</f>
        <v>Uvi_Wig_Spell_X_Dint_HG_Lisa</v>
      </c>
      <c r="C317" s="12" t="str">
        <f>IFERROR(__xludf.DUMMYFUNCTION("IF($B317="""","""",SUBSTITUTE(SUBSTITUTE(SUBSTITUTE(SUBSTITUTE(INDEX(Hairstyles!$A:$A,MATCH($B317,Hairstyles!$F:$F,0)),"" "",""""),""'"",""""),""("",""""),"")"","""")&amp;""\""&amp;INDEX(SPLIT($A$2,""_""),1)&amp;""\""&amp;INDEX(SPLIT($A$2,""_""),2)&amp;""\""&amp;SUBSTITUTE(SUBST"&amp;"ITUTE(SUBSTITUTE(SUBSTITUTE(SUBSTITUTE(INDEX(Hairstyles!$C:$C,MATCH($B317,Hairstyles!$F:$F,0)),"" "",""""),""'"",""""),""("",""""),"")"",""""),""-"",""_"")&amp;""_""&amp;$A$2)"),"XingHDT-SMPWigs\Human\Male\Xing_HGLisa_Human_Male")</f>
        <v>XingHDT-SMPWigs\Human\Male\Xing_HGLisa_Human_Male</v>
      </c>
    </row>
    <row r="318">
      <c r="B318" s="12" t="str">
        <f>IFERROR(__xludf.DUMMYFUNCTION("""COMPUTED_VALUE"""),"Uvi_Wig_Spell_X_Dint_HG_NoFrauds")</f>
        <v>Uvi_Wig_Spell_X_Dint_HG_NoFrauds</v>
      </c>
      <c r="C318" s="12" t="str">
        <f>IFERROR(__xludf.DUMMYFUNCTION("IF($B318="""","""",SUBSTITUTE(SUBSTITUTE(SUBSTITUTE(SUBSTITUTE(INDEX(Hairstyles!$A:$A,MATCH($B318,Hairstyles!$F:$F,0)),"" "",""""),""'"",""""),""("",""""),"")"","""")&amp;""\""&amp;INDEX(SPLIT($A$2,""_""),1)&amp;""\""&amp;INDEX(SPLIT($A$2,""_""),2)&amp;""\""&amp;SUBSTITUTE(SUBST"&amp;"ITUTE(SUBSTITUTE(SUBSTITUTE(SUBSTITUTE(INDEX(Hairstyles!$C:$C,MATCH($B318,Hairstyles!$F:$F,0)),"" "",""""),""'"",""""),""("",""""),"")"",""""),""-"",""_"")&amp;""_""&amp;$A$2)"),"XingHDT-SMPWigs\Human\Male\Xing_HGNoFrauds_Human_Male")</f>
        <v>XingHDT-SMPWigs\Human\Male\Xing_HGNoFrauds_Human_Male</v>
      </c>
    </row>
    <row r="319">
      <c r="B319" s="12" t="str">
        <f>IFERROR(__xludf.DUMMYFUNCTION("""COMPUTED_VALUE"""),"Uvi_Wig_Spell_X_Dint_HG_Peach")</f>
        <v>Uvi_Wig_Spell_X_Dint_HG_Peach</v>
      </c>
      <c r="C319" s="12" t="str">
        <f>IFERROR(__xludf.DUMMYFUNCTION("IF($B319="""","""",SUBSTITUTE(SUBSTITUTE(SUBSTITUTE(SUBSTITUTE(INDEX(Hairstyles!$A:$A,MATCH($B319,Hairstyles!$F:$F,0)),"" "",""""),""'"",""""),""("",""""),"")"","""")&amp;""\""&amp;INDEX(SPLIT($A$2,""_""),1)&amp;""\""&amp;INDEX(SPLIT($A$2,""_""),2)&amp;""\""&amp;SUBSTITUTE(SUBST"&amp;"ITUTE(SUBSTITUTE(SUBSTITUTE(SUBSTITUTE(INDEX(Hairstyles!$C:$C,MATCH($B319,Hairstyles!$F:$F,0)),"" "",""""),""'"",""""),""("",""""),"")"",""""),""-"",""_"")&amp;""_""&amp;$A$2)"),"XingHDT-SMPWigs\Human\Male\Xing_HGPeach_Human_Male")</f>
        <v>XingHDT-SMPWigs\Human\Male\Xing_HGPeach_Human_Male</v>
      </c>
    </row>
    <row r="320">
      <c r="B320" s="12" t="str">
        <f>IFERROR(__xludf.DUMMYFUNCTION("""COMPUTED_VALUE"""),"Uvi_Wig_Spell_X_Dint_HG_Vipress")</f>
        <v>Uvi_Wig_Spell_X_Dint_HG_Vipress</v>
      </c>
      <c r="C320" s="12" t="str">
        <f>IFERROR(__xludf.DUMMYFUNCTION("IF($B320="""","""",SUBSTITUTE(SUBSTITUTE(SUBSTITUTE(SUBSTITUTE(INDEX(Hairstyles!$A:$A,MATCH($B320,Hairstyles!$F:$F,0)),"" "",""""),""'"",""""),""("",""""),"")"","""")&amp;""\""&amp;INDEX(SPLIT($A$2,""_""),1)&amp;""\""&amp;INDEX(SPLIT($A$2,""_""),2)&amp;""\""&amp;SUBSTITUTE(SUBST"&amp;"ITUTE(SUBSTITUTE(SUBSTITUTE(SUBSTITUTE(INDEX(Hairstyles!$C:$C,MATCH($B320,Hairstyles!$F:$F,0)),"" "",""""),""'"",""""),""("",""""),"")"",""""),""-"",""_"")&amp;""_""&amp;$A$2)"),"XingHDT-SMPWigs\Human\Male\Xing_HGVipress_Human_Male")</f>
        <v>XingHDT-SMPWigs\Human\Male\Xing_HGVipress_Human_Male</v>
      </c>
    </row>
    <row r="321">
      <c r="B321" s="12" t="str">
        <f>IFERROR(__xludf.DUMMYFUNCTION("""COMPUTED_VALUE"""),"Uvi_Wig_Spell_X_Dint_HG_Vipress2")</f>
        <v>Uvi_Wig_Spell_X_Dint_HG_Vipress2</v>
      </c>
      <c r="C321" s="12" t="str">
        <f>IFERROR(__xludf.DUMMYFUNCTION("IF($B321="""","""",SUBSTITUTE(SUBSTITUTE(SUBSTITUTE(SUBSTITUTE(INDEX(Hairstyles!$A:$A,MATCH($B321,Hairstyles!$F:$F,0)),"" "",""""),""'"",""""),""("",""""),"")"","""")&amp;""\""&amp;INDEX(SPLIT($A$2,""_""),1)&amp;""\""&amp;INDEX(SPLIT($A$2,""_""),2)&amp;""\""&amp;SUBSTITUTE(SUBST"&amp;"ITUTE(SUBSTITUTE(SUBSTITUTE(SUBSTITUTE(INDEX(Hairstyles!$C:$C,MATCH($B321,Hairstyles!$F:$F,0)),"" "",""""),""'"",""""),""("",""""),"")"",""""),""-"",""_"")&amp;""_""&amp;$A$2)"),"XingHDT-SMPWigs\Human\Male\Xing_HGVipressnolimits_Human_Male")</f>
        <v>XingHDT-SMPWigs\Human\Male\Xing_HGVipressnolimits_Human_Male</v>
      </c>
    </row>
    <row r="322">
      <c r="B322" s="12" t="str">
        <f>IFERROR(__xludf.DUMMYFUNCTION("""COMPUTED_VALUE"""),"Uvi_Wig_Spell_X_Dint_HG_Wen")</f>
        <v>Uvi_Wig_Spell_X_Dint_HG_Wen</v>
      </c>
      <c r="C322" s="12" t="str">
        <f>IFERROR(__xludf.DUMMYFUNCTION("IF($B322="""","""",SUBSTITUTE(SUBSTITUTE(SUBSTITUTE(SUBSTITUTE(INDEX(Hairstyles!$A:$A,MATCH($B322,Hairstyles!$F:$F,0)),"" "",""""),""'"",""""),""("",""""),"")"","""")&amp;""\""&amp;INDEX(SPLIT($A$2,""_""),1)&amp;""\""&amp;INDEX(SPLIT($A$2,""_""),2)&amp;""\""&amp;SUBSTITUTE(SUBST"&amp;"ITUTE(SUBSTITUTE(SUBSTITUTE(SUBSTITUTE(INDEX(Hairstyles!$C:$C,MATCH($B322,Hairstyles!$F:$F,0)),"" "",""""),""'"",""""),""("",""""),"")"",""""),""-"",""_"")&amp;""_""&amp;$A$2)"),"XingHDT-SMPWigs\Human\Male\Xing_HGWen_Human_Male")</f>
        <v>XingHDT-SMPWigs\Human\Male\Xing_HGWen_Human_Male</v>
      </c>
    </row>
    <row r="323">
      <c r="B323" s="12" t="str">
        <f>IFERROR(__xludf.DUMMYFUNCTION("""COMPUTED_VALUE"""),"Uvi_Wig_Spell_X_Dint_HG_Wing109")</f>
        <v>Uvi_Wig_Spell_X_Dint_HG_Wing109</v>
      </c>
      <c r="C323" s="12" t="str">
        <f>IFERROR(__xludf.DUMMYFUNCTION("IF($B323="""","""",SUBSTITUTE(SUBSTITUTE(SUBSTITUTE(SUBSTITUTE(INDEX(Hairstyles!$A:$A,MATCH($B323,Hairstyles!$F:$F,0)),"" "",""""),""'"",""""),""("",""""),"")"","""")&amp;""\""&amp;INDEX(SPLIT($A$2,""_""),1)&amp;""\""&amp;INDEX(SPLIT($A$2,""_""),2)&amp;""\""&amp;SUBSTITUTE(SUBST"&amp;"ITUTE(SUBSTITUTE(SUBSTITUTE(SUBSTITUTE(INDEX(Hairstyles!$C:$C,MATCH($B323,Hairstyles!$F:$F,0)),"" "",""""),""'"",""""),""("",""""),"")"",""""),""-"",""_"")&amp;""_""&amp;$A$2)"),"XingHDT-SMPWigs\Human\Male\Xing_HGWing109_Human_Male")</f>
        <v>XingHDT-SMPWigs\Human\Male\Xing_HGWing109_Human_Male</v>
      </c>
    </row>
    <row r="324">
      <c r="B324" s="12" t="str">
        <f>IFERROR(__xludf.DUMMYFUNCTION("""COMPUTED_VALUE"""),"Uvi_Wig_Spell_X_Dint_HG_Wing1111")</f>
        <v>Uvi_Wig_Spell_X_Dint_HG_Wing1111</v>
      </c>
      <c r="C324" s="12" t="str">
        <f>IFERROR(__xludf.DUMMYFUNCTION("IF($B324="""","""",SUBSTITUTE(SUBSTITUTE(SUBSTITUTE(SUBSTITUTE(INDEX(Hairstyles!$A:$A,MATCH($B324,Hairstyles!$F:$F,0)),"" "",""""),""'"",""""),""("",""""),"")"","""")&amp;""\""&amp;INDEX(SPLIT($A$2,""_""),1)&amp;""\""&amp;INDEX(SPLIT($A$2,""_""),2)&amp;""\""&amp;SUBSTITUTE(SUBST"&amp;"ITUTE(SUBSTITUTE(SUBSTITUTE(SUBSTITUTE(INDEX(Hairstyles!$C:$C,MATCH($B324,Hairstyles!$F:$F,0)),"" "",""""),""'"",""""),""("",""""),"")"",""""),""-"",""_"")&amp;""_""&amp;$A$2)"),"XingHDT-SMPWigs\Human\Male\Xing_HGWing1111_Human_Male")</f>
        <v>XingHDT-SMPWigs\Human\Male\Xing_HGWing1111_Human_Male</v>
      </c>
    </row>
    <row r="325">
      <c r="B325" s="12" t="str">
        <f>IFERROR(__xludf.DUMMYFUNCTION("""COMPUTED_VALUE"""),"Uvi_Wig_Spell_X_Dint_HG_Wing614")</f>
        <v>Uvi_Wig_Spell_X_Dint_HG_Wing614</v>
      </c>
      <c r="C325" s="12" t="str">
        <f>IFERROR(__xludf.DUMMYFUNCTION("IF($B325="""","""",SUBSTITUTE(SUBSTITUTE(SUBSTITUTE(SUBSTITUTE(INDEX(Hairstyles!$A:$A,MATCH($B325,Hairstyles!$F:$F,0)),"" "",""""),""'"",""""),""("",""""),"")"","""")&amp;""\""&amp;INDEX(SPLIT($A$2,""_""),1)&amp;""\""&amp;INDEX(SPLIT($A$2,""_""),2)&amp;""\""&amp;SUBSTITUTE(SUBST"&amp;"ITUTE(SUBSTITUTE(SUBSTITUTE(SUBSTITUTE(INDEX(Hairstyles!$C:$C,MATCH($B325,Hairstyles!$F:$F,0)),"" "",""""),""'"",""""),""("",""""),"")"",""""),""-"",""_"")&amp;""_""&amp;$A$2)"),"XingHDT-SMPWigs\Human\Male\Xing_HGWing614_Human_Male")</f>
        <v>XingHDT-SMPWigs\Human\Male\Xing_HGWing614_Human_Male</v>
      </c>
    </row>
    <row r="326">
      <c r="B326" s="12" t="str">
        <f>IFERROR(__xludf.DUMMYFUNCTION("""COMPUTED_VALUE"""),"Uvi_Wig_Spell_X_Dint_HG_Wing722")</f>
        <v>Uvi_Wig_Spell_X_Dint_HG_Wing722</v>
      </c>
      <c r="C326" s="12" t="str">
        <f>IFERROR(__xludf.DUMMYFUNCTION("IF($B326="""","""",SUBSTITUTE(SUBSTITUTE(SUBSTITUTE(SUBSTITUTE(INDEX(Hairstyles!$A:$A,MATCH($B326,Hairstyles!$F:$F,0)),"" "",""""),""'"",""""),""("",""""),"")"","""")&amp;""\""&amp;INDEX(SPLIT($A$2,""_""),1)&amp;""\""&amp;INDEX(SPLIT($A$2,""_""),2)&amp;""\""&amp;SUBSTITUTE(SUBST"&amp;"ITUTE(SUBSTITUTE(SUBSTITUTE(SUBSTITUTE(INDEX(Hairstyles!$C:$C,MATCH($B326,Hairstyles!$F:$F,0)),"" "",""""),""'"",""""),""("",""""),"")"",""""),""-"",""_"")&amp;""_""&amp;$A$2)"),"XingHDT-SMPWigs\Human\Male\Xing_HGWing722_Human_Male")</f>
        <v>XingHDT-SMPWigs\Human\Male\Xing_HGWing722_Human_Male</v>
      </c>
    </row>
    <row r="327">
      <c r="B327" s="12" t="str">
        <f>IFERROR(__xludf.DUMMYFUNCTION("""COMPUTED_VALUE"""),"Uvi_Wig_Spell_X_HH_Ponytail")</f>
        <v>Uvi_Wig_Spell_X_HH_Ponytail</v>
      </c>
      <c r="C327" s="12" t="str">
        <f>IFERROR(__xludf.DUMMYFUNCTION("IF($B327="""","""",SUBSTITUTE(SUBSTITUTE(SUBSTITUTE(SUBSTITUTE(INDEX(Hairstyles!$A:$A,MATCH($B327,Hairstyles!$F:$F,0)),"" "",""""),""'"",""""),""("",""""),"")"","""")&amp;""\""&amp;INDEX(SPLIT($A$2,""_""),1)&amp;""\""&amp;INDEX(SPLIT($A$2,""_""),2)&amp;""\""&amp;SUBSTITUTE(SUBST"&amp;"ITUTE(SUBSTITUTE(SUBSTITUTE(SUBSTITUTE(INDEX(Hairstyles!$C:$C,MATCH($B327,Hairstyles!$F:$F,0)),"" "",""""),""'"",""""),""("",""""),"")"",""""),""-"",""_"")&amp;""_""&amp;$A$2)"),"XingHDT-SMPWigs\Human\Male\Xing_HHPonytail_Human_Male")</f>
        <v>XingHDT-SMPWigs\Human\Male\Xing_HHPonytail_Human_Male</v>
      </c>
    </row>
    <row r="328">
      <c r="B328" s="12" t="str">
        <f>IFERROR(__xludf.DUMMYFUNCTION("""COMPUTED_VALUE"""),"Uvi_Wig_Spell_X_HH_PonytailSideSwept")</f>
        <v>Uvi_Wig_Spell_X_HH_PonytailSideSwept</v>
      </c>
      <c r="C328" s="12" t="str">
        <f>IFERROR(__xludf.DUMMYFUNCTION("IF($B328="""","""",SUBSTITUTE(SUBSTITUTE(SUBSTITUTE(SUBSTITUTE(INDEX(Hairstyles!$A:$A,MATCH($B328,Hairstyles!$F:$F,0)),"" "",""""),""'"",""""),""("",""""),"")"","""")&amp;""\""&amp;INDEX(SPLIT($A$2,""_""),1)&amp;""\""&amp;INDEX(SPLIT($A$2,""_""),2)&amp;""\""&amp;SUBSTITUTE(SUBST"&amp;"ITUTE(SUBSTITUTE(SUBSTITUTE(SUBSTITUTE(INDEX(Hairstyles!$C:$C,MATCH($B328,Hairstyles!$F:$F,0)),"" "",""""),""'"",""""),""("",""""),"")"",""""),""-"",""_"")&amp;""_""&amp;$A$2)"),"XingHDT-SMPWigs\Human\Male\Xing_HHPonytailSideSwept_Human_Male")</f>
        <v>XingHDT-SMPWigs\Human\Male\Xing_HHPonytailSideSwept_Human_Male</v>
      </c>
    </row>
    <row r="329">
      <c r="B329" s="12" t="str">
        <f>IFERROR(__xludf.DUMMYFUNCTION("""COMPUTED_VALUE"""),"Uvi_Wig_Spell_X_HH_ShortBob")</f>
        <v>Uvi_Wig_Spell_X_HH_ShortBob</v>
      </c>
      <c r="C329" s="12" t="str">
        <f>IFERROR(__xludf.DUMMYFUNCTION("IF($B329="""","""",SUBSTITUTE(SUBSTITUTE(SUBSTITUTE(SUBSTITUTE(INDEX(Hairstyles!$A:$A,MATCH($B329,Hairstyles!$F:$F,0)),"" "",""""),""'"",""""),""("",""""),"")"","""")&amp;""\""&amp;INDEX(SPLIT($A$2,""_""),1)&amp;""\""&amp;INDEX(SPLIT($A$2,""_""),2)&amp;""\""&amp;SUBSTITUTE(SUBST"&amp;"ITUTE(SUBSTITUTE(SUBSTITUTE(SUBSTITUTE(INDEX(Hairstyles!$C:$C,MATCH($B329,Hairstyles!$F:$F,0)),"" "",""""),""'"",""""),""("",""""),"")"",""""),""-"",""_"")&amp;""_""&amp;$A$2)"),"XingHDT-SMPWigs\Human\Male\Xing_HHShortBob_Human_Male")</f>
        <v>XingHDT-SMPWigs\Human\Male\Xing_HHShortBob_Human_Male</v>
      </c>
    </row>
    <row r="330">
      <c r="B330" s="12" t="str">
        <f>IFERROR(__xludf.DUMMYFUNCTION("""COMPUTED_VALUE"""),"Uvi_Wig_Spell_X_HH_ShortBobSideSwept")</f>
        <v>Uvi_Wig_Spell_X_HH_ShortBobSideSwept</v>
      </c>
      <c r="C330" s="12" t="str">
        <f>IFERROR(__xludf.DUMMYFUNCTION("IF($B330="""","""",SUBSTITUTE(SUBSTITUTE(SUBSTITUTE(SUBSTITUTE(INDEX(Hairstyles!$A:$A,MATCH($B330,Hairstyles!$F:$F,0)),"" "",""""),""'"",""""),""("",""""),"")"","""")&amp;""\""&amp;INDEX(SPLIT($A$2,""_""),1)&amp;""\""&amp;INDEX(SPLIT($A$2,""_""),2)&amp;""\""&amp;SUBSTITUTE(SUBST"&amp;"ITUTE(SUBSTITUTE(SUBSTITUTE(SUBSTITUTE(INDEX(Hairstyles!$C:$C,MATCH($B330,Hairstyles!$F:$F,0)),"" "",""""),""'"",""""),""("",""""),"")"",""""),""-"",""_"")&amp;""_""&amp;$A$2)"),"XingHDT-SMPWigs\Human\Male\Xing_HHShortBobSideSwept_Human_Male")</f>
        <v>XingHDT-SMPWigs\Human\Male\Xing_HHShortBobSideSwept_Human_Male</v>
      </c>
    </row>
    <row r="331">
      <c r="B331" s="12" t="str">
        <f>IFERROR(__xludf.DUMMYFUNCTION("""COMPUTED_VALUE"""),"Uvi_Wig_Spell_X_HH_ShortBobTucked")</f>
        <v>Uvi_Wig_Spell_X_HH_ShortBobTucked</v>
      </c>
      <c r="C331" s="12" t="str">
        <f>IFERROR(__xludf.DUMMYFUNCTION("IF($B331="""","""",SUBSTITUTE(SUBSTITUTE(SUBSTITUTE(SUBSTITUTE(INDEX(Hairstyles!$A:$A,MATCH($B331,Hairstyles!$F:$F,0)),"" "",""""),""'"",""""),""("",""""),"")"","""")&amp;""\""&amp;INDEX(SPLIT($A$2,""_""),1)&amp;""\""&amp;INDEX(SPLIT($A$2,""_""),2)&amp;""\""&amp;SUBSTITUTE(SUBST"&amp;"ITUTE(SUBSTITUTE(SUBSTITUTE(SUBSTITUTE(INDEX(Hairstyles!$C:$C,MATCH($B331,Hairstyles!$F:$F,0)),"" "",""""),""'"",""""),""("",""""),"")"",""""),""-"",""_"")&amp;""_""&amp;$A$2)"),"XingHDT-SMPWigs\Human\Male\Xing_HHShortBobTucked_Human_Male")</f>
        <v>XingHDT-SMPWigs\Human\Male\Xing_HHShortBobTucked_Human_Male</v>
      </c>
    </row>
    <row r="332">
      <c r="B332" s="12" t="str">
        <f>IFERROR(__xludf.DUMMYFUNCTION("""COMPUTED_VALUE"""),"Uvi_Wig_Spell_X_Dint_KS_AmberL")</f>
        <v>Uvi_Wig_Spell_X_Dint_KS_AmberL</v>
      </c>
      <c r="C332" s="12" t="str">
        <f>IFERROR(__xludf.DUMMYFUNCTION("IF($B332="""","""",SUBSTITUTE(SUBSTITUTE(SUBSTITUTE(SUBSTITUTE(INDEX(Hairstyles!$A:$A,MATCH($B332,Hairstyles!$F:$F,0)),"" "",""""),""'"",""""),""("",""""),"")"","""")&amp;""\""&amp;INDEX(SPLIT($A$2,""_""),1)&amp;""\""&amp;INDEX(SPLIT($A$2,""_""),2)&amp;""\""&amp;SUBSTITUTE(SUBST"&amp;"ITUTE(SUBSTITUTE(SUBSTITUTE(SUBSTITUTE(INDEX(Hairstyles!$C:$C,MATCH($B332,Hairstyles!$F:$F,0)),"" "",""""),""'"",""""),""("",""""),"")"",""""),""-"",""_"")&amp;""_""&amp;$A$2)"),"XingHDT-SMPWigs\Human\Male\Xing_KSAmberLights_Human_Male")</f>
        <v>XingHDT-SMPWigs\Human\Male\Xing_KSAmberLights_Human_Male</v>
      </c>
    </row>
    <row r="333">
      <c r="B333" s="12" t="str">
        <f>IFERROR(__xludf.DUMMYFUNCTION("""COMPUTED_VALUE"""),"Uvi_Wig_Spell_X_Dint_KS_Anchor")</f>
        <v>Uvi_Wig_Spell_X_Dint_KS_Anchor</v>
      </c>
      <c r="C333" s="12" t="str">
        <f>IFERROR(__xludf.DUMMYFUNCTION("IF($B333="""","""",SUBSTITUTE(SUBSTITUTE(SUBSTITUTE(SUBSTITUTE(INDEX(Hairstyles!$A:$A,MATCH($B333,Hairstyles!$F:$F,0)),"" "",""""),""'"",""""),""("",""""),"")"","""")&amp;""\""&amp;INDEX(SPLIT($A$2,""_""),1)&amp;""\""&amp;INDEX(SPLIT($A$2,""_""),2)&amp;""\""&amp;SUBSTITUTE(SUBST"&amp;"ITUTE(SUBSTITUTE(SUBSTITUTE(SUBSTITUTE(INDEX(Hairstyles!$C:$C,MATCH($B333,Hairstyles!$F:$F,0)),"" "",""""),""'"",""""),""("",""""),"")"",""""),""-"",""_"")&amp;""_""&amp;$A$2)"),"XingHDT-SMPWigs\Human\Male\Xing_KSAnchor_Human_Male")</f>
        <v>XingHDT-SMPWigs\Human\Male\Xing_KSAnchor_Human_Male</v>
      </c>
    </row>
    <row r="334">
      <c r="B334" s="12" t="str">
        <f>IFERROR(__xludf.DUMMYFUNCTION("""COMPUTED_VALUE"""),"Uvi_Wig_Spell_X_Dint_KS_Aquaria")</f>
        <v>Uvi_Wig_Spell_X_Dint_KS_Aquaria</v>
      </c>
      <c r="C334" s="12" t="str">
        <f>IFERROR(__xludf.DUMMYFUNCTION("IF($B334="""","""",SUBSTITUTE(SUBSTITUTE(SUBSTITUTE(SUBSTITUTE(INDEX(Hairstyles!$A:$A,MATCH($B334,Hairstyles!$F:$F,0)),"" "",""""),""'"",""""),""("",""""),"")"","""")&amp;""\""&amp;INDEX(SPLIT($A$2,""_""),1)&amp;""\""&amp;INDEX(SPLIT($A$2,""_""),2)&amp;""\""&amp;SUBSTITUTE(SUBST"&amp;"ITUTE(SUBSTITUTE(SUBSTITUTE(SUBSTITUTE(INDEX(Hairstyles!$C:$C,MATCH($B334,Hairstyles!$F:$F,0)),"" "",""""),""'"",""""),""("",""""),"")"",""""),""-"",""_"")&amp;""_""&amp;$A$2)"),"XingHDT-SMPWigs\Human\Male\Xing_KSAquaria_Human_Male")</f>
        <v>XingHDT-SMPWigs\Human\Male\Xing_KSAquaria_Human_Male</v>
      </c>
    </row>
    <row r="335">
      <c r="B335" s="12" t="str">
        <f>IFERROR(__xludf.DUMMYFUNCTION("""COMPUTED_VALUE"""),"Uvi_Wig_Spell_X_Dint_KS_BlackBullet")</f>
        <v>Uvi_Wig_Spell_X_Dint_KS_BlackBullet</v>
      </c>
      <c r="C335" s="12" t="str">
        <f>IFERROR(__xludf.DUMMYFUNCTION("IF($B335="""","""",SUBSTITUTE(SUBSTITUTE(SUBSTITUTE(SUBSTITUTE(INDEX(Hairstyles!$A:$A,MATCH($B335,Hairstyles!$F:$F,0)),"" "",""""),""'"",""""),""("",""""),"")"","""")&amp;""\""&amp;INDEX(SPLIT($A$2,""_""),1)&amp;""\""&amp;INDEX(SPLIT($A$2,""_""),2)&amp;""\""&amp;SUBSTITUTE(SUBST"&amp;"ITUTE(SUBSTITUTE(SUBSTITUTE(SUBSTITUTE(INDEX(Hairstyles!$C:$C,MATCH($B335,Hairstyles!$F:$F,0)),"" "",""""),""'"",""""),""("",""""),"")"",""""),""-"",""_"")&amp;""_""&amp;$A$2)"),"XingHDT-SMPWigs\Human\Male\Xing_KSBlackBullet_Human_Male")</f>
        <v>XingHDT-SMPWigs\Human\Male\Xing_KSBlackBullet_Human_Male</v>
      </c>
    </row>
    <row r="336">
      <c r="B336" s="12" t="str">
        <f>IFERROR(__xludf.DUMMYFUNCTION("""COMPUTED_VALUE"""),"Uvi_Wig_Spell_X_Dint_KS_BlossomStory")</f>
        <v>Uvi_Wig_Spell_X_Dint_KS_BlossomStory</v>
      </c>
      <c r="C336" s="12" t="str">
        <f>IFERROR(__xludf.DUMMYFUNCTION("IF($B336="""","""",SUBSTITUTE(SUBSTITUTE(SUBSTITUTE(SUBSTITUTE(INDEX(Hairstyles!$A:$A,MATCH($B336,Hairstyles!$F:$F,0)),"" "",""""),""'"",""""),""("",""""),"")"","""")&amp;""\""&amp;INDEX(SPLIT($A$2,""_""),1)&amp;""\""&amp;INDEX(SPLIT($A$2,""_""),2)&amp;""\""&amp;SUBSTITUTE(SUBST"&amp;"ITUTE(SUBSTITUTE(SUBSTITUTE(SUBSTITUTE(INDEX(Hairstyles!$C:$C,MATCH($B336,Hairstyles!$F:$F,0)),"" "",""""),""'"",""""),""("",""""),"")"",""""),""-"",""_"")&amp;""_""&amp;$A$2)"),"XingHDT-SMPWigs\Human\Male\Xing_KSBlossomStory_Human_Male")</f>
        <v>XingHDT-SMPWigs\Human\Male\Xing_KSBlossomStory_Human_Male</v>
      </c>
    </row>
    <row r="337">
      <c r="B337" s="12" t="str">
        <f>IFERROR(__xludf.DUMMYFUNCTION("""COMPUTED_VALUE"""),"Uvi_Wig_Spell_X_Dint_KS_Butterfly098")</f>
        <v>Uvi_Wig_Spell_X_Dint_KS_Butterfly098</v>
      </c>
      <c r="C337" s="12" t="str">
        <f>IFERROR(__xludf.DUMMYFUNCTION("IF($B337="""","""",SUBSTITUTE(SUBSTITUTE(SUBSTITUTE(SUBSTITUTE(INDEX(Hairstyles!$A:$A,MATCH($B337,Hairstyles!$F:$F,0)),"" "",""""),""'"",""""),""("",""""),"")"","""")&amp;""\""&amp;INDEX(SPLIT($A$2,""_""),1)&amp;""\""&amp;INDEX(SPLIT($A$2,""_""),2)&amp;""\""&amp;SUBSTITUTE(SUBST"&amp;"ITUTE(SUBSTITUTE(SUBSTITUTE(SUBSTITUTE(INDEX(Hairstyles!$C:$C,MATCH($B337,Hairstyles!$F:$F,0)),"" "",""""),""'"",""""),""("",""""),"")"",""""),""-"",""_"")&amp;""_""&amp;$A$2)"),"XingHDT-SMPWigs\Human\Male\Xing_KSButterfly098_Human_Male")</f>
        <v>XingHDT-SMPWigs\Human\Male\Xing_KSButterfly098_Human_Male</v>
      </c>
    </row>
    <row r="338">
      <c r="B338" s="12" t="str">
        <f>IFERROR(__xludf.DUMMYFUNCTION("""COMPUTED_VALUE"""),"Uvi_Wig_Spell_X_Dint_KS_Cambrian")</f>
        <v>Uvi_Wig_Spell_X_Dint_KS_Cambrian</v>
      </c>
      <c r="C338" s="12" t="str">
        <f>IFERROR(__xludf.DUMMYFUNCTION("IF($B338="""","""",SUBSTITUTE(SUBSTITUTE(SUBSTITUTE(SUBSTITUTE(INDEX(Hairstyles!$A:$A,MATCH($B338,Hairstyles!$F:$F,0)),"" "",""""),""'"",""""),""("",""""),"")"","""")&amp;""\""&amp;INDEX(SPLIT($A$2,""_""),1)&amp;""\""&amp;INDEX(SPLIT($A$2,""_""),2)&amp;""\""&amp;SUBSTITUTE(SUBST"&amp;"ITUTE(SUBSTITUTE(SUBSTITUTE(SUBSTITUTE(INDEX(Hairstyles!$C:$C,MATCH($B338,Hairstyles!$F:$F,0)),"" "",""""),""'"",""""),""("",""""),"")"",""""),""-"",""_"")&amp;""_""&amp;$A$2)"),"XingHDT-SMPWigs\Human\Male\Xing_KSCambrian_Human_Male")</f>
        <v>XingHDT-SMPWigs\Human\Male\Xing_KSCambrian_Human_Male</v>
      </c>
    </row>
    <row r="339">
      <c r="B339" s="12" t="str">
        <f>IFERROR(__xludf.DUMMYFUNCTION("""COMPUTED_VALUE"""),"Uvi_Wig_Spell_X_Dint_KS_Caramella")</f>
        <v>Uvi_Wig_Spell_X_Dint_KS_Caramella</v>
      </c>
      <c r="C339" s="12" t="str">
        <f>IFERROR(__xludf.DUMMYFUNCTION("IF($B339="""","""",SUBSTITUTE(SUBSTITUTE(SUBSTITUTE(SUBSTITUTE(INDEX(Hairstyles!$A:$A,MATCH($B339,Hairstyles!$F:$F,0)),"" "",""""),""'"",""""),""("",""""),"")"","""")&amp;""\""&amp;INDEX(SPLIT($A$2,""_""),1)&amp;""\""&amp;INDEX(SPLIT($A$2,""_""),2)&amp;""\""&amp;SUBSTITUTE(SUBST"&amp;"ITUTE(SUBSTITUTE(SUBSTITUTE(SUBSTITUTE(INDEX(Hairstyles!$C:$C,MATCH($B339,Hairstyles!$F:$F,0)),"" "",""""),""'"",""""),""("",""""),"")"",""""),""-"",""_"")&amp;""_""&amp;$A$2)"),"XingHDT-SMPWigs\Human\Male\Xing_KSCaramella_Human_Male")</f>
        <v>XingHDT-SMPWigs\Human\Male\Xing_KSCaramella_Human_Male</v>
      </c>
    </row>
    <row r="340">
      <c r="B340" s="12" t="str">
        <f>IFERROR(__xludf.DUMMYFUNCTION("""COMPUTED_VALUE"""),"Uvi_Wig_Spell_X_Dint_KS_ChainReaction")</f>
        <v>Uvi_Wig_Spell_X_Dint_KS_ChainReaction</v>
      </c>
      <c r="C340" s="12" t="str">
        <f>IFERROR(__xludf.DUMMYFUNCTION("IF($B340="""","""",SUBSTITUTE(SUBSTITUTE(SUBSTITUTE(SUBSTITUTE(INDEX(Hairstyles!$A:$A,MATCH($B340,Hairstyles!$F:$F,0)),"" "",""""),""'"",""""),""("",""""),"")"","""")&amp;""\""&amp;INDEX(SPLIT($A$2,""_""),1)&amp;""\""&amp;INDEX(SPLIT($A$2,""_""),2)&amp;""\""&amp;SUBSTITUTE(SUBST"&amp;"ITUTE(SUBSTITUTE(SUBSTITUTE(SUBSTITUTE(INDEX(Hairstyles!$C:$C,MATCH($B340,Hairstyles!$F:$F,0)),"" "",""""),""'"",""""),""("",""""),"")"",""""),""-"",""_"")&amp;""_""&amp;$A$2)"),"XingHDT-SMPWigs\Human\Male\Xing_KSChainReaction_Human_Male")</f>
        <v>XingHDT-SMPWigs\Human\Male\Xing_KSChainReaction_Human_Male</v>
      </c>
    </row>
    <row r="341">
      <c r="B341" s="12" t="str">
        <f>IFERROR(__xludf.DUMMYFUNCTION("""COMPUTED_VALUE"""),"Uvi_Wig_Spell_X_Dint_KS_Clover")</f>
        <v>Uvi_Wig_Spell_X_Dint_KS_Clover</v>
      </c>
      <c r="C341" s="12" t="str">
        <f>IFERROR(__xludf.DUMMYFUNCTION("IF($B341="""","""",SUBSTITUTE(SUBSTITUTE(SUBSTITUTE(SUBSTITUTE(INDEX(Hairstyles!$A:$A,MATCH($B341,Hairstyles!$F:$F,0)),"" "",""""),""'"",""""),""("",""""),"")"","""")&amp;""\""&amp;INDEX(SPLIT($A$2,""_""),1)&amp;""\""&amp;INDEX(SPLIT($A$2,""_""),2)&amp;""\""&amp;SUBSTITUTE(SUBST"&amp;"ITUTE(SUBSTITUTE(SUBSTITUTE(SUBSTITUTE(INDEX(Hairstyles!$C:$C,MATCH($B341,Hairstyles!$F:$F,0)),"" "",""""),""'"",""""),""("",""""),"")"",""""),""-"",""_"")&amp;""_""&amp;$A$2)"),"XingHDT-SMPWigs\Human\Male\Xing_KSClover_Human_Male")</f>
        <v>XingHDT-SMPWigs\Human\Male\Xing_KSClover_Human_Male</v>
      </c>
    </row>
    <row r="342">
      <c r="B342" s="12" t="str">
        <f>IFERROR(__xludf.DUMMYFUNCTION("""COMPUTED_VALUE"""),"Uvi_Wig_Spell_X_Dint_KS_CraxyLove")</f>
        <v>Uvi_Wig_Spell_X_Dint_KS_CraxyLove</v>
      </c>
      <c r="C342" s="12" t="str">
        <f>IFERROR(__xludf.DUMMYFUNCTION("IF($B342="""","""",SUBSTITUTE(SUBSTITUTE(SUBSTITUTE(SUBSTITUTE(INDEX(Hairstyles!$A:$A,MATCH($B342,Hairstyles!$F:$F,0)),"" "",""""),""'"",""""),""("",""""),"")"","""")&amp;""\""&amp;INDEX(SPLIT($A$2,""_""),1)&amp;""\""&amp;INDEX(SPLIT($A$2,""_""),2)&amp;""\""&amp;SUBSTITUTE(SUBST"&amp;"ITUTE(SUBSTITUTE(SUBSTITUTE(SUBSTITUTE(INDEX(Hairstyles!$C:$C,MATCH($B342,Hairstyles!$F:$F,0)),"" "",""""),""'"",""""),""("",""""),"")"",""""),""-"",""_"")&amp;""_""&amp;$A$2)"),"XingHDT-SMPWigs\Human\Male\Xing_KSCraxyLove_Human_Male")</f>
        <v>XingHDT-SMPWigs\Human\Male\Xing_KSCraxyLove_Human_Male</v>
      </c>
    </row>
    <row r="343">
      <c r="B343" s="12" t="str">
        <f>IFERROR(__xludf.DUMMYFUNCTION("""COMPUTED_VALUE"""),"Uvi_Wig_Spell_X_Dint_KS_Dawn")</f>
        <v>Uvi_Wig_Spell_X_Dint_KS_Dawn</v>
      </c>
      <c r="C343" s="12" t="str">
        <f>IFERROR(__xludf.DUMMYFUNCTION("IF($B343="""","""",SUBSTITUTE(SUBSTITUTE(SUBSTITUTE(SUBSTITUTE(INDEX(Hairstyles!$A:$A,MATCH($B343,Hairstyles!$F:$F,0)),"" "",""""),""'"",""""),""("",""""),"")"","""")&amp;""\""&amp;INDEX(SPLIT($A$2,""_""),1)&amp;""\""&amp;INDEX(SPLIT($A$2,""_""),2)&amp;""\""&amp;SUBSTITUTE(SUBST"&amp;"ITUTE(SUBSTITUTE(SUBSTITUTE(SUBSTITUTE(INDEX(Hairstyles!$C:$C,MATCH($B343,Hairstyles!$F:$F,0)),"" "",""""),""'"",""""),""("",""""),"")"",""""),""-"",""_"")&amp;""_""&amp;$A$2)"),"XingHDT-SMPWigs\Human\Male\Xing_KSDawn_Human_Male")</f>
        <v>XingHDT-SMPWigs\Human\Male\Xing_KSDawn_Human_Male</v>
      </c>
    </row>
    <row r="344">
      <c r="B344" s="12" t="str">
        <f>IFERROR(__xludf.DUMMYFUNCTION("""COMPUTED_VALUE"""),"Uvi_Wig_Spell_X_Dint_KS_Daydream")</f>
        <v>Uvi_Wig_Spell_X_Dint_KS_Daydream</v>
      </c>
      <c r="C344" s="12" t="str">
        <f>IFERROR(__xludf.DUMMYFUNCTION("IF($B344="""","""",SUBSTITUTE(SUBSTITUTE(SUBSTITUTE(SUBSTITUTE(INDEX(Hairstyles!$A:$A,MATCH($B344,Hairstyles!$F:$F,0)),"" "",""""),""'"",""""),""("",""""),"")"","""")&amp;""\""&amp;INDEX(SPLIT($A$2,""_""),1)&amp;""\""&amp;INDEX(SPLIT($A$2,""_""),2)&amp;""\""&amp;SUBSTITUTE(SUBST"&amp;"ITUTE(SUBSTITUTE(SUBSTITUTE(SUBSTITUTE(INDEX(Hairstyles!$C:$C,MATCH($B344,Hairstyles!$F:$F,0)),"" "",""""),""'"",""""),""("",""""),"")"",""""),""-"",""_"")&amp;""_""&amp;$A$2)"),"XingHDT-SMPWigs\Human\Male\Xing_KSDaydream_Human_Male")</f>
        <v>XingHDT-SMPWigs\Human\Male\Xing_KSDaydream_Human_Male</v>
      </c>
    </row>
    <row r="345">
      <c r="B345" s="12" t="str">
        <f>IFERROR(__xludf.DUMMYFUNCTION("""COMPUTED_VALUE"""),"Uvi_Wig_Spell_X_Dint_KS_Dracarys")</f>
        <v>Uvi_Wig_Spell_X_Dint_KS_Dracarys</v>
      </c>
      <c r="C345" s="12" t="str">
        <f>IFERROR(__xludf.DUMMYFUNCTION("IF($B345="""","""",SUBSTITUTE(SUBSTITUTE(SUBSTITUTE(SUBSTITUTE(INDEX(Hairstyles!$A:$A,MATCH($B345,Hairstyles!$F:$F,0)),"" "",""""),""'"",""""),""("",""""),"")"","""")&amp;""\""&amp;INDEX(SPLIT($A$2,""_""),1)&amp;""\""&amp;INDEX(SPLIT($A$2,""_""),2)&amp;""\""&amp;SUBSTITUTE(SUBST"&amp;"ITUTE(SUBSTITUTE(SUBSTITUTE(SUBSTITUTE(INDEX(Hairstyles!$C:$C,MATCH($B345,Hairstyles!$F:$F,0)),"" "",""""),""'"",""""),""("",""""),"")"",""""),""-"",""_"")&amp;""_""&amp;$A$2)"),"XingHDT-SMPWigs\Human\Male\Xing_KSDracarys_Human_Male")</f>
        <v>XingHDT-SMPWigs\Human\Male\Xing_KSDracarys_Human_Male</v>
      </c>
    </row>
    <row r="346">
      <c r="B346" s="12" t="str">
        <f>IFERROR(__xludf.DUMMYFUNCTION("""COMPUTED_VALUE"""),"Uvi_Wig_Spell_X_Dint_KS_DragonStone")</f>
        <v>Uvi_Wig_Spell_X_Dint_KS_DragonStone</v>
      </c>
      <c r="C346" s="12" t="str">
        <f>IFERROR(__xludf.DUMMYFUNCTION("IF($B346="""","""",SUBSTITUTE(SUBSTITUTE(SUBSTITUTE(SUBSTITUTE(INDEX(Hairstyles!$A:$A,MATCH($B346,Hairstyles!$F:$F,0)),"" "",""""),""'"",""""),""("",""""),"")"","""")&amp;""\""&amp;INDEX(SPLIT($A$2,""_""),1)&amp;""\""&amp;INDEX(SPLIT($A$2,""_""),2)&amp;""\""&amp;SUBSTITUTE(SUBST"&amp;"ITUTE(SUBSTITUTE(SUBSTITUTE(SUBSTITUTE(INDEX(Hairstyles!$C:$C,MATCH($B346,Hairstyles!$F:$F,0)),"" "",""""),""'"",""""),""("",""""),"")"",""""),""-"",""_"")&amp;""_""&amp;$A$2)"),"XingHDT-SMPWigs\Human\Male\Xing_KSDragonStone_Human_Male")</f>
        <v>XingHDT-SMPWigs\Human\Male\Xing_KSDragonStone_Human_Male</v>
      </c>
    </row>
    <row r="347">
      <c r="B347" s="12" t="str">
        <f>IFERROR(__xludf.DUMMYFUNCTION("""COMPUTED_VALUE"""),"Uvi_Wig_Spell_X_Dint_KS_Dreamgirl")</f>
        <v>Uvi_Wig_Spell_X_Dint_KS_Dreamgirl</v>
      </c>
      <c r="C347" s="12" t="str">
        <f>IFERROR(__xludf.DUMMYFUNCTION("IF($B347="""","""",SUBSTITUTE(SUBSTITUTE(SUBSTITUTE(SUBSTITUTE(INDEX(Hairstyles!$A:$A,MATCH($B347,Hairstyles!$F:$F,0)),"" "",""""),""'"",""""),""("",""""),"")"","""")&amp;""\""&amp;INDEX(SPLIT($A$2,""_""),1)&amp;""\""&amp;INDEX(SPLIT($A$2,""_""),2)&amp;""\""&amp;SUBSTITUTE(SUBST"&amp;"ITUTE(SUBSTITUTE(SUBSTITUTE(SUBSTITUTE(INDEX(Hairstyles!$C:$C,MATCH($B347,Hairstyles!$F:$F,0)),"" "",""""),""'"",""""),""("",""""),"")"",""""),""-"",""_"")&amp;""_""&amp;$A$2)"),"XingHDT-SMPWigs\Human\Male\Xing_KSDreamgirl_Human_Male")</f>
        <v>XingHDT-SMPWigs\Human\Male\Xing_KSDreamgirl_Human_Male</v>
      </c>
    </row>
    <row r="348">
      <c r="B348" s="12" t="str">
        <f>IFERROR(__xludf.DUMMYFUNCTION("""COMPUTED_VALUE"""),"Uvi_Wig_Spell_X_Dint_KS_Eden")</f>
        <v>Uvi_Wig_Spell_X_Dint_KS_Eden</v>
      </c>
      <c r="C348" s="12" t="str">
        <f>IFERROR(__xludf.DUMMYFUNCTION("IF($B348="""","""",SUBSTITUTE(SUBSTITUTE(SUBSTITUTE(SUBSTITUTE(INDEX(Hairstyles!$A:$A,MATCH($B348,Hairstyles!$F:$F,0)),"" "",""""),""'"",""""),""("",""""),"")"","""")&amp;""\""&amp;INDEX(SPLIT($A$2,""_""),1)&amp;""\""&amp;INDEX(SPLIT($A$2,""_""),2)&amp;""\""&amp;SUBSTITUTE(SUBST"&amp;"ITUTE(SUBSTITUTE(SUBSTITUTE(SUBSTITUTE(INDEX(Hairstyles!$C:$C,MATCH($B348,Hairstyles!$F:$F,0)),"" "",""""),""'"",""""),""("",""""),"")"",""""),""-"",""_"")&amp;""_""&amp;$A$2)"),"XingHDT-SMPWigs\Human\Male\Xing_KSEden_Human_Male")</f>
        <v>XingHDT-SMPWigs\Human\Male\Xing_KSEden_Human_Male</v>
      </c>
    </row>
    <row r="349">
      <c r="B349" s="12" t="str">
        <f>IFERROR(__xludf.DUMMYFUNCTION("""COMPUTED_VALUE"""),"Uvi_Wig_Spell_X_Dint_KS_Equanimity")</f>
        <v>Uvi_Wig_Spell_X_Dint_KS_Equanimity</v>
      </c>
      <c r="C349" s="12" t="str">
        <f>IFERROR(__xludf.DUMMYFUNCTION("IF($B349="""","""",SUBSTITUTE(SUBSTITUTE(SUBSTITUTE(SUBSTITUTE(INDEX(Hairstyles!$A:$A,MATCH($B349,Hairstyles!$F:$F,0)),"" "",""""),""'"",""""),""("",""""),"")"","""")&amp;""\""&amp;INDEX(SPLIT($A$2,""_""),1)&amp;""\""&amp;INDEX(SPLIT($A$2,""_""),2)&amp;""\""&amp;SUBSTITUTE(SUBST"&amp;"ITUTE(SUBSTITUTE(SUBSTITUTE(SUBSTITUTE(INDEX(Hairstyles!$C:$C,MATCH($B349,Hairstyles!$F:$F,0)),"" "",""""),""'"",""""),""("",""""),"")"",""""),""-"",""_"")&amp;""_""&amp;$A$2)"),"XingHDT-SMPWigs\Human\Male\Xing_KSEquanimity_Human_Male")</f>
        <v>XingHDT-SMPWigs\Human\Male\Xing_KSEquanimity_Human_Male</v>
      </c>
    </row>
    <row r="350">
      <c r="B350" s="12" t="str">
        <f>IFERROR(__xludf.DUMMYFUNCTION("""COMPUTED_VALUE"""),"Uvi_Wig_Spell_X_Dint_KS_Firenze")</f>
        <v>Uvi_Wig_Spell_X_Dint_KS_Firenze</v>
      </c>
      <c r="C350" s="12" t="str">
        <f>IFERROR(__xludf.DUMMYFUNCTION("IF($B350="""","""",SUBSTITUTE(SUBSTITUTE(SUBSTITUTE(SUBSTITUTE(INDEX(Hairstyles!$A:$A,MATCH($B350,Hairstyles!$F:$F,0)),"" "",""""),""'"",""""),""("",""""),"")"","""")&amp;""\""&amp;INDEX(SPLIT($A$2,""_""),1)&amp;""\""&amp;INDEX(SPLIT($A$2,""_""),2)&amp;""\""&amp;SUBSTITUTE(SUBST"&amp;"ITUTE(SUBSTITUTE(SUBSTITUTE(SUBSTITUTE(INDEX(Hairstyles!$C:$C,MATCH($B350,Hairstyles!$F:$F,0)),"" "",""""),""'"",""""),""("",""""),"")"",""""),""-"",""_"")&amp;""_""&amp;$A$2)"),"XingHDT-SMPWigs\Human\Male\Xing_KSFirenze_Human_Male")</f>
        <v>XingHDT-SMPWigs\Human\Male\Xing_KSFirenze_Human_Male</v>
      </c>
    </row>
    <row r="351">
      <c r="B351" s="12" t="str">
        <f>IFERROR(__xludf.DUMMYFUNCTION("""COMPUTED_VALUE"""),"Uvi_Wig_Spell_X_Dint_KS_Fragile")</f>
        <v>Uvi_Wig_Spell_X_Dint_KS_Fragile</v>
      </c>
      <c r="C351" s="12" t="str">
        <f>IFERROR(__xludf.DUMMYFUNCTION("IF($B351="""","""",SUBSTITUTE(SUBSTITUTE(SUBSTITUTE(SUBSTITUTE(INDEX(Hairstyles!$A:$A,MATCH($B351,Hairstyles!$F:$F,0)),"" "",""""),""'"",""""),""("",""""),"")"","""")&amp;""\""&amp;INDEX(SPLIT($A$2,""_""),1)&amp;""\""&amp;INDEX(SPLIT($A$2,""_""),2)&amp;""\""&amp;SUBSTITUTE(SUBST"&amp;"ITUTE(SUBSTITUTE(SUBSTITUTE(SUBSTITUTE(INDEX(Hairstyles!$C:$C,MATCH($B351,Hairstyles!$F:$F,0)),"" "",""""),""'"",""""),""("",""""),"")"",""""),""-"",""_"")&amp;""_""&amp;$A$2)"),"XingHDT-SMPWigs\Human\Male\Xing_KSFragile_Human_Male")</f>
        <v>XingHDT-SMPWigs\Human\Male\Xing_KSFragile_Human_Male</v>
      </c>
    </row>
    <row r="352">
      <c r="B352" s="12" t="str">
        <f>IFERROR(__xludf.DUMMYFUNCTION("""COMPUTED_VALUE"""),"Uvi_Wig_Spell_X_Dint_KS_Galactic")</f>
        <v>Uvi_Wig_Spell_X_Dint_KS_Galactic</v>
      </c>
      <c r="C352" s="12" t="str">
        <f>IFERROR(__xludf.DUMMYFUNCTION("IF($B352="""","""",SUBSTITUTE(SUBSTITUTE(SUBSTITUTE(SUBSTITUTE(INDEX(Hairstyles!$A:$A,MATCH($B352,Hairstyles!$F:$F,0)),"" "",""""),""'"",""""),""("",""""),"")"","""")&amp;""\""&amp;INDEX(SPLIT($A$2,""_""),1)&amp;""\""&amp;INDEX(SPLIT($A$2,""_""),2)&amp;""\""&amp;SUBSTITUTE(SUBST"&amp;"ITUTE(SUBSTITUTE(SUBSTITUTE(SUBSTITUTE(INDEX(Hairstyles!$C:$C,MATCH($B352,Hairstyles!$F:$F,0)),"" "",""""),""'"",""""),""("",""""),"")"",""""),""-"",""_"")&amp;""_""&amp;$A$2)"),"XingHDT-SMPWigs\Human\Male\Xing_KSGalactic_Human_Male")</f>
        <v>XingHDT-SMPWigs\Human\Male\Xing_KSGalactic_Human_Male</v>
      </c>
    </row>
    <row r="353">
      <c r="B353" s="12" t="str">
        <f>IFERROR(__xludf.DUMMYFUNCTION("""COMPUTED_VALUE"""),"Uvi_Wig_Spell_X_Dint_KS_Gem")</f>
        <v>Uvi_Wig_Spell_X_Dint_KS_Gem</v>
      </c>
      <c r="C353" s="12" t="str">
        <f>IFERROR(__xludf.DUMMYFUNCTION("IF($B353="""","""",SUBSTITUTE(SUBSTITUTE(SUBSTITUTE(SUBSTITUTE(INDEX(Hairstyles!$A:$A,MATCH($B353,Hairstyles!$F:$F,0)),"" "",""""),""'"",""""),""("",""""),"")"","""")&amp;""\""&amp;INDEX(SPLIT($A$2,""_""),1)&amp;""\""&amp;INDEX(SPLIT($A$2,""_""),2)&amp;""\""&amp;SUBSTITUTE(SUBST"&amp;"ITUTE(SUBSTITUTE(SUBSTITUTE(SUBSTITUTE(INDEX(Hairstyles!$C:$C,MATCH($B353,Hairstyles!$F:$F,0)),"" "",""""),""'"",""""),""("",""""),"")"",""""),""-"",""_"")&amp;""_""&amp;$A$2)"),"XingHDT-SMPWigs\Human\Male\Xing_KSGem_Human_Male")</f>
        <v>XingHDT-SMPWigs\Human\Male\Xing_KSGem_Human_Male</v>
      </c>
    </row>
    <row r="354">
      <c r="B354" s="12" t="str">
        <f>IFERROR(__xludf.DUMMYFUNCTION("""COMPUTED_VALUE"""),"Uvi_Wig_Spell_X_Dint_KS_Glow")</f>
        <v>Uvi_Wig_Spell_X_Dint_KS_Glow</v>
      </c>
      <c r="C354" s="12" t="str">
        <f>IFERROR(__xludf.DUMMYFUNCTION("IF($B354="""","""",SUBSTITUTE(SUBSTITUTE(SUBSTITUTE(SUBSTITUTE(INDEX(Hairstyles!$A:$A,MATCH($B354,Hairstyles!$F:$F,0)),"" "",""""),""'"",""""),""("",""""),"")"","""")&amp;""\""&amp;INDEX(SPLIT($A$2,""_""),1)&amp;""\""&amp;INDEX(SPLIT($A$2,""_""),2)&amp;""\""&amp;SUBSTITUTE(SUBST"&amp;"ITUTE(SUBSTITUTE(SUBSTITUTE(SUBSTITUTE(INDEX(Hairstyles!$C:$C,MATCH($B354,Hairstyles!$F:$F,0)),"" "",""""),""'"",""""),""("",""""),"")"",""""),""-"",""_"")&amp;""_""&amp;$A$2)"),"XingHDT-SMPWigs\Human\Male\Xing_KSGlow_Human_Male")</f>
        <v>XingHDT-SMPWigs\Human\Male\Xing_KSGlow_Human_Male</v>
      </c>
    </row>
    <row r="355">
      <c r="B355" s="12" t="str">
        <f>IFERROR(__xludf.DUMMYFUNCTION("""COMPUTED_VALUE"""),"Uvi_Wig_Spell_X_Dint_SG_haircoolsims89")</f>
        <v>Uvi_Wig_Spell_X_Dint_SG_haircoolsims89</v>
      </c>
      <c r="C355" s="12" t="str">
        <f>IFERROR(__xludf.DUMMYFUNCTION("IF($B355="""","""",SUBSTITUTE(SUBSTITUTE(SUBSTITUTE(SUBSTITUTE(INDEX(Hairstyles!$A:$A,MATCH($B355,Hairstyles!$F:$F,0)),"" "",""""),""'"",""""),""("",""""),"")"","""")&amp;""\""&amp;INDEX(SPLIT($A$2,""_""),1)&amp;""\""&amp;INDEX(SPLIT($A$2,""_""),2)&amp;""\""&amp;SUBSTITUTE(SUBST"&amp;"ITUTE(SUBSTITUTE(SUBSTITUTE(SUBSTITUTE(INDEX(Hairstyles!$C:$C,MATCH($B355,Hairstyles!$F:$F,0)),"" "",""""),""'"",""""),""("",""""),"")"",""""),""-"",""_"")&amp;""_""&amp;$A$2)"),"XingHDT-SMPWigs\Human\Male\Xing_SGHaircoolsims89_Human_Male")</f>
        <v>XingHDT-SMPWigs\Human\Male\Xing_SGHaircoolsims89_Human_Male</v>
      </c>
    </row>
    <row r="356">
      <c r="B356" s="12" t="str">
        <f>IFERROR(__xludf.DUMMYFUNCTION("""COMPUTED_VALUE"""),"Uvi_Wig_Spell_X_Dint_KS_Heartquake")</f>
        <v>Uvi_Wig_Spell_X_Dint_KS_Heartquake</v>
      </c>
      <c r="C356" s="12" t="str">
        <f>IFERROR(__xludf.DUMMYFUNCTION("IF($B356="""","""",SUBSTITUTE(SUBSTITUTE(SUBSTITUTE(SUBSTITUTE(INDEX(Hairstyles!$A:$A,MATCH($B356,Hairstyles!$F:$F,0)),"" "",""""),""'"",""""),""("",""""),"")"","""")&amp;""\""&amp;INDEX(SPLIT($A$2,""_""),1)&amp;""\""&amp;INDEX(SPLIT($A$2,""_""),2)&amp;""\""&amp;SUBSTITUTE(SUBST"&amp;"ITUTE(SUBSTITUTE(SUBSTITUTE(SUBSTITUTE(INDEX(Hairstyles!$C:$C,MATCH($B356,Hairstyles!$F:$F,0)),"" "",""""),""'"",""""),""("",""""),"")"",""""),""-"",""_"")&amp;""_""&amp;$A$2)"),"XingHDT-SMPWigs\Human\Male\Xing_KSHeartquake_Human_Male")</f>
        <v>XingHDT-SMPWigs\Human\Male\Xing_KSHeartquake_Human_Male</v>
      </c>
    </row>
    <row r="357">
      <c r="B357" s="12" t="str">
        <f>IFERROR(__xludf.DUMMYFUNCTION("""COMPUTED_VALUE"""),"Uvi_Wig_Spell_X_Dint_KS_Hello")</f>
        <v>Uvi_Wig_Spell_X_Dint_KS_Hello</v>
      </c>
      <c r="C357" s="12" t="str">
        <f>IFERROR(__xludf.DUMMYFUNCTION("IF($B357="""","""",SUBSTITUTE(SUBSTITUTE(SUBSTITUTE(SUBSTITUTE(INDEX(Hairstyles!$A:$A,MATCH($B357,Hairstyles!$F:$F,0)),"" "",""""),""'"",""""),""("",""""),"")"","""")&amp;""\""&amp;INDEX(SPLIT($A$2,""_""),1)&amp;""\""&amp;INDEX(SPLIT($A$2,""_""),2)&amp;""\""&amp;SUBSTITUTE(SUBST"&amp;"ITUTE(SUBSTITUTE(SUBSTITUTE(SUBSTITUTE(INDEX(Hairstyles!$C:$C,MATCH($B357,Hairstyles!$F:$F,0)),"" "",""""),""'"",""""),""("",""""),"")"",""""),""-"",""_"")&amp;""_""&amp;$A$2)"),"XingHDT-SMPWigs\Human\Male\Xing_KSHello_Human_Male")</f>
        <v>XingHDT-SMPWigs\Human\Male\Xing_KSHello_Human_Male</v>
      </c>
    </row>
    <row r="358">
      <c r="B358" s="12" t="str">
        <f>IFERROR(__xludf.DUMMYFUNCTION("""COMPUTED_VALUE"""),"Uvi_Wig_Spell_X_Dint_KS_Hourglass")</f>
        <v>Uvi_Wig_Spell_X_Dint_KS_Hourglass</v>
      </c>
      <c r="C358" s="12" t="str">
        <f>IFERROR(__xludf.DUMMYFUNCTION("IF($B358="""","""",SUBSTITUTE(SUBSTITUTE(SUBSTITUTE(SUBSTITUTE(INDEX(Hairstyles!$A:$A,MATCH($B358,Hairstyles!$F:$F,0)),"" "",""""),""'"",""""),""("",""""),"")"","""")&amp;""\""&amp;INDEX(SPLIT($A$2,""_""),1)&amp;""\""&amp;INDEX(SPLIT($A$2,""_""),2)&amp;""\""&amp;SUBSTITUTE(SUBST"&amp;"ITUTE(SUBSTITUTE(SUBSTITUTE(SUBSTITUTE(INDEX(Hairstyles!$C:$C,MATCH($B358,Hairstyles!$F:$F,0)),"" "",""""),""'"",""""),""("",""""),"")"",""""),""-"",""_"")&amp;""_""&amp;$A$2)"),"XingHDT-SMPWigs\Human\Male\Xing_KSHourglass_Human_Male")</f>
        <v>XingHDT-SMPWigs\Human\Male\Xing_KSHourglass_Human_Male</v>
      </c>
    </row>
    <row r="359">
      <c r="B359" s="12" t="str">
        <f>IFERROR(__xludf.DUMMYFUNCTION("""COMPUTED_VALUE"""),"Uvi_Wig_Spell_X_Dint_KS_Kaysa")</f>
        <v>Uvi_Wig_Spell_X_Dint_KS_Kaysa</v>
      </c>
      <c r="C359" s="12" t="str">
        <f>IFERROR(__xludf.DUMMYFUNCTION("IF($B359="""","""",SUBSTITUTE(SUBSTITUTE(SUBSTITUTE(SUBSTITUTE(INDEX(Hairstyles!$A:$A,MATCH($B359,Hairstyles!$F:$F,0)),"" "",""""),""'"",""""),""("",""""),"")"","""")&amp;""\""&amp;INDEX(SPLIT($A$2,""_""),1)&amp;""\""&amp;INDEX(SPLIT($A$2,""_""),2)&amp;""\""&amp;SUBSTITUTE(SUBST"&amp;"ITUTE(SUBSTITUTE(SUBSTITUTE(SUBSTITUTE(INDEX(Hairstyles!$C:$C,MATCH($B359,Hairstyles!$F:$F,0)),"" "",""""),""'"",""""),""("",""""),"")"",""""),""-"",""_"")&amp;""_""&amp;$A$2)"),"XingHDT-SMPWigs\Human\Male\Xing_KSKaysa_Human_Male")</f>
        <v>XingHDT-SMPWigs\Human\Male\Xing_KSKaysa_Human_Male</v>
      </c>
    </row>
    <row r="360">
      <c r="B360" s="12" t="str">
        <f>IFERROR(__xludf.DUMMYFUNCTION("""COMPUTED_VALUE"""),"Uvi_Wig_Spell_X_Dint_KS_Mhysa")</f>
        <v>Uvi_Wig_Spell_X_Dint_KS_Mhysa</v>
      </c>
      <c r="C360" s="12" t="str">
        <f>IFERROR(__xludf.DUMMYFUNCTION("IF($B360="""","""",SUBSTITUTE(SUBSTITUTE(SUBSTITUTE(SUBSTITUTE(INDEX(Hairstyles!$A:$A,MATCH($B360,Hairstyles!$F:$F,0)),"" "",""""),""'"",""""),""("",""""),"")"","""")&amp;""\""&amp;INDEX(SPLIT($A$2,""_""),1)&amp;""\""&amp;INDEX(SPLIT($A$2,""_""),2)&amp;""\""&amp;SUBSTITUTE(SUBST"&amp;"ITUTE(SUBSTITUTE(SUBSTITUTE(SUBSTITUTE(INDEX(Hairstyles!$C:$C,MATCH($B360,Hairstyles!$F:$F,0)),"" "",""""),""'"",""""),""("",""""),"")"",""""),""-"",""_"")&amp;""_""&amp;$A$2)"),"XingHDT-SMPWigs\Human\Male\Xing_KSMhysa_Human_Male")</f>
        <v>XingHDT-SMPWigs\Human\Male\Xing_KSMhysa_Human_Male</v>
      </c>
    </row>
    <row r="361">
      <c r="B361" s="12" t="str">
        <f>IFERROR(__xludf.DUMMYFUNCTION("""COMPUTED_VALUE"""),"Uvi_Wig_Spell_X_Dint_KS_Peppermint")</f>
        <v>Uvi_Wig_Spell_X_Dint_KS_Peppermint</v>
      </c>
      <c r="C361" s="12" t="str">
        <f>IFERROR(__xludf.DUMMYFUNCTION("IF($B361="""","""",SUBSTITUTE(SUBSTITUTE(SUBSTITUTE(SUBSTITUTE(INDEX(Hairstyles!$A:$A,MATCH($B361,Hairstyles!$F:$F,0)),"" "",""""),""'"",""""),""("",""""),"")"","""")&amp;""\""&amp;INDEX(SPLIT($A$2,""_""),1)&amp;""\""&amp;INDEX(SPLIT($A$2,""_""),2)&amp;""\""&amp;SUBSTITUTE(SUBST"&amp;"ITUTE(SUBSTITUTE(SUBSTITUTE(SUBSTITUTE(INDEX(Hairstyles!$C:$C,MATCH($B361,Hairstyles!$F:$F,0)),"" "",""""),""'"",""""),""("",""""),"")"",""""),""-"",""_"")&amp;""_""&amp;$A$2)"),"XingHDT-SMPWigs\Human\Male\Xing_KSPeppermint_Human_Male")</f>
        <v>XingHDT-SMPWigs\Human\Male\Xing_KSPeppermint_Human_Male</v>
      </c>
    </row>
    <row r="362">
      <c r="B362" s="12" t="str">
        <f>IFERROR(__xludf.DUMMYFUNCTION("""COMPUTED_VALUE"""),"Uvi_Wig_Spell_X_Dint_KS_Renata")</f>
        <v>Uvi_Wig_Spell_X_Dint_KS_Renata</v>
      </c>
      <c r="C362" s="12" t="str">
        <f>IFERROR(__xludf.DUMMYFUNCTION("IF($B362="""","""",SUBSTITUTE(SUBSTITUTE(SUBSTITUTE(SUBSTITUTE(INDEX(Hairstyles!$A:$A,MATCH($B362,Hairstyles!$F:$F,0)),"" "",""""),""'"",""""),""("",""""),"")"","""")&amp;""\""&amp;INDEX(SPLIT($A$2,""_""),1)&amp;""\""&amp;INDEX(SPLIT($A$2,""_""),2)&amp;""\""&amp;SUBSTITUTE(SUBST"&amp;"ITUTE(SUBSTITUTE(SUBSTITUTE(SUBSTITUTE(INDEX(Hairstyles!$C:$C,MATCH($B362,Hairstyles!$F:$F,0)),"" "",""""),""'"",""""),""("",""""),"")"",""""),""-"",""_"")&amp;""_""&amp;$A$2)"),"XingHDT-SMPWigs\Human\Male\Xing_KSRenata_Human_Male")</f>
        <v>XingHDT-SMPWigs\Human\Male\Xing_KSRenata_Human_Male</v>
      </c>
    </row>
    <row r="363">
      <c r="B363" s="12" t="str">
        <f>IFERROR(__xludf.DUMMYFUNCTION("""COMPUTED_VALUE"""),"Uvi_Wig_Spell_X_Dint_KS_Runaway")</f>
        <v>Uvi_Wig_Spell_X_Dint_KS_Runaway</v>
      </c>
      <c r="C363" s="12" t="str">
        <f>IFERROR(__xludf.DUMMYFUNCTION("IF($B363="""","""",SUBSTITUTE(SUBSTITUTE(SUBSTITUTE(SUBSTITUTE(INDEX(Hairstyles!$A:$A,MATCH($B363,Hairstyles!$F:$F,0)),"" "",""""),""'"",""""),""("",""""),"")"","""")&amp;""\""&amp;INDEX(SPLIT($A$2,""_""),1)&amp;""\""&amp;INDEX(SPLIT($A$2,""_""),2)&amp;""\""&amp;SUBSTITUTE(SUBST"&amp;"ITUTE(SUBSTITUTE(SUBSTITUTE(SUBSTITUTE(INDEX(Hairstyles!$C:$C,MATCH($B363,Hairstyles!$F:$F,0)),"" "",""""),""'"",""""),""("",""""),"")"",""""),""-"",""_"")&amp;""_""&amp;$A$2)"),"XingHDT-SMPWigs\Human\Male\Xing_KSRunaway_Human_Male")</f>
        <v>XingHDT-SMPWigs\Human\Male\Xing_KSRunaway_Human_Male</v>
      </c>
    </row>
    <row r="364">
      <c r="B364" s="12" t="str">
        <f>IFERROR(__xludf.DUMMYFUNCTION("""COMPUTED_VALUE"""),"Uvi_Wig_Spell_X_Dint_KS_SailAway")</f>
        <v>Uvi_Wig_Spell_X_Dint_KS_SailAway</v>
      </c>
      <c r="C364" s="12" t="str">
        <f>IFERROR(__xludf.DUMMYFUNCTION("IF($B364="""","""",SUBSTITUTE(SUBSTITUTE(SUBSTITUTE(SUBSTITUTE(INDEX(Hairstyles!$A:$A,MATCH($B364,Hairstyles!$F:$F,0)),"" "",""""),""'"",""""),""("",""""),"")"","""")&amp;""\""&amp;INDEX(SPLIT($A$2,""_""),1)&amp;""\""&amp;INDEX(SPLIT($A$2,""_""),2)&amp;""\""&amp;SUBSTITUTE(SUBST"&amp;"ITUTE(SUBSTITUTE(SUBSTITUTE(SUBSTITUTE(INDEX(Hairstyles!$C:$C,MATCH($B364,Hairstyles!$F:$F,0)),"" "",""""),""'"",""""),""("",""""),"")"",""""),""-"",""_"")&amp;""_""&amp;$A$2)"),"XingHDT-SMPWigs\Human\Male\Xing_KSSailAway_Human_Male")</f>
        <v>XingHDT-SMPWigs\Human\Male\Xing_KSSailAway_Human_Male</v>
      </c>
    </row>
    <row r="365">
      <c r="B365" s="12" t="str">
        <f>IFERROR(__xludf.DUMMYFUNCTION("""COMPUTED_VALUE"""),"Uvi_Wig_Spell_X_Dint_KS_Shepherd")</f>
        <v>Uvi_Wig_Spell_X_Dint_KS_Shepherd</v>
      </c>
      <c r="C365" s="12" t="str">
        <f>IFERROR(__xludf.DUMMYFUNCTION("IF($B365="""","""",SUBSTITUTE(SUBSTITUTE(SUBSTITUTE(SUBSTITUTE(INDEX(Hairstyles!$A:$A,MATCH($B365,Hairstyles!$F:$F,0)),"" "",""""),""'"",""""),""("",""""),"")"","""")&amp;""\""&amp;INDEX(SPLIT($A$2,""_""),1)&amp;""\""&amp;INDEX(SPLIT($A$2,""_""),2)&amp;""\""&amp;SUBSTITUTE(SUBST"&amp;"ITUTE(SUBSTITUTE(SUBSTITUTE(SUBSTITUTE(INDEX(Hairstyles!$C:$C,MATCH($B365,Hairstyles!$F:$F,0)),"" "",""""),""'"",""""),""("",""""),"")"",""""),""-"",""_"")&amp;""_""&amp;$A$2)"),"XingHDT-SMPWigs\Human\Male\Xing_KSShepherd_Human_Male")</f>
        <v>XingHDT-SMPWigs\Human\Male\Xing_KSShepherd_Human_Male</v>
      </c>
    </row>
    <row r="366">
      <c r="B366" s="12" t="str">
        <f>IFERROR(__xludf.DUMMYFUNCTION("""COMPUTED_VALUE"""),"Uvi_Wig_Spell_X_Dint_KS_Shieldmaiden")</f>
        <v>Uvi_Wig_Spell_X_Dint_KS_Shieldmaiden</v>
      </c>
      <c r="C366" s="12" t="str">
        <f>IFERROR(__xludf.DUMMYFUNCTION("IF($B366="""","""",SUBSTITUTE(SUBSTITUTE(SUBSTITUTE(SUBSTITUTE(INDEX(Hairstyles!$A:$A,MATCH($B366,Hairstyles!$F:$F,0)),"" "",""""),""'"",""""),""("",""""),"")"","""")&amp;""\""&amp;INDEX(SPLIT($A$2,""_""),1)&amp;""\""&amp;INDEX(SPLIT($A$2,""_""),2)&amp;""\""&amp;SUBSTITUTE(SUBST"&amp;"ITUTE(SUBSTITUTE(SUBSTITUTE(SUBSTITUTE(INDEX(Hairstyles!$C:$C,MATCH($B366,Hairstyles!$F:$F,0)),"" "",""""),""'"",""""),""("",""""),"")"",""""),""-"",""_"")&amp;""_""&amp;$A$2)"),"XingHDT-SMPWigs\Human\Male\Xing_KSShieldmaiden_Human_Male")</f>
        <v>XingHDT-SMPWigs\Human\Male\Xing_KSShieldmaiden_Human_Male</v>
      </c>
    </row>
    <row r="367">
      <c r="B367" s="12" t="str">
        <f>IFERROR(__xludf.DUMMYFUNCTION("""COMPUTED_VALUE"""),"Uvi_Wig_Spell_X_Dint_KS_SirenForest")</f>
        <v>Uvi_Wig_Spell_X_Dint_KS_SirenForest</v>
      </c>
      <c r="C367" s="12" t="str">
        <f>IFERROR(__xludf.DUMMYFUNCTION("IF($B367="""","""",SUBSTITUTE(SUBSTITUTE(SUBSTITUTE(SUBSTITUTE(INDEX(Hairstyles!$A:$A,MATCH($B367,Hairstyles!$F:$F,0)),"" "",""""),""'"",""""),""("",""""),"")"","""")&amp;""\""&amp;INDEX(SPLIT($A$2,""_""),1)&amp;""\""&amp;INDEX(SPLIT($A$2,""_""),2)&amp;""\""&amp;SUBSTITUTE(SUBST"&amp;"ITUTE(SUBSTITUTE(SUBSTITUTE(SUBSTITUTE(INDEX(Hairstyles!$C:$C,MATCH($B367,Hairstyles!$F:$F,0)),"" "",""""),""'"",""""),""("",""""),"")"",""""),""-"",""_"")&amp;""_""&amp;$A$2)"),"XingHDT-SMPWigs\Human\Male\Xing_KSSirenForest_Human_Male")</f>
        <v>XingHDT-SMPWigs\Human\Male\Xing_KSSirenForest_Human_Male</v>
      </c>
    </row>
    <row r="368">
      <c r="B368" s="12" t="str">
        <f>IFERROR(__xludf.DUMMYFUNCTION("""COMPUTED_VALUE"""),"Uvi_Wig_Spell_X_Dint_KS_Sky084")</f>
        <v>Uvi_Wig_Spell_X_Dint_KS_Sky084</v>
      </c>
      <c r="C368" s="12" t="str">
        <f>IFERROR(__xludf.DUMMYFUNCTION("IF($B368="""","""",SUBSTITUTE(SUBSTITUTE(SUBSTITUTE(SUBSTITUTE(INDEX(Hairstyles!$A:$A,MATCH($B368,Hairstyles!$F:$F,0)),"" "",""""),""'"",""""),""("",""""),"")"","""")&amp;""\""&amp;INDEX(SPLIT($A$2,""_""),1)&amp;""\""&amp;INDEX(SPLIT($A$2,""_""),2)&amp;""\""&amp;SUBSTITUTE(SUBST"&amp;"ITUTE(SUBSTITUTE(SUBSTITUTE(SUBSTITUTE(INDEX(Hairstyles!$C:$C,MATCH($B368,Hairstyles!$F:$F,0)),"" "",""""),""'"",""""),""("",""""),"")"",""""),""-"",""_"")&amp;""_""&amp;$A$2)"),"XingHDT-SMPWigs\Human\Male\Xing_KSSky084_Human_Male")</f>
        <v>XingHDT-SMPWigs\Human\Male\Xing_KSSky084_Human_Male</v>
      </c>
    </row>
    <row r="369">
      <c r="B369" s="12" t="str">
        <f>IFERROR(__xludf.DUMMYFUNCTION("""COMPUTED_VALUE"""),"Uvi_Wig_Spell_X_Dint_KS_Sky161")</f>
        <v>Uvi_Wig_Spell_X_Dint_KS_Sky161</v>
      </c>
      <c r="C369" s="12" t="str">
        <f>IFERROR(__xludf.DUMMYFUNCTION("IF($B369="""","""",SUBSTITUTE(SUBSTITUTE(SUBSTITUTE(SUBSTITUTE(INDEX(Hairstyles!$A:$A,MATCH($B369,Hairstyles!$F:$F,0)),"" "",""""),""'"",""""),""("",""""),"")"","""")&amp;""\""&amp;INDEX(SPLIT($A$2,""_""),1)&amp;""\""&amp;INDEX(SPLIT($A$2,""_""),2)&amp;""\""&amp;SUBSTITUTE(SUBST"&amp;"ITUTE(SUBSTITUTE(SUBSTITUTE(SUBSTITUTE(INDEX(Hairstyles!$C:$C,MATCH($B369,Hairstyles!$F:$F,0)),"" "",""""),""'"",""""),""("",""""),"")"",""""),""-"",""_"")&amp;""_""&amp;$A$2)"),"XingHDT-SMPWigs\Human\Male\Xing_KSSky161_Human_Male")</f>
        <v>XingHDT-SMPWigs\Human\Male\Xing_KSSky161_Human_Male</v>
      </c>
    </row>
    <row r="370">
      <c r="B370" s="12" t="str">
        <f>IFERROR(__xludf.DUMMYFUNCTION("""COMPUTED_VALUE"""),"Uvi_Wig_Spell_X_Dint_KS_Sky207")</f>
        <v>Uvi_Wig_Spell_X_Dint_KS_Sky207</v>
      </c>
      <c r="C370" s="12" t="str">
        <f>IFERROR(__xludf.DUMMYFUNCTION("IF($B370="""","""",SUBSTITUTE(SUBSTITUTE(SUBSTITUTE(SUBSTITUTE(INDEX(Hairstyles!$A:$A,MATCH($B370,Hairstyles!$F:$F,0)),"" "",""""),""'"",""""),""("",""""),"")"","""")&amp;""\""&amp;INDEX(SPLIT($A$2,""_""),1)&amp;""\""&amp;INDEX(SPLIT($A$2,""_""),2)&amp;""\""&amp;SUBSTITUTE(SUBST"&amp;"ITUTE(SUBSTITUTE(SUBSTITUTE(SUBSTITUTE(INDEX(Hairstyles!$C:$C,MATCH($B370,Hairstyles!$F:$F,0)),"" "",""""),""'"",""""),""("",""""),"")"",""""),""-"",""_"")&amp;""_""&amp;$A$2)"),"XingHDT-SMPWigs\Human\Male\Xing_KSSky207_Human_Male")</f>
        <v>XingHDT-SMPWigs\Human\Male\Xing_KSSky207_Human_Male</v>
      </c>
    </row>
    <row r="371">
      <c r="B371" s="12" t="str">
        <f>IFERROR(__xludf.DUMMYFUNCTION("""COMPUTED_VALUE"""),"Uvi_Wig_Spell_X_Dint_KS_Sleeper")</f>
        <v>Uvi_Wig_Spell_X_Dint_KS_Sleeper</v>
      </c>
      <c r="C371" s="12" t="str">
        <f>IFERROR(__xludf.DUMMYFUNCTION("IF($B371="""","""",SUBSTITUTE(SUBSTITUTE(SUBSTITUTE(SUBSTITUTE(INDEX(Hairstyles!$A:$A,MATCH($B371,Hairstyles!$F:$F,0)),"" "",""""),""'"",""""),""("",""""),"")"","""")&amp;""\""&amp;INDEX(SPLIT($A$2,""_""),1)&amp;""\""&amp;INDEX(SPLIT($A$2,""_""),2)&amp;""\""&amp;SUBSTITUTE(SUBST"&amp;"ITUTE(SUBSTITUTE(SUBSTITUTE(SUBSTITUTE(INDEX(Hairstyles!$C:$C,MATCH($B371,Hairstyles!$F:$F,0)),"" "",""""),""'"",""""),""("",""""),"")"",""""),""-"",""_"")&amp;""_""&amp;$A$2)"),"XingHDT-SMPWigs\Human\Male\Xing_KSSleeper_Human_Male")</f>
        <v>XingHDT-SMPWigs\Human\Male\Xing_KSSleeper_Human_Male</v>
      </c>
    </row>
    <row r="372">
      <c r="B372" s="12" t="str">
        <f>IFERROR(__xludf.DUMMYFUNCTION("""COMPUTED_VALUE"""),"Uvi_Wig_Spell_X_Dint_KS_Somali")</f>
        <v>Uvi_Wig_Spell_X_Dint_KS_Somali</v>
      </c>
      <c r="C372" s="12" t="str">
        <f>IFERROR(__xludf.DUMMYFUNCTION("IF($B372="""","""",SUBSTITUTE(SUBSTITUTE(SUBSTITUTE(SUBSTITUTE(INDEX(Hairstyles!$A:$A,MATCH($B372,Hairstyles!$F:$F,0)),"" "",""""),""'"",""""),""("",""""),"")"","""")&amp;""\""&amp;INDEX(SPLIT($A$2,""_""),1)&amp;""\""&amp;INDEX(SPLIT($A$2,""_""),2)&amp;""\""&amp;SUBSTITUTE(SUBST"&amp;"ITUTE(SUBSTITUTE(SUBSTITUTE(SUBSTITUTE(INDEX(Hairstyles!$C:$C,MATCH($B372,Hairstyles!$F:$F,0)),"" "",""""),""'"",""""),""("",""""),"")"",""""),""-"",""_"")&amp;""_""&amp;$A$2)"),"XingHDT-SMPWigs\Human\Male\Xing_KSSomali_Human_Male")</f>
        <v>XingHDT-SMPWigs\Human\Male\Xing_KSSomali_Human_Male</v>
      </c>
    </row>
    <row r="373">
      <c r="B373" s="12" t="str">
        <f>IFERROR(__xludf.DUMMYFUNCTION("""COMPUTED_VALUE"""),"Uvi_Wig_Spell_X_Dint_KS_Soundwave")</f>
        <v>Uvi_Wig_Spell_X_Dint_KS_Soundwave</v>
      </c>
      <c r="C373" s="12" t="str">
        <f>IFERROR(__xludf.DUMMYFUNCTION("IF($B373="""","""",SUBSTITUTE(SUBSTITUTE(SUBSTITUTE(SUBSTITUTE(INDEX(Hairstyles!$A:$A,MATCH($B373,Hairstyles!$F:$F,0)),"" "",""""),""'"",""""),""("",""""),"")"","""")&amp;""\""&amp;INDEX(SPLIT($A$2,""_""),1)&amp;""\""&amp;INDEX(SPLIT($A$2,""_""),2)&amp;""\""&amp;SUBSTITUTE(SUBST"&amp;"ITUTE(SUBSTITUTE(SUBSTITUTE(SUBSTITUTE(INDEX(Hairstyles!$C:$C,MATCH($B373,Hairstyles!$F:$F,0)),"" "",""""),""'"",""""),""("",""""),"")"",""""),""-"",""_"")&amp;""_""&amp;$A$2)"),"XingHDT-SMPWigs\Human\Male\Xing_KSSoundwave_Human_Male")</f>
        <v>XingHDT-SMPWigs\Human\Male\Xing_KSSoundwave_Human_Male</v>
      </c>
    </row>
    <row r="374">
      <c r="B374" s="12" t="str">
        <f>IFERROR(__xludf.DUMMYFUNCTION("""COMPUTED_VALUE"""),"Uvi_Wig_Spell_X_Dint_KS_Sparks")</f>
        <v>Uvi_Wig_Spell_X_Dint_KS_Sparks</v>
      </c>
      <c r="C374" s="12" t="str">
        <f>IFERROR(__xludf.DUMMYFUNCTION("IF($B374="""","""",SUBSTITUTE(SUBSTITUTE(SUBSTITUTE(SUBSTITUTE(INDEX(Hairstyles!$A:$A,MATCH($B374,Hairstyles!$F:$F,0)),"" "",""""),""'"",""""),""("",""""),"")"","""")&amp;""\""&amp;INDEX(SPLIT($A$2,""_""),1)&amp;""\""&amp;INDEX(SPLIT($A$2,""_""),2)&amp;""\""&amp;SUBSTITUTE(SUBST"&amp;"ITUTE(SUBSTITUTE(SUBSTITUTE(SUBSTITUTE(INDEX(Hairstyles!$C:$C,MATCH($B374,Hairstyles!$F:$F,0)),"" "",""""),""'"",""""),""("",""""),"")"",""""),""-"",""_"")&amp;""_""&amp;$A$2)"),"XingHDT-SMPWigs\Human\Male\Xing_KSSparks_Human_Male")</f>
        <v>XingHDT-SMPWigs\Human\Male\Xing_KSSparks_Human_Male</v>
      </c>
    </row>
    <row r="375">
      <c r="B375" s="12" t="str">
        <f>IFERROR(__xludf.DUMMYFUNCTION("""COMPUTED_VALUE"""),"Uvi_Wig_Spell_X_Dint_KS_Spectrum")</f>
        <v>Uvi_Wig_Spell_X_Dint_KS_Spectrum</v>
      </c>
      <c r="C375" s="12" t="str">
        <f>IFERROR(__xludf.DUMMYFUNCTION("IF($B375="""","""",SUBSTITUTE(SUBSTITUTE(SUBSTITUTE(SUBSTITUTE(INDEX(Hairstyles!$A:$A,MATCH($B375,Hairstyles!$F:$F,0)),"" "",""""),""'"",""""),""("",""""),"")"","""")&amp;""\""&amp;INDEX(SPLIT($A$2,""_""),1)&amp;""\""&amp;INDEX(SPLIT($A$2,""_""),2)&amp;""\""&amp;SUBSTITUTE(SUBST"&amp;"ITUTE(SUBSTITUTE(SUBSTITUTE(SUBSTITUTE(INDEX(Hairstyles!$C:$C,MATCH($B375,Hairstyles!$F:$F,0)),"" "",""""),""'"",""""),""("",""""),"")"",""""),""-"",""_"")&amp;""_""&amp;$A$2)"),"XingHDT-SMPWigs\Human\Male\Xing_KSSpectrum_Human_Male")</f>
        <v>XingHDT-SMPWigs\Human\Male\Xing_KSSpectrum_Human_Male</v>
      </c>
    </row>
    <row r="376">
      <c r="B376" s="12" t="str">
        <f>IFERROR(__xludf.DUMMYFUNCTION("""COMPUTED_VALUE"""),"Uvi_Wig_Spell_X_Dint_KS_Steammist")</f>
        <v>Uvi_Wig_Spell_X_Dint_KS_Steammist</v>
      </c>
      <c r="C376" s="12" t="str">
        <f>IFERROR(__xludf.DUMMYFUNCTION("IF($B376="""","""",SUBSTITUTE(SUBSTITUTE(SUBSTITUTE(SUBSTITUTE(INDEX(Hairstyles!$A:$A,MATCH($B376,Hairstyles!$F:$F,0)),"" "",""""),""'"",""""),""("",""""),"")"","""")&amp;""\""&amp;INDEX(SPLIT($A$2,""_""),1)&amp;""\""&amp;INDEX(SPLIT($A$2,""_""),2)&amp;""\""&amp;SUBSTITUTE(SUBST"&amp;"ITUTE(SUBSTITUTE(SUBSTITUTE(SUBSTITUTE(INDEX(Hairstyles!$C:$C,MATCH($B376,Hairstyles!$F:$F,0)),"" "",""""),""'"",""""),""("",""""),"")"",""""),""-"",""_"")&amp;""_""&amp;$A$2)"),"XingHDT-SMPWigs\Human\Male\Xing_KSSteammist_Human_Male")</f>
        <v>XingHDT-SMPWigs\Human\Male\Xing_KSSteammist_Human_Male</v>
      </c>
    </row>
    <row r="377">
      <c r="B377" s="12" t="str">
        <f>IFERROR(__xludf.DUMMYFUNCTION("""COMPUTED_VALUE"""),"Uvi_Wig_Spell_X_Dint_KS_Sunshine")</f>
        <v>Uvi_Wig_Spell_X_Dint_KS_Sunshine</v>
      </c>
      <c r="C377" s="12" t="str">
        <f>IFERROR(__xludf.DUMMYFUNCTION("IF($B377="""","""",SUBSTITUTE(SUBSTITUTE(SUBSTITUTE(SUBSTITUTE(INDEX(Hairstyles!$A:$A,MATCH($B377,Hairstyles!$F:$F,0)),"" "",""""),""'"",""""),""("",""""),"")"","""")&amp;""\""&amp;INDEX(SPLIT($A$2,""_""),1)&amp;""\""&amp;INDEX(SPLIT($A$2,""_""),2)&amp;""\""&amp;SUBSTITUTE(SUBST"&amp;"ITUTE(SUBSTITUTE(SUBSTITUTE(SUBSTITUTE(INDEX(Hairstyles!$C:$C,MATCH($B377,Hairstyles!$F:$F,0)),"" "",""""),""'"",""""),""("",""""),"")"",""""),""-"",""_"")&amp;""_""&amp;$A$2)"),"XingHDT-SMPWigs\Human\Male\Xing_KSSunshine_Human_Male")</f>
        <v>XingHDT-SMPWigs\Human\Male\Xing_KSSunshine_Human_Male</v>
      </c>
    </row>
    <row r="378">
      <c r="B378" s="12" t="str">
        <f>IFERROR(__xludf.DUMMYFUNCTION("""COMPUTED_VALUE"""),"Uvi_Wig_Spell_X_Dint_KS_Temptress")</f>
        <v>Uvi_Wig_Spell_X_Dint_KS_Temptress</v>
      </c>
      <c r="C378" s="12" t="str">
        <f>IFERROR(__xludf.DUMMYFUNCTION("IF($B378="""","""",SUBSTITUTE(SUBSTITUTE(SUBSTITUTE(SUBSTITUTE(INDEX(Hairstyles!$A:$A,MATCH($B378,Hairstyles!$F:$F,0)),"" "",""""),""'"",""""),""("",""""),"")"","""")&amp;""\""&amp;INDEX(SPLIT($A$2,""_""),1)&amp;""\""&amp;INDEX(SPLIT($A$2,""_""),2)&amp;""\""&amp;SUBSTITUTE(SUBST"&amp;"ITUTE(SUBSTITUTE(SUBSTITUTE(SUBSTITUTE(INDEX(Hairstyles!$C:$C,MATCH($B378,Hairstyles!$F:$F,0)),"" "",""""),""'"",""""),""("",""""),"")"",""""),""-"",""_"")&amp;""_""&amp;$A$2)"),"XingHDT-SMPWigs\Human\Male\Xing_KSTemptress_Human_Male")</f>
        <v>XingHDT-SMPWigs\Human\Male\Xing_KSTemptress_Human_Male</v>
      </c>
    </row>
    <row r="379">
      <c r="B379" s="12" t="str">
        <f>IFERROR(__xludf.DUMMYFUNCTION("""COMPUTED_VALUE"""),"Uvi_Wig_Spell_X_Dint_KS_Titanium")</f>
        <v>Uvi_Wig_Spell_X_Dint_KS_Titanium</v>
      </c>
      <c r="C379" s="12" t="str">
        <f>IFERROR(__xludf.DUMMYFUNCTION("IF($B379="""","""",SUBSTITUTE(SUBSTITUTE(SUBSTITUTE(SUBSTITUTE(INDEX(Hairstyles!$A:$A,MATCH($B379,Hairstyles!$F:$F,0)),"" "",""""),""'"",""""),""("",""""),"")"","""")&amp;""\""&amp;INDEX(SPLIT($A$2,""_""),1)&amp;""\""&amp;INDEX(SPLIT($A$2,""_""),2)&amp;""\""&amp;SUBSTITUTE(SUBST"&amp;"ITUTE(SUBSTITUTE(SUBSTITUTE(SUBSTITUTE(INDEX(Hairstyles!$C:$C,MATCH($B379,Hairstyles!$F:$F,0)),"" "",""""),""'"",""""),""("",""""),"")"",""""),""-"",""_"")&amp;""_""&amp;$A$2)"),"XingHDT-SMPWigs\Human\Male\Xing_KSTitanium_Human_Male")</f>
        <v>XingHDT-SMPWigs\Human\Male\Xing_KSTitanium_Human_Male</v>
      </c>
    </row>
    <row r="380">
      <c r="B380" s="12" t="str">
        <f>IFERROR(__xludf.DUMMYFUNCTION("""COMPUTED_VALUE"""),"Uvi_Wig_Spell_X_Dint_KS_Tsugumi1")</f>
        <v>Uvi_Wig_Spell_X_Dint_KS_Tsugumi1</v>
      </c>
      <c r="C380" s="12" t="str">
        <f>IFERROR(__xludf.DUMMYFUNCTION("IF($B380="""","""",SUBSTITUTE(SUBSTITUTE(SUBSTITUTE(SUBSTITUTE(INDEX(Hairstyles!$A:$A,MATCH($B380,Hairstyles!$F:$F,0)),"" "",""""),""'"",""""),""("",""""),"")"","""")&amp;""\""&amp;INDEX(SPLIT($A$2,""_""),1)&amp;""\""&amp;INDEX(SPLIT($A$2,""_""),2)&amp;""\""&amp;SUBSTITUTE(SUBST"&amp;"ITUTE(SUBSTITUTE(SUBSTITUTE(SUBSTITUTE(INDEX(Hairstyles!$C:$C,MATCH($B380,Hairstyles!$F:$F,0)),"" "",""""),""'"",""""),""("",""""),"")"",""""),""-"",""_"")&amp;""_""&amp;$A$2)"),"XingHDT-SMPWigs\Human\Male\Xing_KSTsugumi1_Human_Male")</f>
        <v>XingHDT-SMPWigs\Human\Male\Xing_KSTsugumi1_Human_Male</v>
      </c>
    </row>
    <row r="381">
      <c r="B381" s="12" t="str">
        <f>IFERROR(__xludf.DUMMYFUNCTION("""COMPUTED_VALUE"""),"Uvi_Wig_Spell_X_Dint_KS_Tsugumi2")</f>
        <v>Uvi_Wig_Spell_X_Dint_KS_Tsugumi2</v>
      </c>
      <c r="C381" s="12" t="str">
        <f>IFERROR(__xludf.DUMMYFUNCTION("IF($B381="""","""",SUBSTITUTE(SUBSTITUTE(SUBSTITUTE(SUBSTITUTE(INDEX(Hairstyles!$A:$A,MATCH($B381,Hairstyles!$F:$F,0)),"" "",""""),""'"",""""),""("",""""),"")"","""")&amp;""\""&amp;INDEX(SPLIT($A$2,""_""),1)&amp;""\""&amp;INDEX(SPLIT($A$2,""_""),2)&amp;""\""&amp;SUBSTITUTE(SUBST"&amp;"ITUTE(SUBSTITUTE(SUBSTITUTE(SUBSTITUTE(INDEX(Hairstyles!$C:$C,MATCH($B381,Hairstyles!$F:$F,0)),"" "",""""),""'"",""""),""("",""""),"")"",""""),""-"",""_"")&amp;""_""&amp;$A$2)"),"XingHDT-SMPWigs\Human\Male\Xing_KSTsugumi2_Human_Male")</f>
        <v>XingHDT-SMPWigs\Human\Male\Xing_KSTsugumi2_Human_Male</v>
      </c>
    </row>
    <row r="382">
      <c r="B382" s="12" t="str">
        <f>IFERROR(__xludf.DUMMYFUNCTION("""COMPUTED_VALUE"""),"Uvi_Wig_Spell_X_Dint_KS_Tsugumi3")</f>
        <v>Uvi_Wig_Spell_X_Dint_KS_Tsugumi3</v>
      </c>
      <c r="C382" s="12" t="str">
        <f>IFERROR(__xludf.DUMMYFUNCTION("IF($B382="""","""",SUBSTITUTE(SUBSTITUTE(SUBSTITUTE(SUBSTITUTE(INDEX(Hairstyles!$A:$A,MATCH($B382,Hairstyles!$F:$F,0)),"" "",""""),""'"",""""),""("",""""),"")"","""")&amp;""\""&amp;INDEX(SPLIT($A$2,""_""),1)&amp;""\""&amp;INDEX(SPLIT($A$2,""_""),2)&amp;""\""&amp;SUBSTITUTE(SUBST"&amp;"ITUTE(SUBSTITUTE(SUBSTITUTE(SUBSTITUTE(INDEX(Hairstyles!$C:$C,MATCH($B382,Hairstyles!$F:$F,0)),"" "",""""),""'"",""""),""("",""""),"")"",""""),""-"",""_"")&amp;""_""&amp;$A$2)"),"XingHDT-SMPWigs\Human\Male\Xing_KSTsugumi3_Human_Male")</f>
        <v>XingHDT-SMPWigs\Human\Male\Xing_KSTsugumi3_Human_Male</v>
      </c>
    </row>
    <row r="383">
      <c r="B383" s="12" t="str">
        <f>IFERROR(__xludf.DUMMYFUNCTION("""COMPUTED_VALUE"""),"Uvi_Wig_Spell_X_Dint_KS_Veneris")</f>
        <v>Uvi_Wig_Spell_X_Dint_KS_Veneris</v>
      </c>
      <c r="C383" s="12" t="str">
        <f>IFERROR(__xludf.DUMMYFUNCTION("IF($B383="""","""",SUBSTITUTE(SUBSTITUTE(SUBSTITUTE(SUBSTITUTE(INDEX(Hairstyles!$A:$A,MATCH($B383,Hairstyles!$F:$F,0)),"" "",""""),""'"",""""),""("",""""),"")"","""")&amp;""\""&amp;INDEX(SPLIT($A$2,""_""),1)&amp;""\""&amp;INDEX(SPLIT($A$2,""_""),2)&amp;""\""&amp;SUBSTITUTE(SUBST"&amp;"ITUTE(SUBSTITUTE(SUBSTITUTE(SUBSTITUTE(INDEX(Hairstyles!$C:$C,MATCH($B383,Hairstyles!$F:$F,0)),"" "",""""),""'"",""""),""("",""""),"")"",""""),""-"",""_"")&amp;""_""&amp;$A$2)"),"XingHDT-SMPWigs\Human\Male\Xing_KSVeneris_Human_Male")</f>
        <v>XingHDT-SMPWigs\Human\Male\Xing_KSVeneris_Human_Male</v>
      </c>
    </row>
    <row r="384">
      <c r="B384" s="12" t="str">
        <f>IFERROR(__xludf.DUMMYFUNCTION("""COMPUTED_VALUE"""),"Uvi_Wig_Spell_X_Dint_KS_Venus")</f>
        <v>Uvi_Wig_Spell_X_Dint_KS_Venus</v>
      </c>
      <c r="C384" s="12" t="str">
        <f>IFERROR(__xludf.DUMMYFUNCTION("IF($B384="""","""",SUBSTITUTE(SUBSTITUTE(SUBSTITUTE(SUBSTITUTE(INDEX(Hairstyles!$A:$A,MATCH($B384,Hairstyles!$F:$F,0)),"" "",""""),""'"",""""),""("",""""),"")"","""")&amp;""\""&amp;INDEX(SPLIT($A$2,""_""),1)&amp;""\""&amp;INDEX(SPLIT($A$2,""_""),2)&amp;""\""&amp;SUBSTITUTE(SUBST"&amp;"ITUTE(SUBSTITUTE(SUBSTITUTE(SUBSTITUTE(INDEX(Hairstyles!$C:$C,MATCH($B384,Hairstyles!$F:$F,0)),"" "",""""),""'"",""""),""("",""""),"")"",""""),""-"",""_"")&amp;""_""&amp;$A$2)"),"XingHDT-SMPWigs\Human\Male\Xing_KSVenus_Human_Male")</f>
        <v>XingHDT-SMPWigs\Human\Male\Xing_KSVenus_Human_Male</v>
      </c>
    </row>
    <row r="385">
      <c r="B385" s="12" t="str">
        <f>IFERROR(__xludf.DUMMYFUNCTION("""COMPUTED_VALUE"""),"Uvi_Wig_Spell_X_Dint_SG_hairginko02")</f>
        <v>Uvi_Wig_Spell_X_Dint_SG_hairginko02</v>
      </c>
      <c r="C385" s="12" t="str">
        <f>IFERROR(__xludf.DUMMYFUNCTION("IF($B385="""","""",SUBSTITUTE(SUBSTITUTE(SUBSTITUTE(SUBSTITUTE(INDEX(Hairstyles!$A:$A,MATCH($B385,Hairstyles!$F:$F,0)),"" "",""""),""'"",""""),""("",""""),"")"","""")&amp;""\""&amp;INDEX(SPLIT($A$2,""_""),1)&amp;""\""&amp;INDEX(SPLIT($A$2,""_""),2)&amp;""\""&amp;SUBSTITUTE(SUBST"&amp;"ITUTE(SUBSTITUTE(SUBSTITUTE(SUBSTITUTE(INDEX(Hairstyles!$C:$C,MATCH($B385,Hairstyles!$F:$F,0)),"" "",""""),""'"",""""),""("",""""),"")"",""""),""-"",""_"")&amp;""_""&amp;$A$2)"),"XingHDT-SMPWigs\Human\Male\Xing_SGGinko02_Human_Male")</f>
        <v>XingHDT-SMPWigs\Human\Male\Xing_SGGinko02_Human_Male</v>
      </c>
    </row>
    <row r="386">
      <c r="B386" s="12" t="str">
        <f>IFERROR(__xludf.DUMMYFUNCTION("""COMPUTED_VALUE"""),"Uvi_Wig_Spell_X_Dint_SG_hair25")</f>
        <v>Uvi_Wig_Spell_X_Dint_SG_hair25</v>
      </c>
      <c r="C386" s="12" t="str">
        <f>IFERROR(__xludf.DUMMYFUNCTION("IF($B386="""","""",SUBSTITUTE(SUBSTITUTE(SUBSTITUTE(SUBSTITUTE(INDEX(Hairstyles!$A:$A,MATCH($B386,Hairstyles!$F:$F,0)),"" "",""""),""'"",""""),""("",""""),"")"","""")&amp;""\""&amp;INDEX(SPLIT($A$2,""_""),1)&amp;""\""&amp;INDEX(SPLIT($A$2,""_""),2)&amp;""\""&amp;SUBSTITUTE(SUBST"&amp;"ITUTE(SUBSTITUTE(SUBSTITUTE(SUBSTITUTE(INDEX(Hairstyles!$C:$C,MATCH($B386,Hairstyles!$F:$F,0)),"" "",""""),""'"",""""),""("",""""),"")"",""""),""-"",""_"")&amp;""_""&amp;$A$2)"),"XingHDT-SMPWigs\Human\Male\Xing_SGhair25_Human_Male")</f>
        <v>XingHDT-SMPWigs\Human\Male\Xing_SGhair25_Human_Male</v>
      </c>
    </row>
    <row r="387">
      <c r="B387" s="12" t="str">
        <f>IFERROR(__xludf.DUMMYFUNCTION("""COMPUTED_VALUE"""),"Uvi_Wig_Spell_X_Dint_SG_hairpg4385")</f>
        <v>Uvi_Wig_Spell_X_Dint_SG_hairpg4385</v>
      </c>
      <c r="C387" s="12" t="str">
        <f>IFERROR(__xludf.DUMMYFUNCTION("IF($B387="""","""",SUBSTITUTE(SUBSTITUTE(SUBSTITUTE(SUBSTITUTE(INDEX(Hairstyles!$A:$A,MATCH($B387,Hairstyles!$F:$F,0)),"" "",""""),""'"",""""),""("",""""),"")"","""")&amp;""\""&amp;INDEX(SPLIT($A$2,""_""),1)&amp;""\""&amp;INDEX(SPLIT($A$2,""_""),2)&amp;""\""&amp;SUBSTITUTE(SUBST"&amp;"ITUTE(SUBSTITUTE(SUBSTITUTE(SUBSTITUTE(INDEX(Hairstyles!$C:$C,MATCH($B387,Hairstyles!$F:$F,0)),"" "",""""),""'"",""""),""("",""""),"")"",""""),""-"",""_"")&amp;""_""&amp;$A$2)"),"XingHDT-SMPWigs\Human\Male\Xing_SGhairpg4385_Human_Male")</f>
        <v>XingHDT-SMPWigs\Human\Male\Xing_SGhairpg4385_Human_Male</v>
      </c>
    </row>
    <row r="388">
      <c r="B388" s="12" t="str">
        <f>IFERROR(__xludf.DUMMYFUNCTION("""COMPUTED_VALUE"""),"Uvi_Wig_Spell_X_Dint_SG_hairlovelution")</f>
        <v>Uvi_Wig_Spell_X_Dint_SG_hairlovelution</v>
      </c>
      <c r="C388" s="12" t="str">
        <f>IFERROR(__xludf.DUMMYFUNCTION("IF($B388="""","""",SUBSTITUTE(SUBSTITUTE(SUBSTITUTE(SUBSTITUTE(INDEX(Hairstyles!$A:$A,MATCH($B388,Hairstyles!$F:$F,0)),"" "",""""),""'"",""""),""("",""""),"")"","""")&amp;""\""&amp;INDEX(SPLIT($A$2,""_""),1)&amp;""\""&amp;INDEX(SPLIT($A$2,""_""),2)&amp;""\""&amp;SUBSTITUTE(SUBST"&amp;"ITUTE(SUBSTITUTE(SUBSTITUTE(SUBSTITUTE(INDEX(Hairstyles!$C:$C,MATCH($B388,Hairstyles!$F:$F,0)),"" "",""""),""'"",""""),""("",""""),"")"",""""),""-"",""_"")&amp;""_""&amp;$A$2)"),"XingHDT-SMPWigs\Human\Male\Xing_SGLovelution_Human_Male")</f>
        <v>XingHDT-SMPWigs\Human\Male\Xing_SGLovelution_Human_Male</v>
      </c>
    </row>
    <row r="389">
      <c r="B389" s="12" t="str">
        <f>IFERROR(__xludf.DUMMYFUNCTION("""COMPUTED_VALUE"""),"Uvi_Wig_Spell_X_Dint_SG_Misa")</f>
        <v>Uvi_Wig_Spell_X_Dint_SG_Misa</v>
      </c>
      <c r="C389" s="12" t="str">
        <f>IFERROR(__xludf.DUMMYFUNCTION("IF($B389="""","""",SUBSTITUTE(SUBSTITUTE(SUBSTITUTE(SUBSTITUTE(INDEX(Hairstyles!$A:$A,MATCH($B389,Hairstyles!$F:$F,0)),"" "",""""),""'"",""""),""("",""""),"")"","""")&amp;""\""&amp;INDEX(SPLIT($A$2,""_""),1)&amp;""\""&amp;INDEX(SPLIT($A$2,""_""),2)&amp;""\""&amp;SUBSTITUTE(SUBST"&amp;"ITUTE(SUBSTITUTE(SUBSTITUTE(SUBSTITUTE(INDEX(Hairstyles!$C:$C,MATCH($B389,Hairstyles!$F:$F,0)),"" "",""""),""'"",""""),""("",""""),"")"",""""),""-"",""_"")&amp;""_""&amp;$A$2)"),"XingHDT-SMPWigs\Human\Male\Xing_SGMisa_Human_Male")</f>
        <v>XingHDT-SMPWigs\Human\Male\Xing_SGMisa_Human_Male</v>
      </c>
    </row>
    <row r="390">
      <c r="B390" s="12" t="str">
        <f>IFERROR(__xludf.DUMMYFUNCTION("""COMPUTED_VALUE"""),"Uvi_Wig_Spell_X_Dint_SG_Misa2")</f>
        <v>Uvi_Wig_Spell_X_Dint_SG_Misa2</v>
      </c>
      <c r="C390" s="12" t="str">
        <f>IFERROR(__xludf.DUMMYFUNCTION("IF($B390="""","""",SUBSTITUTE(SUBSTITUTE(SUBSTITUTE(SUBSTITUTE(INDEX(Hairstyles!$A:$A,MATCH($B390,Hairstyles!$F:$F,0)),"" "",""""),""'"",""""),""("",""""),"")"","""")&amp;""\""&amp;INDEX(SPLIT($A$2,""_""),1)&amp;""\""&amp;INDEX(SPLIT($A$2,""_""),2)&amp;""\""&amp;SUBSTITUTE(SUBST"&amp;"ITUTE(SUBSTITUTE(SUBSTITUTE(SUBSTITUTE(INDEX(Hairstyles!$C:$C,MATCH($B390,Hairstyles!$F:$F,0)),"" "",""""),""'"",""""),""("",""""),"")"",""""),""-"",""_"")&amp;""_""&amp;$A$2)"),"XingHDT-SMPWigs\Human\Male\Xing_SGMisa2_Human_Male")</f>
        <v>XingHDT-SMPWigs\Human\Male\Xing_SGMisa2_Human_Male</v>
      </c>
    </row>
    <row r="391">
      <c r="B391" s="12" t="str">
        <f>IFERROR(__xludf.DUMMYFUNCTION("""COMPUTED_VALUE"""),"Uvi_Wig_Spell_X_Dint_SG_hairsidebraids")</f>
        <v>Uvi_Wig_Spell_X_Dint_SG_hairsidebraids</v>
      </c>
      <c r="C391" s="12" t="str">
        <f>IFERROR(__xludf.DUMMYFUNCTION("IF($B391="""","""",SUBSTITUTE(SUBSTITUTE(SUBSTITUTE(SUBSTITUTE(INDEX(Hairstyles!$A:$A,MATCH($B391,Hairstyles!$F:$F,0)),"" "",""""),""'"",""""),""("",""""),"")"","""")&amp;""\""&amp;INDEX(SPLIT($A$2,""_""),1)&amp;""\""&amp;INDEX(SPLIT($A$2,""_""),2)&amp;""\""&amp;SUBSTITUTE(SUBST"&amp;"ITUTE(SUBSTITUTE(SUBSTITUTE(SUBSTITUTE(INDEX(Hairstyles!$C:$C,MATCH($B391,Hairstyles!$F:$F,0)),"" "",""""),""'"",""""),""("",""""),"")"",""""),""-"",""_"")&amp;""_""&amp;$A$2)"),"XingHDT-SMPWigs\Human\Male\Xing_SGSidebraids_Human_Male")</f>
        <v>XingHDT-SMPWigs\Human\Male\Xing_SGSidebraids_Human_Male</v>
      </c>
    </row>
    <row r="392">
      <c r="B392" s="12" t="str">
        <f>IFERROR(__xludf.DUMMYFUNCTION("""COMPUTED_VALUE"""),"Uvi_Wig_Spell_X_Dint_SG_hairWildsoul")</f>
        <v>Uvi_Wig_Spell_X_Dint_SG_hairWildsoul</v>
      </c>
      <c r="C392" s="12" t="str">
        <f>IFERROR(__xludf.DUMMYFUNCTION("IF($B392="""","""",SUBSTITUTE(SUBSTITUTE(SUBSTITUTE(SUBSTITUTE(INDEX(Hairstyles!$A:$A,MATCH($B392,Hairstyles!$F:$F,0)),"" "",""""),""'"",""""),""("",""""),"")"","""")&amp;""\""&amp;INDEX(SPLIT($A$2,""_""),1)&amp;""\""&amp;INDEX(SPLIT($A$2,""_""),2)&amp;""\""&amp;SUBSTITUTE(SUBST"&amp;"ITUTE(SUBSTITUTE(SUBSTITUTE(SUBSTITUTE(INDEX(Hairstyles!$C:$C,MATCH($B392,Hairstyles!$F:$F,0)),"" "",""""),""'"",""""),""("",""""),"")"",""""),""-"",""_"")&amp;""_""&amp;$A$2)"),"XingHDT-SMPWigs\Human\Male\Xing_SGWildsoul_Human_Male")</f>
        <v>XingHDT-SMPWigs\Human\Male\Xing_SGWildsoul_Human_Male</v>
      </c>
    </row>
    <row r="393">
      <c r="B393" s="12" t="str">
        <f>IFERROR(__xludf.DUMMYFUNCTION("""COMPUTED_VALUE"""),"Uvi_Wig_Spell_X_Dint_KS_Shieldbrother")</f>
        <v>Uvi_Wig_Spell_X_Dint_KS_Shieldbrother</v>
      </c>
      <c r="C393" s="12" t="str">
        <f>IFERROR(__xludf.DUMMYFUNCTION("IF($B393="""","""",SUBSTITUTE(SUBSTITUTE(SUBSTITUTE(SUBSTITUTE(INDEX(Hairstyles!$A:$A,MATCH($B393,Hairstyles!$F:$F,0)),"" "",""""),""'"",""""),""("",""""),"")"","""")&amp;""\""&amp;INDEX(SPLIT($A$2,""_""),1)&amp;""\""&amp;INDEX(SPLIT($A$2,""_""),2)&amp;""\""&amp;SUBSTITUTE(SUBST"&amp;"ITUTE(SUBSTITUTE(SUBSTITUTE(SUBSTITUTE(INDEX(Hairstyles!$C:$C,MATCH($B393,Hairstyles!$F:$F,0)),"" "",""""),""'"",""""),""("",""""),"")"",""""),""-"",""_"")&amp;""_""&amp;$A$2)"),"XingHDT-SMPWigs\Human\Male\Xing_KSShieldbrother_Human_Male")</f>
        <v>XingHDT-SMPWigs\Human\Male\Xing_KSShieldbrother_Human_Male</v>
      </c>
    </row>
    <row r="394">
      <c r="C394" s="12" t="str">
        <f>IFERROR(__xludf.DUMMYFUNCTION("IF($B394="""","""",SUBSTITUTE(SUBSTITUTE(SUBSTITUTE(SUBSTITUTE(INDEX(Hairstyles!$A:$A,MATCH($B394,Hairstyles!$F:$F,0)),"" "",""""),""'"",""""),""("",""""),"")"","""")&amp;""\""&amp;INDEX(SPLIT($A$2,""_""),1)&amp;""\""&amp;INDEX(SPLIT($A$2,""_""),2)&amp;""\""&amp;SUBSTITUTE(SUBST"&amp;"ITUTE(SUBSTITUTE(SUBSTITUTE(SUBSTITUTE(INDEX(Hairstyles!$C:$C,MATCH($B394,Hairstyles!$F:$F,0)),"" "",""""),""'"",""""),""("",""""),"")"",""""),""-"",""_"")&amp;""_""&amp;$A$2)"),"")</f>
        <v/>
      </c>
    </row>
    <row r="395">
      <c r="C395" s="12" t="str">
        <f>IFERROR(__xludf.DUMMYFUNCTION("IF($B395="""","""",SUBSTITUTE(SUBSTITUTE(SUBSTITUTE(SUBSTITUTE(INDEX(Hairstyles!$A:$A,MATCH($B395,Hairstyles!$F:$F,0)),"" "",""""),""'"",""""),""("",""""),"")"","""")&amp;""\""&amp;INDEX(SPLIT($A$2,""_""),1)&amp;""\""&amp;INDEX(SPLIT($A$2,""_""),2)&amp;""\""&amp;SUBSTITUTE(SUBST"&amp;"ITUTE(SUBSTITUTE(SUBSTITUTE(SUBSTITUTE(INDEX(Hairstyles!$C:$C,MATCH($B395,Hairstyles!$F:$F,0)),"" "",""""),""'"",""""),""("",""""),"")"",""""),""-"",""_"")&amp;""_""&amp;$A$2)"),"")</f>
        <v/>
      </c>
    </row>
    <row r="396">
      <c r="C396" s="12" t="str">
        <f>IFERROR(__xludf.DUMMYFUNCTION("IF($B396="""","""",SUBSTITUTE(SUBSTITUTE(SUBSTITUTE(SUBSTITUTE(INDEX(Hairstyles!$A:$A,MATCH($B396,Hairstyles!$F:$F,0)),"" "",""""),""'"",""""),""("",""""),"")"","""")&amp;""\""&amp;INDEX(SPLIT($A$2,""_""),1)&amp;""\""&amp;INDEX(SPLIT($A$2,""_""),2)&amp;""\""&amp;SUBSTITUTE(SUBST"&amp;"ITUTE(SUBSTITUTE(SUBSTITUTE(SUBSTITUTE(INDEX(Hairstyles!$C:$C,MATCH($B396,Hairstyles!$F:$F,0)),"" "",""""),""'"",""""),""("",""""),"")"",""""),""-"",""_"")&amp;""_""&amp;$A$2)"),"")</f>
        <v/>
      </c>
    </row>
    <row r="397">
      <c r="C397" s="12" t="str">
        <f>IFERROR(__xludf.DUMMYFUNCTION("IF($B397="""","""",SUBSTITUTE(SUBSTITUTE(SUBSTITUTE(SUBSTITUTE(INDEX(Hairstyles!$A:$A,MATCH($B397,Hairstyles!$F:$F,0)),"" "",""""),""'"",""""),""("",""""),"")"","""")&amp;""\""&amp;INDEX(SPLIT($A$2,""_""),1)&amp;""\""&amp;INDEX(SPLIT($A$2,""_""),2)&amp;""\""&amp;SUBSTITUTE(SUBST"&amp;"ITUTE(SUBSTITUTE(SUBSTITUTE(SUBSTITUTE(INDEX(Hairstyles!$C:$C,MATCH($B397,Hairstyles!$F:$F,0)),"" "",""""),""'"",""""),""("",""""),"")"",""""),""-"",""_"")&amp;""_""&amp;$A$2)"),"")</f>
        <v/>
      </c>
    </row>
    <row r="398">
      <c r="C398" s="12" t="str">
        <f>IFERROR(__xludf.DUMMYFUNCTION("IF($B398="""","""",SUBSTITUTE(SUBSTITUTE(SUBSTITUTE(SUBSTITUTE(INDEX(Hairstyles!$A:$A,MATCH($B398,Hairstyles!$F:$F,0)),"" "",""""),""'"",""""),""("",""""),"")"","""")&amp;""\""&amp;INDEX(SPLIT($A$2,""_""),1)&amp;""\""&amp;INDEX(SPLIT($A$2,""_""),2)&amp;""\""&amp;SUBSTITUTE(SUBST"&amp;"ITUTE(SUBSTITUTE(SUBSTITUTE(SUBSTITUTE(INDEX(Hairstyles!$C:$C,MATCH($B398,Hairstyles!$F:$F,0)),"" "",""""),""'"",""""),""("",""""),"")"",""""),""-"",""_"")&amp;""_""&amp;$A$2)"),"")</f>
        <v/>
      </c>
    </row>
    <row r="399">
      <c r="C399" s="12" t="str">
        <f>IFERROR(__xludf.DUMMYFUNCTION("IF($B399="""","""",SUBSTITUTE(SUBSTITUTE(SUBSTITUTE(SUBSTITUTE(INDEX(Hairstyles!$A:$A,MATCH($B399,Hairstyles!$F:$F,0)),"" "",""""),""'"",""""),""("",""""),"")"","""")&amp;""\""&amp;INDEX(SPLIT($A$2,""_""),1)&amp;""\""&amp;INDEX(SPLIT($A$2,""_""),2)&amp;""\""&amp;SUBSTITUTE(SUBST"&amp;"ITUTE(SUBSTITUTE(SUBSTITUTE(SUBSTITUTE(INDEX(Hairstyles!$C:$C,MATCH($B399,Hairstyles!$F:$F,0)),"" "",""""),""'"",""""),""("",""""),"")"",""""),""-"",""_"")&amp;""_""&amp;$A$2)"),"")</f>
        <v/>
      </c>
    </row>
    <row r="400">
      <c r="C400" s="12" t="str">
        <f>IFERROR(__xludf.DUMMYFUNCTION("IF($B400="""","""",SUBSTITUTE(SUBSTITUTE(SUBSTITUTE(SUBSTITUTE(INDEX(Hairstyles!$A:$A,MATCH($B400,Hairstyles!$F:$F,0)),"" "",""""),""'"",""""),""("",""""),"")"","""")&amp;""\""&amp;INDEX(SPLIT($A$2,""_""),1)&amp;""\""&amp;INDEX(SPLIT($A$2,""_""),2)&amp;""\""&amp;SUBSTITUTE(SUBST"&amp;"ITUTE(SUBSTITUTE(SUBSTITUTE(SUBSTITUTE(INDEX(Hairstyles!$C:$C,MATCH($B400,Hairstyles!$F:$F,0)),"" "",""""),""'"",""""),""("",""""),"")"",""""),""-"",""_"")&amp;""_""&amp;$A$2)"),"")</f>
        <v/>
      </c>
    </row>
    <row r="401">
      <c r="C401" s="12" t="str">
        <f>IFERROR(__xludf.DUMMYFUNCTION("IF($B401="""","""",SUBSTITUTE(SUBSTITUTE(SUBSTITUTE(SUBSTITUTE(INDEX(Hairstyles!$A:$A,MATCH($B401,Hairstyles!$F:$F,0)),"" "",""""),""'"",""""),""("",""""),"")"","""")&amp;""\""&amp;INDEX(SPLIT($A$2,""_""),1)&amp;""\""&amp;INDEX(SPLIT($A$2,""_""),2)&amp;""\""&amp;SUBSTITUTE(SUBST"&amp;"ITUTE(SUBSTITUTE(SUBSTITUTE(SUBSTITUTE(INDEX(Hairstyles!$C:$C,MATCH($B401,Hairstyles!$F:$F,0)),"" "",""""),""'"",""""),""("",""""),"")"",""""),""-"",""_"")&amp;""_""&amp;$A$2)"),"")</f>
        <v/>
      </c>
    </row>
    <row r="402">
      <c r="C402" s="12" t="str">
        <f>IFERROR(__xludf.DUMMYFUNCTION("IF($B402="""","""",SUBSTITUTE(SUBSTITUTE(SUBSTITUTE(SUBSTITUTE(INDEX(Hairstyles!$A:$A,MATCH($B402,Hairstyles!$F:$F,0)),"" "",""""),""'"",""""),""("",""""),"")"","""")&amp;""\""&amp;INDEX(SPLIT($A$2,""_""),1)&amp;""\""&amp;INDEX(SPLIT($A$2,""_""),2)&amp;""\""&amp;SUBSTITUTE(SUBST"&amp;"ITUTE(SUBSTITUTE(SUBSTITUTE(SUBSTITUTE(INDEX(Hairstyles!$C:$C,MATCH($B402,Hairstyles!$F:$F,0)),"" "",""""),""'"",""""),""("",""""),"")"",""""),""-"",""_"")&amp;""_""&amp;$A$2)"),"")</f>
        <v/>
      </c>
    </row>
    <row r="403">
      <c r="C403" s="12" t="str">
        <f>IFERROR(__xludf.DUMMYFUNCTION("IF($B403="""","""",SUBSTITUTE(SUBSTITUTE(SUBSTITUTE(SUBSTITUTE(INDEX(Hairstyles!$A:$A,MATCH($B403,Hairstyles!$F:$F,0)),"" "",""""),""'"",""""),""("",""""),"")"","""")&amp;""\""&amp;INDEX(SPLIT($A$2,""_""),1)&amp;""\""&amp;INDEX(SPLIT($A$2,""_""),2)&amp;""\""&amp;SUBSTITUTE(SUBST"&amp;"ITUTE(SUBSTITUTE(SUBSTITUTE(SUBSTITUTE(INDEX(Hairstyles!$C:$C,MATCH($B403,Hairstyles!$F:$F,0)),"" "",""""),""'"",""""),""("",""""),"")"",""""),""-"",""_"")&amp;""_""&amp;$A$2)"),"")</f>
        <v/>
      </c>
    </row>
    <row r="404">
      <c r="C404" s="12" t="str">
        <f>IFERROR(__xludf.DUMMYFUNCTION("IF($B404="""","""",SUBSTITUTE(SUBSTITUTE(SUBSTITUTE(SUBSTITUTE(INDEX(Hairstyles!$A:$A,MATCH($B404,Hairstyles!$F:$F,0)),"" "",""""),""'"",""""),""("",""""),"")"","""")&amp;""\""&amp;INDEX(SPLIT($A$2,""_""),1)&amp;""\""&amp;INDEX(SPLIT($A$2,""_""),2)&amp;""\""&amp;SUBSTITUTE(SUBST"&amp;"ITUTE(SUBSTITUTE(SUBSTITUTE(SUBSTITUTE(INDEX(Hairstyles!$C:$C,MATCH($B404,Hairstyles!$F:$F,0)),"" "",""""),""'"",""""),""("",""""),"")"",""""),""-"",""_"")&amp;""_""&amp;$A$2)"),"")</f>
        <v/>
      </c>
    </row>
    <row r="405">
      <c r="C405" s="12" t="str">
        <f>IFERROR(__xludf.DUMMYFUNCTION("IF($B405="""","""",SUBSTITUTE(SUBSTITUTE(SUBSTITUTE(SUBSTITUTE(INDEX(Hairstyles!$A:$A,MATCH($B405,Hairstyles!$F:$F,0)),"" "",""""),""'"",""""),""("",""""),"")"","""")&amp;""\""&amp;INDEX(SPLIT($A$2,""_""),1)&amp;""\""&amp;INDEX(SPLIT($A$2,""_""),2)&amp;""\""&amp;SUBSTITUTE(SUBST"&amp;"ITUTE(SUBSTITUTE(SUBSTITUTE(SUBSTITUTE(INDEX(Hairstyles!$C:$C,MATCH($B405,Hairstyles!$F:$F,0)),"" "",""""),""'"",""""),""("",""""),"")"",""""),""-"",""_"")&amp;""_""&amp;$A$2)"),"")</f>
        <v/>
      </c>
    </row>
    <row r="406">
      <c r="C406" s="12" t="str">
        <f>IFERROR(__xludf.DUMMYFUNCTION("IF($B406="""","""",SUBSTITUTE(SUBSTITUTE(SUBSTITUTE(SUBSTITUTE(INDEX(Hairstyles!$A:$A,MATCH($B406,Hairstyles!$F:$F,0)),"" "",""""),""'"",""""),""("",""""),"")"","""")&amp;""\""&amp;INDEX(SPLIT($A$2,""_""),1)&amp;""\""&amp;INDEX(SPLIT($A$2,""_""),2)&amp;""\""&amp;SUBSTITUTE(SUBST"&amp;"ITUTE(SUBSTITUTE(SUBSTITUTE(SUBSTITUTE(INDEX(Hairstyles!$C:$C,MATCH($B406,Hairstyles!$F:$F,0)),"" "",""""),""'"",""""),""("",""""),"")"",""""),""-"",""_"")&amp;""_""&amp;$A$2)"),"")</f>
        <v/>
      </c>
    </row>
    <row r="407">
      <c r="C407" s="12" t="str">
        <f>IFERROR(__xludf.DUMMYFUNCTION("IF($B407="""","""",SUBSTITUTE(SUBSTITUTE(SUBSTITUTE(SUBSTITUTE(INDEX(Hairstyles!$A:$A,MATCH($B407,Hairstyles!$F:$F,0)),"" "",""""),""'"",""""),""("",""""),"")"","""")&amp;""\""&amp;INDEX(SPLIT($A$2,""_""),1)&amp;""\""&amp;INDEX(SPLIT($A$2,""_""),2)&amp;""\""&amp;SUBSTITUTE(SUBST"&amp;"ITUTE(SUBSTITUTE(SUBSTITUTE(SUBSTITUTE(INDEX(Hairstyles!$C:$C,MATCH($B407,Hairstyles!$F:$F,0)),"" "",""""),""'"",""""),""("",""""),"")"",""""),""-"",""_"")&amp;""_""&amp;$A$2)"),"")</f>
        <v/>
      </c>
    </row>
    <row r="408">
      <c r="C408" s="12" t="str">
        <f>IFERROR(__xludf.DUMMYFUNCTION("IF($B408="""","""",SUBSTITUTE(SUBSTITUTE(SUBSTITUTE(SUBSTITUTE(INDEX(Hairstyles!$A:$A,MATCH($B408,Hairstyles!$F:$F,0)),"" "",""""),""'"",""""),""("",""""),"")"","""")&amp;""\""&amp;INDEX(SPLIT($A$2,""_""),1)&amp;""\""&amp;INDEX(SPLIT($A$2,""_""),2)&amp;""\""&amp;SUBSTITUTE(SUBST"&amp;"ITUTE(SUBSTITUTE(SUBSTITUTE(SUBSTITUTE(INDEX(Hairstyles!$C:$C,MATCH($B408,Hairstyles!$F:$F,0)),"" "",""""),""'"",""""),""("",""""),"")"",""""),""-"",""_"")&amp;""_""&amp;$A$2)"),"")</f>
        <v/>
      </c>
    </row>
    <row r="409">
      <c r="C409" s="12" t="str">
        <f>IFERROR(__xludf.DUMMYFUNCTION("IF($B409="""","""",SUBSTITUTE(SUBSTITUTE(SUBSTITUTE(SUBSTITUTE(INDEX(Hairstyles!$A:$A,MATCH($B409,Hairstyles!$F:$F,0)),"" "",""""),""'"",""""),""("",""""),"")"","""")&amp;""\""&amp;INDEX(SPLIT($A$2,""_""),1)&amp;""\""&amp;INDEX(SPLIT($A$2,""_""),2)&amp;""\""&amp;SUBSTITUTE(SUBST"&amp;"ITUTE(SUBSTITUTE(SUBSTITUTE(SUBSTITUTE(INDEX(Hairstyles!$C:$C,MATCH($B409,Hairstyles!$F:$F,0)),"" "",""""),""'"",""""),""("",""""),"")"",""""),""-"",""_"")&amp;""_""&amp;$A$2)"),"")</f>
        <v/>
      </c>
    </row>
    <row r="410">
      <c r="C410" s="12" t="str">
        <f>IFERROR(__xludf.DUMMYFUNCTION("IF($B410="""","""",SUBSTITUTE(SUBSTITUTE(SUBSTITUTE(SUBSTITUTE(INDEX(Hairstyles!$A:$A,MATCH($B410,Hairstyles!$F:$F,0)),"" "",""""),""'"",""""),""("",""""),"")"","""")&amp;""\""&amp;INDEX(SPLIT($A$2,""_""),1)&amp;""\""&amp;INDEX(SPLIT($A$2,""_""),2)&amp;""\""&amp;SUBSTITUTE(SUBST"&amp;"ITUTE(SUBSTITUTE(SUBSTITUTE(SUBSTITUTE(INDEX(Hairstyles!$C:$C,MATCH($B410,Hairstyles!$F:$F,0)),"" "",""""),""'"",""""),""("",""""),"")"",""""),""-"",""_"")&amp;""_""&amp;$A$2)"),"")</f>
        <v/>
      </c>
    </row>
    <row r="411">
      <c r="C411" s="12" t="str">
        <f>IFERROR(__xludf.DUMMYFUNCTION("IF($B411="""","""",SUBSTITUTE(SUBSTITUTE(SUBSTITUTE(SUBSTITUTE(INDEX(Hairstyles!$A:$A,MATCH($B411,Hairstyles!$F:$F,0)),"" "",""""),""'"",""""),""("",""""),"")"","""")&amp;""\""&amp;INDEX(SPLIT($A$2,""_""),1)&amp;""\""&amp;INDEX(SPLIT($A$2,""_""),2)&amp;""\""&amp;SUBSTITUTE(SUBST"&amp;"ITUTE(SUBSTITUTE(SUBSTITUTE(SUBSTITUTE(INDEX(Hairstyles!$C:$C,MATCH($B411,Hairstyles!$F:$F,0)),"" "",""""),""'"",""""),""("",""""),"")"",""""),""-"",""_"")&amp;""_""&amp;$A$2)"),"")</f>
        <v/>
      </c>
    </row>
    <row r="412">
      <c r="C412" s="12" t="str">
        <f>IFERROR(__xludf.DUMMYFUNCTION("IF($B412="""","""",SUBSTITUTE(SUBSTITUTE(SUBSTITUTE(SUBSTITUTE(INDEX(Hairstyles!$A:$A,MATCH($B412,Hairstyles!$F:$F,0)),"" "",""""),""'"",""""),""("",""""),"")"","""")&amp;""\""&amp;INDEX(SPLIT($A$2,""_""),1)&amp;""\""&amp;INDEX(SPLIT($A$2,""_""),2)&amp;""\""&amp;SUBSTITUTE(SUBST"&amp;"ITUTE(SUBSTITUTE(SUBSTITUTE(SUBSTITUTE(INDEX(Hairstyles!$C:$C,MATCH($B412,Hairstyles!$F:$F,0)),"" "",""""),""'"",""""),""("",""""),"")"",""""),""-"",""_"")&amp;""_""&amp;$A$2)"),"")</f>
        <v/>
      </c>
    </row>
    <row r="413">
      <c r="C413" s="12" t="str">
        <f>IFERROR(__xludf.DUMMYFUNCTION("IF($B413="""","""",SUBSTITUTE(SUBSTITUTE(SUBSTITUTE(SUBSTITUTE(INDEX(Hairstyles!$A:$A,MATCH($B413,Hairstyles!$F:$F,0)),"" "",""""),""'"",""""),""("",""""),"")"","""")&amp;""\""&amp;INDEX(SPLIT($A$2,""_""),1)&amp;""\""&amp;INDEX(SPLIT($A$2,""_""),2)&amp;""\""&amp;SUBSTITUTE(SUBST"&amp;"ITUTE(SUBSTITUTE(SUBSTITUTE(SUBSTITUTE(INDEX(Hairstyles!$C:$C,MATCH($B413,Hairstyles!$F:$F,0)),"" "",""""),""'"",""""),""("",""""),"")"",""""),""-"",""_"")&amp;""_""&amp;$A$2)"),"")</f>
        <v/>
      </c>
    </row>
    <row r="414">
      <c r="C414" s="12" t="str">
        <f>IFERROR(__xludf.DUMMYFUNCTION("IF($B414="""","""",SUBSTITUTE(SUBSTITUTE(SUBSTITUTE(SUBSTITUTE(INDEX(Hairstyles!$A:$A,MATCH($B414,Hairstyles!$F:$F,0)),"" "",""""),""'"",""""),""("",""""),"")"","""")&amp;""\""&amp;INDEX(SPLIT($A$2,""_""),1)&amp;""\""&amp;INDEX(SPLIT($A$2,""_""),2)&amp;""\""&amp;SUBSTITUTE(SUBST"&amp;"ITUTE(SUBSTITUTE(SUBSTITUTE(SUBSTITUTE(INDEX(Hairstyles!$C:$C,MATCH($B414,Hairstyles!$F:$F,0)),"" "",""""),""'"",""""),""("",""""),"")"",""""),""-"",""_"")&amp;""_""&amp;$A$2)"),"")</f>
        <v/>
      </c>
    </row>
    <row r="415">
      <c r="C415" s="12" t="str">
        <f>IFERROR(__xludf.DUMMYFUNCTION("IF($B415="""","""",SUBSTITUTE(SUBSTITUTE(SUBSTITUTE(SUBSTITUTE(INDEX(Hairstyles!$A:$A,MATCH($B415,Hairstyles!$F:$F,0)),"" "",""""),""'"",""""),""("",""""),"")"","""")&amp;""\""&amp;INDEX(SPLIT($A$2,""_""),1)&amp;""\""&amp;INDEX(SPLIT($A$2,""_""),2)&amp;""\""&amp;SUBSTITUTE(SUBST"&amp;"ITUTE(SUBSTITUTE(SUBSTITUTE(SUBSTITUTE(INDEX(Hairstyles!$C:$C,MATCH($B415,Hairstyles!$F:$F,0)),"" "",""""),""'"",""""),""("",""""),"")"",""""),""-"",""_"")&amp;""_""&amp;$A$2)"),"")</f>
        <v/>
      </c>
    </row>
    <row r="416">
      <c r="C416" s="12" t="str">
        <f>IFERROR(__xludf.DUMMYFUNCTION("IF($B416="""","""",SUBSTITUTE(SUBSTITUTE(SUBSTITUTE(SUBSTITUTE(INDEX(Hairstyles!$A:$A,MATCH($B416,Hairstyles!$F:$F,0)),"" "",""""),""'"",""""),""("",""""),"")"","""")&amp;""\""&amp;INDEX(SPLIT($A$2,""_""),1)&amp;""\""&amp;INDEX(SPLIT($A$2,""_""),2)&amp;""\""&amp;SUBSTITUTE(SUBST"&amp;"ITUTE(SUBSTITUTE(SUBSTITUTE(SUBSTITUTE(INDEX(Hairstyles!$C:$C,MATCH($B416,Hairstyles!$F:$F,0)),"" "",""""),""'"",""""),""("",""""),"")"",""""),""-"",""_"")&amp;""_""&amp;$A$2)"),"")</f>
        <v/>
      </c>
    </row>
    <row r="417">
      <c r="C417" s="12" t="str">
        <f>IFERROR(__xludf.DUMMYFUNCTION("IF($B417="""","""",SUBSTITUTE(SUBSTITUTE(SUBSTITUTE(SUBSTITUTE(INDEX(Hairstyles!$A:$A,MATCH($B417,Hairstyles!$F:$F,0)),"" "",""""),""'"",""""),""("",""""),"")"","""")&amp;""\""&amp;INDEX(SPLIT($A$2,""_""),1)&amp;""\""&amp;INDEX(SPLIT($A$2,""_""),2)&amp;""\""&amp;SUBSTITUTE(SUBST"&amp;"ITUTE(SUBSTITUTE(SUBSTITUTE(SUBSTITUTE(INDEX(Hairstyles!$C:$C,MATCH($B417,Hairstyles!$F:$F,0)),"" "",""""),""'"",""""),""("",""""),"")"",""""),""-"",""_"")&amp;""_""&amp;$A$2)"),"")</f>
        <v/>
      </c>
    </row>
    <row r="418">
      <c r="C418" s="12" t="str">
        <f>IFERROR(__xludf.DUMMYFUNCTION("IF($B418="""","""",SUBSTITUTE(SUBSTITUTE(SUBSTITUTE(SUBSTITUTE(INDEX(Hairstyles!$A:$A,MATCH($B418,Hairstyles!$F:$F,0)),"" "",""""),""'"",""""),""("",""""),"")"","""")&amp;""\""&amp;INDEX(SPLIT($A$2,""_""),1)&amp;""\""&amp;INDEX(SPLIT($A$2,""_""),2)&amp;""\""&amp;SUBSTITUTE(SUBST"&amp;"ITUTE(SUBSTITUTE(SUBSTITUTE(SUBSTITUTE(INDEX(Hairstyles!$C:$C,MATCH($B418,Hairstyles!$F:$F,0)),"" "",""""),""'"",""""),""("",""""),"")"",""""),""-"",""_"")&amp;""_""&amp;$A$2)"),"")</f>
        <v/>
      </c>
    </row>
    <row r="419">
      <c r="C419" s="12" t="str">
        <f>IFERROR(__xludf.DUMMYFUNCTION("IF($B419="""","""",SUBSTITUTE(SUBSTITUTE(SUBSTITUTE(SUBSTITUTE(INDEX(Hairstyles!$A:$A,MATCH($B419,Hairstyles!$F:$F,0)),"" "",""""),""'"",""""),""("",""""),"")"","""")&amp;""\""&amp;INDEX(SPLIT($A$2,""_""),1)&amp;""\""&amp;INDEX(SPLIT($A$2,""_""),2)&amp;""\""&amp;SUBSTITUTE(SUBST"&amp;"ITUTE(SUBSTITUTE(SUBSTITUTE(SUBSTITUTE(INDEX(Hairstyles!$C:$C,MATCH($B419,Hairstyles!$F:$F,0)),"" "",""""),""'"",""""),""("",""""),"")"",""""),""-"",""_"")&amp;""_""&amp;$A$2)"),"")</f>
        <v/>
      </c>
    </row>
    <row r="420">
      <c r="C420" s="12" t="str">
        <f>IFERROR(__xludf.DUMMYFUNCTION("IF($B420="""","""",SUBSTITUTE(SUBSTITUTE(SUBSTITUTE(SUBSTITUTE(INDEX(Hairstyles!$A:$A,MATCH($B420,Hairstyles!$F:$F,0)),"" "",""""),""'"",""""),""("",""""),"")"","""")&amp;""\""&amp;INDEX(SPLIT($A$2,""_""),1)&amp;""\""&amp;INDEX(SPLIT($A$2,""_""),2)&amp;""\""&amp;SUBSTITUTE(SUBST"&amp;"ITUTE(SUBSTITUTE(SUBSTITUTE(SUBSTITUTE(INDEX(Hairstyles!$C:$C,MATCH($B420,Hairstyles!$F:$F,0)),"" "",""""),""'"",""""),""("",""""),"")"",""""),""-"",""_"")&amp;""_""&amp;$A$2)"),"")</f>
        <v/>
      </c>
    </row>
    <row r="421">
      <c r="C421" s="12" t="str">
        <f>IFERROR(__xludf.DUMMYFUNCTION("IF($B421="""","""",SUBSTITUTE(SUBSTITUTE(SUBSTITUTE(SUBSTITUTE(INDEX(Hairstyles!$A:$A,MATCH($B421,Hairstyles!$F:$F,0)),"" "",""""),""'"",""""),""("",""""),"")"","""")&amp;""\""&amp;INDEX(SPLIT($A$2,""_""),1)&amp;""\""&amp;INDEX(SPLIT($A$2,""_""),2)&amp;""\""&amp;SUBSTITUTE(SUBST"&amp;"ITUTE(SUBSTITUTE(SUBSTITUTE(SUBSTITUTE(INDEX(Hairstyles!$C:$C,MATCH($B421,Hairstyles!$F:$F,0)),"" "",""""),""'"",""""),""("",""""),"")"",""""),""-"",""_"")&amp;""_""&amp;$A$2)"),"")</f>
        <v/>
      </c>
    </row>
    <row r="422">
      <c r="C422" s="12" t="str">
        <f>IFERROR(__xludf.DUMMYFUNCTION("IF($B422="""","""",SUBSTITUTE(SUBSTITUTE(SUBSTITUTE(SUBSTITUTE(INDEX(Hairstyles!$A:$A,MATCH($B422,Hairstyles!$F:$F,0)),"" "",""""),""'"",""""),""("",""""),"")"","""")&amp;""\""&amp;INDEX(SPLIT($A$2,""_""),1)&amp;""\""&amp;INDEX(SPLIT($A$2,""_""),2)&amp;""\""&amp;SUBSTITUTE(SUBST"&amp;"ITUTE(SUBSTITUTE(SUBSTITUTE(SUBSTITUTE(INDEX(Hairstyles!$C:$C,MATCH($B422,Hairstyles!$F:$F,0)),"" "",""""),""'"",""""),""("",""""),"")"",""""),""-"",""_"")&amp;""_""&amp;$A$2)"),"")</f>
        <v/>
      </c>
    </row>
    <row r="423">
      <c r="C423" s="12" t="str">
        <f>IFERROR(__xludf.DUMMYFUNCTION("IF($B423="""","""",SUBSTITUTE(SUBSTITUTE(SUBSTITUTE(SUBSTITUTE(INDEX(Hairstyles!$A:$A,MATCH($B423,Hairstyles!$F:$F,0)),"" "",""""),""'"",""""),""("",""""),"")"","""")&amp;""\""&amp;INDEX(SPLIT($A$2,""_""),1)&amp;""\""&amp;INDEX(SPLIT($A$2,""_""),2)&amp;""\""&amp;SUBSTITUTE(SUBST"&amp;"ITUTE(SUBSTITUTE(SUBSTITUTE(SUBSTITUTE(INDEX(Hairstyles!$C:$C,MATCH($B423,Hairstyles!$F:$F,0)),"" "",""""),""'"",""""),""("",""""),"")"",""""),""-"",""_"")&amp;""_""&amp;$A$2)"),"")</f>
        <v/>
      </c>
    </row>
    <row r="424">
      <c r="C424" s="12" t="str">
        <f>IFERROR(__xludf.DUMMYFUNCTION("IF($B424="""","""",SUBSTITUTE(SUBSTITUTE(SUBSTITUTE(SUBSTITUTE(INDEX(Hairstyles!$A:$A,MATCH($B424,Hairstyles!$F:$F,0)),"" "",""""),""'"",""""),""("",""""),"")"","""")&amp;""\""&amp;INDEX(SPLIT($A$2,""_""),1)&amp;""\""&amp;INDEX(SPLIT($A$2,""_""),2)&amp;""\""&amp;SUBSTITUTE(SUBST"&amp;"ITUTE(SUBSTITUTE(SUBSTITUTE(SUBSTITUTE(INDEX(Hairstyles!$C:$C,MATCH($B424,Hairstyles!$F:$F,0)),"" "",""""),""'"",""""),""("",""""),"")"",""""),""-"",""_"")&amp;""_""&amp;$A$2)"),"")</f>
        <v/>
      </c>
    </row>
    <row r="425">
      <c r="C425" s="12" t="str">
        <f>IFERROR(__xludf.DUMMYFUNCTION("IF($B425="""","""",SUBSTITUTE(SUBSTITUTE(SUBSTITUTE(SUBSTITUTE(INDEX(Hairstyles!$A:$A,MATCH($B425,Hairstyles!$F:$F,0)),"" "",""""),""'"",""""),""("",""""),"")"","""")&amp;""\""&amp;INDEX(SPLIT($A$2,""_""),1)&amp;""\""&amp;INDEX(SPLIT($A$2,""_""),2)&amp;""\""&amp;SUBSTITUTE(SUBST"&amp;"ITUTE(SUBSTITUTE(SUBSTITUTE(SUBSTITUTE(INDEX(Hairstyles!$C:$C,MATCH($B425,Hairstyles!$F:$F,0)),"" "",""""),""'"",""""),""("",""""),"")"",""""),""-"",""_"")&amp;""_""&amp;$A$2)"),"")</f>
        <v/>
      </c>
    </row>
    <row r="426">
      <c r="C426" s="12" t="str">
        <f>IFERROR(__xludf.DUMMYFUNCTION("IF($B426="""","""",SUBSTITUTE(SUBSTITUTE(SUBSTITUTE(SUBSTITUTE(INDEX(Hairstyles!$A:$A,MATCH($B426,Hairstyles!$F:$F,0)),"" "",""""),""'"",""""),""("",""""),"")"","""")&amp;""\""&amp;INDEX(SPLIT($A$2,""_""),1)&amp;""\""&amp;INDEX(SPLIT($A$2,""_""),2)&amp;""\""&amp;SUBSTITUTE(SUBST"&amp;"ITUTE(SUBSTITUTE(SUBSTITUTE(SUBSTITUTE(INDEX(Hairstyles!$C:$C,MATCH($B426,Hairstyles!$F:$F,0)),"" "",""""),""'"",""""),""("",""""),"")"",""""),""-"",""_"")&amp;""_""&amp;$A$2)"),"")</f>
        <v/>
      </c>
    </row>
    <row r="427">
      <c r="C427" s="12" t="str">
        <f>IFERROR(__xludf.DUMMYFUNCTION("IF($B427="""","""",SUBSTITUTE(SUBSTITUTE(SUBSTITUTE(SUBSTITUTE(INDEX(Hairstyles!$A:$A,MATCH($B427,Hairstyles!$F:$F,0)),"" "",""""),""'"",""""),""("",""""),"")"","""")&amp;""\""&amp;INDEX(SPLIT($A$2,""_""),1)&amp;""\""&amp;INDEX(SPLIT($A$2,""_""),2)&amp;""\""&amp;SUBSTITUTE(SUBST"&amp;"ITUTE(SUBSTITUTE(SUBSTITUTE(SUBSTITUTE(INDEX(Hairstyles!$C:$C,MATCH($B427,Hairstyles!$F:$F,0)),"" "",""""),""'"",""""),""("",""""),"")"",""""),""-"",""_"")&amp;""_""&amp;$A$2)"),"")</f>
        <v/>
      </c>
    </row>
    <row r="428">
      <c r="C428" s="12" t="str">
        <f>IFERROR(__xludf.DUMMYFUNCTION("IF($B428="""","""",SUBSTITUTE(SUBSTITUTE(SUBSTITUTE(SUBSTITUTE(INDEX(Hairstyles!$A:$A,MATCH($B428,Hairstyles!$F:$F,0)),"" "",""""),""'"",""""),""("",""""),"")"","""")&amp;""\""&amp;INDEX(SPLIT($A$2,""_""),1)&amp;""\""&amp;INDEX(SPLIT($A$2,""_""),2)&amp;""\""&amp;SUBSTITUTE(SUBST"&amp;"ITUTE(SUBSTITUTE(SUBSTITUTE(SUBSTITUTE(INDEX(Hairstyles!$C:$C,MATCH($B428,Hairstyles!$F:$F,0)),"" "",""""),""'"",""""),""("",""""),"")"",""""),""-"",""_"")&amp;""_""&amp;$A$2)"),"")</f>
        <v/>
      </c>
    </row>
    <row r="429">
      <c r="C429" s="12" t="str">
        <f>IFERROR(__xludf.DUMMYFUNCTION("IF($B429="""","""",SUBSTITUTE(SUBSTITUTE(SUBSTITUTE(SUBSTITUTE(INDEX(Hairstyles!$A:$A,MATCH($B429,Hairstyles!$F:$F,0)),"" "",""""),""'"",""""),""("",""""),"")"","""")&amp;""\""&amp;INDEX(SPLIT($A$2,""_""),1)&amp;""\""&amp;INDEX(SPLIT($A$2,""_""),2)&amp;""\""&amp;SUBSTITUTE(SUBST"&amp;"ITUTE(SUBSTITUTE(SUBSTITUTE(SUBSTITUTE(INDEX(Hairstyles!$C:$C,MATCH($B429,Hairstyles!$F:$F,0)),"" "",""""),""'"",""""),""("",""""),"")"",""""),""-"",""_"")&amp;""_""&amp;$A$2)"),"")</f>
        <v/>
      </c>
    </row>
    <row r="430">
      <c r="C430" s="12" t="str">
        <f>IFERROR(__xludf.DUMMYFUNCTION("IF($B430="""","""",SUBSTITUTE(SUBSTITUTE(SUBSTITUTE(SUBSTITUTE(INDEX(Hairstyles!$A:$A,MATCH($B430,Hairstyles!$F:$F,0)),"" "",""""),""'"",""""),""("",""""),"")"","""")&amp;""\""&amp;INDEX(SPLIT($A$2,""_""),1)&amp;""\""&amp;INDEX(SPLIT($A$2,""_""),2)&amp;""\""&amp;SUBSTITUTE(SUBST"&amp;"ITUTE(SUBSTITUTE(SUBSTITUTE(SUBSTITUTE(INDEX(Hairstyles!$C:$C,MATCH($B430,Hairstyles!$F:$F,0)),"" "",""""),""'"",""""),""("",""""),"")"",""""),""-"",""_"")&amp;""_""&amp;$A$2)"),"")</f>
        <v/>
      </c>
    </row>
    <row r="431">
      <c r="C431" s="12" t="str">
        <f>IFERROR(__xludf.DUMMYFUNCTION("IF($B431="""","""",SUBSTITUTE(SUBSTITUTE(SUBSTITUTE(SUBSTITUTE(INDEX(Hairstyles!$A:$A,MATCH($B431,Hairstyles!$F:$F,0)),"" "",""""),""'"",""""),""("",""""),"")"","""")&amp;""\""&amp;INDEX(SPLIT($A$2,""_""),1)&amp;""\""&amp;INDEX(SPLIT($A$2,""_""),2)&amp;""\""&amp;SUBSTITUTE(SUBST"&amp;"ITUTE(SUBSTITUTE(SUBSTITUTE(SUBSTITUTE(INDEX(Hairstyles!$C:$C,MATCH($B431,Hairstyles!$F:$F,0)),"" "",""""),""'"",""""),""("",""""),"")"",""""),""-"",""_"")&amp;""_""&amp;$A$2)"),"")</f>
        <v/>
      </c>
    </row>
    <row r="432">
      <c r="C432" s="12" t="str">
        <f>IFERROR(__xludf.DUMMYFUNCTION("IF($B432="""","""",SUBSTITUTE(SUBSTITUTE(SUBSTITUTE(SUBSTITUTE(INDEX(Hairstyles!$A:$A,MATCH($B432,Hairstyles!$F:$F,0)),"" "",""""),""'"",""""),""("",""""),"")"","""")&amp;""\""&amp;INDEX(SPLIT($A$2,""_""),1)&amp;""\""&amp;INDEX(SPLIT($A$2,""_""),2)&amp;""\""&amp;SUBSTITUTE(SUBST"&amp;"ITUTE(SUBSTITUTE(SUBSTITUTE(SUBSTITUTE(INDEX(Hairstyles!$C:$C,MATCH($B432,Hairstyles!$F:$F,0)),"" "",""""),""'"",""""),""("",""""),"")"",""""),""-"",""_"")&amp;""_""&amp;$A$2)"),"")</f>
        <v/>
      </c>
    </row>
    <row r="433">
      <c r="C433" s="12" t="str">
        <f>IFERROR(__xludf.DUMMYFUNCTION("IF($B433="""","""",SUBSTITUTE(SUBSTITUTE(SUBSTITUTE(SUBSTITUTE(INDEX(Hairstyles!$A:$A,MATCH($B433,Hairstyles!$F:$F,0)),"" "",""""),""'"",""""),""("",""""),"")"","""")&amp;""\""&amp;INDEX(SPLIT($A$2,""_""),1)&amp;""\""&amp;INDEX(SPLIT($A$2,""_""),2)&amp;""\""&amp;SUBSTITUTE(SUBST"&amp;"ITUTE(SUBSTITUTE(SUBSTITUTE(SUBSTITUTE(INDEX(Hairstyles!$C:$C,MATCH($B433,Hairstyles!$F:$F,0)),"" "",""""),""'"",""""),""("",""""),"")"",""""),""-"",""_"")&amp;""_""&amp;$A$2)"),"")</f>
        <v/>
      </c>
    </row>
    <row r="434">
      <c r="C434" s="12" t="str">
        <f>IFERROR(__xludf.DUMMYFUNCTION("IF($B434="""","""",SUBSTITUTE(SUBSTITUTE(SUBSTITUTE(SUBSTITUTE(INDEX(Hairstyles!$A:$A,MATCH($B434,Hairstyles!$F:$F,0)),"" "",""""),""'"",""""),""("",""""),"")"","""")&amp;""\""&amp;INDEX(SPLIT($A$2,""_""),1)&amp;""\""&amp;INDEX(SPLIT($A$2,""_""),2)&amp;""\""&amp;SUBSTITUTE(SUBST"&amp;"ITUTE(SUBSTITUTE(SUBSTITUTE(SUBSTITUTE(INDEX(Hairstyles!$C:$C,MATCH($B434,Hairstyles!$F:$F,0)),"" "",""""),""'"",""""),""("",""""),"")"",""""),""-"",""_"")&amp;""_""&amp;$A$2)"),"")</f>
        <v/>
      </c>
    </row>
    <row r="435">
      <c r="C435" s="12" t="str">
        <f>IFERROR(__xludf.DUMMYFUNCTION("IF($B435="""","""",SUBSTITUTE(SUBSTITUTE(SUBSTITUTE(SUBSTITUTE(INDEX(Hairstyles!$A:$A,MATCH($B435,Hairstyles!$F:$F,0)),"" "",""""),""'"",""""),""("",""""),"")"","""")&amp;""\""&amp;INDEX(SPLIT($A$2,""_""),1)&amp;""\""&amp;INDEX(SPLIT($A$2,""_""),2)&amp;""\""&amp;SUBSTITUTE(SUBST"&amp;"ITUTE(SUBSTITUTE(SUBSTITUTE(SUBSTITUTE(INDEX(Hairstyles!$C:$C,MATCH($B435,Hairstyles!$F:$F,0)),"" "",""""),""'"",""""),""("",""""),"")"",""""),""-"",""_"")&amp;""_""&amp;$A$2)"),"")</f>
        <v/>
      </c>
    </row>
    <row r="436">
      <c r="C436" s="12" t="str">
        <f>IFERROR(__xludf.DUMMYFUNCTION("IF($B436="""","""",SUBSTITUTE(SUBSTITUTE(SUBSTITUTE(SUBSTITUTE(INDEX(Hairstyles!$A:$A,MATCH($B436,Hairstyles!$F:$F,0)),"" "",""""),""'"",""""),""("",""""),"")"","""")&amp;""\""&amp;INDEX(SPLIT($A$2,""_""),1)&amp;""\""&amp;INDEX(SPLIT($A$2,""_""),2)&amp;""\""&amp;SUBSTITUTE(SUBST"&amp;"ITUTE(SUBSTITUTE(SUBSTITUTE(SUBSTITUTE(INDEX(Hairstyles!$C:$C,MATCH($B436,Hairstyles!$F:$F,0)),"" "",""""),""'"",""""),""("",""""),"")"",""""),""-"",""_"")&amp;""_""&amp;$A$2)"),"")</f>
        <v/>
      </c>
    </row>
    <row r="437">
      <c r="C437" s="12" t="str">
        <f>IFERROR(__xludf.DUMMYFUNCTION("IF($B437="""","""",SUBSTITUTE(SUBSTITUTE(SUBSTITUTE(SUBSTITUTE(INDEX(Hairstyles!$A:$A,MATCH($B437,Hairstyles!$F:$F,0)),"" "",""""),""'"",""""),""("",""""),"")"","""")&amp;""\""&amp;INDEX(SPLIT($A$2,""_""),1)&amp;""\""&amp;INDEX(SPLIT($A$2,""_""),2)&amp;""\""&amp;SUBSTITUTE(SUBST"&amp;"ITUTE(SUBSTITUTE(SUBSTITUTE(SUBSTITUTE(INDEX(Hairstyles!$C:$C,MATCH($B437,Hairstyles!$F:$F,0)),"" "",""""),""'"",""""),""("",""""),"")"",""""),""-"",""_"")&amp;""_""&amp;$A$2)"),"")</f>
        <v/>
      </c>
    </row>
    <row r="438">
      <c r="C438" s="12" t="str">
        <f>IFERROR(__xludf.DUMMYFUNCTION("IF($B438="""","""",SUBSTITUTE(SUBSTITUTE(SUBSTITUTE(SUBSTITUTE(INDEX(Hairstyles!$A:$A,MATCH($B438,Hairstyles!$F:$F,0)),"" "",""""),""'"",""""),""("",""""),"")"","""")&amp;""\""&amp;INDEX(SPLIT($A$2,""_""),1)&amp;""\""&amp;INDEX(SPLIT($A$2,""_""),2)&amp;""\""&amp;SUBSTITUTE(SUBST"&amp;"ITUTE(SUBSTITUTE(SUBSTITUTE(SUBSTITUTE(INDEX(Hairstyles!$C:$C,MATCH($B438,Hairstyles!$F:$F,0)),"" "",""""),""'"",""""),""("",""""),"")"",""""),""-"",""_"")&amp;""_""&amp;$A$2)"),"")</f>
        <v/>
      </c>
    </row>
    <row r="439">
      <c r="C439" s="12" t="str">
        <f>IFERROR(__xludf.DUMMYFUNCTION("IF($B439="""","""",SUBSTITUTE(SUBSTITUTE(SUBSTITUTE(SUBSTITUTE(INDEX(Hairstyles!$A:$A,MATCH($B439,Hairstyles!$F:$F,0)),"" "",""""),""'"",""""),""("",""""),"")"","""")&amp;""\""&amp;INDEX(SPLIT($A$2,""_""),1)&amp;""\""&amp;INDEX(SPLIT($A$2,""_""),2)&amp;""\""&amp;SUBSTITUTE(SUBST"&amp;"ITUTE(SUBSTITUTE(SUBSTITUTE(SUBSTITUTE(INDEX(Hairstyles!$C:$C,MATCH($B439,Hairstyles!$F:$F,0)),"" "",""""),""'"",""""),""("",""""),"")"",""""),""-"",""_"")&amp;""_""&amp;$A$2)"),"")</f>
        <v/>
      </c>
    </row>
    <row r="440">
      <c r="C440" s="12" t="str">
        <f>IFERROR(__xludf.DUMMYFUNCTION("IF($B440="""","""",SUBSTITUTE(SUBSTITUTE(SUBSTITUTE(SUBSTITUTE(INDEX(Hairstyles!$A:$A,MATCH($B440,Hairstyles!$F:$F,0)),"" "",""""),""'"",""""),""("",""""),"")"","""")&amp;""\""&amp;INDEX(SPLIT($A$2,""_""),1)&amp;""\""&amp;INDEX(SPLIT($A$2,""_""),2)&amp;""\""&amp;SUBSTITUTE(SUBST"&amp;"ITUTE(SUBSTITUTE(SUBSTITUTE(SUBSTITUTE(INDEX(Hairstyles!$C:$C,MATCH($B440,Hairstyles!$F:$F,0)),"" "",""""),""'"",""""),""("",""""),"")"",""""),""-"",""_"")&amp;""_""&amp;$A$2)"),"")</f>
        <v/>
      </c>
    </row>
    <row r="441">
      <c r="C441" s="12" t="str">
        <f>IFERROR(__xludf.DUMMYFUNCTION("IF($B441="""","""",SUBSTITUTE(SUBSTITUTE(SUBSTITUTE(SUBSTITUTE(INDEX(Hairstyles!$A:$A,MATCH($B441,Hairstyles!$F:$F,0)),"" "",""""),""'"",""""),""("",""""),"")"","""")&amp;""\""&amp;INDEX(SPLIT($A$2,""_""),1)&amp;""\""&amp;INDEX(SPLIT($A$2,""_""),2)&amp;""\""&amp;SUBSTITUTE(SUBST"&amp;"ITUTE(SUBSTITUTE(SUBSTITUTE(SUBSTITUTE(INDEX(Hairstyles!$C:$C,MATCH($B441,Hairstyles!$F:$F,0)),"" "",""""),""'"",""""),""("",""""),"")"",""""),""-"",""_"")&amp;""_""&amp;$A$2)"),"")</f>
        <v/>
      </c>
    </row>
    <row r="442">
      <c r="C442" s="12" t="str">
        <f>IFERROR(__xludf.DUMMYFUNCTION("IF($B442="""","""",SUBSTITUTE(SUBSTITUTE(SUBSTITUTE(SUBSTITUTE(INDEX(Hairstyles!$A:$A,MATCH($B442,Hairstyles!$F:$F,0)),"" "",""""),""'"",""""),""("",""""),"")"","""")&amp;""\""&amp;INDEX(SPLIT($A$2,""_""),1)&amp;""\""&amp;INDEX(SPLIT($A$2,""_""),2)&amp;""\""&amp;SUBSTITUTE(SUBST"&amp;"ITUTE(SUBSTITUTE(SUBSTITUTE(SUBSTITUTE(INDEX(Hairstyles!$C:$C,MATCH($B442,Hairstyles!$F:$F,0)),"" "",""""),""'"",""""),""("",""""),"")"",""""),""-"",""_"")&amp;""_""&amp;$A$2)"),"")</f>
        <v/>
      </c>
    </row>
    <row r="443">
      <c r="C443" s="12" t="str">
        <f>IFERROR(__xludf.DUMMYFUNCTION("IF($B443="""","""",SUBSTITUTE(SUBSTITUTE(SUBSTITUTE(SUBSTITUTE(INDEX(Hairstyles!$A:$A,MATCH($B443,Hairstyles!$F:$F,0)),"" "",""""),""'"",""""),""("",""""),"")"","""")&amp;""\""&amp;INDEX(SPLIT($A$2,""_""),1)&amp;""\""&amp;INDEX(SPLIT($A$2,""_""),2)&amp;""\""&amp;SUBSTITUTE(SUBST"&amp;"ITUTE(SUBSTITUTE(SUBSTITUTE(SUBSTITUTE(INDEX(Hairstyles!$C:$C,MATCH($B443,Hairstyles!$F:$F,0)),"" "",""""),""'"",""""),""("",""""),"")"",""""),""-"",""_"")&amp;""_""&amp;$A$2)"),"")</f>
        <v/>
      </c>
    </row>
    <row r="444">
      <c r="C444" s="12" t="str">
        <f>IFERROR(__xludf.DUMMYFUNCTION("IF($B444="""","""",SUBSTITUTE(SUBSTITUTE(SUBSTITUTE(SUBSTITUTE(INDEX(Hairstyles!$A:$A,MATCH($B444,Hairstyles!$F:$F,0)),"" "",""""),""'"",""""),""("",""""),"")"","""")&amp;""\""&amp;INDEX(SPLIT($A$2,""_""),1)&amp;""\""&amp;INDEX(SPLIT($A$2,""_""),2)&amp;""\""&amp;SUBSTITUTE(SUBST"&amp;"ITUTE(SUBSTITUTE(SUBSTITUTE(SUBSTITUTE(INDEX(Hairstyles!$C:$C,MATCH($B444,Hairstyles!$F:$F,0)),"" "",""""),""'"",""""),""("",""""),"")"",""""),""-"",""_"")&amp;""_""&amp;$A$2)"),"")</f>
        <v/>
      </c>
    </row>
    <row r="445">
      <c r="C445" s="12" t="str">
        <f>IFERROR(__xludf.DUMMYFUNCTION("IF($B445="""","""",SUBSTITUTE(SUBSTITUTE(SUBSTITUTE(SUBSTITUTE(INDEX(Hairstyles!$A:$A,MATCH($B445,Hairstyles!$F:$F,0)),"" "",""""),""'"",""""),""("",""""),"")"","""")&amp;""\""&amp;INDEX(SPLIT($A$2,""_""),1)&amp;""\""&amp;INDEX(SPLIT($A$2,""_""),2)&amp;""\""&amp;SUBSTITUTE(SUBST"&amp;"ITUTE(SUBSTITUTE(SUBSTITUTE(SUBSTITUTE(INDEX(Hairstyles!$C:$C,MATCH($B445,Hairstyles!$F:$F,0)),"" "",""""),""'"",""""),""("",""""),"")"",""""),""-"",""_"")&amp;""_""&amp;$A$2)"),"")</f>
        <v/>
      </c>
    </row>
    <row r="446">
      <c r="C446" s="12" t="str">
        <f>IFERROR(__xludf.DUMMYFUNCTION("IF($B446="""","""",SUBSTITUTE(SUBSTITUTE(SUBSTITUTE(SUBSTITUTE(INDEX(Hairstyles!$A:$A,MATCH($B446,Hairstyles!$F:$F,0)),"" "",""""),""'"",""""),""("",""""),"")"","""")&amp;""\""&amp;INDEX(SPLIT($A$2,""_""),1)&amp;""\""&amp;INDEX(SPLIT($A$2,""_""),2)&amp;""\""&amp;SUBSTITUTE(SUBST"&amp;"ITUTE(SUBSTITUTE(SUBSTITUTE(SUBSTITUTE(INDEX(Hairstyles!$C:$C,MATCH($B446,Hairstyles!$F:$F,0)),"" "",""""),""'"",""""),""("",""""),"")"",""""),""-"",""_"")&amp;""_""&amp;$A$2)"),"")</f>
        <v/>
      </c>
    </row>
    <row r="447">
      <c r="C447" s="12" t="str">
        <f>IFERROR(__xludf.DUMMYFUNCTION("IF($B447="""","""",SUBSTITUTE(SUBSTITUTE(SUBSTITUTE(SUBSTITUTE(INDEX(Hairstyles!$A:$A,MATCH($B447,Hairstyles!$F:$F,0)),"" "",""""),""'"",""""),""("",""""),"")"","""")&amp;""\""&amp;INDEX(SPLIT($A$2,""_""),1)&amp;""\""&amp;INDEX(SPLIT($A$2,""_""),2)&amp;""\""&amp;SUBSTITUTE(SUBST"&amp;"ITUTE(SUBSTITUTE(SUBSTITUTE(SUBSTITUTE(INDEX(Hairstyles!$C:$C,MATCH($B447,Hairstyles!$F:$F,0)),"" "",""""),""'"",""""),""("",""""),"")"",""""),""-"",""_"")&amp;""_""&amp;$A$2)"),"")</f>
        <v/>
      </c>
    </row>
    <row r="448">
      <c r="C448" s="12" t="str">
        <f>IFERROR(__xludf.DUMMYFUNCTION("IF($B448="""","""",SUBSTITUTE(SUBSTITUTE(SUBSTITUTE(SUBSTITUTE(INDEX(Hairstyles!$A:$A,MATCH($B448,Hairstyles!$F:$F,0)),"" "",""""),""'"",""""),""("",""""),"")"","""")&amp;""\""&amp;INDEX(SPLIT($A$2,""_""),1)&amp;""\""&amp;INDEX(SPLIT($A$2,""_""),2)&amp;""\""&amp;SUBSTITUTE(SUBST"&amp;"ITUTE(SUBSTITUTE(SUBSTITUTE(SUBSTITUTE(INDEX(Hairstyles!$C:$C,MATCH($B448,Hairstyles!$F:$F,0)),"" "",""""),""'"",""""),""("",""""),"")"",""""),""-"",""_"")&amp;""_""&amp;$A$2)"),"")</f>
        <v/>
      </c>
    </row>
    <row r="449">
      <c r="C449" s="12" t="str">
        <f>IFERROR(__xludf.DUMMYFUNCTION("IF($B449="""","""",SUBSTITUTE(SUBSTITUTE(SUBSTITUTE(SUBSTITUTE(INDEX(Hairstyles!$A:$A,MATCH($B449,Hairstyles!$F:$F,0)),"" "",""""),""'"",""""),""("",""""),"")"","""")&amp;""\""&amp;INDEX(SPLIT($A$2,""_""),1)&amp;""\""&amp;INDEX(SPLIT($A$2,""_""),2)&amp;""\""&amp;SUBSTITUTE(SUBST"&amp;"ITUTE(SUBSTITUTE(SUBSTITUTE(SUBSTITUTE(INDEX(Hairstyles!$C:$C,MATCH($B449,Hairstyles!$F:$F,0)),"" "",""""),""'"",""""),""("",""""),"")"",""""),""-"",""_"")&amp;""_""&amp;$A$2)"),"")</f>
        <v/>
      </c>
    </row>
    <row r="450">
      <c r="C450" s="12" t="str">
        <f>IFERROR(__xludf.DUMMYFUNCTION("IF($B450="""","""",SUBSTITUTE(SUBSTITUTE(SUBSTITUTE(SUBSTITUTE(INDEX(Hairstyles!$A:$A,MATCH($B450,Hairstyles!$F:$F,0)),"" "",""""),""'"",""""),""("",""""),"")"","""")&amp;""\""&amp;INDEX(SPLIT($A$2,""_""),1)&amp;""\""&amp;INDEX(SPLIT($A$2,""_""),2)&amp;""\""&amp;SUBSTITUTE(SUBST"&amp;"ITUTE(SUBSTITUTE(SUBSTITUTE(SUBSTITUTE(INDEX(Hairstyles!$C:$C,MATCH($B450,Hairstyles!$F:$F,0)),"" "",""""),""'"",""""),""("",""""),"")"",""""),""-"",""_"")&amp;""_""&amp;$A$2)"),"")</f>
        <v/>
      </c>
    </row>
    <row r="451">
      <c r="C451" s="12" t="str">
        <f>IFERROR(__xludf.DUMMYFUNCTION("IF($B451="""","""",SUBSTITUTE(SUBSTITUTE(SUBSTITUTE(SUBSTITUTE(INDEX(Hairstyles!$A:$A,MATCH($B451,Hairstyles!$F:$F,0)),"" "",""""),""'"",""""),""("",""""),"")"","""")&amp;""\""&amp;INDEX(SPLIT($A$2,""_""),1)&amp;""\""&amp;INDEX(SPLIT($A$2,""_""),2)&amp;""\""&amp;SUBSTITUTE(SUBST"&amp;"ITUTE(SUBSTITUTE(SUBSTITUTE(SUBSTITUTE(INDEX(Hairstyles!$C:$C,MATCH($B451,Hairstyles!$F:$F,0)),"" "",""""),""'"",""""),""("",""""),"")"",""""),""-"",""_"")&amp;""_""&amp;$A$2)"),"")</f>
        <v/>
      </c>
    </row>
    <row r="452">
      <c r="C452" s="12" t="str">
        <f>IFERROR(__xludf.DUMMYFUNCTION("IF($B452="""","""",SUBSTITUTE(SUBSTITUTE(SUBSTITUTE(SUBSTITUTE(INDEX(Hairstyles!$A:$A,MATCH($B452,Hairstyles!$F:$F,0)),"" "",""""),""'"",""""),""("",""""),"")"","""")&amp;""\""&amp;INDEX(SPLIT($A$2,""_""),1)&amp;""\""&amp;INDEX(SPLIT($A$2,""_""),2)&amp;""\""&amp;SUBSTITUTE(SUBST"&amp;"ITUTE(SUBSTITUTE(SUBSTITUTE(SUBSTITUTE(INDEX(Hairstyles!$C:$C,MATCH($B452,Hairstyles!$F:$F,0)),"" "",""""),""'"",""""),""("",""""),"")"",""""),""-"",""_"")&amp;""_""&amp;$A$2)"),"")</f>
        <v/>
      </c>
    </row>
    <row r="453">
      <c r="C453" s="12" t="str">
        <f>IFERROR(__xludf.DUMMYFUNCTION("IF($B453="""","""",SUBSTITUTE(SUBSTITUTE(SUBSTITUTE(SUBSTITUTE(INDEX(Hairstyles!$A:$A,MATCH($B453,Hairstyles!$F:$F,0)),"" "",""""),""'"",""""),""("",""""),"")"","""")&amp;""\""&amp;INDEX(SPLIT($A$2,""_""),1)&amp;""\""&amp;INDEX(SPLIT($A$2,""_""),2)&amp;""\""&amp;SUBSTITUTE(SUBST"&amp;"ITUTE(SUBSTITUTE(SUBSTITUTE(SUBSTITUTE(INDEX(Hairstyles!$C:$C,MATCH($B453,Hairstyles!$F:$F,0)),"" "",""""),""'"",""""),""("",""""),"")"",""""),""-"",""_"")&amp;""_""&amp;$A$2)"),"")</f>
        <v/>
      </c>
    </row>
    <row r="454">
      <c r="C454" s="12" t="str">
        <f>IFERROR(__xludf.DUMMYFUNCTION("IF($B454="""","""",SUBSTITUTE(SUBSTITUTE(SUBSTITUTE(SUBSTITUTE(INDEX(Hairstyles!$A:$A,MATCH($B454,Hairstyles!$F:$F,0)),"" "",""""),""'"",""""),""("",""""),"")"","""")&amp;""\""&amp;INDEX(SPLIT($A$2,""_""),1)&amp;""\""&amp;INDEX(SPLIT($A$2,""_""),2)&amp;""\""&amp;SUBSTITUTE(SUBST"&amp;"ITUTE(SUBSTITUTE(SUBSTITUTE(SUBSTITUTE(INDEX(Hairstyles!$C:$C,MATCH($B454,Hairstyles!$F:$F,0)),"" "",""""),""'"",""""),""("",""""),"")"",""""),""-"",""_"")&amp;""_""&amp;$A$2)"),"")</f>
        <v/>
      </c>
    </row>
    <row r="455">
      <c r="C455" s="12" t="str">
        <f>IFERROR(__xludf.DUMMYFUNCTION("IF($B455="""","""",SUBSTITUTE(SUBSTITUTE(SUBSTITUTE(SUBSTITUTE(INDEX(Hairstyles!$A:$A,MATCH($B455,Hairstyles!$F:$F,0)),"" "",""""),""'"",""""),""("",""""),"")"","""")&amp;""\""&amp;INDEX(SPLIT($A$2,""_""),1)&amp;""\""&amp;INDEX(SPLIT($A$2,""_""),2)&amp;""\""&amp;SUBSTITUTE(SUBST"&amp;"ITUTE(SUBSTITUTE(SUBSTITUTE(SUBSTITUTE(INDEX(Hairstyles!$C:$C,MATCH($B455,Hairstyles!$F:$F,0)),"" "",""""),""'"",""""),""("",""""),"")"",""""),""-"",""_"")&amp;""_""&amp;$A$2)"),"")</f>
        <v/>
      </c>
    </row>
    <row r="456">
      <c r="C456" s="12" t="str">
        <f>IFERROR(__xludf.DUMMYFUNCTION("IF($B456="""","""",SUBSTITUTE(SUBSTITUTE(SUBSTITUTE(SUBSTITUTE(INDEX(Hairstyles!$A:$A,MATCH($B456,Hairstyles!$F:$F,0)),"" "",""""),""'"",""""),""("",""""),"")"","""")&amp;""\""&amp;INDEX(SPLIT($A$2,""_""),1)&amp;""\""&amp;INDEX(SPLIT($A$2,""_""),2)&amp;""\""&amp;SUBSTITUTE(SUBST"&amp;"ITUTE(SUBSTITUTE(SUBSTITUTE(SUBSTITUTE(INDEX(Hairstyles!$C:$C,MATCH($B456,Hairstyles!$F:$F,0)),"" "",""""),""'"",""""),""("",""""),"")"",""""),""-"",""_"")&amp;""_""&amp;$A$2)"),"")</f>
        <v/>
      </c>
    </row>
    <row r="457">
      <c r="C457" s="12" t="str">
        <f>IFERROR(__xludf.DUMMYFUNCTION("IF($B457="""","""",SUBSTITUTE(SUBSTITUTE(SUBSTITUTE(SUBSTITUTE(INDEX(Hairstyles!$A:$A,MATCH($B457,Hairstyles!$F:$F,0)),"" "",""""),""'"",""""),""("",""""),"")"","""")&amp;""\""&amp;INDEX(SPLIT($A$2,""_""),1)&amp;""\""&amp;INDEX(SPLIT($A$2,""_""),2)&amp;""\""&amp;SUBSTITUTE(SUBST"&amp;"ITUTE(SUBSTITUTE(SUBSTITUTE(SUBSTITUTE(INDEX(Hairstyles!$C:$C,MATCH($B457,Hairstyles!$F:$F,0)),"" "",""""),""'"",""""),""("",""""),"")"",""""),""-"",""_"")&amp;""_""&amp;$A$2)"),"")</f>
        <v/>
      </c>
    </row>
    <row r="458">
      <c r="C458" s="12" t="str">
        <f>IFERROR(__xludf.DUMMYFUNCTION("IF($B458="""","""",SUBSTITUTE(SUBSTITUTE(SUBSTITUTE(SUBSTITUTE(INDEX(Hairstyles!$A:$A,MATCH($B458,Hairstyles!$F:$F,0)),"" "",""""),""'"",""""),""("",""""),"")"","""")&amp;""\""&amp;INDEX(SPLIT($A$2,""_""),1)&amp;""\""&amp;INDEX(SPLIT($A$2,""_""),2)&amp;""\""&amp;SUBSTITUTE(SUBST"&amp;"ITUTE(SUBSTITUTE(SUBSTITUTE(SUBSTITUTE(INDEX(Hairstyles!$C:$C,MATCH($B458,Hairstyles!$F:$F,0)),"" "",""""),""'"",""""),""("",""""),"")"",""""),""-"",""_"")&amp;""_""&amp;$A$2)"),"")</f>
        <v/>
      </c>
    </row>
    <row r="459">
      <c r="C459" s="12" t="str">
        <f>IFERROR(__xludf.DUMMYFUNCTION("IF($B459="""","""",SUBSTITUTE(SUBSTITUTE(SUBSTITUTE(SUBSTITUTE(INDEX(Hairstyles!$A:$A,MATCH($B459,Hairstyles!$F:$F,0)),"" "",""""),""'"",""""),""("",""""),"")"","""")&amp;""\""&amp;INDEX(SPLIT($A$2,""_""),1)&amp;""\""&amp;INDEX(SPLIT($A$2,""_""),2)&amp;""\""&amp;SUBSTITUTE(SUBST"&amp;"ITUTE(SUBSTITUTE(SUBSTITUTE(SUBSTITUTE(INDEX(Hairstyles!$C:$C,MATCH($B459,Hairstyles!$F:$F,0)),"" "",""""),""'"",""""),""("",""""),"")"",""""),""-"",""_"")&amp;""_""&amp;$A$2)"),"")</f>
        <v/>
      </c>
    </row>
    <row r="460">
      <c r="C460" s="12" t="str">
        <f>IFERROR(__xludf.DUMMYFUNCTION("IF($B460="""","""",SUBSTITUTE(SUBSTITUTE(SUBSTITUTE(SUBSTITUTE(INDEX(Hairstyles!$A:$A,MATCH($B460,Hairstyles!$F:$F,0)),"" "",""""),""'"",""""),""("",""""),"")"","""")&amp;""\""&amp;INDEX(SPLIT($A$2,""_""),1)&amp;""\""&amp;INDEX(SPLIT($A$2,""_""),2)&amp;""\""&amp;SUBSTITUTE(SUBST"&amp;"ITUTE(SUBSTITUTE(SUBSTITUTE(SUBSTITUTE(INDEX(Hairstyles!$C:$C,MATCH($B460,Hairstyles!$F:$F,0)),"" "",""""),""'"",""""),""("",""""),"")"",""""),""-"",""_"")&amp;""_""&amp;$A$2)"),"")</f>
        <v/>
      </c>
    </row>
    <row r="461">
      <c r="C461" s="12" t="str">
        <f>IFERROR(__xludf.DUMMYFUNCTION("IF($B461="""","""",SUBSTITUTE(SUBSTITUTE(SUBSTITUTE(SUBSTITUTE(INDEX(Hairstyles!$A:$A,MATCH($B461,Hairstyles!$F:$F,0)),"" "",""""),""'"",""""),""("",""""),"")"","""")&amp;""\""&amp;INDEX(SPLIT($A$2,""_""),1)&amp;""\""&amp;INDEX(SPLIT($A$2,""_""),2)&amp;""\""&amp;SUBSTITUTE(SUBST"&amp;"ITUTE(SUBSTITUTE(SUBSTITUTE(SUBSTITUTE(INDEX(Hairstyles!$C:$C,MATCH($B461,Hairstyles!$F:$F,0)),"" "",""""),""'"",""""),""("",""""),"")"",""""),""-"",""_"")&amp;""_""&amp;$A$2)"),"")</f>
        <v/>
      </c>
    </row>
    <row r="462">
      <c r="C462" s="12" t="str">
        <f>IFERROR(__xludf.DUMMYFUNCTION("IF($B462="""","""",SUBSTITUTE(SUBSTITUTE(SUBSTITUTE(SUBSTITUTE(INDEX(Hairstyles!$A:$A,MATCH($B462,Hairstyles!$F:$F,0)),"" "",""""),""'"",""""),""("",""""),"")"","""")&amp;""\""&amp;INDEX(SPLIT($A$2,""_""),1)&amp;""\""&amp;INDEX(SPLIT($A$2,""_""),2)&amp;""\""&amp;SUBSTITUTE(SUBST"&amp;"ITUTE(SUBSTITUTE(SUBSTITUTE(SUBSTITUTE(INDEX(Hairstyles!$C:$C,MATCH($B462,Hairstyles!$F:$F,0)),"" "",""""),""'"",""""),""("",""""),"")"",""""),""-"",""_"")&amp;""_""&amp;$A$2)"),"")</f>
        <v/>
      </c>
    </row>
    <row r="463">
      <c r="C463" s="12" t="str">
        <f>IFERROR(__xludf.DUMMYFUNCTION("IF($B463="""","""",SUBSTITUTE(SUBSTITUTE(SUBSTITUTE(SUBSTITUTE(INDEX(Hairstyles!$A:$A,MATCH($B463,Hairstyles!$F:$F,0)),"" "",""""),""'"",""""),""("",""""),"")"","""")&amp;""\""&amp;INDEX(SPLIT($A$2,""_""),1)&amp;""\""&amp;INDEX(SPLIT($A$2,""_""),2)&amp;""\""&amp;SUBSTITUTE(SUBST"&amp;"ITUTE(SUBSTITUTE(SUBSTITUTE(SUBSTITUTE(INDEX(Hairstyles!$C:$C,MATCH($B463,Hairstyles!$F:$F,0)),"" "",""""),""'"",""""),""("",""""),"")"",""""),""-"",""_"")&amp;""_""&amp;$A$2)"),"")</f>
        <v/>
      </c>
    </row>
    <row r="464">
      <c r="C464" s="12" t="str">
        <f>IFERROR(__xludf.DUMMYFUNCTION("IF($B464="""","""",SUBSTITUTE(SUBSTITUTE(SUBSTITUTE(SUBSTITUTE(INDEX(Hairstyles!$A:$A,MATCH($B464,Hairstyles!$F:$F,0)),"" "",""""),""'"",""""),""("",""""),"")"","""")&amp;""\""&amp;INDEX(SPLIT($A$2,""_""),1)&amp;""\""&amp;INDEX(SPLIT($A$2,""_""),2)&amp;""\""&amp;SUBSTITUTE(SUBST"&amp;"ITUTE(SUBSTITUTE(SUBSTITUTE(SUBSTITUTE(INDEX(Hairstyles!$C:$C,MATCH($B464,Hairstyles!$F:$F,0)),"" "",""""),""'"",""""),""("",""""),"")"",""""),""-"",""_"")&amp;""_""&amp;$A$2)"),"")</f>
        <v/>
      </c>
    </row>
    <row r="465">
      <c r="C465" s="12" t="str">
        <f>IFERROR(__xludf.DUMMYFUNCTION("IF($B465="""","""",SUBSTITUTE(SUBSTITUTE(SUBSTITUTE(SUBSTITUTE(INDEX(Hairstyles!$A:$A,MATCH($B465,Hairstyles!$F:$F,0)),"" "",""""),""'"",""""),""("",""""),"")"","""")&amp;""\""&amp;INDEX(SPLIT($A$2,""_""),1)&amp;""\""&amp;INDEX(SPLIT($A$2,""_""),2)&amp;""\""&amp;SUBSTITUTE(SUBST"&amp;"ITUTE(SUBSTITUTE(SUBSTITUTE(SUBSTITUTE(INDEX(Hairstyles!$C:$C,MATCH($B465,Hairstyles!$F:$F,0)),"" "",""""),""'"",""""),""("",""""),"")"",""""),""-"",""_"")&amp;""_""&amp;$A$2)"),"")</f>
        <v/>
      </c>
    </row>
    <row r="466">
      <c r="C466" s="12" t="str">
        <f>IFERROR(__xludf.DUMMYFUNCTION("IF($B466="""","""",SUBSTITUTE(SUBSTITUTE(SUBSTITUTE(SUBSTITUTE(INDEX(Hairstyles!$A:$A,MATCH($B466,Hairstyles!$F:$F,0)),"" "",""""),""'"",""""),""("",""""),"")"","""")&amp;""\""&amp;INDEX(SPLIT($A$2,""_""),1)&amp;""\""&amp;INDEX(SPLIT($A$2,""_""),2)&amp;""\""&amp;SUBSTITUTE(SUBST"&amp;"ITUTE(SUBSTITUTE(SUBSTITUTE(SUBSTITUTE(INDEX(Hairstyles!$C:$C,MATCH($B466,Hairstyles!$F:$F,0)),"" "",""""),""'"",""""),""("",""""),"")"",""""),""-"",""_"")&amp;""_""&amp;$A$2)"),"")</f>
        <v/>
      </c>
    </row>
    <row r="467">
      <c r="C467" s="12" t="str">
        <f>IFERROR(__xludf.DUMMYFUNCTION("IF($B467="""","""",SUBSTITUTE(SUBSTITUTE(SUBSTITUTE(SUBSTITUTE(INDEX(Hairstyles!$A:$A,MATCH($B467,Hairstyles!$F:$F,0)),"" "",""""),""'"",""""),""("",""""),"")"","""")&amp;""\""&amp;INDEX(SPLIT($A$2,""_""),1)&amp;""\""&amp;INDEX(SPLIT($A$2,""_""),2)&amp;""\""&amp;SUBSTITUTE(SUBST"&amp;"ITUTE(SUBSTITUTE(SUBSTITUTE(SUBSTITUTE(INDEX(Hairstyles!$C:$C,MATCH($B467,Hairstyles!$F:$F,0)),"" "",""""),""'"",""""),""("",""""),"")"",""""),""-"",""_"")&amp;""_""&amp;$A$2)"),"")</f>
        <v/>
      </c>
    </row>
    <row r="468">
      <c r="C468" s="12" t="str">
        <f>IFERROR(__xludf.DUMMYFUNCTION("IF($B468="""","""",SUBSTITUTE(SUBSTITUTE(SUBSTITUTE(SUBSTITUTE(INDEX(Hairstyles!$A:$A,MATCH($B468,Hairstyles!$F:$F,0)),"" "",""""),""'"",""""),""("",""""),"")"","""")&amp;""\""&amp;INDEX(SPLIT($A$2,""_""),1)&amp;""\""&amp;INDEX(SPLIT($A$2,""_""),2)&amp;""\""&amp;SUBSTITUTE(SUBST"&amp;"ITUTE(SUBSTITUTE(SUBSTITUTE(SUBSTITUTE(INDEX(Hairstyles!$C:$C,MATCH($B468,Hairstyles!$F:$F,0)),"" "",""""),""'"",""""),""("",""""),"")"",""""),""-"",""_"")&amp;""_""&amp;$A$2)"),"")</f>
        <v/>
      </c>
    </row>
    <row r="469">
      <c r="C469" s="12" t="str">
        <f>IFERROR(__xludf.DUMMYFUNCTION("IF($B469="""","""",SUBSTITUTE(SUBSTITUTE(SUBSTITUTE(SUBSTITUTE(INDEX(Hairstyles!$A:$A,MATCH($B469,Hairstyles!$F:$F,0)),"" "",""""),""'"",""""),""("",""""),"")"","""")&amp;""\""&amp;INDEX(SPLIT($A$2,""_""),1)&amp;""\""&amp;INDEX(SPLIT($A$2,""_""),2)&amp;""\""&amp;SUBSTITUTE(SUBST"&amp;"ITUTE(SUBSTITUTE(SUBSTITUTE(SUBSTITUTE(INDEX(Hairstyles!$C:$C,MATCH($B469,Hairstyles!$F:$F,0)),"" "",""""),""'"",""""),""("",""""),"")"",""""),""-"",""_"")&amp;""_""&amp;$A$2)"),"")</f>
        <v/>
      </c>
    </row>
    <row r="470">
      <c r="C470" s="12" t="str">
        <f>IFERROR(__xludf.DUMMYFUNCTION("IF($B470="""","""",SUBSTITUTE(SUBSTITUTE(SUBSTITUTE(SUBSTITUTE(INDEX(Hairstyles!$A:$A,MATCH($B470,Hairstyles!$F:$F,0)),"" "",""""),""'"",""""),""("",""""),"")"","""")&amp;""\""&amp;INDEX(SPLIT($A$2,""_""),1)&amp;""\""&amp;INDEX(SPLIT($A$2,""_""),2)&amp;""\""&amp;SUBSTITUTE(SUBST"&amp;"ITUTE(SUBSTITUTE(SUBSTITUTE(SUBSTITUTE(INDEX(Hairstyles!$C:$C,MATCH($B470,Hairstyles!$F:$F,0)),"" "",""""),""'"",""""),""("",""""),"")"",""""),""-"",""_"")&amp;""_""&amp;$A$2)"),"")</f>
        <v/>
      </c>
    </row>
    <row r="471">
      <c r="C471" s="12" t="str">
        <f>IFERROR(__xludf.DUMMYFUNCTION("IF($B471="""","""",SUBSTITUTE(SUBSTITUTE(SUBSTITUTE(SUBSTITUTE(INDEX(Hairstyles!$A:$A,MATCH($B471,Hairstyles!$F:$F,0)),"" "",""""),""'"",""""),""("",""""),"")"","""")&amp;""\""&amp;INDEX(SPLIT($A$2,""_""),1)&amp;""\""&amp;INDEX(SPLIT($A$2,""_""),2)&amp;""\""&amp;SUBSTITUTE(SUBST"&amp;"ITUTE(SUBSTITUTE(SUBSTITUTE(SUBSTITUTE(INDEX(Hairstyles!$C:$C,MATCH($B471,Hairstyles!$F:$F,0)),"" "",""""),""'"",""""),""("",""""),"")"",""""),""-"",""_"")&amp;""_""&amp;$A$2)"),"")</f>
        <v/>
      </c>
    </row>
    <row r="472">
      <c r="C472" s="12" t="str">
        <f>IFERROR(__xludf.DUMMYFUNCTION("IF($B472="""","""",SUBSTITUTE(SUBSTITUTE(SUBSTITUTE(SUBSTITUTE(INDEX(Hairstyles!$A:$A,MATCH($B472,Hairstyles!$F:$F,0)),"" "",""""),""'"",""""),""("",""""),"")"","""")&amp;""\""&amp;INDEX(SPLIT($A$2,""_""),1)&amp;""\""&amp;INDEX(SPLIT($A$2,""_""),2)&amp;""\""&amp;SUBSTITUTE(SUBST"&amp;"ITUTE(SUBSTITUTE(SUBSTITUTE(SUBSTITUTE(INDEX(Hairstyles!$C:$C,MATCH($B472,Hairstyles!$F:$F,0)),"" "",""""),""'"",""""),""("",""""),"")"",""""),""-"",""_"")&amp;""_""&amp;$A$2)"),"")</f>
        <v/>
      </c>
    </row>
    <row r="473">
      <c r="C473" s="12" t="str">
        <f>IFERROR(__xludf.DUMMYFUNCTION("IF($B473="""","""",SUBSTITUTE(SUBSTITUTE(SUBSTITUTE(SUBSTITUTE(INDEX(Hairstyles!$A:$A,MATCH($B473,Hairstyles!$F:$F,0)),"" "",""""),""'"",""""),""("",""""),"")"","""")&amp;""\""&amp;INDEX(SPLIT($A$2,""_""),1)&amp;""\""&amp;INDEX(SPLIT($A$2,""_""),2)&amp;""\""&amp;SUBSTITUTE(SUBST"&amp;"ITUTE(SUBSTITUTE(SUBSTITUTE(SUBSTITUTE(INDEX(Hairstyles!$C:$C,MATCH($B473,Hairstyles!$F:$F,0)),"" "",""""),""'"",""""),""("",""""),"")"",""""),""-"",""_"")&amp;""_""&amp;$A$2)"),"")</f>
        <v/>
      </c>
    </row>
    <row r="474">
      <c r="C474" s="12" t="str">
        <f>IFERROR(__xludf.DUMMYFUNCTION("IF($B474="""","""",SUBSTITUTE(SUBSTITUTE(SUBSTITUTE(SUBSTITUTE(INDEX(Hairstyles!$A:$A,MATCH($B474,Hairstyles!$F:$F,0)),"" "",""""),""'"",""""),""("",""""),"")"","""")&amp;""\""&amp;INDEX(SPLIT($A$2,""_""),1)&amp;""\""&amp;INDEX(SPLIT($A$2,""_""),2)&amp;""\""&amp;SUBSTITUTE(SUBST"&amp;"ITUTE(SUBSTITUTE(SUBSTITUTE(SUBSTITUTE(INDEX(Hairstyles!$C:$C,MATCH($B474,Hairstyles!$F:$F,0)),"" "",""""),""'"",""""),""("",""""),"")"",""""),""-"",""_"")&amp;""_""&amp;$A$2)"),"")</f>
        <v/>
      </c>
    </row>
    <row r="475">
      <c r="C475" s="12" t="str">
        <f>IFERROR(__xludf.DUMMYFUNCTION("IF($B475="""","""",SUBSTITUTE(SUBSTITUTE(SUBSTITUTE(SUBSTITUTE(INDEX(Hairstyles!$A:$A,MATCH($B475,Hairstyles!$F:$F,0)),"" "",""""),""'"",""""),""("",""""),"")"","""")&amp;""\""&amp;INDEX(SPLIT($A$2,""_""),1)&amp;""\""&amp;INDEX(SPLIT($A$2,""_""),2)&amp;""\""&amp;SUBSTITUTE(SUBST"&amp;"ITUTE(SUBSTITUTE(SUBSTITUTE(SUBSTITUTE(INDEX(Hairstyles!$C:$C,MATCH($B475,Hairstyles!$F:$F,0)),"" "",""""),""'"",""""),""("",""""),"")"",""""),""-"",""_"")&amp;""_""&amp;$A$2)"),"")</f>
        <v/>
      </c>
    </row>
    <row r="476">
      <c r="C476" s="12" t="str">
        <f>IFERROR(__xludf.DUMMYFUNCTION("IF($B476="""","""",SUBSTITUTE(SUBSTITUTE(SUBSTITUTE(SUBSTITUTE(INDEX(Hairstyles!$A:$A,MATCH($B476,Hairstyles!$F:$F,0)),"" "",""""),""'"",""""),""("",""""),"")"","""")&amp;""\""&amp;INDEX(SPLIT($A$2,""_""),1)&amp;""\""&amp;INDEX(SPLIT($A$2,""_""),2)&amp;""\""&amp;SUBSTITUTE(SUBST"&amp;"ITUTE(SUBSTITUTE(SUBSTITUTE(SUBSTITUTE(INDEX(Hairstyles!$C:$C,MATCH($B476,Hairstyles!$F:$F,0)),"" "",""""),""'"",""""),""("",""""),"")"",""""),""-"",""_"")&amp;""_""&amp;$A$2)"),"")</f>
        <v/>
      </c>
    </row>
    <row r="477">
      <c r="C477" s="12" t="str">
        <f>IFERROR(__xludf.DUMMYFUNCTION("IF($B477="""","""",SUBSTITUTE(SUBSTITUTE(SUBSTITUTE(SUBSTITUTE(INDEX(Hairstyles!$A:$A,MATCH($B477,Hairstyles!$F:$F,0)),"" "",""""),""'"",""""),""("",""""),"")"","""")&amp;""\""&amp;INDEX(SPLIT($A$2,""_""),1)&amp;""\""&amp;INDEX(SPLIT($A$2,""_""),2)&amp;""\""&amp;SUBSTITUTE(SUBST"&amp;"ITUTE(SUBSTITUTE(SUBSTITUTE(SUBSTITUTE(INDEX(Hairstyles!$C:$C,MATCH($B477,Hairstyles!$F:$F,0)),"" "",""""),""'"",""""),""("",""""),"")"",""""),""-"",""_"")&amp;""_""&amp;$A$2)"),"")</f>
        <v/>
      </c>
    </row>
    <row r="478">
      <c r="C478" s="12" t="str">
        <f>IFERROR(__xludf.DUMMYFUNCTION("IF($B478="""","""",SUBSTITUTE(SUBSTITUTE(SUBSTITUTE(SUBSTITUTE(INDEX(Hairstyles!$A:$A,MATCH($B478,Hairstyles!$F:$F,0)),"" "",""""),""'"",""""),""("",""""),"")"","""")&amp;""\""&amp;INDEX(SPLIT($A$2,""_""),1)&amp;""\""&amp;INDEX(SPLIT($A$2,""_""),2)&amp;""\""&amp;SUBSTITUTE(SUBST"&amp;"ITUTE(SUBSTITUTE(SUBSTITUTE(SUBSTITUTE(INDEX(Hairstyles!$C:$C,MATCH($B478,Hairstyles!$F:$F,0)),"" "",""""),""'"",""""),""("",""""),"")"",""""),""-"",""_"")&amp;""_""&amp;$A$2)"),"")</f>
        <v/>
      </c>
    </row>
    <row r="479">
      <c r="C479" s="12" t="str">
        <f>IFERROR(__xludf.DUMMYFUNCTION("IF($B479="""","""",SUBSTITUTE(SUBSTITUTE(SUBSTITUTE(SUBSTITUTE(INDEX(Hairstyles!$A:$A,MATCH($B479,Hairstyles!$F:$F,0)),"" "",""""),""'"",""""),""("",""""),"")"","""")&amp;""\""&amp;INDEX(SPLIT($A$2,""_""),1)&amp;""\""&amp;INDEX(SPLIT($A$2,""_""),2)&amp;""\""&amp;SUBSTITUTE(SUBST"&amp;"ITUTE(SUBSTITUTE(SUBSTITUTE(SUBSTITUTE(INDEX(Hairstyles!$C:$C,MATCH($B479,Hairstyles!$F:$F,0)),"" "",""""),""'"",""""),""("",""""),"")"",""""),""-"",""_"")&amp;""_""&amp;$A$2)"),"")</f>
        <v/>
      </c>
    </row>
    <row r="480">
      <c r="C480" s="12" t="str">
        <f>IFERROR(__xludf.DUMMYFUNCTION("IF($B480="""","""",SUBSTITUTE(SUBSTITUTE(SUBSTITUTE(SUBSTITUTE(INDEX(Hairstyles!$A:$A,MATCH($B480,Hairstyles!$F:$F,0)),"" "",""""),""'"",""""),""("",""""),"")"","""")&amp;""\""&amp;INDEX(SPLIT($A$2,""_""),1)&amp;""\""&amp;INDEX(SPLIT($A$2,""_""),2)&amp;""\""&amp;SUBSTITUTE(SUBST"&amp;"ITUTE(SUBSTITUTE(SUBSTITUTE(SUBSTITUTE(INDEX(Hairstyles!$C:$C,MATCH($B480,Hairstyles!$F:$F,0)),"" "",""""),""'"",""""),""("",""""),"")"",""""),""-"",""_"")&amp;""_""&amp;$A$2)"),"")</f>
        <v/>
      </c>
    </row>
    <row r="481">
      <c r="C481" s="12" t="str">
        <f>IFERROR(__xludf.DUMMYFUNCTION("IF($B481="""","""",SUBSTITUTE(SUBSTITUTE(SUBSTITUTE(SUBSTITUTE(INDEX(Hairstyles!$A:$A,MATCH($B481,Hairstyles!$F:$F,0)),"" "",""""),""'"",""""),""("",""""),"")"","""")&amp;""\""&amp;INDEX(SPLIT($A$2,""_""),1)&amp;""\""&amp;INDEX(SPLIT($A$2,""_""),2)&amp;""\""&amp;SUBSTITUTE(SUBST"&amp;"ITUTE(SUBSTITUTE(SUBSTITUTE(SUBSTITUTE(INDEX(Hairstyles!$C:$C,MATCH($B481,Hairstyles!$F:$F,0)),"" "",""""),""'"",""""),""("",""""),"")"",""""),""-"",""_"")&amp;""_""&amp;$A$2)"),"")</f>
        <v/>
      </c>
    </row>
    <row r="482">
      <c r="C482" s="12" t="str">
        <f>IFERROR(__xludf.DUMMYFUNCTION("IF($B482="""","""",SUBSTITUTE(SUBSTITUTE(SUBSTITUTE(SUBSTITUTE(INDEX(Hairstyles!$A:$A,MATCH($B482,Hairstyles!$F:$F,0)),"" "",""""),""'"",""""),""("",""""),"")"","""")&amp;""\""&amp;INDEX(SPLIT($A$2,""_""),1)&amp;""\""&amp;INDEX(SPLIT($A$2,""_""),2)&amp;""\""&amp;SUBSTITUTE(SUBST"&amp;"ITUTE(SUBSTITUTE(SUBSTITUTE(SUBSTITUTE(INDEX(Hairstyles!$C:$C,MATCH($B482,Hairstyles!$F:$F,0)),"" "",""""),""'"",""""),""("",""""),"")"",""""),""-"",""_"")&amp;""_""&amp;$A$2)"),"")</f>
        <v/>
      </c>
    </row>
    <row r="483">
      <c r="C483" s="12" t="str">
        <f>IFERROR(__xludf.DUMMYFUNCTION("IF($B483="""","""",SUBSTITUTE(SUBSTITUTE(SUBSTITUTE(SUBSTITUTE(INDEX(Hairstyles!$A:$A,MATCH($B483,Hairstyles!$F:$F,0)),"" "",""""),""'"",""""),""("",""""),"")"","""")&amp;""\""&amp;INDEX(SPLIT($A$2,""_""),1)&amp;""\""&amp;INDEX(SPLIT($A$2,""_""),2)&amp;""\""&amp;SUBSTITUTE(SUBST"&amp;"ITUTE(SUBSTITUTE(SUBSTITUTE(SUBSTITUTE(INDEX(Hairstyles!$C:$C,MATCH($B483,Hairstyles!$F:$F,0)),"" "",""""),""'"",""""),""("",""""),"")"",""""),""-"",""_"")&amp;""_""&amp;$A$2)"),"")</f>
        <v/>
      </c>
    </row>
    <row r="484">
      <c r="C484" s="12" t="str">
        <f>IFERROR(__xludf.DUMMYFUNCTION("IF($B484="""","""",SUBSTITUTE(SUBSTITUTE(SUBSTITUTE(SUBSTITUTE(INDEX(Hairstyles!$A:$A,MATCH($B484,Hairstyles!$F:$F,0)),"" "",""""),""'"",""""),""("",""""),"")"","""")&amp;""\""&amp;INDEX(SPLIT($A$2,""_""),1)&amp;""\""&amp;INDEX(SPLIT($A$2,""_""),2)&amp;""\""&amp;SUBSTITUTE(SUBST"&amp;"ITUTE(SUBSTITUTE(SUBSTITUTE(SUBSTITUTE(INDEX(Hairstyles!$C:$C,MATCH($B484,Hairstyles!$F:$F,0)),"" "",""""),""'"",""""),""("",""""),"")"",""""),""-"",""_"")&amp;""_""&amp;$A$2)"),"")</f>
        <v/>
      </c>
    </row>
    <row r="485">
      <c r="C485" s="12" t="str">
        <f>IFERROR(__xludf.DUMMYFUNCTION("IF($B485="""","""",SUBSTITUTE(SUBSTITUTE(SUBSTITUTE(SUBSTITUTE(INDEX(Hairstyles!$A:$A,MATCH($B485,Hairstyles!$F:$F,0)),"" "",""""),""'"",""""),""("",""""),"")"","""")&amp;""\""&amp;INDEX(SPLIT($A$2,""_""),1)&amp;""\""&amp;INDEX(SPLIT($A$2,""_""),2)&amp;""\""&amp;SUBSTITUTE(SUBST"&amp;"ITUTE(SUBSTITUTE(SUBSTITUTE(SUBSTITUTE(INDEX(Hairstyles!$C:$C,MATCH($B485,Hairstyles!$F:$F,0)),"" "",""""),""'"",""""),""("",""""),"")"",""""),""-"",""_"")&amp;""_""&amp;$A$2)"),"")</f>
        <v/>
      </c>
    </row>
    <row r="486">
      <c r="C486" s="12" t="str">
        <f>IFERROR(__xludf.DUMMYFUNCTION("IF($B486="""","""",SUBSTITUTE(SUBSTITUTE(SUBSTITUTE(SUBSTITUTE(INDEX(Hairstyles!$A:$A,MATCH($B486,Hairstyles!$F:$F,0)),"" "",""""),""'"",""""),""("",""""),"")"","""")&amp;""\""&amp;INDEX(SPLIT($A$2,""_""),1)&amp;""\""&amp;INDEX(SPLIT($A$2,""_""),2)&amp;""\""&amp;SUBSTITUTE(SUBST"&amp;"ITUTE(SUBSTITUTE(SUBSTITUTE(SUBSTITUTE(INDEX(Hairstyles!$C:$C,MATCH($B486,Hairstyles!$F:$F,0)),"" "",""""),""'"",""""),""("",""""),"")"",""""),""-"",""_"")&amp;""_""&amp;$A$2)"),"")</f>
        <v/>
      </c>
    </row>
    <row r="487">
      <c r="C487" s="12" t="str">
        <f>IFERROR(__xludf.DUMMYFUNCTION("IF($B487="""","""",SUBSTITUTE(SUBSTITUTE(SUBSTITUTE(SUBSTITUTE(INDEX(Hairstyles!$A:$A,MATCH($B487,Hairstyles!$F:$F,0)),"" "",""""),""'"",""""),""("",""""),"")"","""")&amp;""\""&amp;INDEX(SPLIT($A$2,""_""),1)&amp;""\""&amp;INDEX(SPLIT($A$2,""_""),2)&amp;""\""&amp;SUBSTITUTE(SUBST"&amp;"ITUTE(SUBSTITUTE(SUBSTITUTE(SUBSTITUTE(INDEX(Hairstyles!$C:$C,MATCH($B487,Hairstyles!$F:$F,0)),"" "",""""),""'"",""""),""("",""""),"")"",""""),""-"",""_"")&amp;""_""&amp;$A$2)"),"")</f>
        <v/>
      </c>
    </row>
    <row r="488">
      <c r="C488" s="12" t="str">
        <f>IFERROR(__xludf.DUMMYFUNCTION("IF($B488="""","""",SUBSTITUTE(SUBSTITUTE(SUBSTITUTE(SUBSTITUTE(INDEX(Hairstyles!$A:$A,MATCH($B488,Hairstyles!$F:$F,0)),"" "",""""),""'"",""""),""("",""""),"")"","""")&amp;""\""&amp;INDEX(SPLIT($A$2,""_""),1)&amp;""\""&amp;INDEX(SPLIT($A$2,""_""),2)&amp;""\""&amp;SUBSTITUTE(SUBST"&amp;"ITUTE(SUBSTITUTE(SUBSTITUTE(SUBSTITUTE(INDEX(Hairstyles!$C:$C,MATCH($B488,Hairstyles!$F:$F,0)),"" "",""""),""'"",""""),""("",""""),"")"",""""),""-"",""_"")&amp;""_""&amp;$A$2)"),"")</f>
        <v/>
      </c>
    </row>
    <row r="489">
      <c r="C489" s="12" t="str">
        <f>IFERROR(__xludf.DUMMYFUNCTION("IF($B489="""","""",SUBSTITUTE(SUBSTITUTE(SUBSTITUTE(SUBSTITUTE(INDEX(Hairstyles!$A:$A,MATCH($B489,Hairstyles!$F:$F,0)),"" "",""""),""'"",""""),""("",""""),"")"","""")&amp;""\""&amp;INDEX(SPLIT($A$2,""_""),1)&amp;""\""&amp;INDEX(SPLIT($A$2,""_""),2)&amp;""\""&amp;SUBSTITUTE(SUBST"&amp;"ITUTE(SUBSTITUTE(SUBSTITUTE(SUBSTITUTE(INDEX(Hairstyles!$C:$C,MATCH($B489,Hairstyles!$F:$F,0)),"" "",""""),""'"",""""),""("",""""),"")"",""""),""-"",""_"")&amp;""_""&amp;$A$2)"),"")</f>
        <v/>
      </c>
    </row>
    <row r="490">
      <c r="C490" s="12" t="str">
        <f>IFERROR(__xludf.DUMMYFUNCTION("IF($B490="""","""",SUBSTITUTE(SUBSTITUTE(SUBSTITUTE(SUBSTITUTE(INDEX(Hairstyles!$A:$A,MATCH($B490,Hairstyles!$F:$F,0)),"" "",""""),""'"",""""),""("",""""),"")"","""")&amp;""\""&amp;INDEX(SPLIT($A$2,""_""),1)&amp;""\""&amp;INDEX(SPLIT($A$2,""_""),2)&amp;""\""&amp;SUBSTITUTE(SUBST"&amp;"ITUTE(SUBSTITUTE(SUBSTITUTE(SUBSTITUTE(INDEX(Hairstyles!$C:$C,MATCH($B490,Hairstyles!$F:$F,0)),"" "",""""),""'"",""""),""("",""""),"")"",""""),""-"",""_"")&amp;""_""&amp;$A$2)"),"")</f>
        <v/>
      </c>
    </row>
    <row r="491">
      <c r="C491" s="12" t="str">
        <f>IFERROR(__xludf.DUMMYFUNCTION("IF($B491="""","""",SUBSTITUTE(SUBSTITUTE(SUBSTITUTE(SUBSTITUTE(INDEX(Hairstyles!$A:$A,MATCH($B491,Hairstyles!$F:$F,0)),"" "",""""),""'"",""""),""("",""""),"")"","""")&amp;""\""&amp;INDEX(SPLIT($A$2,""_""),1)&amp;""\""&amp;INDEX(SPLIT($A$2,""_""),2)&amp;""\""&amp;SUBSTITUTE(SUBST"&amp;"ITUTE(SUBSTITUTE(SUBSTITUTE(SUBSTITUTE(INDEX(Hairstyles!$C:$C,MATCH($B491,Hairstyles!$F:$F,0)),"" "",""""),""'"",""""),""("",""""),"")"",""""),""-"",""_"")&amp;""_""&amp;$A$2)"),"")</f>
        <v/>
      </c>
    </row>
    <row r="492">
      <c r="C492" s="12" t="str">
        <f>IFERROR(__xludf.DUMMYFUNCTION("IF($B492="""","""",SUBSTITUTE(SUBSTITUTE(SUBSTITUTE(SUBSTITUTE(INDEX(Hairstyles!$A:$A,MATCH($B492,Hairstyles!$F:$F,0)),"" "",""""),""'"",""""),""("",""""),"")"","""")&amp;""\""&amp;INDEX(SPLIT($A$2,""_""),1)&amp;""\""&amp;INDEX(SPLIT($A$2,""_""),2)&amp;""\""&amp;SUBSTITUTE(SUBST"&amp;"ITUTE(SUBSTITUTE(SUBSTITUTE(SUBSTITUTE(INDEX(Hairstyles!$C:$C,MATCH($B492,Hairstyles!$F:$F,0)),"" "",""""),""'"",""""),""("",""""),"")"",""""),""-"",""_"")&amp;""_""&amp;$A$2)"),"")</f>
        <v/>
      </c>
    </row>
    <row r="493">
      <c r="C493" s="12" t="str">
        <f>IFERROR(__xludf.DUMMYFUNCTION("IF($B493="""","""",SUBSTITUTE(SUBSTITUTE(SUBSTITUTE(SUBSTITUTE(INDEX(Hairstyles!$A:$A,MATCH($B493,Hairstyles!$F:$F,0)),"" "",""""),""'"",""""),""("",""""),"")"","""")&amp;""\""&amp;INDEX(SPLIT($A$2,""_""),1)&amp;""\""&amp;INDEX(SPLIT($A$2,""_""),2)&amp;""\""&amp;SUBSTITUTE(SUBST"&amp;"ITUTE(SUBSTITUTE(SUBSTITUTE(SUBSTITUTE(INDEX(Hairstyles!$C:$C,MATCH($B493,Hairstyles!$F:$F,0)),"" "",""""),""'"",""""),""("",""""),"")"",""""),""-"",""_"")&amp;""_""&amp;$A$2)"),"")</f>
        <v/>
      </c>
    </row>
    <row r="494">
      <c r="C494" s="12" t="str">
        <f>IFERROR(__xludf.DUMMYFUNCTION("IF($B494="""","""",SUBSTITUTE(SUBSTITUTE(SUBSTITUTE(SUBSTITUTE(INDEX(Hairstyles!$A:$A,MATCH($B494,Hairstyles!$F:$F,0)),"" "",""""),""'"",""""),""("",""""),"")"","""")&amp;""\""&amp;INDEX(SPLIT($A$2,""_""),1)&amp;""\""&amp;INDEX(SPLIT($A$2,""_""),2)&amp;""\""&amp;SUBSTITUTE(SUBST"&amp;"ITUTE(SUBSTITUTE(SUBSTITUTE(SUBSTITUTE(INDEX(Hairstyles!$C:$C,MATCH($B494,Hairstyles!$F:$F,0)),"" "",""""),""'"",""""),""("",""""),"")"",""""),""-"",""_"")&amp;""_""&amp;$A$2)"),"")</f>
        <v/>
      </c>
    </row>
    <row r="495">
      <c r="C495" s="12" t="str">
        <f>IFERROR(__xludf.DUMMYFUNCTION("IF($B495="""","""",SUBSTITUTE(SUBSTITUTE(SUBSTITUTE(SUBSTITUTE(INDEX(Hairstyles!$A:$A,MATCH($B495,Hairstyles!$F:$F,0)),"" "",""""),""'"",""""),""("",""""),"")"","""")&amp;""\""&amp;INDEX(SPLIT($A$2,""_""),1)&amp;""\""&amp;INDEX(SPLIT($A$2,""_""),2)&amp;""\""&amp;SUBSTITUTE(SUBST"&amp;"ITUTE(SUBSTITUTE(SUBSTITUTE(SUBSTITUTE(INDEX(Hairstyles!$C:$C,MATCH($B495,Hairstyles!$F:$F,0)),"" "",""""),""'"",""""),""("",""""),"")"",""""),""-"",""_"")&amp;""_""&amp;$A$2)"),"")</f>
        <v/>
      </c>
    </row>
    <row r="496">
      <c r="C496" s="12" t="str">
        <f>IFERROR(__xludf.DUMMYFUNCTION("IF($B496="""","""",SUBSTITUTE(SUBSTITUTE(SUBSTITUTE(SUBSTITUTE(INDEX(Hairstyles!$A:$A,MATCH($B496,Hairstyles!$F:$F,0)),"" "",""""),""'"",""""),""("",""""),"")"","""")&amp;""\""&amp;INDEX(SPLIT($A$2,""_""),1)&amp;""\""&amp;INDEX(SPLIT($A$2,""_""),2)&amp;""\""&amp;SUBSTITUTE(SUBST"&amp;"ITUTE(SUBSTITUTE(SUBSTITUTE(SUBSTITUTE(INDEX(Hairstyles!$C:$C,MATCH($B496,Hairstyles!$F:$F,0)),"" "",""""),""'"",""""),""("",""""),"")"",""""),""-"",""_"")&amp;""_""&amp;$A$2)"),"")</f>
        <v/>
      </c>
    </row>
    <row r="497">
      <c r="C497" s="12" t="str">
        <f>IFERROR(__xludf.DUMMYFUNCTION("IF($B497="""","""",SUBSTITUTE(SUBSTITUTE(SUBSTITUTE(SUBSTITUTE(INDEX(Hairstyles!$A:$A,MATCH($B497,Hairstyles!$F:$F,0)),"" "",""""),""'"",""""),""("",""""),"")"","""")&amp;""\""&amp;INDEX(SPLIT($A$2,""_""),1)&amp;""\""&amp;INDEX(SPLIT($A$2,""_""),2)&amp;""\""&amp;SUBSTITUTE(SUBST"&amp;"ITUTE(SUBSTITUTE(SUBSTITUTE(SUBSTITUTE(INDEX(Hairstyles!$C:$C,MATCH($B497,Hairstyles!$F:$F,0)),"" "",""""),""'"",""""),""("",""""),"")"",""""),""-"",""_"")&amp;""_""&amp;$A$2)"),"")</f>
        <v/>
      </c>
    </row>
    <row r="498">
      <c r="C498" s="12" t="str">
        <f>IFERROR(__xludf.DUMMYFUNCTION("IF($B498="""","""",SUBSTITUTE(SUBSTITUTE(SUBSTITUTE(SUBSTITUTE(INDEX(Hairstyles!$A:$A,MATCH($B498,Hairstyles!$F:$F,0)),"" "",""""),""'"",""""),""("",""""),"")"","""")&amp;""\""&amp;INDEX(SPLIT($A$2,""_""),1)&amp;""\""&amp;INDEX(SPLIT($A$2,""_""),2)&amp;""\""&amp;SUBSTITUTE(SUBST"&amp;"ITUTE(SUBSTITUTE(SUBSTITUTE(SUBSTITUTE(INDEX(Hairstyles!$C:$C,MATCH($B498,Hairstyles!$F:$F,0)),"" "",""""),""'"",""""),""("",""""),"")"",""""),""-"",""_"")&amp;""_""&amp;$A$2)"),"")</f>
        <v/>
      </c>
    </row>
    <row r="499">
      <c r="C499" s="12" t="str">
        <f>IFERROR(__xludf.DUMMYFUNCTION("IF($B499="""","""",SUBSTITUTE(SUBSTITUTE(SUBSTITUTE(SUBSTITUTE(INDEX(Hairstyles!$A:$A,MATCH($B499,Hairstyles!$F:$F,0)),"" "",""""),""'"",""""),""("",""""),"")"","""")&amp;""\""&amp;INDEX(SPLIT($A$2,""_""),1)&amp;""\""&amp;INDEX(SPLIT($A$2,""_""),2)&amp;""\""&amp;SUBSTITUTE(SUBST"&amp;"ITUTE(SUBSTITUTE(SUBSTITUTE(SUBSTITUTE(INDEX(Hairstyles!$C:$C,MATCH($B499,Hairstyles!$F:$F,0)),"" "",""""),""'"",""""),""("",""""),"")"",""""),""-"",""_"")&amp;""_""&amp;$A$2)"),"")</f>
        <v/>
      </c>
    </row>
    <row r="500">
      <c r="C500" s="12" t="str">
        <f>IFERROR(__xludf.DUMMYFUNCTION("IF($B500="""","""",SUBSTITUTE(SUBSTITUTE(SUBSTITUTE(SUBSTITUTE(INDEX(Hairstyles!$A:$A,MATCH($B500,Hairstyles!$F:$F,0)),"" "",""""),""'"",""""),""("",""""),"")"","""")&amp;""\""&amp;INDEX(SPLIT($A$2,""_""),1)&amp;""\""&amp;INDEX(SPLIT($A$2,""_""),2)&amp;""\""&amp;SUBSTITUTE(SUBST"&amp;"ITUTE(SUBSTITUTE(SUBSTITUTE(SUBSTITUTE(INDEX(Hairstyles!$C:$C,MATCH($B500,Hairstyles!$F:$F,0)),"" "",""""),""'"",""""),""("",""""),"")"",""""),""-"",""_"")&amp;""_""&amp;$A$2)"),"")</f>
        <v/>
      </c>
    </row>
    <row r="501">
      <c r="C501" s="12" t="str">
        <f>IFERROR(__xludf.DUMMYFUNCTION("IF($B501="""","""",SUBSTITUTE(SUBSTITUTE(SUBSTITUTE(SUBSTITUTE(INDEX(Hairstyles!$A:$A,MATCH($B501,Hairstyles!$F:$F,0)),"" "",""""),""'"",""""),""("",""""),"")"","""")&amp;""\""&amp;INDEX(SPLIT($A$2,""_""),1)&amp;""\""&amp;INDEX(SPLIT($A$2,""_""),2)&amp;""\""&amp;SUBSTITUTE(SUBST"&amp;"ITUTE(SUBSTITUTE(SUBSTITUTE(SUBSTITUTE(INDEX(Hairstyles!$C:$C,MATCH($B501,Hairstyles!$F:$F,0)),"" "",""""),""'"",""""),""("",""""),"")"",""""),""-"",""_"")&amp;""_""&amp;$A$2)"),"")</f>
        <v/>
      </c>
    </row>
    <row r="502">
      <c r="C502" s="12" t="str">
        <f>IFERROR(__xludf.DUMMYFUNCTION("IF($B502="""","""",SUBSTITUTE(SUBSTITUTE(SUBSTITUTE(SUBSTITUTE(INDEX(Hairstyles!$A:$A,MATCH($B502,Hairstyles!$F:$F,0)),"" "",""""),""'"",""""),""("",""""),"")"","""")&amp;""\""&amp;INDEX(SPLIT($A$2,""_""),1)&amp;""\""&amp;INDEX(SPLIT($A$2,""_""),2)&amp;""\""&amp;SUBSTITUTE(SUBST"&amp;"ITUTE(SUBSTITUTE(SUBSTITUTE(SUBSTITUTE(INDEX(Hairstyles!$C:$C,MATCH($B502,Hairstyles!$F:$F,0)),"" "",""""),""'"",""""),""("",""""),"")"",""""),""-"",""_"")&amp;""_""&amp;$A$2)"),"")</f>
        <v/>
      </c>
    </row>
    <row r="503">
      <c r="C503" s="12" t="str">
        <f>IFERROR(__xludf.DUMMYFUNCTION("IF($B503="""","""",SUBSTITUTE(SUBSTITUTE(SUBSTITUTE(SUBSTITUTE(INDEX(Hairstyles!$A:$A,MATCH($B503,Hairstyles!$F:$F,0)),"" "",""""),""'"",""""),""("",""""),"")"","""")&amp;""\""&amp;INDEX(SPLIT($A$2,""_""),1)&amp;""\""&amp;INDEX(SPLIT($A$2,""_""),2)&amp;""\""&amp;SUBSTITUTE(SUBST"&amp;"ITUTE(SUBSTITUTE(SUBSTITUTE(SUBSTITUTE(INDEX(Hairstyles!$C:$C,MATCH($B503,Hairstyles!$F:$F,0)),"" "",""""),""'"",""""),""("",""""),"")"",""""),""-"",""_"")&amp;""_""&amp;$A$2)"),"")</f>
        <v/>
      </c>
    </row>
    <row r="504">
      <c r="C504" s="12" t="str">
        <f>IFERROR(__xludf.DUMMYFUNCTION("IF($B504="""","""",SUBSTITUTE(SUBSTITUTE(SUBSTITUTE(SUBSTITUTE(INDEX(Hairstyles!$A:$A,MATCH($B504,Hairstyles!$F:$F,0)),"" "",""""),""'"",""""),""("",""""),"")"","""")&amp;""\""&amp;INDEX(SPLIT($A$2,""_""),1)&amp;""\""&amp;INDEX(SPLIT($A$2,""_""),2)&amp;""\""&amp;SUBSTITUTE(SUBST"&amp;"ITUTE(SUBSTITUTE(SUBSTITUTE(SUBSTITUTE(INDEX(Hairstyles!$C:$C,MATCH($B504,Hairstyles!$F:$F,0)),"" "",""""),""'"",""""),""("",""""),"")"",""""),""-"",""_"")&amp;""_""&amp;$A$2)"),"")</f>
        <v/>
      </c>
    </row>
    <row r="505">
      <c r="C505" s="12" t="str">
        <f>IFERROR(__xludf.DUMMYFUNCTION("IF($B505="""","""",SUBSTITUTE(SUBSTITUTE(SUBSTITUTE(SUBSTITUTE(INDEX(Hairstyles!$A:$A,MATCH($B505,Hairstyles!$F:$F,0)),"" "",""""),""'"",""""),""("",""""),"")"","""")&amp;""\""&amp;INDEX(SPLIT($A$2,""_""),1)&amp;""\""&amp;INDEX(SPLIT($A$2,""_""),2)&amp;""\""&amp;SUBSTITUTE(SUBST"&amp;"ITUTE(SUBSTITUTE(SUBSTITUTE(SUBSTITUTE(INDEX(Hairstyles!$C:$C,MATCH($B505,Hairstyles!$F:$F,0)),"" "",""""),""'"",""""),""("",""""),"")"",""""),""-"",""_"")&amp;""_""&amp;$A$2)"),"")</f>
        <v/>
      </c>
    </row>
    <row r="506">
      <c r="C506" s="12" t="str">
        <f>IFERROR(__xludf.DUMMYFUNCTION("IF($B506="""","""",SUBSTITUTE(SUBSTITUTE(SUBSTITUTE(SUBSTITUTE(INDEX(Hairstyles!$A:$A,MATCH($B506,Hairstyles!$F:$F,0)),"" "",""""),""'"",""""),""("",""""),"")"","""")&amp;""\""&amp;INDEX(SPLIT($A$2,""_""),1)&amp;""\""&amp;INDEX(SPLIT($A$2,""_""),2)&amp;""\""&amp;SUBSTITUTE(SUBST"&amp;"ITUTE(SUBSTITUTE(SUBSTITUTE(SUBSTITUTE(INDEX(Hairstyles!$C:$C,MATCH($B506,Hairstyles!$F:$F,0)),"" "",""""),""'"",""""),""("",""""),"")"",""""),""-"",""_"")&amp;""_""&amp;$A$2)"),"")</f>
        <v/>
      </c>
    </row>
    <row r="507">
      <c r="C507" s="12" t="str">
        <f>IFERROR(__xludf.DUMMYFUNCTION("IF($B507="""","""",SUBSTITUTE(SUBSTITUTE(SUBSTITUTE(SUBSTITUTE(INDEX(Hairstyles!$A:$A,MATCH($B507,Hairstyles!$F:$F,0)),"" "",""""),""'"",""""),""("",""""),"")"","""")&amp;""\""&amp;INDEX(SPLIT($A$2,""_""),1)&amp;""\""&amp;INDEX(SPLIT($A$2,""_""),2)&amp;""\""&amp;SUBSTITUTE(SUBST"&amp;"ITUTE(SUBSTITUTE(SUBSTITUTE(SUBSTITUTE(INDEX(Hairstyles!$C:$C,MATCH($B507,Hairstyles!$F:$F,0)),"" "",""""),""'"",""""),""("",""""),"")"",""""),""-"",""_"")&amp;""_""&amp;$A$2)"),"")</f>
        <v/>
      </c>
    </row>
    <row r="508">
      <c r="C508" s="12" t="str">
        <f>IFERROR(__xludf.DUMMYFUNCTION("IF($B508="""","""",SUBSTITUTE(SUBSTITUTE(SUBSTITUTE(SUBSTITUTE(INDEX(Hairstyles!$A:$A,MATCH($B508,Hairstyles!$F:$F,0)),"" "",""""),""'"",""""),""("",""""),"")"","""")&amp;""\""&amp;INDEX(SPLIT($A$2,""_""),1)&amp;""\""&amp;INDEX(SPLIT($A$2,""_""),2)&amp;""\""&amp;SUBSTITUTE(SUBST"&amp;"ITUTE(SUBSTITUTE(SUBSTITUTE(SUBSTITUTE(INDEX(Hairstyles!$C:$C,MATCH($B508,Hairstyles!$F:$F,0)),"" "",""""),""'"",""""),""("",""""),"")"",""""),""-"",""_"")&amp;""_""&amp;$A$2)"),"")</f>
        <v/>
      </c>
    </row>
    <row r="509">
      <c r="C509" s="12" t="str">
        <f>IFERROR(__xludf.DUMMYFUNCTION("IF($B509="""","""",SUBSTITUTE(SUBSTITUTE(SUBSTITUTE(SUBSTITUTE(INDEX(Hairstyles!$A:$A,MATCH($B509,Hairstyles!$F:$F,0)),"" "",""""),""'"",""""),""("",""""),"")"","""")&amp;""\""&amp;INDEX(SPLIT($A$2,""_""),1)&amp;""\""&amp;INDEX(SPLIT($A$2,""_""),2)&amp;""\""&amp;SUBSTITUTE(SUBST"&amp;"ITUTE(SUBSTITUTE(SUBSTITUTE(SUBSTITUTE(INDEX(Hairstyles!$C:$C,MATCH($B509,Hairstyles!$F:$F,0)),"" "",""""),""'"",""""),""("",""""),"")"",""""),""-"",""_"")&amp;""_""&amp;$A$2)"),"")</f>
        <v/>
      </c>
    </row>
    <row r="510">
      <c r="C510" s="12" t="str">
        <f>IFERROR(__xludf.DUMMYFUNCTION("IF($B510="""","""",SUBSTITUTE(SUBSTITUTE(SUBSTITUTE(SUBSTITUTE(INDEX(Hairstyles!$A:$A,MATCH($B510,Hairstyles!$F:$F,0)),"" "",""""),""'"",""""),""("",""""),"")"","""")&amp;""\""&amp;INDEX(SPLIT($A$2,""_""),1)&amp;""\""&amp;INDEX(SPLIT($A$2,""_""),2)&amp;""\""&amp;SUBSTITUTE(SUBST"&amp;"ITUTE(SUBSTITUTE(SUBSTITUTE(SUBSTITUTE(INDEX(Hairstyles!$C:$C,MATCH($B510,Hairstyles!$F:$F,0)),"" "",""""),""'"",""""),""("",""""),"")"",""""),""-"",""_"")&amp;""_""&amp;$A$2)"),"")</f>
        <v/>
      </c>
    </row>
    <row r="511">
      <c r="C511" s="12" t="str">
        <f>IFERROR(__xludf.DUMMYFUNCTION("IF($B511="""","""",SUBSTITUTE(SUBSTITUTE(SUBSTITUTE(SUBSTITUTE(INDEX(Hairstyles!$A:$A,MATCH($B511,Hairstyles!$F:$F,0)),"" "",""""),""'"",""""),""("",""""),"")"","""")&amp;""\""&amp;INDEX(SPLIT($A$2,""_""),1)&amp;""\""&amp;INDEX(SPLIT($A$2,""_""),2)&amp;""\""&amp;SUBSTITUTE(SUBST"&amp;"ITUTE(SUBSTITUTE(SUBSTITUTE(SUBSTITUTE(INDEX(Hairstyles!$C:$C,MATCH($B511,Hairstyles!$F:$F,0)),"" "",""""),""'"",""""),""("",""""),"")"",""""),""-"",""_"")&amp;""_""&amp;$A$2)"),"")</f>
        <v/>
      </c>
    </row>
    <row r="512">
      <c r="C512" s="12" t="str">
        <f>IFERROR(__xludf.DUMMYFUNCTION("IF($B512="""","""",SUBSTITUTE(SUBSTITUTE(SUBSTITUTE(SUBSTITUTE(INDEX(Hairstyles!$A:$A,MATCH($B512,Hairstyles!$F:$F,0)),"" "",""""),""'"",""""),""("",""""),"")"","""")&amp;""\""&amp;INDEX(SPLIT($A$2,""_""),1)&amp;""\""&amp;INDEX(SPLIT($A$2,""_""),2)&amp;""\""&amp;SUBSTITUTE(SUBST"&amp;"ITUTE(SUBSTITUTE(SUBSTITUTE(SUBSTITUTE(INDEX(Hairstyles!$C:$C,MATCH($B512,Hairstyles!$F:$F,0)),"" "",""""),""'"",""""),""("",""""),"")"",""""),""-"",""_"")&amp;""_""&amp;$A$2)"),"")</f>
        <v/>
      </c>
    </row>
    <row r="513">
      <c r="C513" s="12" t="str">
        <f>IFERROR(__xludf.DUMMYFUNCTION("IF($B513="""","""",SUBSTITUTE(SUBSTITUTE(SUBSTITUTE(SUBSTITUTE(INDEX(Hairstyles!$A:$A,MATCH($B513,Hairstyles!$F:$F,0)),"" "",""""),""'"",""""),""("",""""),"")"","""")&amp;""\""&amp;INDEX(SPLIT($A$2,""_""),1)&amp;""\""&amp;INDEX(SPLIT($A$2,""_""),2)&amp;""\""&amp;SUBSTITUTE(SUBST"&amp;"ITUTE(SUBSTITUTE(SUBSTITUTE(SUBSTITUTE(INDEX(Hairstyles!$C:$C,MATCH($B513,Hairstyles!$F:$F,0)),"" "",""""),""'"",""""),""("",""""),"")"",""""),""-"",""_"")&amp;""_""&amp;$A$2)"),"")</f>
        <v/>
      </c>
    </row>
    <row r="514">
      <c r="C514" s="12" t="str">
        <f>IFERROR(__xludf.DUMMYFUNCTION("IF($B514="""","""",SUBSTITUTE(SUBSTITUTE(SUBSTITUTE(SUBSTITUTE(INDEX(Hairstyles!$A:$A,MATCH($B514,Hairstyles!$F:$F,0)),"" "",""""),""'"",""""),""("",""""),"")"","""")&amp;""\""&amp;INDEX(SPLIT($A$2,""_""),1)&amp;""\""&amp;INDEX(SPLIT($A$2,""_""),2)&amp;""\""&amp;SUBSTITUTE(SUBST"&amp;"ITUTE(SUBSTITUTE(SUBSTITUTE(SUBSTITUTE(INDEX(Hairstyles!$C:$C,MATCH($B514,Hairstyles!$F:$F,0)),"" "",""""),""'"",""""),""("",""""),"")"",""""),""-"",""_"")&amp;""_""&amp;$A$2)"),"")</f>
        <v/>
      </c>
    </row>
    <row r="515">
      <c r="C515" s="12" t="str">
        <f>IFERROR(__xludf.DUMMYFUNCTION("IF($B515="""","""",SUBSTITUTE(SUBSTITUTE(SUBSTITUTE(SUBSTITUTE(INDEX(Hairstyles!$A:$A,MATCH($B515,Hairstyles!$F:$F,0)),"" "",""""),""'"",""""),""("",""""),"")"","""")&amp;""\""&amp;INDEX(SPLIT($A$2,""_""),1)&amp;""\""&amp;INDEX(SPLIT($A$2,""_""),2)&amp;""\""&amp;SUBSTITUTE(SUBST"&amp;"ITUTE(SUBSTITUTE(SUBSTITUTE(SUBSTITUTE(INDEX(Hairstyles!$C:$C,MATCH($B515,Hairstyles!$F:$F,0)),"" "",""""),""'"",""""),""("",""""),"")"",""""),""-"",""_"")&amp;""_""&amp;$A$2)"),"")</f>
        <v/>
      </c>
    </row>
    <row r="516">
      <c r="C516" s="12" t="str">
        <f>IFERROR(__xludf.DUMMYFUNCTION("IF($B516="""","""",SUBSTITUTE(SUBSTITUTE(SUBSTITUTE(SUBSTITUTE(INDEX(Hairstyles!$A:$A,MATCH($B516,Hairstyles!$F:$F,0)),"" "",""""),""'"",""""),""("",""""),"")"","""")&amp;""\""&amp;INDEX(SPLIT($A$2,""_""),1)&amp;""\""&amp;INDEX(SPLIT($A$2,""_""),2)&amp;""\""&amp;SUBSTITUTE(SUBST"&amp;"ITUTE(SUBSTITUTE(SUBSTITUTE(SUBSTITUTE(INDEX(Hairstyles!$C:$C,MATCH($B516,Hairstyles!$F:$F,0)),"" "",""""),""'"",""""),""("",""""),"")"",""""),""-"",""_"")&amp;""_""&amp;$A$2)"),"")</f>
        <v/>
      </c>
    </row>
    <row r="517">
      <c r="C517" s="12" t="str">
        <f>IFERROR(__xludf.DUMMYFUNCTION("IF($B517="""","""",SUBSTITUTE(SUBSTITUTE(SUBSTITUTE(SUBSTITUTE(INDEX(Hairstyles!$A:$A,MATCH($B517,Hairstyles!$F:$F,0)),"" "",""""),""'"",""""),""("",""""),"")"","""")&amp;""\""&amp;INDEX(SPLIT($A$2,""_""),1)&amp;""\""&amp;INDEX(SPLIT($A$2,""_""),2)&amp;""\""&amp;SUBSTITUTE(SUBST"&amp;"ITUTE(SUBSTITUTE(SUBSTITUTE(SUBSTITUTE(INDEX(Hairstyles!$C:$C,MATCH($B517,Hairstyles!$F:$F,0)),"" "",""""),""'"",""""),""("",""""),"")"",""""),""-"",""_"")&amp;""_""&amp;$A$2)"),"")</f>
        <v/>
      </c>
    </row>
    <row r="518">
      <c r="C518" s="12" t="str">
        <f>IFERROR(__xludf.DUMMYFUNCTION("IF($B518="""","""",SUBSTITUTE(SUBSTITUTE(SUBSTITUTE(SUBSTITUTE(INDEX(Hairstyles!$A:$A,MATCH($B518,Hairstyles!$F:$F,0)),"" "",""""),""'"",""""),""("",""""),"")"","""")&amp;""\""&amp;INDEX(SPLIT($A$2,""_""),1)&amp;""\""&amp;INDEX(SPLIT($A$2,""_""),2)&amp;""\""&amp;SUBSTITUTE(SUBST"&amp;"ITUTE(SUBSTITUTE(SUBSTITUTE(SUBSTITUTE(INDEX(Hairstyles!$C:$C,MATCH($B518,Hairstyles!$F:$F,0)),"" "",""""),""'"",""""),""("",""""),"")"",""""),""-"",""_"")&amp;""_""&amp;$A$2)"),"")</f>
        <v/>
      </c>
    </row>
    <row r="519">
      <c r="C519" s="12" t="str">
        <f>IFERROR(__xludf.DUMMYFUNCTION("IF($B519="""","""",SUBSTITUTE(SUBSTITUTE(SUBSTITUTE(SUBSTITUTE(INDEX(Hairstyles!$A:$A,MATCH($B519,Hairstyles!$F:$F,0)),"" "",""""),""'"",""""),""("",""""),"")"","""")&amp;""\""&amp;INDEX(SPLIT($A$2,""_""),1)&amp;""\""&amp;INDEX(SPLIT($A$2,""_""),2)&amp;""\""&amp;SUBSTITUTE(SUBST"&amp;"ITUTE(SUBSTITUTE(SUBSTITUTE(SUBSTITUTE(INDEX(Hairstyles!$C:$C,MATCH($B519,Hairstyles!$F:$F,0)),"" "",""""),""'"",""""),""("",""""),"")"",""""),""-"",""_"")&amp;""_""&amp;$A$2)"),"")</f>
        <v/>
      </c>
    </row>
    <row r="520">
      <c r="C520" s="12" t="str">
        <f>IFERROR(__xludf.DUMMYFUNCTION("IF($B520="""","""",SUBSTITUTE(SUBSTITUTE(SUBSTITUTE(SUBSTITUTE(INDEX(Hairstyles!$A:$A,MATCH($B520,Hairstyles!$F:$F,0)),"" "",""""),""'"",""""),""("",""""),"")"","""")&amp;""\""&amp;INDEX(SPLIT($A$2,""_""),1)&amp;""\""&amp;INDEX(SPLIT($A$2,""_""),2)&amp;""\""&amp;SUBSTITUTE(SUBST"&amp;"ITUTE(SUBSTITUTE(SUBSTITUTE(SUBSTITUTE(INDEX(Hairstyles!$C:$C,MATCH($B520,Hairstyles!$F:$F,0)),"" "",""""),""'"",""""),""("",""""),"")"",""""),""-"",""_"")&amp;""_""&amp;$A$2)"),"")</f>
        <v/>
      </c>
    </row>
    <row r="521">
      <c r="C521" s="12" t="str">
        <f>IFERROR(__xludf.DUMMYFUNCTION("IF($B521="""","""",SUBSTITUTE(SUBSTITUTE(SUBSTITUTE(SUBSTITUTE(INDEX(Hairstyles!$A:$A,MATCH($B521,Hairstyles!$F:$F,0)),"" "",""""),""'"",""""),""("",""""),"")"","""")&amp;""\""&amp;INDEX(SPLIT($A$2,""_""),1)&amp;""\""&amp;INDEX(SPLIT($A$2,""_""),2)&amp;""\""&amp;SUBSTITUTE(SUBST"&amp;"ITUTE(SUBSTITUTE(SUBSTITUTE(SUBSTITUTE(INDEX(Hairstyles!$C:$C,MATCH($B521,Hairstyles!$F:$F,0)),"" "",""""),""'"",""""),""("",""""),"")"",""""),""-"",""_"")&amp;""_""&amp;$A$2)"),"")</f>
        <v/>
      </c>
    </row>
    <row r="522">
      <c r="C522" s="12" t="str">
        <f>IFERROR(__xludf.DUMMYFUNCTION("IF($B522="""","""",SUBSTITUTE(SUBSTITUTE(SUBSTITUTE(SUBSTITUTE(INDEX(Hairstyles!$A:$A,MATCH($B522,Hairstyles!$F:$F,0)),"" "",""""),""'"",""""),""("",""""),"")"","""")&amp;""\""&amp;INDEX(SPLIT($A$2,""_""),1)&amp;""\""&amp;INDEX(SPLIT($A$2,""_""),2)&amp;""\""&amp;SUBSTITUTE(SUBST"&amp;"ITUTE(SUBSTITUTE(SUBSTITUTE(SUBSTITUTE(INDEX(Hairstyles!$C:$C,MATCH($B522,Hairstyles!$F:$F,0)),"" "",""""),""'"",""""),""("",""""),"")"",""""),""-"",""_"")&amp;""_""&amp;$A$2)"),"")</f>
        <v/>
      </c>
    </row>
    <row r="523">
      <c r="C523" s="12" t="str">
        <f>IFERROR(__xludf.DUMMYFUNCTION("IF($B523="""","""",SUBSTITUTE(SUBSTITUTE(SUBSTITUTE(SUBSTITUTE(INDEX(Hairstyles!$A:$A,MATCH($B523,Hairstyles!$F:$F,0)),"" "",""""),""'"",""""),""("",""""),"")"","""")&amp;""\""&amp;INDEX(SPLIT($A$2,""_""),1)&amp;""\""&amp;INDEX(SPLIT($A$2,""_""),2)&amp;""\""&amp;SUBSTITUTE(SUBST"&amp;"ITUTE(SUBSTITUTE(SUBSTITUTE(SUBSTITUTE(INDEX(Hairstyles!$C:$C,MATCH($B523,Hairstyles!$F:$F,0)),"" "",""""),""'"",""""),""("",""""),"")"",""""),""-"",""_"")&amp;""_""&amp;$A$2)"),"")</f>
        <v/>
      </c>
    </row>
    <row r="524">
      <c r="C524" s="12" t="str">
        <f>IFERROR(__xludf.DUMMYFUNCTION("IF($B524="""","""",SUBSTITUTE(SUBSTITUTE(SUBSTITUTE(SUBSTITUTE(INDEX(Hairstyles!$A:$A,MATCH($B524,Hairstyles!$F:$F,0)),"" "",""""),""'"",""""),""("",""""),"")"","""")&amp;""\""&amp;INDEX(SPLIT($A$2,""_""),1)&amp;""\""&amp;INDEX(SPLIT($A$2,""_""),2)&amp;""\""&amp;SUBSTITUTE(SUBST"&amp;"ITUTE(SUBSTITUTE(SUBSTITUTE(SUBSTITUTE(INDEX(Hairstyles!$C:$C,MATCH($B524,Hairstyles!$F:$F,0)),"" "",""""),""'"",""""),""("",""""),"")"",""""),""-"",""_"")&amp;""_""&amp;$A$2)"),"")</f>
        <v/>
      </c>
    </row>
    <row r="525">
      <c r="C525" s="12" t="str">
        <f>IFERROR(__xludf.DUMMYFUNCTION("IF($B525="""","""",SUBSTITUTE(SUBSTITUTE(SUBSTITUTE(SUBSTITUTE(INDEX(Hairstyles!$A:$A,MATCH($B525,Hairstyles!$F:$F,0)),"" "",""""),""'"",""""),""("",""""),"")"","""")&amp;""\""&amp;INDEX(SPLIT($A$2,""_""),1)&amp;""\""&amp;INDEX(SPLIT($A$2,""_""),2)&amp;""\""&amp;SUBSTITUTE(SUBST"&amp;"ITUTE(SUBSTITUTE(SUBSTITUTE(SUBSTITUTE(INDEX(Hairstyles!$C:$C,MATCH($B525,Hairstyles!$F:$F,0)),"" "",""""),""'"",""""),""("",""""),"")"",""""),""-"",""_"")&amp;""_""&amp;$A$2)"),"")</f>
        <v/>
      </c>
    </row>
    <row r="526">
      <c r="C526" s="12" t="str">
        <f>IFERROR(__xludf.DUMMYFUNCTION("IF($B526="""","""",SUBSTITUTE(SUBSTITUTE(SUBSTITUTE(SUBSTITUTE(INDEX(Hairstyles!$A:$A,MATCH($B526,Hairstyles!$F:$F,0)),"" "",""""),""'"",""""),""("",""""),"")"","""")&amp;""\""&amp;INDEX(SPLIT($A$2,""_""),1)&amp;""\""&amp;INDEX(SPLIT($A$2,""_""),2)&amp;""\""&amp;SUBSTITUTE(SUBST"&amp;"ITUTE(SUBSTITUTE(SUBSTITUTE(SUBSTITUTE(INDEX(Hairstyles!$C:$C,MATCH($B526,Hairstyles!$F:$F,0)),"" "",""""),""'"",""""),""("",""""),"")"",""""),""-"",""_"")&amp;""_""&amp;$A$2)"),"")</f>
        <v/>
      </c>
    </row>
    <row r="527">
      <c r="C527" s="12" t="str">
        <f>IFERROR(__xludf.DUMMYFUNCTION("IF($B527="""","""",SUBSTITUTE(SUBSTITUTE(SUBSTITUTE(SUBSTITUTE(INDEX(Hairstyles!$A:$A,MATCH($B527,Hairstyles!$F:$F,0)),"" "",""""),""'"",""""),""("",""""),"")"","""")&amp;""\""&amp;INDEX(SPLIT($A$2,""_""),1)&amp;""\""&amp;INDEX(SPLIT($A$2,""_""),2)&amp;""\""&amp;SUBSTITUTE(SUBST"&amp;"ITUTE(SUBSTITUTE(SUBSTITUTE(SUBSTITUTE(INDEX(Hairstyles!$C:$C,MATCH($B527,Hairstyles!$F:$F,0)),"" "",""""),""'"",""""),""("",""""),"")"",""""),""-"",""_"")&amp;""_""&amp;$A$2)"),"")</f>
        <v/>
      </c>
    </row>
    <row r="528">
      <c r="C528" s="12" t="str">
        <f>IFERROR(__xludf.DUMMYFUNCTION("IF($B528="""","""",SUBSTITUTE(SUBSTITUTE(SUBSTITUTE(SUBSTITUTE(INDEX(Hairstyles!$A:$A,MATCH($B528,Hairstyles!$F:$F,0)),"" "",""""),""'"",""""),""("",""""),"")"","""")&amp;""\""&amp;INDEX(SPLIT($A$2,""_""),1)&amp;""\""&amp;INDEX(SPLIT($A$2,""_""),2)&amp;""\""&amp;SUBSTITUTE(SUBST"&amp;"ITUTE(SUBSTITUTE(SUBSTITUTE(SUBSTITUTE(INDEX(Hairstyles!$C:$C,MATCH($B528,Hairstyles!$F:$F,0)),"" "",""""),""'"",""""),""("",""""),"")"",""""),""-"",""_"")&amp;""_""&amp;$A$2)"),"")</f>
        <v/>
      </c>
    </row>
    <row r="529">
      <c r="C529" s="12" t="str">
        <f>IFERROR(__xludf.DUMMYFUNCTION("IF($B529="""","""",SUBSTITUTE(SUBSTITUTE(SUBSTITUTE(SUBSTITUTE(INDEX(Hairstyles!$A:$A,MATCH($B529,Hairstyles!$F:$F,0)),"" "",""""),""'"",""""),""("",""""),"")"","""")&amp;""\""&amp;INDEX(SPLIT($A$2,""_""),1)&amp;""\""&amp;INDEX(SPLIT($A$2,""_""),2)&amp;""\""&amp;SUBSTITUTE(SUBST"&amp;"ITUTE(SUBSTITUTE(SUBSTITUTE(SUBSTITUTE(INDEX(Hairstyles!$C:$C,MATCH($B529,Hairstyles!$F:$F,0)),"" "",""""),""'"",""""),""("",""""),"")"",""""),""-"",""_"")&amp;""_""&amp;$A$2)"),"")</f>
        <v/>
      </c>
    </row>
    <row r="530">
      <c r="C530" s="12" t="str">
        <f>IFERROR(__xludf.DUMMYFUNCTION("IF($B530="""","""",SUBSTITUTE(SUBSTITUTE(SUBSTITUTE(SUBSTITUTE(INDEX(Hairstyles!$A:$A,MATCH($B530,Hairstyles!$F:$F,0)),"" "",""""),""'"",""""),""("",""""),"")"","""")&amp;""\""&amp;INDEX(SPLIT($A$2,""_""),1)&amp;""\""&amp;INDEX(SPLIT($A$2,""_""),2)&amp;""\""&amp;SUBSTITUTE(SUBST"&amp;"ITUTE(SUBSTITUTE(SUBSTITUTE(SUBSTITUTE(INDEX(Hairstyles!$C:$C,MATCH($B530,Hairstyles!$F:$F,0)),"" "",""""),""'"",""""),""("",""""),"")"",""""),""-"",""_"")&amp;""_""&amp;$A$2)"),"")</f>
        <v/>
      </c>
    </row>
    <row r="531">
      <c r="C531" s="12" t="str">
        <f>IFERROR(__xludf.DUMMYFUNCTION("IF($B531="""","""",SUBSTITUTE(SUBSTITUTE(SUBSTITUTE(SUBSTITUTE(INDEX(Hairstyles!$A:$A,MATCH($B531,Hairstyles!$F:$F,0)),"" "",""""),""'"",""""),""("",""""),"")"","""")&amp;""\""&amp;INDEX(SPLIT($A$2,""_""),1)&amp;""\""&amp;INDEX(SPLIT($A$2,""_""),2)&amp;""\""&amp;SUBSTITUTE(SUBST"&amp;"ITUTE(SUBSTITUTE(SUBSTITUTE(SUBSTITUTE(INDEX(Hairstyles!$C:$C,MATCH($B531,Hairstyles!$F:$F,0)),"" "",""""),""'"",""""),""("",""""),"")"",""""),""-"",""_"")&amp;""_""&amp;$A$2)"),"")</f>
        <v/>
      </c>
    </row>
    <row r="532">
      <c r="C532" s="12" t="str">
        <f>IFERROR(__xludf.DUMMYFUNCTION("IF($B532="""","""",SUBSTITUTE(SUBSTITUTE(SUBSTITUTE(SUBSTITUTE(INDEX(Hairstyles!$A:$A,MATCH($B532,Hairstyles!$F:$F,0)),"" "",""""),""'"",""""),""("",""""),"")"","""")&amp;""\""&amp;INDEX(SPLIT($A$2,""_""),1)&amp;""\""&amp;INDEX(SPLIT($A$2,""_""),2)&amp;""\""&amp;SUBSTITUTE(SUBST"&amp;"ITUTE(SUBSTITUTE(SUBSTITUTE(SUBSTITUTE(INDEX(Hairstyles!$C:$C,MATCH($B532,Hairstyles!$F:$F,0)),"" "",""""),""'"",""""),""("",""""),"")"",""""),""-"",""_"")&amp;""_""&amp;$A$2)"),"")</f>
        <v/>
      </c>
    </row>
    <row r="533">
      <c r="C533" s="12" t="str">
        <f>IFERROR(__xludf.DUMMYFUNCTION("IF($B533="""","""",SUBSTITUTE(SUBSTITUTE(SUBSTITUTE(SUBSTITUTE(INDEX(Hairstyles!$A:$A,MATCH($B533,Hairstyles!$F:$F,0)),"" "",""""),""'"",""""),""("",""""),"")"","""")&amp;""\""&amp;INDEX(SPLIT($A$2,""_""),1)&amp;""\""&amp;INDEX(SPLIT($A$2,""_""),2)&amp;""\""&amp;SUBSTITUTE(SUBST"&amp;"ITUTE(SUBSTITUTE(SUBSTITUTE(SUBSTITUTE(INDEX(Hairstyles!$C:$C,MATCH($B533,Hairstyles!$F:$F,0)),"" "",""""),""'"",""""),""("",""""),"")"",""""),""-"",""_"")&amp;""_""&amp;$A$2)"),"")</f>
        <v/>
      </c>
    </row>
    <row r="534">
      <c r="C534" s="12" t="str">
        <f>IFERROR(__xludf.DUMMYFUNCTION("IF($B534="""","""",SUBSTITUTE(SUBSTITUTE(SUBSTITUTE(SUBSTITUTE(INDEX(Hairstyles!$A:$A,MATCH($B534,Hairstyles!$F:$F,0)),"" "",""""),""'"",""""),""("",""""),"")"","""")&amp;""\""&amp;INDEX(SPLIT($A$2,""_""),1)&amp;""\""&amp;INDEX(SPLIT($A$2,""_""),2)&amp;""\""&amp;SUBSTITUTE(SUBST"&amp;"ITUTE(SUBSTITUTE(SUBSTITUTE(SUBSTITUTE(INDEX(Hairstyles!$C:$C,MATCH($B534,Hairstyles!$F:$F,0)),"" "",""""),""'"",""""),""("",""""),"")"",""""),""-"",""_"")&amp;""_""&amp;$A$2)"),"")</f>
        <v/>
      </c>
    </row>
    <row r="535">
      <c r="C535" s="12" t="str">
        <f>IFERROR(__xludf.DUMMYFUNCTION("IF($B535="""","""",SUBSTITUTE(SUBSTITUTE(SUBSTITUTE(SUBSTITUTE(INDEX(Hairstyles!$A:$A,MATCH($B535,Hairstyles!$F:$F,0)),"" "",""""),""'"",""""),""("",""""),"")"","""")&amp;""\""&amp;INDEX(SPLIT($A$2,""_""),1)&amp;""\""&amp;INDEX(SPLIT($A$2,""_""),2)&amp;""\""&amp;SUBSTITUTE(SUBST"&amp;"ITUTE(SUBSTITUTE(SUBSTITUTE(SUBSTITUTE(INDEX(Hairstyles!$C:$C,MATCH($B535,Hairstyles!$F:$F,0)),"" "",""""),""'"",""""),""("",""""),"")"",""""),""-"",""_"")&amp;""_""&amp;$A$2)"),"")</f>
        <v/>
      </c>
    </row>
    <row r="536">
      <c r="C536" s="12" t="str">
        <f>IFERROR(__xludf.DUMMYFUNCTION("IF($B536="""","""",SUBSTITUTE(SUBSTITUTE(SUBSTITUTE(SUBSTITUTE(INDEX(Hairstyles!$A:$A,MATCH($B536,Hairstyles!$F:$F,0)),"" "",""""),""'"",""""),""("",""""),"")"","""")&amp;""\""&amp;INDEX(SPLIT($A$2,""_""),1)&amp;""\""&amp;INDEX(SPLIT($A$2,""_""),2)&amp;""\""&amp;SUBSTITUTE(SUBST"&amp;"ITUTE(SUBSTITUTE(SUBSTITUTE(SUBSTITUTE(INDEX(Hairstyles!$C:$C,MATCH($B536,Hairstyles!$F:$F,0)),"" "",""""),""'"",""""),""("",""""),"")"",""""),""-"",""_"")&amp;""_""&amp;$A$2)"),"")</f>
        <v/>
      </c>
    </row>
    <row r="537">
      <c r="C537" s="12" t="str">
        <f>IFERROR(__xludf.DUMMYFUNCTION("IF($B537="""","""",SUBSTITUTE(SUBSTITUTE(SUBSTITUTE(SUBSTITUTE(INDEX(Hairstyles!$A:$A,MATCH($B537,Hairstyles!$F:$F,0)),"" "",""""),""'"",""""),""("",""""),"")"","""")&amp;""\""&amp;INDEX(SPLIT($A$2,""_""),1)&amp;""\""&amp;INDEX(SPLIT($A$2,""_""),2)&amp;""\""&amp;SUBSTITUTE(SUBST"&amp;"ITUTE(SUBSTITUTE(SUBSTITUTE(SUBSTITUTE(INDEX(Hairstyles!$C:$C,MATCH($B537,Hairstyles!$F:$F,0)),"" "",""""),""'"",""""),""("",""""),"")"",""""),""-"",""_"")&amp;""_""&amp;$A$2)"),"")</f>
        <v/>
      </c>
    </row>
    <row r="538">
      <c r="C538" s="12" t="str">
        <f>IFERROR(__xludf.DUMMYFUNCTION("IF($B538="""","""",SUBSTITUTE(SUBSTITUTE(SUBSTITUTE(SUBSTITUTE(INDEX(Hairstyles!$A:$A,MATCH($B538,Hairstyles!$F:$F,0)),"" "",""""),""'"",""""),""("",""""),"")"","""")&amp;""\""&amp;INDEX(SPLIT($A$2,""_""),1)&amp;""\""&amp;INDEX(SPLIT($A$2,""_""),2)&amp;""\""&amp;SUBSTITUTE(SUBST"&amp;"ITUTE(SUBSTITUTE(SUBSTITUTE(SUBSTITUTE(INDEX(Hairstyles!$C:$C,MATCH($B538,Hairstyles!$F:$F,0)),"" "",""""),""'"",""""),""("",""""),"")"",""""),""-"",""_"")&amp;""_""&amp;$A$2)"),"")</f>
        <v/>
      </c>
    </row>
    <row r="539">
      <c r="C539" s="12" t="str">
        <f>IFERROR(__xludf.DUMMYFUNCTION("IF($B539="""","""",SUBSTITUTE(SUBSTITUTE(SUBSTITUTE(SUBSTITUTE(INDEX(Hairstyles!$A:$A,MATCH($B539,Hairstyles!$F:$F,0)),"" "",""""),""'"",""""),""("",""""),"")"","""")&amp;""\""&amp;INDEX(SPLIT($A$2,""_""),1)&amp;""\""&amp;INDEX(SPLIT($A$2,""_""),2)&amp;""\""&amp;SUBSTITUTE(SUBST"&amp;"ITUTE(SUBSTITUTE(SUBSTITUTE(SUBSTITUTE(INDEX(Hairstyles!$C:$C,MATCH($B539,Hairstyles!$F:$F,0)),"" "",""""),""'"",""""),""("",""""),"")"",""""),""-"",""_"")&amp;""_""&amp;$A$2)"),"")</f>
        <v/>
      </c>
    </row>
    <row r="540">
      <c r="C540" s="12" t="str">
        <f>IFERROR(__xludf.DUMMYFUNCTION("IF($B540="""","""",SUBSTITUTE(SUBSTITUTE(SUBSTITUTE(SUBSTITUTE(INDEX(Hairstyles!$A:$A,MATCH($B540,Hairstyles!$F:$F,0)),"" "",""""),""'"",""""),""("",""""),"")"","""")&amp;""\""&amp;INDEX(SPLIT($A$2,""_""),1)&amp;""\""&amp;INDEX(SPLIT($A$2,""_""),2)&amp;""\""&amp;SUBSTITUTE(SUBST"&amp;"ITUTE(SUBSTITUTE(SUBSTITUTE(SUBSTITUTE(INDEX(Hairstyles!$C:$C,MATCH($B540,Hairstyles!$F:$F,0)),"" "",""""),""'"",""""),""("",""""),"")"",""""),""-"",""_"")&amp;""_""&amp;$A$2)"),"")</f>
        <v/>
      </c>
    </row>
    <row r="541">
      <c r="C541" s="12" t="str">
        <f>IFERROR(__xludf.DUMMYFUNCTION("IF($B541="""","""",SUBSTITUTE(SUBSTITUTE(SUBSTITUTE(SUBSTITUTE(INDEX(Hairstyles!$A:$A,MATCH($B541,Hairstyles!$F:$F,0)),"" "",""""),""'"",""""),""("",""""),"")"","""")&amp;""\""&amp;INDEX(SPLIT($A$2,""_""),1)&amp;""\""&amp;INDEX(SPLIT($A$2,""_""),2)&amp;""\""&amp;SUBSTITUTE(SUBST"&amp;"ITUTE(SUBSTITUTE(SUBSTITUTE(SUBSTITUTE(INDEX(Hairstyles!$C:$C,MATCH($B541,Hairstyles!$F:$F,0)),"" "",""""),""'"",""""),""("",""""),"")"",""""),""-"",""_"")&amp;""_""&amp;$A$2)"),"")</f>
        <v/>
      </c>
    </row>
    <row r="542">
      <c r="C542" s="12" t="str">
        <f>IFERROR(__xludf.DUMMYFUNCTION("IF($B542="""","""",SUBSTITUTE(SUBSTITUTE(SUBSTITUTE(SUBSTITUTE(INDEX(Hairstyles!$A:$A,MATCH($B542,Hairstyles!$F:$F,0)),"" "",""""),""'"",""""),""("",""""),"")"","""")&amp;""\""&amp;INDEX(SPLIT($A$2,""_""),1)&amp;""\""&amp;INDEX(SPLIT($A$2,""_""),2)&amp;""\""&amp;SUBSTITUTE(SUBST"&amp;"ITUTE(SUBSTITUTE(SUBSTITUTE(SUBSTITUTE(INDEX(Hairstyles!$C:$C,MATCH($B542,Hairstyles!$F:$F,0)),"" "",""""),""'"",""""),""("",""""),"")"",""""),""-"",""_"")&amp;""_""&amp;$A$2)"),"")</f>
        <v/>
      </c>
    </row>
    <row r="543">
      <c r="C543" s="12" t="str">
        <f>IFERROR(__xludf.DUMMYFUNCTION("IF($B543="""","""",SUBSTITUTE(SUBSTITUTE(SUBSTITUTE(SUBSTITUTE(INDEX(Hairstyles!$A:$A,MATCH($B543,Hairstyles!$F:$F,0)),"" "",""""),""'"",""""),""("",""""),"")"","""")&amp;""\""&amp;INDEX(SPLIT($A$2,""_""),1)&amp;""\""&amp;INDEX(SPLIT($A$2,""_""),2)&amp;""\""&amp;SUBSTITUTE(SUBST"&amp;"ITUTE(SUBSTITUTE(SUBSTITUTE(SUBSTITUTE(INDEX(Hairstyles!$C:$C,MATCH($B543,Hairstyles!$F:$F,0)),"" "",""""),""'"",""""),""("",""""),"")"",""""),""-"",""_"")&amp;""_""&amp;$A$2)"),"")</f>
        <v/>
      </c>
    </row>
    <row r="544">
      <c r="C544" s="12" t="str">
        <f>IFERROR(__xludf.DUMMYFUNCTION("IF($B544="""","""",SUBSTITUTE(SUBSTITUTE(SUBSTITUTE(SUBSTITUTE(INDEX(Hairstyles!$A:$A,MATCH($B544,Hairstyles!$F:$F,0)),"" "",""""),""'"",""""),""("",""""),"")"","""")&amp;""\""&amp;INDEX(SPLIT($A$2,""_""),1)&amp;""\""&amp;INDEX(SPLIT($A$2,""_""),2)&amp;""\""&amp;SUBSTITUTE(SUBST"&amp;"ITUTE(SUBSTITUTE(SUBSTITUTE(SUBSTITUTE(INDEX(Hairstyles!$C:$C,MATCH($B544,Hairstyles!$F:$F,0)),"" "",""""),""'"",""""),""("",""""),"")"",""""),""-"",""_"")&amp;""_""&amp;$A$2)"),"")</f>
        <v/>
      </c>
    </row>
    <row r="545">
      <c r="C545" s="12" t="str">
        <f>IFERROR(__xludf.DUMMYFUNCTION("IF($B545="""","""",SUBSTITUTE(SUBSTITUTE(SUBSTITUTE(SUBSTITUTE(INDEX(Hairstyles!$A:$A,MATCH($B545,Hairstyles!$F:$F,0)),"" "",""""),""'"",""""),""("",""""),"")"","""")&amp;""\""&amp;INDEX(SPLIT($A$2,""_""),1)&amp;""\""&amp;INDEX(SPLIT($A$2,""_""),2)&amp;""\""&amp;SUBSTITUTE(SUBST"&amp;"ITUTE(SUBSTITUTE(SUBSTITUTE(SUBSTITUTE(INDEX(Hairstyles!$C:$C,MATCH($B545,Hairstyles!$F:$F,0)),"" "",""""),""'"",""""),""("",""""),"")"",""""),""-"",""_"")&amp;""_""&amp;$A$2)"),"")</f>
        <v/>
      </c>
    </row>
    <row r="546">
      <c r="C546" s="12" t="str">
        <f>IFERROR(__xludf.DUMMYFUNCTION("IF($B546="""","""",SUBSTITUTE(SUBSTITUTE(SUBSTITUTE(SUBSTITUTE(INDEX(Hairstyles!$A:$A,MATCH($B546,Hairstyles!$F:$F,0)),"" "",""""),""'"",""""),""("",""""),"")"","""")&amp;""\""&amp;INDEX(SPLIT($A$2,""_""),1)&amp;""\""&amp;INDEX(SPLIT($A$2,""_""),2)&amp;""\""&amp;SUBSTITUTE(SUBST"&amp;"ITUTE(SUBSTITUTE(SUBSTITUTE(SUBSTITUTE(INDEX(Hairstyles!$C:$C,MATCH($B546,Hairstyles!$F:$F,0)),"" "",""""),""'"",""""),""("",""""),"")"",""""),""-"",""_"")&amp;""_""&amp;$A$2)"),"")</f>
        <v/>
      </c>
    </row>
    <row r="547">
      <c r="C547" s="12" t="str">
        <f>IFERROR(__xludf.DUMMYFUNCTION("IF($B547="""","""",SUBSTITUTE(SUBSTITUTE(SUBSTITUTE(SUBSTITUTE(INDEX(Hairstyles!$A:$A,MATCH($B547,Hairstyles!$F:$F,0)),"" "",""""),""'"",""""),""("",""""),"")"","""")&amp;""\""&amp;INDEX(SPLIT($A$2,""_""),1)&amp;""\""&amp;INDEX(SPLIT($A$2,""_""),2)&amp;""\""&amp;SUBSTITUTE(SUBST"&amp;"ITUTE(SUBSTITUTE(SUBSTITUTE(SUBSTITUTE(INDEX(Hairstyles!$C:$C,MATCH($B547,Hairstyles!$F:$F,0)),"" "",""""),""'"",""""),""("",""""),"")"",""""),""-"",""_"")&amp;""_""&amp;$A$2)"),"")</f>
        <v/>
      </c>
    </row>
    <row r="548">
      <c r="C548" s="12" t="str">
        <f>IFERROR(__xludf.DUMMYFUNCTION("IF($B548="""","""",SUBSTITUTE(SUBSTITUTE(SUBSTITUTE(SUBSTITUTE(INDEX(Hairstyles!$A:$A,MATCH($B548,Hairstyles!$F:$F,0)),"" "",""""),""'"",""""),""("",""""),"")"","""")&amp;""\""&amp;INDEX(SPLIT($A$2,""_""),1)&amp;""\""&amp;INDEX(SPLIT($A$2,""_""),2)&amp;""\""&amp;SUBSTITUTE(SUBST"&amp;"ITUTE(SUBSTITUTE(SUBSTITUTE(SUBSTITUTE(INDEX(Hairstyles!$C:$C,MATCH($B548,Hairstyles!$F:$F,0)),"" "",""""),""'"",""""),""("",""""),"")"",""""),""-"",""_"")&amp;""_""&amp;$A$2)"),"")</f>
        <v/>
      </c>
    </row>
    <row r="549">
      <c r="C549" s="12" t="str">
        <f>IFERROR(__xludf.DUMMYFUNCTION("IF($B549="""","""",SUBSTITUTE(SUBSTITUTE(SUBSTITUTE(SUBSTITUTE(INDEX(Hairstyles!$A:$A,MATCH($B549,Hairstyles!$F:$F,0)),"" "",""""),""'"",""""),""("",""""),"")"","""")&amp;""\""&amp;INDEX(SPLIT($A$2,""_""),1)&amp;""\""&amp;INDEX(SPLIT($A$2,""_""),2)&amp;""\""&amp;SUBSTITUTE(SUBST"&amp;"ITUTE(SUBSTITUTE(SUBSTITUTE(SUBSTITUTE(INDEX(Hairstyles!$C:$C,MATCH($B549,Hairstyles!$F:$F,0)),"" "",""""),""'"",""""),""("",""""),"")"",""""),""-"",""_"")&amp;""_""&amp;$A$2)"),"")</f>
        <v/>
      </c>
    </row>
    <row r="550">
      <c r="C550" s="12" t="str">
        <f>IFERROR(__xludf.DUMMYFUNCTION("IF($B550="""","""",SUBSTITUTE(SUBSTITUTE(SUBSTITUTE(SUBSTITUTE(INDEX(Hairstyles!$A:$A,MATCH($B550,Hairstyles!$F:$F,0)),"" "",""""),""'"",""""),""("",""""),"")"","""")&amp;""\""&amp;INDEX(SPLIT($A$2,""_""),1)&amp;""\""&amp;INDEX(SPLIT($A$2,""_""),2)&amp;""\""&amp;SUBSTITUTE(SUBST"&amp;"ITUTE(SUBSTITUTE(SUBSTITUTE(SUBSTITUTE(INDEX(Hairstyles!$C:$C,MATCH($B550,Hairstyles!$F:$F,0)),"" "",""""),""'"",""""),""("",""""),"")"",""""),""-"",""_"")&amp;""_""&amp;$A$2)"),"")</f>
        <v/>
      </c>
    </row>
    <row r="551">
      <c r="C551" s="12" t="str">
        <f>IFERROR(__xludf.DUMMYFUNCTION("IF($B551="""","""",SUBSTITUTE(SUBSTITUTE(SUBSTITUTE(SUBSTITUTE(INDEX(Hairstyles!$A:$A,MATCH($B551,Hairstyles!$F:$F,0)),"" "",""""),""'"",""""),""("",""""),"")"","""")&amp;""\""&amp;INDEX(SPLIT($A$2,""_""),1)&amp;""\""&amp;INDEX(SPLIT($A$2,""_""),2)&amp;""\""&amp;SUBSTITUTE(SUBST"&amp;"ITUTE(SUBSTITUTE(SUBSTITUTE(SUBSTITUTE(INDEX(Hairstyles!$C:$C,MATCH($B551,Hairstyles!$F:$F,0)),"" "",""""),""'"",""""),""("",""""),"")"",""""),""-"",""_"")&amp;""_""&amp;$A$2)"),"")</f>
        <v/>
      </c>
    </row>
    <row r="552">
      <c r="C552" s="12" t="str">
        <f>IFERROR(__xludf.DUMMYFUNCTION("IF($B552="""","""",SUBSTITUTE(SUBSTITUTE(SUBSTITUTE(SUBSTITUTE(INDEX(Hairstyles!$A:$A,MATCH($B552,Hairstyles!$F:$F,0)),"" "",""""),""'"",""""),""("",""""),"")"","""")&amp;""\""&amp;INDEX(SPLIT($A$2,""_""),1)&amp;""\""&amp;INDEX(SPLIT($A$2,""_""),2)&amp;""\""&amp;SUBSTITUTE(SUBST"&amp;"ITUTE(SUBSTITUTE(SUBSTITUTE(SUBSTITUTE(INDEX(Hairstyles!$C:$C,MATCH($B552,Hairstyles!$F:$F,0)),"" "",""""),""'"",""""),""("",""""),"")"",""""),""-"",""_"")&amp;""_""&amp;$A$2)"),"")</f>
        <v/>
      </c>
    </row>
    <row r="553">
      <c r="C553" s="12" t="str">
        <f>IFERROR(__xludf.DUMMYFUNCTION("IF($B553="""","""",SUBSTITUTE(SUBSTITUTE(SUBSTITUTE(SUBSTITUTE(INDEX(Hairstyles!$A:$A,MATCH($B553,Hairstyles!$F:$F,0)),"" "",""""),""'"",""""),""("",""""),"")"","""")&amp;""\""&amp;INDEX(SPLIT($A$2,""_""),1)&amp;""\""&amp;INDEX(SPLIT($A$2,""_""),2)&amp;""\""&amp;SUBSTITUTE(SUBST"&amp;"ITUTE(SUBSTITUTE(SUBSTITUTE(SUBSTITUTE(INDEX(Hairstyles!$C:$C,MATCH($B553,Hairstyles!$F:$F,0)),"" "",""""),""'"",""""),""("",""""),"")"",""""),""-"",""_"")&amp;""_""&amp;$A$2)"),"")</f>
        <v/>
      </c>
    </row>
    <row r="554">
      <c r="C554" s="12" t="str">
        <f>IFERROR(__xludf.DUMMYFUNCTION("IF($B554="""","""",SUBSTITUTE(SUBSTITUTE(SUBSTITUTE(SUBSTITUTE(INDEX(Hairstyles!$A:$A,MATCH($B554,Hairstyles!$F:$F,0)),"" "",""""),""'"",""""),""("",""""),"")"","""")&amp;""\""&amp;INDEX(SPLIT($A$2,""_""),1)&amp;""\""&amp;INDEX(SPLIT($A$2,""_""),2)&amp;""\""&amp;SUBSTITUTE(SUBST"&amp;"ITUTE(SUBSTITUTE(SUBSTITUTE(SUBSTITUTE(INDEX(Hairstyles!$C:$C,MATCH($B554,Hairstyles!$F:$F,0)),"" "",""""),""'"",""""),""("",""""),"")"",""""),""-"",""_"")&amp;""_""&amp;$A$2)"),"")</f>
        <v/>
      </c>
    </row>
    <row r="555">
      <c r="C555" s="12" t="str">
        <f>IFERROR(__xludf.DUMMYFUNCTION("IF($B555="""","""",SUBSTITUTE(SUBSTITUTE(SUBSTITUTE(SUBSTITUTE(INDEX(Hairstyles!$A:$A,MATCH($B555,Hairstyles!$F:$F,0)),"" "",""""),""'"",""""),""("",""""),"")"","""")&amp;""\""&amp;INDEX(SPLIT($A$2,""_""),1)&amp;""\""&amp;INDEX(SPLIT($A$2,""_""),2)&amp;""\""&amp;SUBSTITUTE(SUBST"&amp;"ITUTE(SUBSTITUTE(SUBSTITUTE(SUBSTITUTE(INDEX(Hairstyles!$C:$C,MATCH($B555,Hairstyles!$F:$F,0)),"" "",""""),""'"",""""),""("",""""),"")"",""""),""-"",""_"")&amp;""_""&amp;$A$2)"),"")</f>
        <v/>
      </c>
    </row>
    <row r="556">
      <c r="C556" s="12" t="str">
        <f>IFERROR(__xludf.DUMMYFUNCTION("IF($B556="""","""",SUBSTITUTE(SUBSTITUTE(SUBSTITUTE(SUBSTITUTE(INDEX(Hairstyles!$A:$A,MATCH($B556,Hairstyles!$F:$F,0)),"" "",""""),""'"",""""),""("",""""),"")"","""")&amp;""\""&amp;INDEX(SPLIT($A$2,""_""),1)&amp;""\""&amp;INDEX(SPLIT($A$2,""_""),2)&amp;""\""&amp;SUBSTITUTE(SUBST"&amp;"ITUTE(SUBSTITUTE(SUBSTITUTE(SUBSTITUTE(INDEX(Hairstyles!$C:$C,MATCH($B556,Hairstyles!$F:$F,0)),"" "",""""),""'"",""""),""("",""""),"")"",""""),""-"",""_"")&amp;""_""&amp;$A$2)"),"")</f>
        <v/>
      </c>
    </row>
    <row r="557">
      <c r="C557" s="12" t="str">
        <f>IFERROR(__xludf.DUMMYFUNCTION("IF($B557="""","""",SUBSTITUTE(SUBSTITUTE(SUBSTITUTE(SUBSTITUTE(INDEX(Hairstyles!$A:$A,MATCH($B557,Hairstyles!$F:$F,0)),"" "",""""),""'"",""""),""("",""""),"")"","""")&amp;""\""&amp;INDEX(SPLIT($A$2,""_""),1)&amp;""\""&amp;INDEX(SPLIT($A$2,""_""),2)&amp;""\""&amp;SUBSTITUTE(SUBST"&amp;"ITUTE(SUBSTITUTE(SUBSTITUTE(SUBSTITUTE(INDEX(Hairstyles!$C:$C,MATCH($B557,Hairstyles!$F:$F,0)),"" "",""""),""'"",""""),""("",""""),"")"",""""),""-"",""_"")&amp;""_""&amp;$A$2)"),"")</f>
        <v/>
      </c>
    </row>
    <row r="558">
      <c r="C558" s="12" t="str">
        <f>IFERROR(__xludf.DUMMYFUNCTION("IF($B558="""","""",SUBSTITUTE(SUBSTITUTE(SUBSTITUTE(SUBSTITUTE(INDEX(Hairstyles!$A:$A,MATCH($B558,Hairstyles!$F:$F,0)),"" "",""""),""'"",""""),""("",""""),"")"","""")&amp;""\""&amp;INDEX(SPLIT($A$2,""_""),1)&amp;""\""&amp;INDEX(SPLIT($A$2,""_""),2)&amp;""\""&amp;SUBSTITUTE(SUBST"&amp;"ITUTE(SUBSTITUTE(SUBSTITUTE(SUBSTITUTE(INDEX(Hairstyles!$C:$C,MATCH($B558,Hairstyles!$F:$F,0)),"" "",""""),""'"",""""),""("",""""),"")"",""""),""-"",""_"")&amp;""_""&amp;$A$2)"),"")</f>
        <v/>
      </c>
    </row>
    <row r="559">
      <c r="C559" s="12" t="str">
        <f>IFERROR(__xludf.DUMMYFUNCTION("IF($B559="""","""",SUBSTITUTE(SUBSTITUTE(SUBSTITUTE(SUBSTITUTE(INDEX(Hairstyles!$A:$A,MATCH($B559,Hairstyles!$F:$F,0)),"" "",""""),""'"",""""),""("",""""),"")"","""")&amp;""\""&amp;INDEX(SPLIT($A$2,""_""),1)&amp;""\""&amp;INDEX(SPLIT($A$2,""_""),2)&amp;""\""&amp;SUBSTITUTE(SUBST"&amp;"ITUTE(SUBSTITUTE(SUBSTITUTE(SUBSTITUTE(INDEX(Hairstyles!$C:$C,MATCH($B559,Hairstyles!$F:$F,0)),"" "",""""),""'"",""""),""("",""""),"")"",""""),""-"",""_"")&amp;""_""&amp;$A$2)"),"")</f>
        <v/>
      </c>
    </row>
    <row r="560">
      <c r="C560" s="12" t="str">
        <f>IFERROR(__xludf.DUMMYFUNCTION("IF($B560="""","""",SUBSTITUTE(SUBSTITUTE(SUBSTITUTE(SUBSTITUTE(INDEX(Hairstyles!$A:$A,MATCH($B560,Hairstyles!$F:$F,0)),"" "",""""),""'"",""""),""("",""""),"")"","""")&amp;""\""&amp;INDEX(SPLIT($A$2,""_""),1)&amp;""\""&amp;INDEX(SPLIT($A$2,""_""),2)&amp;""\""&amp;SUBSTITUTE(SUBST"&amp;"ITUTE(SUBSTITUTE(SUBSTITUTE(SUBSTITUTE(INDEX(Hairstyles!$C:$C,MATCH($B560,Hairstyles!$F:$F,0)),"" "",""""),""'"",""""),""("",""""),"")"",""""),""-"",""_"")&amp;""_""&amp;$A$2)"),"")</f>
        <v/>
      </c>
    </row>
    <row r="561">
      <c r="C561" s="12" t="str">
        <f>IFERROR(__xludf.DUMMYFUNCTION("IF($B561="""","""",SUBSTITUTE(SUBSTITUTE(SUBSTITUTE(SUBSTITUTE(INDEX(Hairstyles!$A:$A,MATCH($B561,Hairstyles!$F:$F,0)),"" "",""""),""'"",""""),""("",""""),"")"","""")&amp;""\""&amp;INDEX(SPLIT($A$2,""_""),1)&amp;""\""&amp;INDEX(SPLIT($A$2,""_""),2)&amp;""\""&amp;SUBSTITUTE(SUBST"&amp;"ITUTE(SUBSTITUTE(SUBSTITUTE(SUBSTITUTE(INDEX(Hairstyles!$C:$C,MATCH($B561,Hairstyles!$F:$F,0)),"" "",""""),""'"",""""),""("",""""),"")"",""""),""-"",""_"")&amp;""_""&amp;$A$2)"),"")</f>
        <v/>
      </c>
    </row>
    <row r="562">
      <c r="C562" s="12" t="str">
        <f>IFERROR(__xludf.DUMMYFUNCTION("IF($B562="""","""",SUBSTITUTE(SUBSTITUTE(SUBSTITUTE(SUBSTITUTE(INDEX(Hairstyles!$A:$A,MATCH($B562,Hairstyles!$F:$F,0)),"" "",""""),""'"",""""),""("",""""),"")"","""")&amp;""\""&amp;INDEX(SPLIT($A$2,""_""),1)&amp;""\""&amp;INDEX(SPLIT($A$2,""_""),2)&amp;""\""&amp;SUBSTITUTE(SUBST"&amp;"ITUTE(SUBSTITUTE(SUBSTITUTE(SUBSTITUTE(INDEX(Hairstyles!$C:$C,MATCH($B562,Hairstyles!$F:$F,0)),"" "",""""),""'"",""""),""("",""""),"")"",""""),""-"",""_"")&amp;""_""&amp;$A$2)"),"")</f>
        <v/>
      </c>
    </row>
    <row r="563">
      <c r="C563" s="12" t="str">
        <f>IFERROR(__xludf.DUMMYFUNCTION("IF($B563="""","""",SUBSTITUTE(SUBSTITUTE(SUBSTITUTE(SUBSTITUTE(INDEX(Hairstyles!$A:$A,MATCH($B563,Hairstyles!$F:$F,0)),"" "",""""),""'"",""""),""("",""""),"")"","""")&amp;""\""&amp;INDEX(SPLIT($A$2,""_""),1)&amp;""\""&amp;INDEX(SPLIT($A$2,""_""),2)&amp;""\""&amp;SUBSTITUTE(SUBST"&amp;"ITUTE(SUBSTITUTE(SUBSTITUTE(SUBSTITUTE(INDEX(Hairstyles!$C:$C,MATCH($B563,Hairstyles!$F:$F,0)),"" "",""""),""'"",""""),""("",""""),"")"",""""),""-"",""_"")&amp;""_""&amp;$A$2)"),"")</f>
        <v/>
      </c>
    </row>
    <row r="564">
      <c r="C564" s="12" t="str">
        <f>IFERROR(__xludf.DUMMYFUNCTION("IF($B564="""","""",SUBSTITUTE(SUBSTITUTE(SUBSTITUTE(SUBSTITUTE(INDEX(Hairstyles!$A:$A,MATCH($B564,Hairstyles!$F:$F,0)),"" "",""""),""'"",""""),""("",""""),"")"","""")&amp;""\""&amp;INDEX(SPLIT($A$2,""_""),1)&amp;""\""&amp;INDEX(SPLIT($A$2,""_""),2)&amp;""\""&amp;SUBSTITUTE(SUBST"&amp;"ITUTE(SUBSTITUTE(SUBSTITUTE(SUBSTITUTE(INDEX(Hairstyles!$C:$C,MATCH($B564,Hairstyles!$F:$F,0)),"" "",""""),""'"",""""),""("",""""),"")"",""""),""-"",""_"")&amp;""_""&amp;$A$2)"),"")</f>
        <v/>
      </c>
    </row>
    <row r="565">
      <c r="C565" s="12" t="str">
        <f>IFERROR(__xludf.DUMMYFUNCTION("IF($B565="""","""",SUBSTITUTE(SUBSTITUTE(SUBSTITUTE(SUBSTITUTE(INDEX(Hairstyles!$A:$A,MATCH($B565,Hairstyles!$F:$F,0)),"" "",""""),""'"",""""),""("",""""),"")"","""")&amp;""\""&amp;INDEX(SPLIT($A$2,""_""),1)&amp;""\""&amp;INDEX(SPLIT($A$2,""_""),2)&amp;""\""&amp;SUBSTITUTE(SUBST"&amp;"ITUTE(SUBSTITUTE(SUBSTITUTE(SUBSTITUTE(INDEX(Hairstyles!$C:$C,MATCH($B565,Hairstyles!$F:$F,0)),"" "",""""),""'"",""""),""("",""""),"")"",""""),""-"",""_"")&amp;""_""&amp;$A$2)"),"")</f>
        <v/>
      </c>
    </row>
    <row r="566">
      <c r="C566" s="12" t="str">
        <f>IFERROR(__xludf.DUMMYFUNCTION("IF($B566="""","""",SUBSTITUTE(SUBSTITUTE(SUBSTITUTE(SUBSTITUTE(INDEX(Hairstyles!$A:$A,MATCH($B566,Hairstyles!$F:$F,0)),"" "",""""),""'"",""""),""("",""""),"")"","""")&amp;""\""&amp;INDEX(SPLIT($A$2,""_""),1)&amp;""\""&amp;INDEX(SPLIT($A$2,""_""),2)&amp;""\""&amp;SUBSTITUTE(SUBST"&amp;"ITUTE(SUBSTITUTE(SUBSTITUTE(SUBSTITUTE(INDEX(Hairstyles!$C:$C,MATCH($B566,Hairstyles!$F:$F,0)),"" "",""""),""'"",""""),""("",""""),"")"",""""),""-"",""_"")&amp;""_""&amp;$A$2)"),"")</f>
        <v/>
      </c>
    </row>
    <row r="567">
      <c r="C567" s="12" t="str">
        <f>IFERROR(__xludf.DUMMYFUNCTION("IF($B567="""","""",SUBSTITUTE(SUBSTITUTE(SUBSTITUTE(SUBSTITUTE(INDEX(Hairstyles!$A:$A,MATCH($B567,Hairstyles!$F:$F,0)),"" "",""""),""'"",""""),""("",""""),"")"","""")&amp;""\""&amp;INDEX(SPLIT($A$2,""_""),1)&amp;""\""&amp;INDEX(SPLIT($A$2,""_""),2)&amp;""\""&amp;SUBSTITUTE(SUBST"&amp;"ITUTE(SUBSTITUTE(SUBSTITUTE(SUBSTITUTE(INDEX(Hairstyles!$C:$C,MATCH($B567,Hairstyles!$F:$F,0)),"" "",""""),""'"",""""),""("",""""),"")"",""""),""-"",""_"")&amp;""_""&amp;$A$2)"),"")</f>
        <v/>
      </c>
    </row>
    <row r="568">
      <c r="C568" s="12" t="str">
        <f>IFERROR(__xludf.DUMMYFUNCTION("IF($B568="""","""",SUBSTITUTE(SUBSTITUTE(SUBSTITUTE(SUBSTITUTE(INDEX(Hairstyles!$A:$A,MATCH($B568,Hairstyles!$F:$F,0)),"" "",""""),""'"",""""),""("",""""),"")"","""")&amp;""\""&amp;INDEX(SPLIT($A$2,""_""),1)&amp;""\""&amp;INDEX(SPLIT($A$2,""_""),2)&amp;""\""&amp;SUBSTITUTE(SUBST"&amp;"ITUTE(SUBSTITUTE(SUBSTITUTE(SUBSTITUTE(INDEX(Hairstyles!$C:$C,MATCH($B568,Hairstyles!$F:$F,0)),"" "",""""),""'"",""""),""("",""""),"")"",""""),""-"",""_"")&amp;""_""&amp;$A$2)"),"")</f>
        <v/>
      </c>
    </row>
    <row r="569">
      <c r="C569" s="12" t="str">
        <f>IFERROR(__xludf.DUMMYFUNCTION("IF($B569="""","""",SUBSTITUTE(SUBSTITUTE(SUBSTITUTE(SUBSTITUTE(INDEX(Hairstyles!$A:$A,MATCH($B569,Hairstyles!$F:$F,0)),"" "",""""),""'"",""""),""("",""""),"")"","""")&amp;""\""&amp;INDEX(SPLIT($A$2,""_""),1)&amp;""\""&amp;INDEX(SPLIT($A$2,""_""),2)&amp;""\""&amp;SUBSTITUTE(SUBST"&amp;"ITUTE(SUBSTITUTE(SUBSTITUTE(SUBSTITUTE(INDEX(Hairstyles!$C:$C,MATCH($B569,Hairstyles!$F:$F,0)),"" "",""""),""'"",""""),""("",""""),"")"",""""),""-"",""_"")&amp;""_""&amp;$A$2)"),"")</f>
        <v/>
      </c>
    </row>
    <row r="570">
      <c r="C570" s="12" t="str">
        <f>IFERROR(__xludf.DUMMYFUNCTION("IF($B570="""","""",SUBSTITUTE(SUBSTITUTE(SUBSTITUTE(SUBSTITUTE(INDEX(Hairstyles!$A:$A,MATCH($B570,Hairstyles!$F:$F,0)),"" "",""""),""'"",""""),""("",""""),"")"","""")&amp;""\""&amp;INDEX(SPLIT($A$2,""_""),1)&amp;""\""&amp;INDEX(SPLIT($A$2,""_""),2)&amp;""\""&amp;SUBSTITUTE(SUBST"&amp;"ITUTE(SUBSTITUTE(SUBSTITUTE(SUBSTITUTE(INDEX(Hairstyles!$C:$C,MATCH($B570,Hairstyles!$F:$F,0)),"" "",""""),""'"",""""),""("",""""),"")"",""""),""-"",""_"")&amp;""_""&amp;$A$2)"),"")</f>
        <v/>
      </c>
    </row>
    <row r="571">
      <c r="C571" s="12" t="str">
        <f>IFERROR(__xludf.DUMMYFUNCTION("IF($B571="""","""",SUBSTITUTE(SUBSTITUTE(SUBSTITUTE(SUBSTITUTE(INDEX(Hairstyles!$A:$A,MATCH($B571,Hairstyles!$F:$F,0)),"" "",""""),""'"",""""),""("",""""),"")"","""")&amp;""\""&amp;INDEX(SPLIT($A$2,""_""),1)&amp;""\""&amp;INDEX(SPLIT($A$2,""_""),2)&amp;""\""&amp;SUBSTITUTE(SUBST"&amp;"ITUTE(SUBSTITUTE(SUBSTITUTE(SUBSTITUTE(INDEX(Hairstyles!$C:$C,MATCH($B571,Hairstyles!$F:$F,0)),"" "",""""),""'"",""""),""("",""""),"")"",""""),""-"",""_"")&amp;""_""&amp;$A$2)"),"")</f>
        <v/>
      </c>
    </row>
    <row r="572">
      <c r="C572" s="12" t="str">
        <f>IFERROR(__xludf.DUMMYFUNCTION("IF($B572="""","""",SUBSTITUTE(SUBSTITUTE(SUBSTITUTE(SUBSTITUTE(INDEX(Hairstyles!$A:$A,MATCH($B572,Hairstyles!$F:$F,0)),"" "",""""),""'"",""""),""("",""""),"")"","""")&amp;""\""&amp;INDEX(SPLIT($A$2,""_""),1)&amp;""\""&amp;INDEX(SPLIT($A$2,""_""),2)&amp;""\""&amp;SUBSTITUTE(SUBST"&amp;"ITUTE(SUBSTITUTE(SUBSTITUTE(SUBSTITUTE(INDEX(Hairstyles!$C:$C,MATCH($B572,Hairstyles!$F:$F,0)),"" "",""""),""'"",""""),""("",""""),"")"",""""),""-"",""_"")&amp;""_""&amp;$A$2)"),"")</f>
        <v/>
      </c>
    </row>
    <row r="573">
      <c r="C573" s="12" t="str">
        <f>IFERROR(__xludf.DUMMYFUNCTION("IF($B573="""","""",SUBSTITUTE(SUBSTITUTE(SUBSTITUTE(SUBSTITUTE(INDEX(Hairstyles!$A:$A,MATCH($B573,Hairstyles!$F:$F,0)),"" "",""""),""'"",""""),""("",""""),"")"","""")&amp;""\""&amp;INDEX(SPLIT($A$2,""_""),1)&amp;""\""&amp;INDEX(SPLIT($A$2,""_""),2)&amp;""\""&amp;SUBSTITUTE(SUBST"&amp;"ITUTE(SUBSTITUTE(SUBSTITUTE(SUBSTITUTE(INDEX(Hairstyles!$C:$C,MATCH($B573,Hairstyles!$F:$F,0)),"" "",""""),""'"",""""),""("",""""),"")"",""""),""-"",""_"")&amp;""_""&amp;$A$2)"),"")</f>
        <v/>
      </c>
    </row>
    <row r="574">
      <c r="C574" s="12" t="str">
        <f>IFERROR(__xludf.DUMMYFUNCTION("IF($B574="""","""",SUBSTITUTE(SUBSTITUTE(SUBSTITUTE(SUBSTITUTE(INDEX(Hairstyles!$A:$A,MATCH($B574,Hairstyles!$F:$F,0)),"" "",""""),""'"",""""),""("",""""),"")"","""")&amp;""\""&amp;INDEX(SPLIT($A$2,""_""),1)&amp;""\""&amp;INDEX(SPLIT($A$2,""_""),2)&amp;""\""&amp;SUBSTITUTE(SUBST"&amp;"ITUTE(SUBSTITUTE(SUBSTITUTE(SUBSTITUTE(INDEX(Hairstyles!$C:$C,MATCH($B574,Hairstyles!$F:$F,0)),"" "",""""),""'"",""""),""("",""""),"")"",""""),""-"",""_"")&amp;""_""&amp;$A$2)"),"")</f>
        <v/>
      </c>
    </row>
    <row r="575">
      <c r="C575" s="12" t="str">
        <f>IFERROR(__xludf.DUMMYFUNCTION("IF($B575="""","""",SUBSTITUTE(SUBSTITUTE(SUBSTITUTE(SUBSTITUTE(INDEX(Hairstyles!$A:$A,MATCH($B575,Hairstyles!$F:$F,0)),"" "",""""),""'"",""""),""("",""""),"")"","""")&amp;""\""&amp;INDEX(SPLIT($A$2,""_""),1)&amp;""\""&amp;INDEX(SPLIT($A$2,""_""),2)&amp;""\""&amp;SUBSTITUTE(SUBST"&amp;"ITUTE(SUBSTITUTE(SUBSTITUTE(SUBSTITUTE(INDEX(Hairstyles!$C:$C,MATCH($B575,Hairstyles!$F:$F,0)),"" "",""""),""'"",""""),""("",""""),"")"",""""),""-"",""_"")&amp;""_""&amp;$A$2)"),"")</f>
        <v/>
      </c>
    </row>
    <row r="576">
      <c r="C576" s="12" t="str">
        <f>IFERROR(__xludf.DUMMYFUNCTION("IF($B576="""","""",SUBSTITUTE(SUBSTITUTE(SUBSTITUTE(SUBSTITUTE(INDEX(Hairstyles!$A:$A,MATCH($B576,Hairstyles!$F:$F,0)),"" "",""""),""'"",""""),""("",""""),"")"","""")&amp;""\""&amp;INDEX(SPLIT($A$2,""_""),1)&amp;""\""&amp;INDEX(SPLIT($A$2,""_""),2)&amp;""\""&amp;SUBSTITUTE(SUBST"&amp;"ITUTE(SUBSTITUTE(SUBSTITUTE(SUBSTITUTE(INDEX(Hairstyles!$C:$C,MATCH($B576,Hairstyles!$F:$F,0)),"" "",""""),""'"",""""),""("",""""),"")"",""""),""-"",""_"")&amp;""_""&amp;$A$2)"),"")</f>
        <v/>
      </c>
    </row>
    <row r="577">
      <c r="C577" s="12" t="str">
        <f>IFERROR(__xludf.DUMMYFUNCTION("IF($B577="""","""",SUBSTITUTE(SUBSTITUTE(SUBSTITUTE(SUBSTITUTE(INDEX(Hairstyles!$A:$A,MATCH($B577,Hairstyles!$F:$F,0)),"" "",""""),""'"",""""),""("",""""),"")"","""")&amp;""\""&amp;INDEX(SPLIT($A$2,""_""),1)&amp;""\""&amp;INDEX(SPLIT($A$2,""_""),2)&amp;""\""&amp;SUBSTITUTE(SUBST"&amp;"ITUTE(SUBSTITUTE(SUBSTITUTE(SUBSTITUTE(INDEX(Hairstyles!$C:$C,MATCH($B577,Hairstyles!$F:$F,0)),"" "",""""),""'"",""""),""("",""""),"")"",""""),""-"",""_"")&amp;""_""&amp;$A$2)"),"")</f>
        <v/>
      </c>
    </row>
    <row r="578">
      <c r="C578" s="12" t="str">
        <f>IFERROR(__xludf.DUMMYFUNCTION("IF($B578="""","""",SUBSTITUTE(SUBSTITUTE(SUBSTITUTE(SUBSTITUTE(INDEX(Hairstyles!$A:$A,MATCH($B578,Hairstyles!$F:$F,0)),"" "",""""),""'"",""""),""("",""""),"")"","""")&amp;""\""&amp;INDEX(SPLIT($A$2,""_""),1)&amp;""\""&amp;INDEX(SPLIT($A$2,""_""),2)&amp;""\""&amp;SUBSTITUTE(SUBST"&amp;"ITUTE(SUBSTITUTE(SUBSTITUTE(SUBSTITUTE(INDEX(Hairstyles!$C:$C,MATCH($B578,Hairstyles!$F:$F,0)),"" "",""""),""'"",""""),""("",""""),"")"",""""),""-"",""_"")&amp;""_""&amp;$A$2)"),"")</f>
        <v/>
      </c>
    </row>
    <row r="579">
      <c r="C579" s="12" t="str">
        <f>IFERROR(__xludf.DUMMYFUNCTION("IF($B579="""","""",SUBSTITUTE(SUBSTITUTE(SUBSTITUTE(SUBSTITUTE(INDEX(Hairstyles!$A:$A,MATCH($B579,Hairstyles!$F:$F,0)),"" "",""""),""'"",""""),""("",""""),"")"","""")&amp;""\""&amp;INDEX(SPLIT($A$2,""_""),1)&amp;""\""&amp;INDEX(SPLIT($A$2,""_""),2)&amp;""\""&amp;SUBSTITUTE(SUBST"&amp;"ITUTE(SUBSTITUTE(SUBSTITUTE(SUBSTITUTE(INDEX(Hairstyles!$C:$C,MATCH($B579,Hairstyles!$F:$F,0)),"" "",""""),""'"",""""),""("",""""),"")"",""""),""-"",""_"")&amp;""_""&amp;$A$2)"),"")</f>
        <v/>
      </c>
    </row>
    <row r="580">
      <c r="C580" s="12" t="str">
        <f>IFERROR(__xludf.DUMMYFUNCTION("IF($B580="""","""",SUBSTITUTE(SUBSTITUTE(SUBSTITUTE(SUBSTITUTE(INDEX(Hairstyles!$A:$A,MATCH($B580,Hairstyles!$F:$F,0)),"" "",""""),""'"",""""),""("",""""),"")"","""")&amp;""\""&amp;INDEX(SPLIT($A$2,""_""),1)&amp;""\""&amp;INDEX(SPLIT($A$2,""_""),2)&amp;""\""&amp;SUBSTITUTE(SUBST"&amp;"ITUTE(SUBSTITUTE(SUBSTITUTE(SUBSTITUTE(INDEX(Hairstyles!$C:$C,MATCH($B580,Hairstyles!$F:$F,0)),"" "",""""),""'"",""""),""("",""""),"")"",""""),""-"",""_"")&amp;""_""&amp;$A$2)"),"")</f>
        <v/>
      </c>
    </row>
    <row r="581">
      <c r="C581" s="12" t="str">
        <f>IFERROR(__xludf.DUMMYFUNCTION("IF($B581="""","""",SUBSTITUTE(SUBSTITUTE(SUBSTITUTE(SUBSTITUTE(INDEX(Hairstyles!$A:$A,MATCH($B581,Hairstyles!$F:$F,0)),"" "",""""),""'"",""""),""("",""""),"")"","""")&amp;""\""&amp;INDEX(SPLIT($A$2,""_""),1)&amp;""\""&amp;INDEX(SPLIT($A$2,""_""),2)&amp;""\""&amp;SUBSTITUTE(SUBST"&amp;"ITUTE(SUBSTITUTE(SUBSTITUTE(SUBSTITUTE(INDEX(Hairstyles!$C:$C,MATCH($B581,Hairstyles!$F:$F,0)),"" "",""""),""'"",""""),""("",""""),"")"",""""),""-"",""_"")&amp;""_""&amp;$A$2)"),"")</f>
        <v/>
      </c>
    </row>
    <row r="582">
      <c r="C582" s="12" t="str">
        <f>IFERROR(__xludf.DUMMYFUNCTION("IF($B582="""","""",SUBSTITUTE(SUBSTITUTE(SUBSTITUTE(SUBSTITUTE(INDEX(Hairstyles!$A:$A,MATCH($B582,Hairstyles!$F:$F,0)),"" "",""""),""'"",""""),""("",""""),"")"","""")&amp;""\""&amp;INDEX(SPLIT($A$2,""_""),1)&amp;""\""&amp;INDEX(SPLIT($A$2,""_""),2)&amp;""\""&amp;SUBSTITUTE(SUBST"&amp;"ITUTE(SUBSTITUTE(SUBSTITUTE(SUBSTITUTE(INDEX(Hairstyles!$C:$C,MATCH($B582,Hairstyles!$F:$F,0)),"" "",""""),""'"",""""),""("",""""),"")"",""""),""-"",""_"")&amp;""_""&amp;$A$2)"),"")</f>
        <v/>
      </c>
    </row>
    <row r="583">
      <c r="C583" s="12" t="str">
        <f>IFERROR(__xludf.DUMMYFUNCTION("IF($B583="""","""",SUBSTITUTE(SUBSTITUTE(SUBSTITUTE(SUBSTITUTE(INDEX(Hairstyles!$A:$A,MATCH($B583,Hairstyles!$F:$F,0)),"" "",""""),""'"",""""),""("",""""),"")"","""")&amp;""\""&amp;INDEX(SPLIT($A$2,""_""),1)&amp;""\""&amp;INDEX(SPLIT($A$2,""_""),2)&amp;""\""&amp;SUBSTITUTE(SUBST"&amp;"ITUTE(SUBSTITUTE(SUBSTITUTE(SUBSTITUTE(INDEX(Hairstyles!$C:$C,MATCH($B583,Hairstyles!$F:$F,0)),"" "",""""),""'"",""""),""("",""""),"")"",""""),""-"",""_"")&amp;""_""&amp;$A$2)"),"")</f>
        <v/>
      </c>
    </row>
    <row r="584">
      <c r="C584" s="12" t="str">
        <f>IFERROR(__xludf.DUMMYFUNCTION("IF($B584="""","""",SUBSTITUTE(SUBSTITUTE(SUBSTITUTE(SUBSTITUTE(INDEX(Hairstyles!$A:$A,MATCH($B584,Hairstyles!$F:$F,0)),"" "",""""),""'"",""""),""("",""""),"")"","""")&amp;""\""&amp;INDEX(SPLIT($A$2,""_""),1)&amp;""\""&amp;INDEX(SPLIT($A$2,""_""),2)&amp;""\""&amp;SUBSTITUTE(SUBST"&amp;"ITUTE(SUBSTITUTE(SUBSTITUTE(SUBSTITUTE(INDEX(Hairstyles!$C:$C,MATCH($B584,Hairstyles!$F:$F,0)),"" "",""""),""'"",""""),""("",""""),"")"",""""),""-"",""_"")&amp;""_""&amp;$A$2)"),"")</f>
        <v/>
      </c>
    </row>
    <row r="585">
      <c r="C585" s="12" t="str">
        <f>IFERROR(__xludf.DUMMYFUNCTION("IF($B585="""","""",SUBSTITUTE(SUBSTITUTE(SUBSTITUTE(SUBSTITUTE(INDEX(Hairstyles!$A:$A,MATCH($B585,Hairstyles!$F:$F,0)),"" "",""""),""'"",""""),""("",""""),"")"","""")&amp;""\""&amp;INDEX(SPLIT($A$2,""_""),1)&amp;""\""&amp;INDEX(SPLIT($A$2,""_""),2)&amp;""\""&amp;SUBSTITUTE(SUBST"&amp;"ITUTE(SUBSTITUTE(SUBSTITUTE(SUBSTITUTE(INDEX(Hairstyles!$C:$C,MATCH($B585,Hairstyles!$F:$F,0)),"" "",""""),""'"",""""),""("",""""),"")"",""""),""-"",""_"")&amp;""_""&amp;$A$2)"),"")</f>
        <v/>
      </c>
    </row>
    <row r="586">
      <c r="C586" s="12" t="str">
        <f>IFERROR(__xludf.DUMMYFUNCTION("IF($B586="""","""",SUBSTITUTE(SUBSTITUTE(SUBSTITUTE(SUBSTITUTE(INDEX(Hairstyles!$A:$A,MATCH($B586,Hairstyles!$F:$F,0)),"" "",""""),""'"",""""),""("",""""),"")"","""")&amp;""\""&amp;INDEX(SPLIT($A$2,""_""),1)&amp;""\""&amp;INDEX(SPLIT($A$2,""_""),2)&amp;""\""&amp;SUBSTITUTE(SUBST"&amp;"ITUTE(SUBSTITUTE(SUBSTITUTE(SUBSTITUTE(INDEX(Hairstyles!$C:$C,MATCH($B586,Hairstyles!$F:$F,0)),"" "",""""),""'"",""""),""("",""""),"")"",""""),""-"",""_"")&amp;""_""&amp;$A$2)"),"")</f>
        <v/>
      </c>
    </row>
    <row r="587">
      <c r="C587" s="12" t="str">
        <f>IFERROR(__xludf.DUMMYFUNCTION("IF($B587="""","""",SUBSTITUTE(SUBSTITUTE(SUBSTITUTE(SUBSTITUTE(INDEX(Hairstyles!$A:$A,MATCH($B587,Hairstyles!$F:$F,0)),"" "",""""),""'"",""""),""("",""""),"")"","""")&amp;""\""&amp;INDEX(SPLIT($A$2,""_""),1)&amp;""\""&amp;INDEX(SPLIT($A$2,""_""),2)&amp;""\""&amp;SUBSTITUTE(SUBST"&amp;"ITUTE(SUBSTITUTE(SUBSTITUTE(SUBSTITUTE(INDEX(Hairstyles!$C:$C,MATCH($B587,Hairstyles!$F:$F,0)),"" "",""""),""'"",""""),""("",""""),"")"",""""),""-"",""_"")&amp;""_""&amp;$A$2)"),"")</f>
        <v/>
      </c>
    </row>
    <row r="588">
      <c r="C588" s="12" t="str">
        <f>IFERROR(__xludf.DUMMYFUNCTION("IF($B588="""","""",SUBSTITUTE(SUBSTITUTE(SUBSTITUTE(SUBSTITUTE(INDEX(Hairstyles!$A:$A,MATCH($B588,Hairstyles!$F:$F,0)),"" "",""""),""'"",""""),""("",""""),"")"","""")&amp;""\""&amp;INDEX(SPLIT($A$2,""_""),1)&amp;""\""&amp;INDEX(SPLIT($A$2,""_""),2)&amp;""\""&amp;SUBSTITUTE(SUBST"&amp;"ITUTE(SUBSTITUTE(SUBSTITUTE(SUBSTITUTE(INDEX(Hairstyles!$C:$C,MATCH($B588,Hairstyles!$F:$F,0)),"" "",""""),""'"",""""),""("",""""),"")"",""""),""-"",""_"")&amp;""_""&amp;$A$2)"),"")</f>
        <v/>
      </c>
    </row>
    <row r="589">
      <c r="C589" s="12" t="str">
        <f>IFERROR(__xludf.DUMMYFUNCTION("IF($B589="""","""",SUBSTITUTE(SUBSTITUTE(SUBSTITUTE(SUBSTITUTE(INDEX(Hairstyles!$A:$A,MATCH($B589,Hairstyles!$F:$F,0)),"" "",""""),""'"",""""),""("",""""),"")"","""")&amp;""\""&amp;INDEX(SPLIT($A$2,""_""),1)&amp;""\""&amp;INDEX(SPLIT($A$2,""_""),2)&amp;""\""&amp;SUBSTITUTE(SUBST"&amp;"ITUTE(SUBSTITUTE(SUBSTITUTE(SUBSTITUTE(INDEX(Hairstyles!$C:$C,MATCH($B589,Hairstyles!$F:$F,0)),"" "",""""),""'"",""""),""("",""""),"")"",""""),""-"",""_"")&amp;""_""&amp;$A$2)"),"")</f>
        <v/>
      </c>
    </row>
    <row r="590">
      <c r="C590" s="12" t="str">
        <f>IFERROR(__xludf.DUMMYFUNCTION("IF($B590="""","""",SUBSTITUTE(SUBSTITUTE(SUBSTITUTE(SUBSTITUTE(INDEX(Hairstyles!$A:$A,MATCH($B590,Hairstyles!$F:$F,0)),"" "",""""),""'"",""""),""("",""""),"")"","""")&amp;""\""&amp;INDEX(SPLIT($A$2,""_""),1)&amp;""\""&amp;INDEX(SPLIT($A$2,""_""),2)&amp;""\""&amp;SUBSTITUTE(SUBST"&amp;"ITUTE(SUBSTITUTE(SUBSTITUTE(SUBSTITUTE(INDEX(Hairstyles!$C:$C,MATCH($B590,Hairstyles!$F:$F,0)),"" "",""""),""'"",""""),""("",""""),"")"",""""),""-"",""_"")&amp;""_""&amp;$A$2)"),"")</f>
        <v/>
      </c>
    </row>
    <row r="591">
      <c r="C591" s="12" t="str">
        <f>IFERROR(__xludf.DUMMYFUNCTION("IF($B591="""","""",SUBSTITUTE(SUBSTITUTE(SUBSTITUTE(SUBSTITUTE(INDEX(Hairstyles!$A:$A,MATCH($B591,Hairstyles!$F:$F,0)),"" "",""""),""'"",""""),""("",""""),"")"","""")&amp;""\""&amp;INDEX(SPLIT($A$2,""_""),1)&amp;""\""&amp;INDEX(SPLIT($A$2,""_""),2)&amp;""\""&amp;SUBSTITUTE(SUBST"&amp;"ITUTE(SUBSTITUTE(SUBSTITUTE(SUBSTITUTE(INDEX(Hairstyles!$C:$C,MATCH($B591,Hairstyles!$F:$F,0)),"" "",""""),""'"",""""),""("",""""),"")"",""""),""-"",""_"")&amp;""_""&amp;$A$2)"),"")</f>
        <v/>
      </c>
    </row>
    <row r="592">
      <c r="C592" s="12" t="str">
        <f>IFERROR(__xludf.DUMMYFUNCTION("IF($B592="""","""",SUBSTITUTE(SUBSTITUTE(SUBSTITUTE(SUBSTITUTE(INDEX(Hairstyles!$A:$A,MATCH($B592,Hairstyles!$F:$F,0)),"" "",""""),""'"",""""),""("",""""),"")"","""")&amp;""\""&amp;INDEX(SPLIT($A$2,""_""),1)&amp;""\""&amp;INDEX(SPLIT($A$2,""_""),2)&amp;""\""&amp;SUBSTITUTE(SUBST"&amp;"ITUTE(SUBSTITUTE(SUBSTITUTE(SUBSTITUTE(INDEX(Hairstyles!$C:$C,MATCH($B592,Hairstyles!$F:$F,0)),"" "",""""),""'"",""""),""("",""""),"")"",""""),""-"",""_"")&amp;""_""&amp;$A$2)"),"")</f>
        <v/>
      </c>
    </row>
    <row r="593">
      <c r="C593" s="12" t="str">
        <f>IFERROR(__xludf.DUMMYFUNCTION("IF($B593="""","""",SUBSTITUTE(SUBSTITUTE(SUBSTITUTE(SUBSTITUTE(INDEX(Hairstyles!$A:$A,MATCH($B593,Hairstyles!$F:$F,0)),"" "",""""),""'"",""""),""("",""""),"")"","""")&amp;""\""&amp;INDEX(SPLIT($A$2,""_""),1)&amp;""\""&amp;INDEX(SPLIT($A$2,""_""),2)&amp;""\""&amp;SUBSTITUTE(SUBST"&amp;"ITUTE(SUBSTITUTE(SUBSTITUTE(SUBSTITUTE(INDEX(Hairstyles!$C:$C,MATCH($B593,Hairstyles!$F:$F,0)),"" "",""""),""'"",""""),""("",""""),"")"",""""),""-"",""_"")&amp;""_""&amp;$A$2)"),"")</f>
        <v/>
      </c>
    </row>
    <row r="594">
      <c r="C594" s="12" t="str">
        <f>IFERROR(__xludf.DUMMYFUNCTION("IF($B594="""","""",SUBSTITUTE(SUBSTITUTE(SUBSTITUTE(SUBSTITUTE(INDEX(Hairstyles!$A:$A,MATCH($B594,Hairstyles!$F:$F,0)),"" "",""""),""'"",""""),""("",""""),"")"","""")&amp;""\""&amp;INDEX(SPLIT($A$2,""_""),1)&amp;""\""&amp;INDEX(SPLIT($A$2,""_""),2)&amp;""\""&amp;SUBSTITUTE(SUBST"&amp;"ITUTE(SUBSTITUTE(SUBSTITUTE(SUBSTITUTE(INDEX(Hairstyles!$C:$C,MATCH($B594,Hairstyles!$F:$F,0)),"" "",""""),""'"",""""),""("",""""),"")"",""""),""-"",""_"")&amp;""_""&amp;$A$2)"),"")</f>
        <v/>
      </c>
    </row>
    <row r="595">
      <c r="C595" s="12" t="str">
        <f>IFERROR(__xludf.DUMMYFUNCTION("IF($B595="""","""",SUBSTITUTE(SUBSTITUTE(SUBSTITUTE(SUBSTITUTE(INDEX(Hairstyles!$A:$A,MATCH($B595,Hairstyles!$F:$F,0)),"" "",""""),""'"",""""),""("",""""),"")"","""")&amp;""\""&amp;INDEX(SPLIT($A$2,""_""),1)&amp;""\""&amp;INDEX(SPLIT($A$2,""_""),2)&amp;""\""&amp;SUBSTITUTE(SUBST"&amp;"ITUTE(SUBSTITUTE(SUBSTITUTE(SUBSTITUTE(INDEX(Hairstyles!$C:$C,MATCH($B595,Hairstyles!$F:$F,0)),"" "",""""),""'"",""""),""("",""""),"")"",""""),""-"",""_"")&amp;""_""&amp;$A$2)"),"")</f>
        <v/>
      </c>
    </row>
    <row r="596">
      <c r="C596" s="12" t="str">
        <f>IFERROR(__xludf.DUMMYFUNCTION("IF($B596="""","""",SUBSTITUTE(SUBSTITUTE(SUBSTITUTE(SUBSTITUTE(INDEX(Hairstyles!$A:$A,MATCH($B596,Hairstyles!$F:$F,0)),"" "",""""),""'"",""""),""("",""""),"")"","""")&amp;""\""&amp;INDEX(SPLIT($A$2,""_""),1)&amp;""\""&amp;INDEX(SPLIT($A$2,""_""),2)&amp;""\""&amp;SUBSTITUTE(SUBST"&amp;"ITUTE(SUBSTITUTE(SUBSTITUTE(SUBSTITUTE(INDEX(Hairstyles!$C:$C,MATCH($B596,Hairstyles!$F:$F,0)),"" "",""""),""'"",""""),""("",""""),"")"",""""),""-"",""_"")&amp;""_""&amp;$A$2)"),"")</f>
        <v/>
      </c>
    </row>
    <row r="597">
      <c r="C597" s="12" t="str">
        <f>IFERROR(__xludf.DUMMYFUNCTION("IF($B597="""","""",SUBSTITUTE(SUBSTITUTE(SUBSTITUTE(SUBSTITUTE(INDEX(Hairstyles!$A:$A,MATCH($B597,Hairstyles!$F:$F,0)),"" "",""""),""'"",""""),""("",""""),"")"","""")&amp;""\""&amp;INDEX(SPLIT($A$2,""_""),1)&amp;""\""&amp;INDEX(SPLIT($A$2,""_""),2)&amp;""\""&amp;SUBSTITUTE(SUBST"&amp;"ITUTE(SUBSTITUTE(SUBSTITUTE(SUBSTITUTE(INDEX(Hairstyles!$C:$C,MATCH($B597,Hairstyles!$F:$F,0)),"" "",""""),""'"",""""),""("",""""),"")"",""""),""-"",""_"")&amp;""_""&amp;$A$2)"),"")</f>
        <v/>
      </c>
    </row>
    <row r="598">
      <c r="C598" s="12" t="str">
        <f>IFERROR(__xludf.DUMMYFUNCTION("IF($B598="""","""",SUBSTITUTE(SUBSTITUTE(SUBSTITUTE(SUBSTITUTE(INDEX(Hairstyles!$A:$A,MATCH($B598,Hairstyles!$F:$F,0)),"" "",""""),""'"",""""),""("",""""),"")"","""")&amp;""\""&amp;INDEX(SPLIT($A$2,""_""),1)&amp;""\""&amp;INDEX(SPLIT($A$2,""_""),2)&amp;""\""&amp;SUBSTITUTE(SUBST"&amp;"ITUTE(SUBSTITUTE(SUBSTITUTE(SUBSTITUTE(INDEX(Hairstyles!$C:$C,MATCH($B598,Hairstyles!$F:$F,0)),"" "",""""),""'"",""""),""("",""""),"")"",""""),""-"",""_"")&amp;""_""&amp;$A$2)"),"")</f>
        <v/>
      </c>
    </row>
    <row r="599">
      <c r="C599" s="12" t="str">
        <f>IFERROR(__xludf.DUMMYFUNCTION("IF($B599="""","""",SUBSTITUTE(SUBSTITUTE(SUBSTITUTE(SUBSTITUTE(INDEX(Hairstyles!$A:$A,MATCH($B599,Hairstyles!$F:$F,0)),"" "",""""),""'"",""""),""("",""""),"")"","""")&amp;""\""&amp;INDEX(SPLIT($A$2,""_""),1)&amp;""\""&amp;INDEX(SPLIT($A$2,""_""),2)&amp;""\""&amp;SUBSTITUTE(SUBST"&amp;"ITUTE(SUBSTITUTE(SUBSTITUTE(SUBSTITUTE(INDEX(Hairstyles!$C:$C,MATCH($B599,Hairstyles!$F:$F,0)),"" "",""""),""'"",""""),""("",""""),"")"",""""),""-"",""_"")&amp;""_""&amp;$A$2)"),"")</f>
        <v/>
      </c>
    </row>
    <row r="600">
      <c r="C600" s="12" t="str">
        <f>IFERROR(__xludf.DUMMYFUNCTION("IF($B600="""","""",SUBSTITUTE(SUBSTITUTE(SUBSTITUTE(SUBSTITUTE(INDEX(Hairstyles!$A:$A,MATCH($B600,Hairstyles!$F:$F,0)),"" "",""""),""'"",""""),""("",""""),"")"","""")&amp;""\""&amp;INDEX(SPLIT($A$2,""_""),1)&amp;""\""&amp;INDEX(SPLIT($A$2,""_""),2)&amp;""\""&amp;SUBSTITUTE(SUBST"&amp;"ITUTE(SUBSTITUTE(SUBSTITUTE(SUBSTITUTE(INDEX(Hairstyles!$C:$C,MATCH($B600,Hairstyles!$F:$F,0)),"" "",""""),""'"",""""),""("",""""),"")"",""""),""-"",""_"")&amp;""_""&amp;$A$2)"),"")</f>
        <v/>
      </c>
    </row>
    <row r="601">
      <c r="C601" s="12" t="str">
        <f>IFERROR(__xludf.DUMMYFUNCTION("IF($B601="""","""",SUBSTITUTE(SUBSTITUTE(SUBSTITUTE(SUBSTITUTE(INDEX(Hairstyles!$A:$A,MATCH($B601,Hairstyles!$F:$F,0)),"" "",""""),""'"",""""),""("",""""),"")"","""")&amp;""\""&amp;INDEX(SPLIT($A$2,""_""),1)&amp;""\""&amp;INDEX(SPLIT($A$2,""_""),2)&amp;""\""&amp;SUBSTITUTE(SUBST"&amp;"ITUTE(SUBSTITUTE(SUBSTITUTE(SUBSTITUTE(INDEX(Hairstyles!$C:$C,MATCH($B601,Hairstyles!$F:$F,0)),"" "",""""),""'"",""""),""("",""""),"")"",""""),""-"",""_"")&amp;""_""&amp;$A$2)"),"")</f>
        <v/>
      </c>
    </row>
    <row r="602">
      <c r="C602" s="12" t="str">
        <f>IFERROR(__xludf.DUMMYFUNCTION("IF($B602="""","""",SUBSTITUTE(SUBSTITUTE(SUBSTITUTE(SUBSTITUTE(INDEX(Hairstyles!$A:$A,MATCH($B602,Hairstyles!$F:$F,0)),"" "",""""),""'"",""""),""("",""""),"")"","""")&amp;""\""&amp;INDEX(SPLIT($A$2,""_""),1)&amp;""\""&amp;INDEX(SPLIT($A$2,""_""),2)&amp;""\""&amp;SUBSTITUTE(SUBST"&amp;"ITUTE(SUBSTITUTE(SUBSTITUTE(SUBSTITUTE(INDEX(Hairstyles!$C:$C,MATCH($B602,Hairstyles!$F:$F,0)),"" "",""""),""'"",""""),""("",""""),"")"",""""),""-"",""_"")&amp;""_""&amp;$A$2)"),"")</f>
        <v/>
      </c>
    </row>
    <row r="603">
      <c r="C603" s="12" t="str">
        <f>IFERROR(__xludf.DUMMYFUNCTION("IF($B603="""","""",SUBSTITUTE(SUBSTITUTE(SUBSTITUTE(SUBSTITUTE(INDEX(Hairstyles!$A:$A,MATCH($B603,Hairstyles!$F:$F,0)),"" "",""""),""'"",""""),""("",""""),"")"","""")&amp;""\""&amp;INDEX(SPLIT($A$2,""_""),1)&amp;""\""&amp;INDEX(SPLIT($A$2,""_""),2)&amp;""\""&amp;SUBSTITUTE(SUBST"&amp;"ITUTE(SUBSTITUTE(SUBSTITUTE(SUBSTITUTE(INDEX(Hairstyles!$C:$C,MATCH($B603,Hairstyles!$F:$F,0)),"" "",""""),""'"",""""),""("",""""),"")"",""""),""-"",""_"")&amp;""_""&amp;$A$2)"),"")</f>
        <v/>
      </c>
    </row>
    <row r="604">
      <c r="C604" s="12" t="str">
        <f>IFERROR(__xludf.DUMMYFUNCTION("IF($B604="""","""",SUBSTITUTE(SUBSTITUTE(SUBSTITUTE(SUBSTITUTE(INDEX(Hairstyles!$A:$A,MATCH($B604,Hairstyles!$F:$F,0)),"" "",""""),""'"",""""),""("",""""),"")"","""")&amp;""\""&amp;INDEX(SPLIT($A$2,""_""),1)&amp;""\""&amp;INDEX(SPLIT($A$2,""_""),2)&amp;""\""&amp;SUBSTITUTE(SUBST"&amp;"ITUTE(SUBSTITUTE(SUBSTITUTE(SUBSTITUTE(INDEX(Hairstyles!$C:$C,MATCH($B604,Hairstyles!$F:$F,0)),"" "",""""),""'"",""""),""("",""""),"")"",""""),""-"",""_"")&amp;""_""&amp;$A$2)"),"")</f>
        <v/>
      </c>
    </row>
    <row r="605">
      <c r="C605" s="12" t="str">
        <f>IFERROR(__xludf.DUMMYFUNCTION("IF($B605="""","""",SUBSTITUTE(SUBSTITUTE(SUBSTITUTE(SUBSTITUTE(INDEX(Hairstyles!$A:$A,MATCH($B605,Hairstyles!$F:$F,0)),"" "",""""),""'"",""""),""("",""""),"")"","""")&amp;""\""&amp;INDEX(SPLIT($A$2,""_""),1)&amp;""\""&amp;INDEX(SPLIT($A$2,""_""),2)&amp;""\""&amp;SUBSTITUTE(SUBST"&amp;"ITUTE(SUBSTITUTE(SUBSTITUTE(SUBSTITUTE(INDEX(Hairstyles!$C:$C,MATCH($B605,Hairstyles!$F:$F,0)),"" "",""""),""'"",""""),""("",""""),"")"",""""),""-"",""_"")&amp;""_""&amp;$A$2)"),"")</f>
        <v/>
      </c>
    </row>
    <row r="606">
      <c r="C606" s="12" t="str">
        <f>IFERROR(__xludf.DUMMYFUNCTION("IF($B606="""","""",SUBSTITUTE(SUBSTITUTE(SUBSTITUTE(SUBSTITUTE(INDEX(Hairstyles!$A:$A,MATCH($B606,Hairstyles!$F:$F,0)),"" "",""""),""'"",""""),""("",""""),"")"","""")&amp;""\""&amp;INDEX(SPLIT($A$2,""_""),1)&amp;""\""&amp;INDEX(SPLIT($A$2,""_""),2)&amp;""\""&amp;SUBSTITUTE(SUBST"&amp;"ITUTE(SUBSTITUTE(SUBSTITUTE(SUBSTITUTE(INDEX(Hairstyles!$C:$C,MATCH($B606,Hairstyles!$F:$F,0)),"" "",""""),""'"",""""),""("",""""),"")"",""""),""-"",""_"")&amp;""_""&amp;$A$2)"),"")</f>
        <v/>
      </c>
    </row>
    <row r="607">
      <c r="C607" s="12" t="str">
        <f>IFERROR(__xludf.DUMMYFUNCTION("IF($B607="""","""",SUBSTITUTE(SUBSTITUTE(SUBSTITUTE(SUBSTITUTE(INDEX(Hairstyles!$A:$A,MATCH($B607,Hairstyles!$F:$F,0)),"" "",""""),""'"",""""),""("",""""),"")"","""")&amp;""\""&amp;INDEX(SPLIT($A$2,""_""),1)&amp;""\""&amp;INDEX(SPLIT($A$2,""_""),2)&amp;""\""&amp;SUBSTITUTE(SUBST"&amp;"ITUTE(SUBSTITUTE(SUBSTITUTE(SUBSTITUTE(INDEX(Hairstyles!$C:$C,MATCH($B607,Hairstyles!$F:$F,0)),"" "",""""),""'"",""""),""("",""""),"")"",""""),""-"",""_"")&amp;""_""&amp;$A$2)"),"")</f>
        <v/>
      </c>
    </row>
    <row r="608">
      <c r="C608" s="12" t="str">
        <f>IFERROR(__xludf.DUMMYFUNCTION("IF($B608="""","""",SUBSTITUTE(SUBSTITUTE(SUBSTITUTE(SUBSTITUTE(INDEX(Hairstyles!$A:$A,MATCH($B608,Hairstyles!$F:$F,0)),"" "",""""),""'"",""""),""("",""""),"")"","""")&amp;""\""&amp;INDEX(SPLIT($A$2,""_""),1)&amp;""\""&amp;INDEX(SPLIT($A$2,""_""),2)&amp;""\""&amp;SUBSTITUTE(SUBST"&amp;"ITUTE(SUBSTITUTE(SUBSTITUTE(SUBSTITUTE(INDEX(Hairstyles!$C:$C,MATCH($B608,Hairstyles!$F:$F,0)),"" "",""""),""'"",""""),""("",""""),"")"",""""),""-"",""_"")&amp;""_""&amp;$A$2)"),"")</f>
        <v/>
      </c>
    </row>
    <row r="609">
      <c r="C609" s="12" t="str">
        <f>IFERROR(__xludf.DUMMYFUNCTION("IF($B609="""","""",SUBSTITUTE(SUBSTITUTE(SUBSTITUTE(SUBSTITUTE(INDEX(Hairstyles!$A:$A,MATCH($B609,Hairstyles!$F:$F,0)),"" "",""""),""'"",""""),""("",""""),"")"","""")&amp;""\""&amp;INDEX(SPLIT($A$2,""_""),1)&amp;""\""&amp;INDEX(SPLIT($A$2,""_""),2)&amp;""\""&amp;SUBSTITUTE(SUBST"&amp;"ITUTE(SUBSTITUTE(SUBSTITUTE(SUBSTITUTE(INDEX(Hairstyles!$C:$C,MATCH($B609,Hairstyles!$F:$F,0)),"" "",""""),""'"",""""),""("",""""),"")"",""""),""-"",""_"")&amp;""_""&amp;$A$2)"),"")</f>
        <v/>
      </c>
    </row>
    <row r="610">
      <c r="C610" s="12" t="str">
        <f>IFERROR(__xludf.DUMMYFUNCTION("IF($B610="""","""",SUBSTITUTE(SUBSTITUTE(SUBSTITUTE(SUBSTITUTE(INDEX(Hairstyles!$A:$A,MATCH($B610,Hairstyles!$F:$F,0)),"" "",""""),""'"",""""),""("",""""),"")"","""")&amp;""\""&amp;INDEX(SPLIT($A$2,""_""),1)&amp;""\""&amp;INDEX(SPLIT($A$2,""_""),2)&amp;""\""&amp;SUBSTITUTE(SUBST"&amp;"ITUTE(SUBSTITUTE(SUBSTITUTE(SUBSTITUTE(INDEX(Hairstyles!$C:$C,MATCH($B610,Hairstyles!$F:$F,0)),"" "",""""),""'"",""""),""("",""""),"")"",""""),""-"",""_"")&amp;""_""&amp;$A$2)"),"")</f>
        <v/>
      </c>
    </row>
    <row r="611">
      <c r="C611" s="12" t="str">
        <f>IFERROR(__xludf.DUMMYFUNCTION("IF($B611="""","""",SUBSTITUTE(SUBSTITUTE(SUBSTITUTE(SUBSTITUTE(INDEX(Hairstyles!$A:$A,MATCH($B611,Hairstyles!$F:$F,0)),"" "",""""),""'"",""""),""("",""""),"")"","""")&amp;""\""&amp;INDEX(SPLIT($A$2,""_""),1)&amp;""\""&amp;INDEX(SPLIT($A$2,""_""),2)&amp;""\""&amp;SUBSTITUTE(SUBST"&amp;"ITUTE(SUBSTITUTE(SUBSTITUTE(SUBSTITUTE(INDEX(Hairstyles!$C:$C,MATCH($B611,Hairstyles!$F:$F,0)),"" "",""""),""'"",""""),""("",""""),"")"",""""),""-"",""_"")&amp;""_""&amp;$A$2)"),"")</f>
        <v/>
      </c>
    </row>
    <row r="612">
      <c r="C612" s="12" t="str">
        <f>IFERROR(__xludf.DUMMYFUNCTION("IF($B612="""","""",SUBSTITUTE(SUBSTITUTE(SUBSTITUTE(SUBSTITUTE(INDEX(Hairstyles!$A:$A,MATCH($B612,Hairstyles!$F:$F,0)),"" "",""""),""'"",""""),""("",""""),"")"","""")&amp;""\""&amp;INDEX(SPLIT($A$2,""_""),1)&amp;""\""&amp;INDEX(SPLIT($A$2,""_""),2)&amp;""\""&amp;SUBSTITUTE(SUBST"&amp;"ITUTE(SUBSTITUTE(SUBSTITUTE(SUBSTITUTE(INDEX(Hairstyles!$C:$C,MATCH($B612,Hairstyles!$F:$F,0)),"" "",""""),""'"",""""),""("",""""),"")"",""""),""-"",""_"")&amp;""_""&amp;$A$2)"),"")</f>
        <v/>
      </c>
    </row>
    <row r="613">
      <c r="C613" s="12" t="str">
        <f>IFERROR(__xludf.DUMMYFUNCTION("IF($B613="""","""",SUBSTITUTE(SUBSTITUTE(SUBSTITUTE(SUBSTITUTE(INDEX(Hairstyles!$A:$A,MATCH($B613,Hairstyles!$F:$F,0)),"" "",""""),""'"",""""),""("",""""),"")"","""")&amp;""\""&amp;INDEX(SPLIT($A$2,""_""),1)&amp;""\""&amp;INDEX(SPLIT($A$2,""_""),2)&amp;""\""&amp;SUBSTITUTE(SUBST"&amp;"ITUTE(SUBSTITUTE(SUBSTITUTE(SUBSTITUTE(INDEX(Hairstyles!$C:$C,MATCH($B613,Hairstyles!$F:$F,0)),"" "",""""),""'"",""""),""("",""""),"")"",""""),""-"",""_"")&amp;""_""&amp;$A$2)"),"")</f>
        <v/>
      </c>
    </row>
    <row r="614">
      <c r="C614" s="12" t="str">
        <f>IFERROR(__xludf.DUMMYFUNCTION("IF($B614="""","""",SUBSTITUTE(SUBSTITUTE(SUBSTITUTE(SUBSTITUTE(INDEX(Hairstyles!$A:$A,MATCH($B614,Hairstyles!$F:$F,0)),"" "",""""),""'"",""""),""("",""""),"")"","""")&amp;""\""&amp;INDEX(SPLIT($A$2,""_""),1)&amp;""\""&amp;INDEX(SPLIT($A$2,""_""),2)&amp;""\""&amp;SUBSTITUTE(SUBST"&amp;"ITUTE(SUBSTITUTE(SUBSTITUTE(SUBSTITUTE(INDEX(Hairstyles!$C:$C,MATCH($B614,Hairstyles!$F:$F,0)),"" "",""""),""'"",""""),""("",""""),"")"",""""),""-"",""_"")&amp;""_""&amp;$A$2)"),"")</f>
        <v/>
      </c>
    </row>
    <row r="615">
      <c r="C615" s="12" t="str">
        <f>IFERROR(__xludf.DUMMYFUNCTION("IF($B615="""","""",SUBSTITUTE(SUBSTITUTE(SUBSTITUTE(SUBSTITUTE(INDEX(Hairstyles!$A:$A,MATCH($B615,Hairstyles!$F:$F,0)),"" "",""""),""'"",""""),""("",""""),"")"","""")&amp;""\""&amp;INDEX(SPLIT($A$2,""_""),1)&amp;""\""&amp;INDEX(SPLIT($A$2,""_""),2)&amp;""\""&amp;SUBSTITUTE(SUBST"&amp;"ITUTE(SUBSTITUTE(SUBSTITUTE(SUBSTITUTE(INDEX(Hairstyles!$C:$C,MATCH($B615,Hairstyles!$F:$F,0)),"" "",""""),""'"",""""),""("",""""),"")"",""""),""-"",""_"")&amp;""_""&amp;$A$2)"),"")</f>
        <v/>
      </c>
    </row>
    <row r="616">
      <c r="C616" s="12" t="str">
        <f>IFERROR(__xludf.DUMMYFUNCTION("IF($B616="""","""",SUBSTITUTE(SUBSTITUTE(SUBSTITUTE(SUBSTITUTE(INDEX(Hairstyles!$A:$A,MATCH($B616,Hairstyles!$F:$F,0)),"" "",""""),""'"",""""),""("",""""),"")"","""")&amp;""\""&amp;INDEX(SPLIT($A$2,""_""),1)&amp;""\""&amp;INDEX(SPLIT($A$2,""_""),2)&amp;""\""&amp;SUBSTITUTE(SUBST"&amp;"ITUTE(SUBSTITUTE(SUBSTITUTE(SUBSTITUTE(INDEX(Hairstyles!$C:$C,MATCH($B616,Hairstyles!$F:$F,0)),"" "",""""),""'"",""""),""("",""""),"")"",""""),""-"",""_"")&amp;""_""&amp;$A$2)"),"")</f>
        <v/>
      </c>
    </row>
    <row r="617">
      <c r="C617" s="12" t="str">
        <f>IFERROR(__xludf.DUMMYFUNCTION("IF($B617="""","""",SUBSTITUTE(SUBSTITUTE(SUBSTITUTE(SUBSTITUTE(INDEX(Hairstyles!$A:$A,MATCH($B617,Hairstyles!$F:$F,0)),"" "",""""),""'"",""""),""("",""""),"")"","""")&amp;""\""&amp;INDEX(SPLIT($A$2,""_""),1)&amp;""\""&amp;INDEX(SPLIT($A$2,""_""),2)&amp;""\""&amp;SUBSTITUTE(SUBST"&amp;"ITUTE(SUBSTITUTE(SUBSTITUTE(SUBSTITUTE(INDEX(Hairstyles!$C:$C,MATCH($B617,Hairstyles!$F:$F,0)),"" "",""""),""'"",""""),""("",""""),"")"",""""),""-"",""_"")&amp;""_""&amp;$A$2)"),"")</f>
        <v/>
      </c>
    </row>
    <row r="618">
      <c r="C618" s="12" t="str">
        <f>IFERROR(__xludf.DUMMYFUNCTION("IF($B618="""","""",SUBSTITUTE(SUBSTITUTE(SUBSTITUTE(SUBSTITUTE(INDEX(Hairstyles!$A:$A,MATCH($B618,Hairstyles!$F:$F,0)),"" "",""""),""'"",""""),""("",""""),"")"","""")&amp;""\""&amp;INDEX(SPLIT($A$2,""_""),1)&amp;""\""&amp;INDEX(SPLIT($A$2,""_""),2)&amp;""\""&amp;SUBSTITUTE(SUBST"&amp;"ITUTE(SUBSTITUTE(SUBSTITUTE(SUBSTITUTE(INDEX(Hairstyles!$C:$C,MATCH($B618,Hairstyles!$F:$F,0)),"" "",""""),""'"",""""),""("",""""),"")"",""""),""-"",""_"")&amp;""_""&amp;$A$2)"),"")</f>
        <v/>
      </c>
    </row>
    <row r="619">
      <c r="C619" s="12" t="str">
        <f>IFERROR(__xludf.DUMMYFUNCTION("IF($B619="""","""",SUBSTITUTE(SUBSTITUTE(SUBSTITUTE(SUBSTITUTE(INDEX(Hairstyles!$A:$A,MATCH($B619,Hairstyles!$F:$F,0)),"" "",""""),""'"",""""),""("",""""),"")"","""")&amp;""\""&amp;INDEX(SPLIT($A$2,""_""),1)&amp;""\""&amp;INDEX(SPLIT($A$2,""_""),2)&amp;""\""&amp;SUBSTITUTE(SUBST"&amp;"ITUTE(SUBSTITUTE(SUBSTITUTE(SUBSTITUTE(INDEX(Hairstyles!$C:$C,MATCH($B619,Hairstyles!$F:$F,0)),"" "",""""),""'"",""""),""("",""""),"")"",""""),""-"",""_"")&amp;""_""&amp;$A$2)"),"")</f>
        <v/>
      </c>
    </row>
    <row r="620">
      <c r="C620" s="12" t="str">
        <f>IFERROR(__xludf.DUMMYFUNCTION("IF($B620="""","""",SUBSTITUTE(SUBSTITUTE(SUBSTITUTE(SUBSTITUTE(INDEX(Hairstyles!$A:$A,MATCH($B620,Hairstyles!$F:$F,0)),"" "",""""),""'"",""""),""("",""""),"")"","""")&amp;""\""&amp;INDEX(SPLIT($A$2,""_""),1)&amp;""\""&amp;INDEX(SPLIT($A$2,""_""),2)&amp;""\""&amp;SUBSTITUTE(SUBST"&amp;"ITUTE(SUBSTITUTE(SUBSTITUTE(SUBSTITUTE(INDEX(Hairstyles!$C:$C,MATCH($B620,Hairstyles!$F:$F,0)),"" "",""""),""'"",""""),""("",""""),"")"",""""),""-"",""_"")&amp;""_""&amp;$A$2)"),"")</f>
        <v/>
      </c>
    </row>
    <row r="621">
      <c r="C621" s="12" t="str">
        <f>IFERROR(__xludf.DUMMYFUNCTION("IF($B621="""","""",SUBSTITUTE(SUBSTITUTE(SUBSTITUTE(SUBSTITUTE(INDEX(Hairstyles!$A:$A,MATCH($B621,Hairstyles!$F:$F,0)),"" "",""""),""'"",""""),""("",""""),"")"","""")&amp;""\""&amp;INDEX(SPLIT($A$2,""_""),1)&amp;""\""&amp;INDEX(SPLIT($A$2,""_""),2)&amp;""\""&amp;SUBSTITUTE(SUBST"&amp;"ITUTE(SUBSTITUTE(SUBSTITUTE(SUBSTITUTE(INDEX(Hairstyles!$C:$C,MATCH($B621,Hairstyles!$F:$F,0)),"" "",""""),""'"",""""),""("",""""),"")"",""""),""-"",""_"")&amp;""_""&amp;$A$2)"),"")</f>
        <v/>
      </c>
    </row>
    <row r="622">
      <c r="C622" s="12" t="str">
        <f>IFERROR(__xludf.DUMMYFUNCTION("IF($B622="""","""",SUBSTITUTE(SUBSTITUTE(SUBSTITUTE(SUBSTITUTE(INDEX(Hairstyles!$A:$A,MATCH($B622,Hairstyles!$F:$F,0)),"" "",""""),""'"",""""),""("",""""),"")"","""")&amp;""\""&amp;INDEX(SPLIT($A$2,""_""),1)&amp;""\""&amp;INDEX(SPLIT($A$2,""_""),2)&amp;""\""&amp;SUBSTITUTE(SUBST"&amp;"ITUTE(SUBSTITUTE(SUBSTITUTE(SUBSTITUTE(INDEX(Hairstyles!$C:$C,MATCH($B622,Hairstyles!$F:$F,0)),"" "",""""),""'"",""""),""("",""""),"")"",""""),""-"",""_"")&amp;""_""&amp;$A$2)"),"")</f>
        <v/>
      </c>
    </row>
    <row r="623">
      <c r="C623" s="12" t="str">
        <f>IFERROR(__xludf.DUMMYFUNCTION("IF($B623="""","""",SUBSTITUTE(SUBSTITUTE(SUBSTITUTE(SUBSTITUTE(INDEX(Hairstyles!$A:$A,MATCH($B623,Hairstyles!$F:$F,0)),"" "",""""),""'"",""""),""("",""""),"")"","""")&amp;""\""&amp;INDEX(SPLIT($A$2,""_""),1)&amp;""\""&amp;INDEX(SPLIT($A$2,""_""),2)&amp;""\""&amp;SUBSTITUTE(SUBST"&amp;"ITUTE(SUBSTITUTE(SUBSTITUTE(SUBSTITUTE(INDEX(Hairstyles!$C:$C,MATCH($B623,Hairstyles!$F:$F,0)),"" "",""""),""'"",""""),""("",""""),"")"",""""),""-"",""_"")&amp;""_""&amp;$A$2)"),"")</f>
        <v/>
      </c>
    </row>
    <row r="624">
      <c r="C624" s="12" t="str">
        <f>IFERROR(__xludf.DUMMYFUNCTION("IF($B624="""","""",SUBSTITUTE(SUBSTITUTE(SUBSTITUTE(SUBSTITUTE(INDEX(Hairstyles!$A:$A,MATCH($B624,Hairstyles!$F:$F,0)),"" "",""""),""'"",""""),""("",""""),"")"","""")&amp;""\""&amp;INDEX(SPLIT($A$2,""_""),1)&amp;""\""&amp;INDEX(SPLIT($A$2,""_""),2)&amp;""\""&amp;SUBSTITUTE(SUBST"&amp;"ITUTE(SUBSTITUTE(SUBSTITUTE(SUBSTITUTE(INDEX(Hairstyles!$C:$C,MATCH($B624,Hairstyles!$F:$F,0)),"" "",""""),""'"",""""),""("",""""),"")"",""""),""-"",""_"")&amp;""_""&amp;$A$2)"),"")</f>
        <v/>
      </c>
    </row>
    <row r="625">
      <c r="C625" s="12" t="str">
        <f>IFERROR(__xludf.DUMMYFUNCTION("IF($B625="""","""",SUBSTITUTE(SUBSTITUTE(SUBSTITUTE(SUBSTITUTE(INDEX(Hairstyles!$A:$A,MATCH($B625,Hairstyles!$F:$F,0)),"" "",""""),""'"",""""),""("",""""),"")"","""")&amp;""\""&amp;INDEX(SPLIT($A$2,""_""),1)&amp;""\""&amp;INDEX(SPLIT($A$2,""_""),2)&amp;""\""&amp;SUBSTITUTE(SUBST"&amp;"ITUTE(SUBSTITUTE(SUBSTITUTE(SUBSTITUTE(INDEX(Hairstyles!$C:$C,MATCH($B625,Hairstyles!$F:$F,0)),"" "",""""),""'"",""""),""("",""""),"")"",""""),""-"",""_"")&amp;""_""&amp;$A$2)"),"")</f>
        <v/>
      </c>
    </row>
    <row r="626">
      <c r="C626" s="12" t="str">
        <f>IFERROR(__xludf.DUMMYFUNCTION("IF($B626="""","""",SUBSTITUTE(SUBSTITUTE(SUBSTITUTE(SUBSTITUTE(INDEX(Hairstyles!$A:$A,MATCH($B626,Hairstyles!$F:$F,0)),"" "",""""),""'"",""""),""("",""""),"")"","""")&amp;""\""&amp;INDEX(SPLIT($A$2,""_""),1)&amp;""\""&amp;INDEX(SPLIT($A$2,""_""),2)&amp;""\""&amp;SUBSTITUTE(SUBST"&amp;"ITUTE(SUBSTITUTE(SUBSTITUTE(SUBSTITUTE(INDEX(Hairstyles!$C:$C,MATCH($B626,Hairstyles!$F:$F,0)),"" "",""""),""'"",""""),""("",""""),"")"",""""),""-"",""_"")&amp;""_""&amp;$A$2)"),"")</f>
        <v/>
      </c>
    </row>
    <row r="627">
      <c r="C627" s="12" t="str">
        <f>IFERROR(__xludf.DUMMYFUNCTION("IF($B627="""","""",SUBSTITUTE(SUBSTITUTE(SUBSTITUTE(SUBSTITUTE(INDEX(Hairstyles!$A:$A,MATCH($B627,Hairstyles!$F:$F,0)),"" "",""""),""'"",""""),""("",""""),"")"","""")&amp;""\""&amp;INDEX(SPLIT($A$2,""_""),1)&amp;""\""&amp;INDEX(SPLIT($A$2,""_""),2)&amp;""\""&amp;SUBSTITUTE(SUBST"&amp;"ITUTE(SUBSTITUTE(SUBSTITUTE(SUBSTITUTE(INDEX(Hairstyles!$C:$C,MATCH($B627,Hairstyles!$F:$F,0)),"" "",""""),""'"",""""),""("",""""),"")"",""""),""-"",""_"")&amp;""_""&amp;$A$2)"),"")</f>
        <v/>
      </c>
    </row>
    <row r="628">
      <c r="C628" s="12" t="str">
        <f>IFERROR(__xludf.DUMMYFUNCTION("IF($B628="""","""",SUBSTITUTE(SUBSTITUTE(SUBSTITUTE(SUBSTITUTE(INDEX(Hairstyles!$A:$A,MATCH($B628,Hairstyles!$F:$F,0)),"" "",""""),""'"",""""),""("",""""),"")"","""")&amp;""\""&amp;INDEX(SPLIT($A$2,""_""),1)&amp;""\""&amp;INDEX(SPLIT($A$2,""_""),2)&amp;""\""&amp;SUBSTITUTE(SUBST"&amp;"ITUTE(SUBSTITUTE(SUBSTITUTE(SUBSTITUTE(INDEX(Hairstyles!$C:$C,MATCH($B628,Hairstyles!$F:$F,0)),"" "",""""),""'"",""""),""("",""""),"")"",""""),""-"",""_"")&amp;""_""&amp;$A$2)"),"")</f>
        <v/>
      </c>
    </row>
    <row r="629">
      <c r="C629" s="12" t="str">
        <f>IFERROR(__xludf.DUMMYFUNCTION("IF($B629="""","""",SUBSTITUTE(SUBSTITUTE(SUBSTITUTE(SUBSTITUTE(INDEX(Hairstyles!$A:$A,MATCH($B629,Hairstyles!$F:$F,0)),"" "",""""),""'"",""""),""("",""""),"")"","""")&amp;""\""&amp;INDEX(SPLIT($A$2,""_""),1)&amp;""\""&amp;INDEX(SPLIT($A$2,""_""),2)&amp;""\""&amp;SUBSTITUTE(SUBST"&amp;"ITUTE(SUBSTITUTE(SUBSTITUTE(SUBSTITUTE(INDEX(Hairstyles!$C:$C,MATCH($B629,Hairstyles!$F:$F,0)),"" "",""""),""'"",""""),""("",""""),"")"",""""),""-"",""_"")&amp;""_""&amp;$A$2)"),"")</f>
        <v/>
      </c>
    </row>
    <row r="630">
      <c r="C630" s="12" t="str">
        <f>IFERROR(__xludf.DUMMYFUNCTION("IF($B630="""","""",SUBSTITUTE(SUBSTITUTE(SUBSTITUTE(SUBSTITUTE(INDEX(Hairstyles!$A:$A,MATCH($B630,Hairstyles!$F:$F,0)),"" "",""""),""'"",""""),""("",""""),"")"","""")&amp;""\""&amp;INDEX(SPLIT($A$2,""_""),1)&amp;""\""&amp;INDEX(SPLIT($A$2,""_""),2)&amp;""\""&amp;SUBSTITUTE(SUBST"&amp;"ITUTE(SUBSTITUTE(SUBSTITUTE(SUBSTITUTE(INDEX(Hairstyles!$C:$C,MATCH($B630,Hairstyles!$F:$F,0)),"" "",""""),""'"",""""),""("",""""),"")"",""""),""-"",""_"")&amp;""_""&amp;$A$2)"),"")</f>
        <v/>
      </c>
    </row>
    <row r="631">
      <c r="C631" s="12" t="str">
        <f>IFERROR(__xludf.DUMMYFUNCTION("IF($B631="""","""",SUBSTITUTE(SUBSTITUTE(SUBSTITUTE(SUBSTITUTE(INDEX(Hairstyles!$A:$A,MATCH($B631,Hairstyles!$F:$F,0)),"" "",""""),""'"",""""),""("",""""),"")"","""")&amp;""\""&amp;INDEX(SPLIT($A$2,""_""),1)&amp;""\""&amp;INDEX(SPLIT($A$2,""_""),2)&amp;""\""&amp;SUBSTITUTE(SUBST"&amp;"ITUTE(SUBSTITUTE(SUBSTITUTE(SUBSTITUTE(INDEX(Hairstyles!$C:$C,MATCH($B631,Hairstyles!$F:$F,0)),"" "",""""),""'"",""""),""("",""""),"")"",""""),""-"",""_"")&amp;""_""&amp;$A$2)"),"")</f>
        <v/>
      </c>
    </row>
    <row r="632">
      <c r="C632" s="12" t="str">
        <f>IFERROR(__xludf.DUMMYFUNCTION("IF($B632="""","""",SUBSTITUTE(SUBSTITUTE(SUBSTITUTE(SUBSTITUTE(INDEX(Hairstyles!$A:$A,MATCH($B632,Hairstyles!$F:$F,0)),"" "",""""),""'"",""""),""("",""""),"")"","""")&amp;""\""&amp;INDEX(SPLIT($A$2,""_""),1)&amp;""\""&amp;INDEX(SPLIT($A$2,""_""),2)&amp;""\""&amp;SUBSTITUTE(SUBST"&amp;"ITUTE(SUBSTITUTE(SUBSTITUTE(SUBSTITUTE(INDEX(Hairstyles!$C:$C,MATCH($B632,Hairstyles!$F:$F,0)),"" "",""""),""'"",""""),""("",""""),"")"",""""),""-"",""_"")&amp;""_""&amp;$A$2)"),"")</f>
        <v/>
      </c>
    </row>
    <row r="633">
      <c r="C633" s="12" t="str">
        <f>IFERROR(__xludf.DUMMYFUNCTION("IF($B633="""","""",SUBSTITUTE(SUBSTITUTE(SUBSTITUTE(SUBSTITUTE(INDEX(Hairstyles!$A:$A,MATCH($B633,Hairstyles!$F:$F,0)),"" "",""""),""'"",""""),""("",""""),"")"","""")&amp;""\""&amp;INDEX(SPLIT($A$2,""_""),1)&amp;""\""&amp;INDEX(SPLIT($A$2,""_""),2)&amp;""\""&amp;SUBSTITUTE(SUBST"&amp;"ITUTE(SUBSTITUTE(SUBSTITUTE(SUBSTITUTE(INDEX(Hairstyles!$C:$C,MATCH($B633,Hairstyles!$F:$F,0)),"" "",""""),""'"",""""),""("",""""),"")"",""""),""-"",""_"")&amp;""_""&amp;$A$2)"),"")</f>
        <v/>
      </c>
    </row>
    <row r="634">
      <c r="C634" s="12" t="str">
        <f>IFERROR(__xludf.DUMMYFUNCTION("IF($B634="""","""",SUBSTITUTE(SUBSTITUTE(SUBSTITUTE(SUBSTITUTE(INDEX(Hairstyles!$A:$A,MATCH($B634,Hairstyles!$F:$F,0)),"" "",""""),""'"",""""),""("",""""),"")"","""")&amp;""\""&amp;INDEX(SPLIT($A$2,""_""),1)&amp;""\""&amp;INDEX(SPLIT($A$2,""_""),2)&amp;""\""&amp;SUBSTITUTE(SUBST"&amp;"ITUTE(SUBSTITUTE(SUBSTITUTE(SUBSTITUTE(INDEX(Hairstyles!$C:$C,MATCH($B634,Hairstyles!$F:$F,0)),"" "",""""),""'"",""""),""("",""""),"")"",""""),""-"",""_"")&amp;""_""&amp;$A$2)"),"")</f>
        <v/>
      </c>
    </row>
    <row r="635">
      <c r="C635" s="12" t="str">
        <f>IFERROR(__xludf.DUMMYFUNCTION("IF($B635="""","""",SUBSTITUTE(SUBSTITUTE(SUBSTITUTE(SUBSTITUTE(INDEX(Hairstyles!$A:$A,MATCH($B635,Hairstyles!$F:$F,0)),"" "",""""),""'"",""""),""("",""""),"")"","""")&amp;""\""&amp;INDEX(SPLIT($A$2,""_""),1)&amp;""\""&amp;INDEX(SPLIT($A$2,""_""),2)&amp;""\""&amp;SUBSTITUTE(SUBST"&amp;"ITUTE(SUBSTITUTE(SUBSTITUTE(SUBSTITUTE(INDEX(Hairstyles!$C:$C,MATCH($B635,Hairstyles!$F:$F,0)),"" "",""""),""'"",""""),""("",""""),"")"",""""),""-"",""_"")&amp;""_""&amp;$A$2)"),"")</f>
        <v/>
      </c>
    </row>
    <row r="636">
      <c r="C636" s="12" t="str">
        <f>IFERROR(__xludf.DUMMYFUNCTION("IF($B636="""","""",SUBSTITUTE(SUBSTITUTE(SUBSTITUTE(SUBSTITUTE(INDEX(Hairstyles!$A:$A,MATCH($B636,Hairstyles!$F:$F,0)),"" "",""""),""'"",""""),""("",""""),"")"","""")&amp;""\""&amp;INDEX(SPLIT($A$2,""_""),1)&amp;""\""&amp;INDEX(SPLIT($A$2,""_""),2)&amp;""\""&amp;SUBSTITUTE(SUBST"&amp;"ITUTE(SUBSTITUTE(SUBSTITUTE(SUBSTITUTE(INDEX(Hairstyles!$C:$C,MATCH($B636,Hairstyles!$F:$F,0)),"" "",""""),""'"",""""),""("",""""),"")"",""""),""-"",""_"")&amp;""_""&amp;$A$2)"),"")</f>
        <v/>
      </c>
    </row>
    <row r="637">
      <c r="C637" s="12" t="str">
        <f>IFERROR(__xludf.DUMMYFUNCTION("IF($B637="""","""",SUBSTITUTE(SUBSTITUTE(SUBSTITUTE(SUBSTITUTE(INDEX(Hairstyles!$A:$A,MATCH($B637,Hairstyles!$F:$F,0)),"" "",""""),""'"",""""),""("",""""),"")"","""")&amp;""\""&amp;INDEX(SPLIT($A$2,""_""),1)&amp;""\""&amp;INDEX(SPLIT($A$2,""_""),2)&amp;""\""&amp;SUBSTITUTE(SUBST"&amp;"ITUTE(SUBSTITUTE(SUBSTITUTE(SUBSTITUTE(INDEX(Hairstyles!$C:$C,MATCH($B637,Hairstyles!$F:$F,0)),"" "",""""),""'"",""""),""("",""""),"")"",""""),""-"",""_"")&amp;""_""&amp;$A$2)"),"")</f>
        <v/>
      </c>
    </row>
    <row r="638">
      <c r="C638" s="12" t="str">
        <f>IFERROR(__xludf.DUMMYFUNCTION("IF($B638="""","""",SUBSTITUTE(SUBSTITUTE(SUBSTITUTE(SUBSTITUTE(INDEX(Hairstyles!$A:$A,MATCH($B638,Hairstyles!$F:$F,0)),"" "",""""),""'"",""""),""("",""""),"")"","""")&amp;""\""&amp;INDEX(SPLIT($A$2,""_""),1)&amp;""\""&amp;INDEX(SPLIT($A$2,""_""),2)&amp;""\""&amp;SUBSTITUTE(SUBST"&amp;"ITUTE(SUBSTITUTE(SUBSTITUTE(SUBSTITUTE(INDEX(Hairstyles!$C:$C,MATCH($B638,Hairstyles!$F:$F,0)),"" "",""""),""'"",""""),""("",""""),"")"",""""),""-"",""_"")&amp;""_""&amp;$A$2)"),"")</f>
        <v/>
      </c>
    </row>
    <row r="639">
      <c r="C639" s="12" t="str">
        <f>IFERROR(__xludf.DUMMYFUNCTION("IF($B639="""","""",SUBSTITUTE(SUBSTITUTE(SUBSTITUTE(SUBSTITUTE(INDEX(Hairstyles!$A:$A,MATCH($B639,Hairstyles!$F:$F,0)),"" "",""""),""'"",""""),""("",""""),"")"","""")&amp;""\""&amp;INDEX(SPLIT($A$2,""_""),1)&amp;""\""&amp;INDEX(SPLIT($A$2,""_""),2)&amp;""\""&amp;SUBSTITUTE(SUBST"&amp;"ITUTE(SUBSTITUTE(SUBSTITUTE(SUBSTITUTE(INDEX(Hairstyles!$C:$C,MATCH($B639,Hairstyles!$F:$F,0)),"" "",""""),""'"",""""),""("",""""),"")"",""""),""-"",""_"")&amp;""_""&amp;$A$2)"),"")</f>
        <v/>
      </c>
    </row>
    <row r="640">
      <c r="C640" s="12" t="str">
        <f>IFERROR(__xludf.DUMMYFUNCTION("IF($B640="""","""",SUBSTITUTE(SUBSTITUTE(SUBSTITUTE(SUBSTITUTE(INDEX(Hairstyles!$A:$A,MATCH($B640,Hairstyles!$F:$F,0)),"" "",""""),""'"",""""),""("",""""),"")"","""")&amp;""\""&amp;INDEX(SPLIT($A$2,""_""),1)&amp;""\""&amp;INDEX(SPLIT($A$2,""_""),2)&amp;""\""&amp;SUBSTITUTE(SUBST"&amp;"ITUTE(SUBSTITUTE(SUBSTITUTE(SUBSTITUTE(INDEX(Hairstyles!$C:$C,MATCH($B640,Hairstyles!$F:$F,0)),"" "",""""),""'"",""""),""("",""""),"")"",""""),""-"",""_"")&amp;""_""&amp;$A$2)"),"")</f>
        <v/>
      </c>
    </row>
    <row r="641">
      <c r="C641" s="12" t="str">
        <f>IFERROR(__xludf.DUMMYFUNCTION("IF($B641="""","""",SUBSTITUTE(SUBSTITUTE(SUBSTITUTE(SUBSTITUTE(INDEX(Hairstyles!$A:$A,MATCH($B641,Hairstyles!$F:$F,0)),"" "",""""),""'"",""""),""("",""""),"")"","""")&amp;""\""&amp;INDEX(SPLIT($A$2,""_""),1)&amp;""\""&amp;INDEX(SPLIT($A$2,""_""),2)&amp;""\""&amp;SUBSTITUTE(SUBST"&amp;"ITUTE(SUBSTITUTE(SUBSTITUTE(SUBSTITUTE(INDEX(Hairstyles!$C:$C,MATCH($B641,Hairstyles!$F:$F,0)),"" "",""""),""'"",""""),""("",""""),"")"",""""),""-"",""_"")&amp;""_""&amp;$A$2)"),"")</f>
        <v/>
      </c>
    </row>
    <row r="642">
      <c r="C642" s="12" t="str">
        <f>IFERROR(__xludf.DUMMYFUNCTION("IF($B642="""","""",SUBSTITUTE(SUBSTITUTE(SUBSTITUTE(SUBSTITUTE(INDEX(Hairstyles!$A:$A,MATCH($B642,Hairstyles!$F:$F,0)),"" "",""""),""'"",""""),""("",""""),"")"","""")&amp;""\""&amp;INDEX(SPLIT($A$2,""_""),1)&amp;""\""&amp;INDEX(SPLIT($A$2,""_""),2)&amp;""\""&amp;SUBSTITUTE(SUBST"&amp;"ITUTE(SUBSTITUTE(SUBSTITUTE(SUBSTITUTE(INDEX(Hairstyles!$C:$C,MATCH($B642,Hairstyles!$F:$F,0)),"" "",""""),""'"",""""),""("",""""),"")"",""""),""-"",""_"")&amp;""_""&amp;$A$2)"),"")</f>
        <v/>
      </c>
    </row>
    <row r="643">
      <c r="C643" s="12" t="str">
        <f>IFERROR(__xludf.DUMMYFUNCTION("IF($B643="""","""",SUBSTITUTE(SUBSTITUTE(SUBSTITUTE(SUBSTITUTE(INDEX(Hairstyles!$A:$A,MATCH($B643,Hairstyles!$F:$F,0)),"" "",""""),""'"",""""),""("",""""),"")"","""")&amp;""\""&amp;INDEX(SPLIT($A$2,""_""),1)&amp;""\""&amp;INDEX(SPLIT($A$2,""_""),2)&amp;""\""&amp;SUBSTITUTE(SUBST"&amp;"ITUTE(SUBSTITUTE(SUBSTITUTE(SUBSTITUTE(INDEX(Hairstyles!$C:$C,MATCH($B643,Hairstyles!$F:$F,0)),"" "",""""),""'"",""""),""("",""""),"")"",""""),""-"",""_"")&amp;""_""&amp;$A$2)"),"")</f>
        <v/>
      </c>
    </row>
    <row r="644">
      <c r="C644" s="12" t="str">
        <f>IFERROR(__xludf.DUMMYFUNCTION("IF($B644="""","""",SUBSTITUTE(SUBSTITUTE(SUBSTITUTE(SUBSTITUTE(INDEX(Hairstyles!$A:$A,MATCH($B644,Hairstyles!$F:$F,0)),"" "",""""),""'"",""""),""("",""""),"")"","""")&amp;""\""&amp;INDEX(SPLIT($A$2,""_""),1)&amp;""\""&amp;INDEX(SPLIT($A$2,""_""),2)&amp;""\""&amp;SUBSTITUTE(SUBST"&amp;"ITUTE(SUBSTITUTE(SUBSTITUTE(SUBSTITUTE(INDEX(Hairstyles!$C:$C,MATCH($B644,Hairstyles!$F:$F,0)),"" "",""""),""'"",""""),""("",""""),"")"",""""),""-"",""_"")&amp;""_""&amp;$A$2)"),"")</f>
        <v/>
      </c>
    </row>
    <row r="645">
      <c r="C645" s="12" t="str">
        <f>IFERROR(__xludf.DUMMYFUNCTION("IF($B645="""","""",SUBSTITUTE(SUBSTITUTE(SUBSTITUTE(SUBSTITUTE(INDEX(Hairstyles!$A:$A,MATCH($B645,Hairstyles!$F:$F,0)),"" "",""""),""'"",""""),""("",""""),"")"","""")&amp;""\""&amp;INDEX(SPLIT($A$2,""_""),1)&amp;""\""&amp;INDEX(SPLIT($A$2,""_""),2)&amp;""\""&amp;SUBSTITUTE(SUBST"&amp;"ITUTE(SUBSTITUTE(SUBSTITUTE(SUBSTITUTE(INDEX(Hairstyles!$C:$C,MATCH($B645,Hairstyles!$F:$F,0)),"" "",""""),""'"",""""),""("",""""),"")"",""""),""-"",""_"")&amp;""_""&amp;$A$2)"),"")</f>
        <v/>
      </c>
    </row>
    <row r="646">
      <c r="C646" s="12" t="str">
        <f>IFERROR(__xludf.DUMMYFUNCTION("IF($B646="""","""",SUBSTITUTE(SUBSTITUTE(SUBSTITUTE(SUBSTITUTE(INDEX(Hairstyles!$A:$A,MATCH($B646,Hairstyles!$F:$F,0)),"" "",""""),""'"",""""),""("",""""),"")"","""")&amp;""\""&amp;INDEX(SPLIT($A$2,""_""),1)&amp;""\""&amp;INDEX(SPLIT($A$2,""_""),2)&amp;""\""&amp;SUBSTITUTE(SUBST"&amp;"ITUTE(SUBSTITUTE(SUBSTITUTE(SUBSTITUTE(INDEX(Hairstyles!$C:$C,MATCH($B646,Hairstyles!$F:$F,0)),"" "",""""),""'"",""""),""("",""""),"")"",""""),""-"",""_"")&amp;""_""&amp;$A$2)"),"")</f>
        <v/>
      </c>
    </row>
    <row r="647">
      <c r="C647" s="12" t="str">
        <f>IFERROR(__xludf.DUMMYFUNCTION("IF($B647="""","""",SUBSTITUTE(SUBSTITUTE(SUBSTITUTE(SUBSTITUTE(INDEX(Hairstyles!$A:$A,MATCH($B647,Hairstyles!$F:$F,0)),"" "",""""),""'"",""""),""("",""""),"")"","""")&amp;""\""&amp;INDEX(SPLIT($A$2,""_""),1)&amp;""\""&amp;INDEX(SPLIT($A$2,""_""),2)&amp;""\""&amp;SUBSTITUTE(SUBST"&amp;"ITUTE(SUBSTITUTE(SUBSTITUTE(SUBSTITUTE(INDEX(Hairstyles!$C:$C,MATCH($B647,Hairstyles!$F:$F,0)),"" "",""""),""'"",""""),""("",""""),"")"",""""),""-"",""_"")&amp;""_""&amp;$A$2)"),"")</f>
        <v/>
      </c>
    </row>
    <row r="648">
      <c r="C648" s="12" t="str">
        <f>IFERROR(__xludf.DUMMYFUNCTION("IF($B648="""","""",SUBSTITUTE(SUBSTITUTE(SUBSTITUTE(SUBSTITUTE(INDEX(Hairstyles!$A:$A,MATCH($B648,Hairstyles!$F:$F,0)),"" "",""""),""'"",""""),""("",""""),"")"","""")&amp;""\""&amp;INDEX(SPLIT($A$2,""_""),1)&amp;""\""&amp;INDEX(SPLIT($A$2,""_""),2)&amp;""\""&amp;SUBSTITUTE(SUBST"&amp;"ITUTE(SUBSTITUTE(SUBSTITUTE(SUBSTITUTE(INDEX(Hairstyles!$C:$C,MATCH($B648,Hairstyles!$F:$F,0)),"" "",""""),""'"",""""),""("",""""),"")"",""""),""-"",""_"")&amp;""_""&amp;$A$2)"),"")</f>
        <v/>
      </c>
    </row>
    <row r="649">
      <c r="C649" s="12" t="str">
        <f>IFERROR(__xludf.DUMMYFUNCTION("IF($B649="""","""",SUBSTITUTE(SUBSTITUTE(SUBSTITUTE(SUBSTITUTE(INDEX(Hairstyles!$A:$A,MATCH($B649,Hairstyles!$F:$F,0)),"" "",""""),""'"",""""),""("",""""),"")"","""")&amp;""\""&amp;INDEX(SPLIT($A$2,""_""),1)&amp;""\""&amp;INDEX(SPLIT($A$2,""_""),2)&amp;""\""&amp;SUBSTITUTE(SUBST"&amp;"ITUTE(SUBSTITUTE(SUBSTITUTE(SUBSTITUTE(INDEX(Hairstyles!$C:$C,MATCH($B649,Hairstyles!$F:$F,0)),"" "",""""),""'"",""""),""("",""""),"")"",""""),""-"",""_"")&amp;""_""&amp;$A$2)"),"")</f>
        <v/>
      </c>
    </row>
    <row r="650">
      <c r="C650" s="12" t="str">
        <f>IFERROR(__xludf.DUMMYFUNCTION("IF($B650="""","""",SUBSTITUTE(SUBSTITUTE(SUBSTITUTE(SUBSTITUTE(INDEX(Hairstyles!$A:$A,MATCH($B650,Hairstyles!$F:$F,0)),"" "",""""),""'"",""""),""("",""""),"")"","""")&amp;""\""&amp;INDEX(SPLIT($A$2,""_""),1)&amp;""\""&amp;INDEX(SPLIT($A$2,""_""),2)&amp;""\""&amp;SUBSTITUTE(SUBST"&amp;"ITUTE(SUBSTITUTE(SUBSTITUTE(SUBSTITUTE(INDEX(Hairstyles!$C:$C,MATCH($B650,Hairstyles!$F:$F,0)),"" "",""""),""'"",""""),""("",""""),"")"",""""),""-"",""_"")&amp;""_""&amp;$A$2)"),"")</f>
        <v/>
      </c>
    </row>
    <row r="651">
      <c r="C651" s="12" t="str">
        <f>IFERROR(__xludf.DUMMYFUNCTION("IF($B651="""","""",SUBSTITUTE(SUBSTITUTE(SUBSTITUTE(SUBSTITUTE(INDEX(Hairstyles!$A:$A,MATCH($B651,Hairstyles!$F:$F,0)),"" "",""""),""'"",""""),""("",""""),"")"","""")&amp;""\""&amp;INDEX(SPLIT($A$2,""_""),1)&amp;""\""&amp;INDEX(SPLIT($A$2,""_""),2)&amp;""\""&amp;SUBSTITUTE(SUBST"&amp;"ITUTE(SUBSTITUTE(SUBSTITUTE(SUBSTITUTE(INDEX(Hairstyles!$C:$C,MATCH($B651,Hairstyles!$F:$F,0)),"" "",""""),""'"",""""),""("",""""),"")"",""""),""-"",""_"")&amp;""_""&amp;$A$2)"),"")</f>
        <v/>
      </c>
    </row>
    <row r="652">
      <c r="C652" s="12" t="str">
        <f>IFERROR(__xludf.DUMMYFUNCTION("IF($B652="""","""",SUBSTITUTE(SUBSTITUTE(SUBSTITUTE(SUBSTITUTE(INDEX(Hairstyles!$A:$A,MATCH($B652,Hairstyles!$F:$F,0)),"" "",""""),""'"",""""),""("",""""),"")"","""")&amp;""\""&amp;INDEX(SPLIT($A$2,""_""),1)&amp;""\""&amp;INDEX(SPLIT($A$2,""_""),2)&amp;""\""&amp;SUBSTITUTE(SUBST"&amp;"ITUTE(SUBSTITUTE(SUBSTITUTE(SUBSTITUTE(INDEX(Hairstyles!$C:$C,MATCH($B652,Hairstyles!$F:$F,0)),"" "",""""),""'"",""""),""("",""""),"")"",""""),""-"",""_"")&amp;""_""&amp;$A$2)"),"")</f>
        <v/>
      </c>
    </row>
    <row r="653">
      <c r="C653" s="12" t="str">
        <f>IFERROR(__xludf.DUMMYFUNCTION("IF($B653="""","""",SUBSTITUTE(SUBSTITUTE(SUBSTITUTE(SUBSTITUTE(INDEX(Hairstyles!$A:$A,MATCH($B653,Hairstyles!$F:$F,0)),"" "",""""),""'"",""""),""("",""""),"")"","""")&amp;""\""&amp;INDEX(SPLIT($A$2,""_""),1)&amp;""\""&amp;INDEX(SPLIT($A$2,""_""),2)&amp;""\""&amp;SUBSTITUTE(SUBST"&amp;"ITUTE(SUBSTITUTE(SUBSTITUTE(SUBSTITUTE(INDEX(Hairstyles!$C:$C,MATCH($B653,Hairstyles!$F:$F,0)),"" "",""""),""'"",""""),""("",""""),"")"",""""),""-"",""_"")&amp;""_""&amp;$A$2)"),"")</f>
        <v/>
      </c>
    </row>
    <row r="654">
      <c r="C654" s="12" t="str">
        <f>IFERROR(__xludf.DUMMYFUNCTION("IF($B654="""","""",SUBSTITUTE(SUBSTITUTE(SUBSTITUTE(SUBSTITUTE(INDEX(Hairstyles!$A:$A,MATCH($B654,Hairstyles!$F:$F,0)),"" "",""""),""'"",""""),""("",""""),"")"","""")&amp;""\""&amp;INDEX(SPLIT($A$2,""_""),1)&amp;""\""&amp;INDEX(SPLIT($A$2,""_""),2)&amp;""\""&amp;SUBSTITUTE(SUBST"&amp;"ITUTE(SUBSTITUTE(SUBSTITUTE(SUBSTITUTE(INDEX(Hairstyles!$C:$C,MATCH($B654,Hairstyles!$F:$F,0)),"" "",""""),""'"",""""),""("",""""),"")"",""""),""-"",""_"")&amp;""_""&amp;$A$2)"),"")</f>
        <v/>
      </c>
    </row>
    <row r="655">
      <c r="C655" s="12" t="str">
        <f>IFERROR(__xludf.DUMMYFUNCTION("IF($B655="""","""",SUBSTITUTE(SUBSTITUTE(SUBSTITUTE(SUBSTITUTE(INDEX(Hairstyles!$A:$A,MATCH($B655,Hairstyles!$F:$F,0)),"" "",""""),""'"",""""),""("",""""),"")"","""")&amp;""\""&amp;INDEX(SPLIT($A$2,""_""),1)&amp;""\""&amp;INDEX(SPLIT($A$2,""_""),2)&amp;""\""&amp;SUBSTITUTE(SUBST"&amp;"ITUTE(SUBSTITUTE(SUBSTITUTE(SUBSTITUTE(INDEX(Hairstyles!$C:$C,MATCH($B655,Hairstyles!$F:$F,0)),"" "",""""),""'"",""""),""("",""""),"")"",""""),""-"",""_"")&amp;""_""&amp;$A$2)"),"")</f>
        <v/>
      </c>
    </row>
    <row r="656">
      <c r="C656" s="12" t="str">
        <f>IFERROR(__xludf.DUMMYFUNCTION("IF($B656="""","""",SUBSTITUTE(SUBSTITUTE(SUBSTITUTE(SUBSTITUTE(INDEX(Hairstyles!$A:$A,MATCH($B656,Hairstyles!$F:$F,0)),"" "",""""),""'"",""""),""("",""""),"")"","""")&amp;""\""&amp;INDEX(SPLIT($A$2,""_""),1)&amp;""\""&amp;INDEX(SPLIT($A$2,""_""),2)&amp;""\""&amp;SUBSTITUTE(SUBST"&amp;"ITUTE(SUBSTITUTE(SUBSTITUTE(SUBSTITUTE(INDEX(Hairstyles!$C:$C,MATCH($B656,Hairstyles!$F:$F,0)),"" "",""""),""'"",""""),""("",""""),"")"",""""),""-"",""_"")&amp;""_""&amp;$A$2)"),"")</f>
        <v/>
      </c>
    </row>
    <row r="657">
      <c r="C657" s="12" t="str">
        <f>IFERROR(__xludf.DUMMYFUNCTION("IF($B657="""","""",SUBSTITUTE(SUBSTITUTE(SUBSTITUTE(SUBSTITUTE(INDEX(Hairstyles!$A:$A,MATCH($B657,Hairstyles!$F:$F,0)),"" "",""""),""'"",""""),""("",""""),"")"","""")&amp;""\""&amp;INDEX(SPLIT($A$2,""_""),1)&amp;""\""&amp;INDEX(SPLIT($A$2,""_""),2)&amp;""\""&amp;SUBSTITUTE(SUBST"&amp;"ITUTE(SUBSTITUTE(SUBSTITUTE(SUBSTITUTE(INDEX(Hairstyles!$C:$C,MATCH($B657,Hairstyles!$F:$F,0)),"" "",""""),""'"",""""),""("",""""),"")"",""""),""-"",""_"")&amp;""_""&amp;$A$2)"),"")</f>
        <v/>
      </c>
    </row>
    <row r="658">
      <c r="C658" s="12" t="str">
        <f>IFERROR(__xludf.DUMMYFUNCTION("IF($B658="""","""",SUBSTITUTE(SUBSTITUTE(SUBSTITUTE(SUBSTITUTE(INDEX(Hairstyles!$A:$A,MATCH($B658,Hairstyles!$F:$F,0)),"" "",""""),""'"",""""),""("",""""),"")"","""")&amp;""\""&amp;INDEX(SPLIT($A$2,""_""),1)&amp;""\""&amp;INDEX(SPLIT($A$2,""_""),2)&amp;""\""&amp;SUBSTITUTE(SUBST"&amp;"ITUTE(SUBSTITUTE(SUBSTITUTE(SUBSTITUTE(INDEX(Hairstyles!$C:$C,MATCH($B658,Hairstyles!$F:$F,0)),"" "",""""),""'"",""""),""("",""""),"")"",""""),""-"",""_"")&amp;""_""&amp;$A$2)"),"")</f>
        <v/>
      </c>
    </row>
    <row r="659">
      <c r="C659" s="12" t="str">
        <f>IFERROR(__xludf.DUMMYFUNCTION("IF($B659="""","""",SUBSTITUTE(SUBSTITUTE(SUBSTITUTE(SUBSTITUTE(INDEX(Hairstyles!$A:$A,MATCH($B659,Hairstyles!$F:$F,0)),"" "",""""),""'"",""""),""("",""""),"")"","""")&amp;""\""&amp;INDEX(SPLIT($A$2,""_""),1)&amp;""\""&amp;INDEX(SPLIT($A$2,""_""),2)&amp;""\""&amp;SUBSTITUTE(SUBST"&amp;"ITUTE(SUBSTITUTE(SUBSTITUTE(SUBSTITUTE(INDEX(Hairstyles!$C:$C,MATCH($B659,Hairstyles!$F:$F,0)),"" "",""""),""'"",""""),""("",""""),"")"",""""),""-"",""_"")&amp;""_""&amp;$A$2)"),"")</f>
        <v/>
      </c>
    </row>
    <row r="660">
      <c r="C660" s="12" t="str">
        <f>IFERROR(__xludf.DUMMYFUNCTION("IF($B660="""","""",SUBSTITUTE(SUBSTITUTE(SUBSTITUTE(SUBSTITUTE(INDEX(Hairstyles!$A:$A,MATCH($B660,Hairstyles!$F:$F,0)),"" "",""""),""'"",""""),""("",""""),"")"","""")&amp;""\""&amp;INDEX(SPLIT($A$2,""_""),1)&amp;""\""&amp;INDEX(SPLIT($A$2,""_""),2)&amp;""\""&amp;SUBSTITUTE(SUBST"&amp;"ITUTE(SUBSTITUTE(SUBSTITUTE(SUBSTITUTE(INDEX(Hairstyles!$C:$C,MATCH($B660,Hairstyles!$F:$F,0)),"" "",""""),""'"",""""),""("",""""),"")"",""""),""-"",""_"")&amp;""_""&amp;$A$2)"),"")</f>
        <v/>
      </c>
    </row>
    <row r="661">
      <c r="C661" s="12" t="str">
        <f>IFERROR(__xludf.DUMMYFUNCTION("IF($B661="""","""",SUBSTITUTE(SUBSTITUTE(SUBSTITUTE(SUBSTITUTE(INDEX(Hairstyles!$A:$A,MATCH($B661,Hairstyles!$F:$F,0)),"" "",""""),""'"",""""),""("",""""),"")"","""")&amp;""\""&amp;INDEX(SPLIT($A$2,""_""),1)&amp;""\""&amp;INDEX(SPLIT($A$2,""_""),2)&amp;""\""&amp;SUBSTITUTE(SUBST"&amp;"ITUTE(SUBSTITUTE(SUBSTITUTE(SUBSTITUTE(INDEX(Hairstyles!$C:$C,MATCH($B661,Hairstyles!$F:$F,0)),"" "",""""),""'"",""""),""("",""""),"")"",""""),""-"",""_"")&amp;""_""&amp;$A$2)"),"")</f>
        <v/>
      </c>
    </row>
    <row r="662">
      <c r="C662" s="12" t="str">
        <f>IFERROR(__xludf.DUMMYFUNCTION("IF($B662="""","""",SUBSTITUTE(SUBSTITUTE(SUBSTITUTE(SUBSTITUTE(INDEX(Hairstyles!$A:$A,MATCH($B662,Hairstyles!$F:$F,0)),"" "",""""),""'"",""""),""("",""""),"")"","""")&amp;""\""&amp;INDEX(SPLIT($A$2,""_""),1)&amp;""\""&amp;INDEX(SPLIT($A$2,""_""),2)&amp;""\""&amp;SUBSTITUTE(SUBST"&amp;"ITUTE(SUBSTITUTE(SUBSTITUTE(SUBSTITUTE(INDEX(Hairstyles!$C:$C,MATCH($B662,Hairstyles!$F:$F,0)),"" "",""""),""'"",""""),""("",""""),"")"",""""),""-"",""_"")&amp;""_""&amp;$A$2)"),"")</f>
        <v/>
      </c>
    </row>
    <row r="663">
      <c r="C663" s="12" t="str">
        <f>IFERROR(__xludf.DUMMYFUNCTION("IF($B663="""","""",SUBSTITUTE(SUBSTITUTE(SUBSTITUTE(SUBSTITUTE(INDEX(Hairstyles!$A:$A,MATCH($B663,Hairstyles!$F:$F,0)),"" "",""""),""'"",""""),""("",""""),"")"","""")&amp;""\""&amp;INDEX(SPLIT($A$2,""_""),1)&amp;""\""&amp;INDEX(SPLIT($A$2,""_""),2)&amp;""\""&amp;SUBSTITUTE(SUBST"&amp;"ITUTE(SUBSTITUTE(SUBSTITUTE(SUBSTITUTE(INDEX(Hairstyles!$C:$C,MATCH($B663,Hairstyles!$F:$F,0)),"" "",""""),""'"",""""),""("",""""),"")"",""""),""-"",""_"")&amp;""_""&amp;$A$2)"),"")</f>
        <v/>
      </c>
    </row>
    <row r="664">
      <c r="C664" s="12" t="str">
        <f>IFERROR(__xludf.DUMMYFUNCTION("IF($B664="""","""",SUBSTITUTE(SUBSTITUTE(SUBSTITUTE(SUBSTITUTE(INDEX(Hairstyles!$A:$A,MATCH($B664,Hairstyles!$F:$F,0)),"" "",""""),""'"",""""),""("",""""),"")"","""")&amp;""\""&amp;INDEX(SPLIT($A$2,""_""),1)&amp;""\""&amp;INDEX(SPLIT($A$2,""_""),2)&amp;""\""&amp;SUBSTITUTE(SUBST"&amp;"ITUTE(SUBSTITUTE(SUBSTITUTE(SUBSTITUTE(INDEX(Hairstyles!$C:$C,MATCH($B664,Hairstyles!$F:$F,0)),"" "",""""),""'"",""""),""("",""""),"")"",""""),""-"",""_"")&amp;""_""&amp;$A$2)"),"")</f>
        <v/>
      </c>
    </row>
    <row r="665">
      <c r="C665" s="12" t="str">
        <f>IFERROR(__xludf.DUMMYFUNCTION("IF($B665="""","""",SUBSTITUTE(SUBSTITUTE(SUBSTITUTE(SUBSTITUTE(INDEX(Hairstyles!$A:$A,MATCH($B665,Hairstyles!$F:$F,0)),"" "",""""),""'"",""""),""("",""""),"")"","""")&amp;""\""&amp;INDEX(SPLIT($A$2,""_""),1)&amp;""\""&amp;INDEX(SPLIT($A$2,""_""),2)&amp;""\""&amp;SUBSTITUTE(SUBST"&amp;"ITUTE(SUBSTITUTE(SUBSTITUTE(SUBSTITUTE(INDEX(Hairstyles!$C:$C,MATCH($B665,Hairstyles!$F:$F,0)),"" "",""""),""'"",""""),""("",""""),"")"",""""),""-"",""_"")&amp;""_""&amp;$A$2)"),"")</f>
        <v/>
      </c>
    </row>
    <row r="666">
      <c r="C666" s="12" t="str">
        <f>IFERROR(__xludf.DUMMYFUNCTION("IF($B666="""","""",SUBSTITUTE(SUBSTITUTE(SUBSTITUTE(SUBSTITUTE(INDEX(Hairstyles!$A:$A,MATCH($B666,Hairstyles!$F:$F,0)),"" "",""""),""'"",""""),""("",""""),"")"","""")&amp;""\""&amp;INDEX(SPLIT($A$2,""_""),1)&amp;""\""&amp;INDEX(SPLIT($A$2,""_""),2)&amp;""\""&amp;SUBSTITUTE(SUBST"&amp;"ITUTE(SUBSTITUTE(SUBSTITUTE(SUBSTITUTE(INDEX(Hairstyles!$C:$C,MATCH($B666,Hairstyles!$F:$F,0)),"" "",""""),""'"",""""),""("",""""),"")"",""""),""-"",""_"")&amp;""_""&amp;$A$2)"),"")</f>
        <v/>
      </c>
    </row>
    <row r="667">
      <c r="C667" s="12" t="str">
        <f>IFERROR(__xludf.DUMMYFUNCTION("IF($B667="""","""",SUBSTITUTE(SUBSTITUTE(SUBSTITUTE(SUBSTITUTE(INDEX(Hairstyles!$A:$A,MATCH($B667,Hairstyles!$F:$F,0)),"" "",""""),""'"",""""),""("",""""),"")"","""")&amp;""\""&amp;INDEX(SPLIT($A$2,""_""),1)&amp;""\""&amp;INDEX(SPLIT($A$2,""_""),2)&amp;""\""&amp;SUBSTITUTE(SUBST"&amp;"ITUTE(SUBSTITUTE(SUBSTITUTE(SUBSTITUTE(INDEX(Hairstyles!$C:$C,MATCH($B667,Hairstyles!$F:$F,0)),"" "",""""),""'"",""""),""("",""""),"")"",""""),""-"",""_"")&amp;""_""&amp;$A$2)"),"")</f>
        <v/>
      </c>
    </row>
    <row r="668">
      <c r="C668" s="12" t="str">
        <f>IFERROR(__xludf.DUMMYFUNCTION("IF($B668="""","""",SUBSTITUTE(SUBSTITUTE(SUBSTITUTE(SUBSTITUTE(INDEX(Hairstyles!$A:$A,MATCH($B668,Hairstyles!$F:$F,0)),"" "",""""),""'"",""""),""("",""""),"")"","""")&amp;""\""&amp;INDEX(SPLIT($A$2,""_""),1)&amp;""\""&amp;INDEX(SPLIT($A$2,""_""),2)&amp;""\""&amp;SUBSTITUTE(SUBST"&amp;"ITUTE(SUBSTITUTE(SUBSTITUTE(SUBSTITUTE(INDEX(Hairstyles!$C:$C,MATCH($B668,Hairstyles!$F:$F,0)),"" "",""""),""'"",""""),""("",""""),"")"",""""),""-"",""_"")&amp;""_""&amp;$A$2)"),"")</f>
        <v/>
      </c>
    </row>
    <row r="669">
      <c r="C669" s="12" t="str">
        <f>IFERROR(__xludf.DUMMYFUNCTION("IF($B669="""","""",SUBSTITUTE(SUBSTITUTE(SUBSTITUTE(SUBSTITUTE(INDEX(Hairstyles!$A:$A,MATCH($B669,Hairstyles!$F:$F,0)),"" "",""""),""'"",""""),""("",""""),"")"","""")&amp;""\""&amp;INDEX(SPLIT($A$2,""_""),1)&amp;""\""&amp;INDEX(SPLIT($A$2,""_""),2)&amp;""\""&amp;SUBSTITUTE(SUBST"&amp;"ITUTE(SUBSTITUTE(SUBSTITUTE(SUBSTITUTE(INDEX(Hairstyles!$C:$C,MATCH($B669,Hairstyles!$F:$F,0)),"" "",""""),""'"",""""),""("",""""),"")"",""""),""-"",""_"")&amp;""_""&amp;$A$2)"),"")</f>
        <v/>
      </c>
    </row>
    <row r="670">
      <c r="C670" s="12" t="str">
        <f>IFERROR(__xludf.DUMMYFUNCTION("IF($B670="""","""",SUBSTITUTE(SUBSTITUTE(SUBSTITUTE(SUBSTITUTE(INDEX(Hairstyles!$A:$A,MATCH($B670,Hairstyles!$F:$F,0)),"" "",""""),""'"",""""),""("",""""),"")"","""")&amp;""\""&amp;INDEX(SPLIT($A$2,""_""),1)&amp;""\""&amp;INDEX(SPLIT($A$2,""_""),2)&amp;""\""&amp;SUBSTITUTE(SUBST"&amp;"ITUTE(SUBSTITUTE(SUBSTITUTE(SUBSTITUTE(INDEX(Hairstyles!$C:$C,MATCH($B670,Hairstyles!$F:$F,0)),"" "",""""),""'"",""""),""("",""""),"")"",""""),""-"",""_"")&amp;""_""&amp;$A$2)"),"")</f>
        <v/>
      </c>
    </row>
    <row r="671">
      <c r="C671" s="12" t="str">
        <f>IFERROR(__xludf.DUMMYFUNCTION("IF($B671="""","""",SUBSTITUTE(SUBSTITUTE(SUBSTITUTE(SUBSTITUTE(INDEX(Hairstyles!$A:$A,MATCH($B671,Hairstyles!$F:$F,0)),"" "",""""),""'"",""""),""("",""""),"")"","""")&amp;""\""&amp;INDEX(SPLIT($A$2,""_""),1)&amp;""\""&amp;INDEX(SPLIT($A$2,""_""),2)&amp;""\""&amp;SUBSTITUTE(SUBST"&amp;"ITUTE(SUBSTITUTE(SUBSTITUTE(SUBSTITUTE(INDEX(Hairstyles!$C:$C,MATCH($B671,Hairstyles!$F:$F,0)),"" "",""""),""'"",""""),""("",""""),"")"",""""),""-"",""_"")&amp;""_""&amp;$A$2)"),"")</f>
        <v/>
      </c>
    </row>
    <row r="672">
      <c r="C672" s="12" t="str">
        <f>IFERROR(__xludf.DUMMYFUNCTION("IF($B672="""","""",SUBSTITUTE(SUBSTITUTE(SUBSTITUTE(SUBSTITUTE(INDEX(Hairstyles!$A:$A,MATCH($B672,Hairstyles!$F:$F,0)),"" "",""""),""'"",""""),""("",""""),"")"","""")&amp;""\""&amp;INDEX(SPLIT($A$2,""_""),1)&amp;""\""&amp;INDEX(SPLIT($A$2,""_""),2)&amp;""\""&amp;SUBSTITUTE(SUBST"&amp;"ITUTE(SUBSTITUTE(SUBSTITUTE(SUBSTITUTE(INDEX(Hairstyles!$C:$C,MATCH($B672,Hairstyles!$F:$F,0)),"" "",""""),""'"",""""),""("",""""),"")"",""""),""-"",""_"")&amp;""_""&amp;$A$2)"),"")</f>
        <v/>
      </c>
    </row>
    <row r="673">
      <c r="C673" s="12" t="str">
        <f>IFERROR(__xludf.DUMMYFUNCTION("IF($B673="""","""",SUBSTITUTE(SUBSTITUTE(SUBSTITUTE(SUBSTITUTE(INDEX(Hairstyles!$A:$A,MATCH($B673,Hairstyles!$F:$F,0)),"" "",""""),""'"",""""),""("",""""),"")"","""")&amp;""\""&amp;INDEX(SPLIT($A$2,""_""),1)&amp;""\""&amp;INDEX(SPLIT($A$2,""_""),2)&amp;""\""&amp;SUBSTITUTE(SUBST"&amp;"ITUTE(SUBSTITUTE(SUBSTITUTE(SUBSTITUTE(INDEX(Hairstyles!$C:$C,MATCH($B673,Hairstyles!$F:$F,0)),"" "",""""),""'"",""""),""("",""""),"")"",""""),""-"",""_"")&amp;""_""&amp;$A$2)"),"")</f>
        <v/>
      </c>
    </row>
    <row r="674">
      <c r="C674" s="12" t="str">
        <f>IFERROR(__xludf.DUMMYFUNCTION("IF($B674="""","""",SUBSTITUTE(SUBSTITUTE(SUBSTITUTE(SUBSTITUTE(INDEX(Hairstyles!$A:$A,MATCH($B674,Hairstyles!$F:$F,0)),"" "",""""),""'"",""""),""("",""""),"")"","""")&amp;""\""&amp;INDEX(SPLIT($A$2,""_""),1)&amp;""\""&amp;INDEX(SPLIT($A$2,""_""),2)&amp;""\""&amp;SUBSTITUTE(SUBST"&amp;"ITUTE(SUBSTITUTE(SUBSTITUTE(SUBSTITUTE(INDEX(Hairstyles!$C:$C,MATCH($B674,Hairstyles!$F:$F,0)),"" "",""""),""'"",""""),""("",""""),"")"",""""),""-"",""_"")&amp;""_""&amp;$A$2)"),"")</f>
        <v/>
      </c>
    </row>
    <row r="675">
      <c r="C675" s="12" t="str">
        <f>IFERROR(__xludf.DUMMYFUNCTION("IF($B675="""","""",SUBSTITUTE(SUBSTITUTE(SUBSTITUTE(SUBSTITUTE(INDEX(Hairstyles!$A:$A,MATCH($B675,Hairstyles!$F:$F,0)),"" "",""""),""'"",""""),""("",""""),"")"","""")&amp;""\""&amp;INDEX(SPLIT($A$2,""_""),1)&amp;""\""&amp;INDEX(SPLIT($A$2,""_""),2)&amp;""\""&amp;SUBSTITUTE(SUBST"&amp;"ITUTE(SUBSTITUTE(SUBSTITUTE(SUBSTITUTE(INDEX(Hairstyles!$C:$C,MATCH($B675,Hairstyles!$F:$F,0)),"" "",""""),""'"",""""),""("",""""),"")"",""""),""-"",""_"")&amp;""_""&amp;$A$2)"),"")</f>
        <v/>
      </c>
    </row>
    <row r="676">
      <c r="C676" s="12" t="str">
        <f>IFERROR(__xludf.DUMMYFUNCTION("IF($B676="""","""",SUBSTITUTE(SUBSTITUTE(SUBSTITUTE(SUBSTITUTE(INDEX(Hairstyles!$A:$A,MATCH($B676,Hairstyles!$F:$F,0)),"" "",""""),""'"",""""),""("",""""),"")"","""")&amp;""\""&amp;INDEX(SPLIT($A$2,""_""),1)&amp;""\""&amp;INDEX(SPLIT($A$2,""_""),2)&amp;""\""&amp;SUBSTITUTE(SUBST"&amp;"ITUTE(SUBSTITUTE(SUBSTITUTE(SUBSTITUTE(INDEX(Hairstyles!$C:$C,MATCH($B676,Hairstyles!$F:$F,0)),"" "",""""),""'"",""""),""("",""""),"")"",""""),""-"",""_"")&amp;""_""&amp;$A$2)"),"")</f>
        <v/>
      </c>
    </row>
    <row r="677">
      <c r="C677" s="12" t="str">
        <f>IFERROR(__xludf.DUMMYFUNCTION("IF($B677="""","""",SUBSTITUTE(SUBSTITUTE(SUBSTITUTE(SUBSTITUTE(INDEX(Hairstyles!$A:$A,MATCH($B677,Hairstyles!$F:$F,0)),"" "",""""),""'"",""""),""("",""""),"")"","""")&amp;""\""&amp;INDEX(SPLIT($A$2,""_""),1)&amp;""\""&amp;INDEX(SPLIT($A$2,""_""),2)&amp;""\""&amp;SUBSTITUTE(SUBST"&amp;"ITUTE(SUBSTITUTE(SUBSTITUTE(SUBSTITUTE(INDEX(Hairstyles!$C:$C,MATCH($B677,Hairstyles!$F:$F,0)),"" "",""""),""'"",""""),""("",""""),"")"",""""),""-"",""_"")&amp;""_""&amp;$A$2)"),"")</f>
        <v/>
      </c>
    </row>
    <row r="678">
      <c r="C678" s="12" t="str">
        <f>IFERROR(__xludf.DUMMYFUNCTION("IF($B678="""","""",SUBSTITUTE(SUBSTITUTE(SUBSTITUTE(SUBSTITUTE(INDEX(Hairstyles!$A:$A,MATCH($B678,Hairstyles!$F:$F,0)),"" "",""""),""'"",""""),""("",""""),"")"","""")&amp;""\""&amp;INDEX(SPLIT($A$2,""_""),1)&amp;""\""&amp;INDEX(SPLIT($A$2,""_""),2)&amp;""\""&amp;SUBSTITUTE(SUBST"&amp;"ITUTE(SUBSTITUTE(SUBSTITUTE(SUBSTITUTE(INDEX(Hairstyles!$C:$C,MATCH($B678,Hairstyles!$F:$F,0)),"" "",""""),""'"",""""),""("",""""),"")"",""""),""-"",""_"")&amp;""_""&amp;$A$2)"),"")</f>
        <v/>
      </c>
    </row>
    <row r="679">
      <c r="C679" s="12" t="str">
        <f>IFERROR(__xludf.DUMMYFUNCTION("IF($B679="""","""",SUBSTITUTE(SUBSTITUTE(SUBSTITUTE(SUBSTITUTE(INDEX(Hairstyles!$A:$A,MATCH($B679,Hairstyles!$F:$F,0)),"" "",""""),""'"",""""),""("",""""),"")"","""")&amp;""\""&amp;INDEX(SPLIT($A$2,""_""),1)&amp;""\""&amp;INDEX(SPLIT($A$2,""_""),2)&amp;""\""&amp;SUBSTITUTE(SUBST"&amp;"ITUTE(SUBSTITUTE(SUBSTITUTE(SUBSTITUTE(INDEX(Hairstyles!$C:$C,MATCH($B679,Hairstyles!$F:$F,0)),"" "",""""),""'"",""""),""("",""""),"")"",""""),""-"",""_"")&amp;""_""&amp;$A$2)"),"")</f>
        <v/>
      </c>
    </row>
    <row r="680">
      <c r="C680" s="12" t="str">
        <f>IFERROR(__xludf.DUMMYFUNCTION("IF($B680="""","""",SUBSTITUTE(SUBSTITUTE(SUBSTITUTE(SUBSTITUTE(INDEX(Hairstyles!$A:$A,MATCH($B680,Hairstyles!$F:$F,0)),"" "",""""),""'"",""""),""("",""""),"")"","""")&amp;""\""&amp;INDEX(SPLIT($A$2,""_""),1)&amp;""\""&amp;INDEX(SPLIT($A$2,""_""),2)&amp;""\""&amp;SUBSTITUTE(SUBST"&amp;"ITUTE(SUBSTITUTE(SUBSTITUTE(SUBSTITUTE(INDEX(Hairstyles!$C:$C,MATCH($B680,Hairstyles!$F:$F,0)),"" "",""""),""'"",""""),""("",""""),"")"",""""),""-"",""_"")&amp;""_""&amp;$A$2)"),"")</f>
        <v/>
      </c>
    </row>
    <row r="681">
      <c r="C681" s="12" t="str">
        <f>IFERROR(__xludf.DUMMYFUNCTION("IF($B681="""","""",SUBSTITUTE(SUBSTITUTE(SUBSTITUTE(SUBSTITUTE(INDEX(Hairstyles!$A:$A,MATCH($B681,Hairstyles!$F:$F,0)),"" "",""""),""'"",""""),""("",""""),"")"","""")&amp;""\""&amp;INDEX(SPLIT($A$2,""_""),1)&amp;""\""&amp;INDEX(SPLIT($A$2,""_""),2)&amp;""\""&amp;SUBSTITUTE(SUBST"&amp;"ITUTE(SUBSTITUTE(SUBSTITUTE(SUBSTITUTE(INDEX(Hairstyles!$C:$C,MATCH($B681,Hairstyles!$F:$F,0)),"" "",""""),""'"",""""),""("",""""),"")"",""""),""-"",""_"")&amp;""_""&amp;$A$2)"),"")</f>
        <v/>
      </c>
    </row>
    <row r="682">
      <c r="C682" s="12" t="str">
        <f>IFERROR(__xludf.DUMMYFUNCTION("IF($B682="""","""",SUBSTITUTE(SUBSTITUTE(SUBSTITUTE(SUBSTITUTE(INDEX(Hairstyles!$A:$A,MATCH($B682,Hairstyles!$F:$F,0)),"" "",""""),""'"",""""),""("",""""),"")"","""")&amp;""\""&amp;INDEX(SPLIT($A$2,""_""),1)&amp;""\""&amp;INDEX(SPLIT($A$2,""_""),2)&amp;""\""&amp;SUBSTITUTE(SUBST"&amp;"ITUTE(SUBSTITUTE(SUBSTITUTE(SUBSTITUTE(INDEX(Hairstyles!$C:$C,MATCH($B682,Hairstyles!$F:$F,0)),"" "",""""),""'"",""""),""("",""""),"")"",""""),""-"",""_"")&amp;""_""&amp;$A$2)"),"")</f>
        <v/>
      </c>
    </row>
    <row r="683">
      <c r="C683" s="12" t="str">
        <f>IFERROR(__xludf.DUMMYFUNCTION("IF($B683="""","""",SUBSTITUTE(SUBSTITUTE(SUBSTITUTE(SUBSTITUTE(INDEX(Hairstyles!$A:$A,MATCH($B683,Hairstyles!$F:$F,0)),"" "",""""),""'"",""""),""("",""""),"")"","""")&amp;""\""&amp;INDEX(SPLIT($A$2,""_""),1)&amp;""\""&amp;INDEX(SPLIT($A$2,""_""),2)&amp;""\""&amp;SUBSTITUTE(SUBST"&amp;"ITUTE(SUBSTITUTE(SUBSTITUTE(SUBSTITUTE(INDEX(Hairstyles!$C:$C,MATCH($B683,Hairstyles!$F:$F,0)),"" "",""""),""'"",""""),""("",""""),"")"",""""),""-"",""_"")&amp;""_""&amp;$A$2)"),"")</f>
        <v/>
      </c>
    </row>
    <row r="684">
      <c r="C684" s="12" t="str">
        <f>IFERROR(__xludf.DUMMYFUNCTION("IF($B684="""","""",SUBSTITUTE(SUBSTITUTE(SUBSTITUTE(SUBSTITUTE(INDEX(Hairstyles!$A:$A,MATCH($B684,Hairstyles!$F:$F,0)),"" "",""""),""'"",""""),""("",""""),"")"","""")&amp;""\""&amp;INDEX(SPLIT($A$2,""_""),1)&amp;""\""&amp;INDEX(SPLIT($A$2,""_""),2)&amp;""\""&amp;SUBSTITUTE(SUBST"&amp;"ITUTE(SUBSTITUTE(SUBSTITUTE(SUBSTITUTE(INDEX(Hairstyles!$C:$C,MATCH($B684,Hairstyles!$F:$F,0)),"" "",""""),""'"",""""),""("",""""),"")"",""""),""-"",""_"")&amp;""_""&amp;$A$2)"),"")</f>
        <v/>
      </c>
    </row>
    <row r="685">
      <c r="C685" s="12" t="str">
        <f>IFERROR(__xludf.DUMMYFUNCTION("IF($B685="""","""",SUBSTITUTE(SUBSTITUTE(SUBSTITUTE(SUBSTITUTE(INDEX(Hairstyles!$A:$A,MATCH($B685,Hairstyles!$F:$F,0)),"" "",""""),""'"",""""),""("",""""),"")"","""")&amp;""\""&amp;INDEX(SPLIT($A$2,""_""),1)&amp;""\""&amp;INDEX(SPLIT($A$2,""_""),2)&amp;""\""&amp;SUBSTITUTE(SUBST"&amp;"ITUTE(SUBSTITUTE(SUBSTITUTE(SUBSTITUTE(INDEX(Hairstyles!$C:$C,MATCH($B685,Hairstyles!$F:$F,0)),"" "",""""),""'"",""""),""("",""""),"")"",""""),""-"",""_"")&amp;""_""&amp;$A$2)"),"")</f>
        <v/>
      </c>
    </row>
    <row r="686">
      <c r="C686" s="12" t="str">
        <f>IFERROR(__xludf.DUMMYFUNCTION("IF($B686="""","""",SUBSTITUTE(SUBSTITUTE(SUBSTITUTE(SUBSTITUTE(INDEX(Hairstyles!$A:$A,MATCH($B686,Hairstyles!$F:$F,0)),"" "",""""),""'"",""""),""("",""""),"")"","""")&amp;""\""&amp;INDEX(SPLIT($A$2,""_""),1)&amp;""\""&amp;INDEX(SPLIT($A$2,""_""),2)&amp;""\""&amp;SUBSTITUTE(SUBST"&amp;"ITUTE(SUBSTITUTE(SUBSTITUTE(SUBSTITUTE(INDEX(Hairstyles!$C:$C,MATCH($B686,Hairstyles!$F:$F,0)),"" "",""""),""'"",""""),""("",""""),"")"",""""),""-"",""_"")&amp;""_""&amp;$A$2)"),"")</f>
        <v/>
      </c>
    </row>
    <row r="687">
      <c r="C687" s="12" t="str">
        <f>IFERROR(__xludf.DUMMYFUNCTION("IF($B687="""","""",SUBSTITUTE(SUBSTITUTE(SUBSTITUTE(SUBSTITUTE(INDEX(Hairstyles!$A:$A,MATCH($B687,Hairstyles!$F:$F,0)),"" "",""""),""'"",""""),""("",""""),"")"","""")&amp;""\""&amp;INDEX(SPLIT($A$2,""_""),1)&amp;""\""&amp;INDEX(SPLIT($A$2,""_""),2)&amp;""\""&amp;SUBSTITUTE(SUBST"&amp;"ITUTE(SUBSTITUTE(SUBSTITUTE(SUBSTITUTE(INDEX(Hairstyles!$C:$C,MATCH($B687,Hairstyles!$F:$F,0)),"" "",""""),""'"",""""),""("",""""),"")"",""""),""-"",""_"")&amp;""_""&amp;$A$2)"),"")</f>
        <v/>
      </c>
    </row>
    <row r="688">
      <c r="C688" s="12" t="str">
        <f>IFERROR(__xludf.DUMMYFUNCTION("IF($B688="""","""",SUBSTITUTE(SUBSTITUTE(SUBSTITUTE(SUBSTITUTE(INDEX(Hairstyles!$A:$A,MATCH($B688,Hairstyles!$F:$F,0)),"" "",""""),""'"",""""),""("",""""),"")"","""")&amp;""\""&amp;INDEX(SPLIT($A$2,""_""),1)&amp;""\""&amp;INDEX(SPLIT($A$2,""_""),2)&amp;""\""&amp;SUBSTITUTE(SUBST"&amp;"ITUTE(SUBSTITUTE(SUBSTITUTE(SUBSTITUTE(INDEX(Hairstyles!$C:$C,MATCH($B688,Hairstyles!$F:$F,0)),"" "",""""),""'"",""""),""("",""""),"")"",""""),""-"",""_"")&amp;""_""&amp;$A$2)"),"")</f>
        <v/>
      </c>
    </row>
    <row r="689">
      <c r="C689" s="12" t="str">
        <f>IFERROR(__xludf.DUMMYFUNCTION("IF($B689="""","""",SUBSTITUTE(SUBSTITUTE(SUBSTITUTE(SUBSTITUTE(INDEX(Hairstyles!$A:$A,MATCH($B689,Hairstyles!$F:$F,0)),"" "",""""),""'"",""""),""("",""""),"")"","""")&amp;""\""&amp;INDEX(SPLIT($A$2,""_""),1)&amp;""\""&amp;INDEX(SPLIT($A$2,""_""),2)&amp;""\""&amp;SUBSTITUTE(SUBST"&amp;"ITUTE(SUBSTITUTE(SUBSTITUTE(SUBSTITUTE(INDEX(Hairstyles!$C:$C,MATCH($B689,Hairstyles!$F:$F,0)),"" "",""""),""'"",""""),""("",""""),"")"",""""),""-"",""_"")&amp;""_""&amp;$A$2)"),"")</f>
        <v/>
      </c>
    </row>
    <row r="690">
      <c r="C690" s="12" t="str">
        <f>IFERROR(__xludf.DUMMYFUNCTION("IF($B690="""","""",SUBSTITUTE(SUBSTITUTE(SUBSTITUTE(SUBSTITUTE(INDEX(Hairstyles!$A:$A,MATCH($B690,Hairstyles!$F:$F,0)),"" "",""""),""'"",""""),""("",""""),"")"","""")&amp;""\""&amp;INDEX(SPLIT($A$2,""_""),1)&amp;""\""&amp;INDEX(SPLIT($A$2,""_""),2)&amp;""\""&amp;SUBSTITUTE(SUBST"&amp;"ITUTE(SUBSTITUTE(SUBSTITUTE(SUBSTITUTE(INDEX(Hairstyles!$C:$C,MATCH($B690,Hairstyles!$F:$F,0)),"" "",""""),""'"",""""),""("",""""),"")"",""""),""-"",""_"")&amp;""_""&amp;$A$2)"),"")</f>
        <v/>
      </c>
    </row>
    <row r="691">
      <c r="C691" s="12" t="str">
        <f>IFERROR(__xludf.DUMMYFUNCTION("IF($B691="""","""",SUBSTITUTE(SUBSTITUTE(SUBSTITUTE(SUBSTITUTE(INDEX(Hairstyles!$A:$A,MATCH($B691,Hairstyles!$F:$F,0)),"" "",""""),""'"",""""),""("",""""),"")"","""")&amp;""\""&amp;INDEX(SPLIT($A$2,""_""),1)&amp;""\""&amp;INDEX(SPLIT($A$2,""_""),2)&amp;""\""&amp;SUBSTITUTE(SUBST"&amp;"ITUTE(SUBSTITUTE(SUBSTITUTE(SUBSTITUTE(INDEX(Hairstyles!$C:$C,MATCH($B691,Hairstyles!$F:$F,0)),"" "",""""),""'"",""""),""("",""""),"")"",""""),""-"",""_"")&amp;""_""&amp;$A$2)"),"")</f>
        <v/>
      </c>
    </row>
    <row r="692">
      <c r="C692" s="12" t="str">
        <f>IFERROR(__xludf.DUMMYFUNCTION("IF($B692="""","""",SUBSTITUTE(SUBSTITUTE(SUBSTITUTE(SUBSTITUTE(INDEX(Hairstyles!$A:$A,MATCH($B692,Hairstyles!$F:$F,0)),"" "",""""),""'"",""""),""("",""""),"")"","""")&amp;""\""&amp;INDEX(SPLIT($A$2,""_""),1)&amp;""\""&amp;INDEX(SPLIT($A$2,""_""),2)&amp;""\""&amp;SUBSTITUTE(SUBST"&amp;"ITUTE(SUBSTITUTE(SUBSTITUTE(SUBSTITUTE(INDEX(Hairstyles!$C:$C,MATCH($B692,Hairstyles!$F:$F,0)),"" "",""""),""'"",""""),""("",""""),"")"",""""),""-"",""_"")&amp;""_""&amp;$A$2)"),"")</f>
        <v/>
      </c>
    </row>
    <row r="693">
      <c r="C693" s="12" t="str">
        <f>IFERROR(__xludf.DUMMYFUNCTION("IF($B693="""","""",SUBSTITUTE(SUBSTITUTE(SUBSTITUTE(SUBSTITUTE(INDEX(Hairstyles!$A:$A,MATCH($B693,Hairstyles!$F:$F,0)),"" "",""""),""'"",""""),""("",""""),"")"","""")&amp;""\""&amp;INDEX(SPLIT($A$2,""_""),1)&amp;""\""&amp;INDEX(SPLIT($A$2,""_""),2)&amp;""\""&amp;SUBSTITUTE(SUBST"&amp;"ITUTE(SUBSTITUTE(SUBSTITUTE(SUBSTITUTE(INDEX(Hairstyles!$C:$C,MATCH($B693,Hairstyles!$F:$F,0)),"" "",""""),""'"",""""),""("",""""),"")"",""""),""-"",""_"")&amp;""_""&amp;$A$2)"),"")</f>
        <v/>
      </c>
    </row>
    <row r="694">
      <c r="C694" s="12" t="str">
        <f>IFERROR(__xludf.DUMMYFUNCTION("IF($B694="""","""",SUBSTITUTE(SUBSTITUTE(SUBSTITUTE(SUBSTITUTE(INDEX(Hairstyles!$A:$A,MATCH($B694,Hairstyles!$F:$F,0)),"" "",""""),""'"",""""),""("",""""),"")"","""")&amp;""\""&amp;INDEX(SPLIT($A$2,""_""),1)&amp;""\""&amp;INDEX(SPLIT($A$2,""_""),2)&amp;""\""&amp;SUBSTITUTE(SUBST"&amp;"ITUTE(SUBSTITUTE(SUBSTITUTE(SUBSTITUTE(INDEX(Hairstyles!$C:$C,MATCH($B694,Hairstyles!$F:$F,0)),"" "",""""),""'"",""""),""("",""""),"")"",""""),""-"",""_"")&amp;""_""&amp;$A$2)"),"")</f>
        <v/>
      </c>
    </row>
    <row r="695">
      <c r="C695" s="12" t="str">
        <f>IFERROR(__xludf.DUMMYFUNCTION("IF($B695="""","""",SUBSTITUTE(SUBSTITUTE(SUBSTITUTE(SUBSTITUTE(INDEX(Hairstyles!$A:$A,MATCH($B695,Hairstyles!$F:$F,0)),"" "",""""),""'"",""""),""("",""""),"")"","""")&amp;""\""&amp;INDEX(SPLIT($A$2,""_""),1)&amp;""\""&amp;INDEX(SPLIT($A$2,""_""),2)&amp;""\""&amp;SUBSTITUTE(SUBST"&amp;"ITUTE(SUBSTITUTE(SUBSTITUTE(SUBSTITUTE(INDEX(Hairstyles!$C:$C,MATCH($B695,Hairstyles!$F:$F,0)),"" "",""""),""'"",""""),""("",""""),"")"",""""),""-"",""_"")&amp;""_""&amp;$A$2)"),"")</f>
        <v/>
      </c>
    </row>
    <row r="696">
      <c r="C696" s="12" t="str">
        <f>IFERROR(__xludf.DUMMYFUNCTION("IF($B696="""","""",SUBSTITUTE(SUBSTITUTE(SUBSTITUTE(SUBSTITUTE(INDEX(Hairstyles!$A:$A,MATCH($B696,Hairstyles!$F:$F,0)),"" "",""""),""'"",""""),""("",""""),"")"","""")&amp;""\""&amp;INDEX(SPLIT($A$2,""_""),1)&amp;""\""&amp;INDEX(SPLIT($A$2,""_""),2)&amp;""\""&amp;SUBSTITUTE(SUBST"&amp;"ITUTE(SUBSTITUTE(SUBSTITUTE(SUBSTITUTE(INDEX(Hairstyles!$C:$C,MATCH($B696,Hairstyles!$F:$F,0)),"" "",""""),""'"",""""),""("",""""),"")"",""""),""-"",""_"")&amp;""_""&amp;$A$2)"),"")</f>
        <v/>
      </c>
    </row>
    <row r="697">
      <c r="C697" s="12" t="str">
        <f>IFERROR(__xludf.DUMMYFUNCTION("IF($B697="""","""",SUBSTITUTE(SUBSTITUTE(SUBSTITUTE(SUBSTITUTE(INDEX(Hairstyles!$A:$A,MATCH($B697,Hairstyles!$F:$F,0)),"" "",""""),""'"",""""),""("",""""),"")"","""")&amp;""\""&amp;INDEX(SPLIT($A$2,""_""),1)&amp;""\""&amp;INDEX(SPLIT($A$2,""_""),2)&amp;""\""&amp;SUBSTITUTE(SUBST"&amp;"ITUTE(SUBSTITUTE(SUBSTITUTE(SUBSTITUTE(INDEX(Hairstyles!$C:$C,MATCH($B697,Hairstyles!$F:$F,0)),"" "",""""),""'"",""""),""("",""""),"")"",""""),""-"",""_"")&amp;""_""&amp;$A$2)"),"")</f>
        <v/>
      </c>
    </row>
    <row r="698">
      <c r="C698" s="12" t="str">
        <f>IFERROR(__xludf.DUMMYFUNCTION("IF($B698="""","""",SUBSTITUTE(SUBSTITUTE(SUBSTITUTE(SUBSTITUTE(INDEX(Hairstyles!$A:$A,MATCH($B698,Hairstyles!$F:$F,0)),"" "",""""),""'"",""""),""("",""""),"")"","""")&amp;""\""&amp;INDEX(SPLIT($A$2,""_""),1)&amp;""\""&amp;INDEX(SPLIT($A$2,""_""),2)&amp;""\""&amp;SUBSTITUTE(SUBST"&amp;"ITUTE(SUBSTITUTE(SUBSTITUTE(SUBSTITUTE(INDEX(Hairstyles!$C:$C,MATCH($B698,Hairstyles!$F:$F,0)),"" "",""""),""'"",""""),""("",""""),"")"",""""),""-"",""_"")&amp;""_""&amp;$A$2)"),"")</f>
        <v/>
      </c>
    </row>
    <row r="699">
      <c r="C699" s="12" t="str">
        <f>IFERROR(__xludf.DUMMYFUNCTION("IF($B699="""","""",SUBSTITUTE(SUBSTITUTE(SUBSTITUTE(SUBSTITUTE(INDEX(Hairstyles!$A:$A,MATCH($B699,Hairstyles!$F:$F,0)),"" "",""""),""'"",""""),""("",""""),"")"","""")&amp;""\""&amp;INDEX(SPLIT($A$2,""_""),1)&amp;""\""&amp;INDEX(SPLIT($A$2,""_""),2)&amp;""\""&amp;SUBSTITUTE(SUBST"&amp;"ITUTE(SUBSTITUTE(SUBSTITUTE(SUBSTITUTE(INDEX(Hairstyles!$C:$C,MATCH($B699,Hairstyles!$F:$F,0)),"" "",""""),""'"",""""),""("",""""),"")"",""""),""-"",""_"")&amp;""_""&amp;$A$2)"),"")</f>
        <v/>
      </c>
    </row>
    <row r="700">
      <c r="C700" s="12" t="str">
        <f>IFERROR(__xludf.DUMMYFUNCTION("IF($B700="""","""",SUBSTITUTE(SUBSTITUTE(SUBSTITUTE(SUBSTITUTE(INDEX(Hairstyles!$A:$A,MATCH($B700,Hairstyles!$F:$F,0)),"" "",""""),""'"",""""),""("",""""),"")"","""")&amp;""\""&amp;INDEX(SPLIT($A$2,""_""),1)&amp;""\""&amp;INDEX(SPLIT($A$2,""_""),2)&amp;""\""&amp;SUBSTITUTE(SUBST"&amp;"ITUTE(SUBSTITUTE(SUBSTITUTE(SUBSTITUTE(INDEX(Hairstyles!$C:$C,MATCH($B700,Hairstyles!$F:$F,0)),"" "",""""),""'"",""""),""("",""""),"")"",""""),""-"",""_"")&amp;""_""&amp;$A$2)"),"")</f>
        <v/>
      </c>
    </row>
    <row r="701">
      <c r="C701" s="12" t="str">
        <f>IFERROR(__xludf.DUMMYFUNCTION("IF($B701="""","""",SUBSTITUTE(SUBSTITUTE(SUBSTITUTE(SUBSTITUTE(INDEX(Hairstyles!$A:$A,MATCH($B701,Hairstyles!$F:$F,0)),"" "",""""),""'"",""""),""("",""""),"")"","""")&amp;""\""&amp;INDEX(SPLIT($A$2,""_""),1)&amp;""\""&amp;INDEX(SPLIT($A$2,""_""),2)&amp;""\""&amp;SUBSTITUTE(SUBST"&amp;"ITUTE(SUBSTITUTE(SUBSTITUTE(SUBSTITUTE(INDEX(Hairstyles!$C:$C,MATCH($B701,Hairstyles!$F:$F,0)),"" "",""""),""'"",""""),""("",""""),"")"",""""),""-"",""_"")&amp;""_""&amp;$A$2)"),"")</f>
        <v/>
      </c>
    </row>
    <row r="702">
      <c r="C702" s="12" t="str">
        <f>IFERROR(__xludf.DUMMYFUNCTION("IF($B702="""","""",SUBSTITUTE(SUBSTITUTE(SUBSTITUTE(SUBSTITUTE(INDEX(Hairstyles!$A:$A,MATCH($B702,Hairstyles!$F:$F,0)),"" "",""""),""'"",""""),""("",""""),"")"","""")&amp;""\""&amp;INDEX(SPLIT($A$2,""_""),1)&amp;""\""&amp;INDEX(SPLIT($A$2,""_""),2)&amp;""\""&amp;SUBSTITUTE(SUBST"&amp;"ITUTE(SUBSTITUTE(SUBSTITUTE(SUBSTITUTE(INDEX(Hairstyles!$C:$C,MATCH($B702,Hairstyles!$F:$F,0)),"" "",""""),""'"",""""),""("",""""),"")"",""""),""-"",""_"")&amp;""_""&amp;$A$2)"),"")</f>
        <v/>
      </c>
    </row>
    <row r="703">
      <c r="C703" s="12" t="str">
        <f>IFERROR(__xludf.DUMMYFUNCTION("IF($B703="""","""",SUBSTITUTE(SUBSTITUTE(SUBSTITUTE(SUBSTITUTE(INDEX(Hairstyles!$A:$A,MATCH($B703,Hairstyles!$F:$F,0)),"" "",""""),""'"",""""),""("",""""),"")"","""")&amp;""\""&amp;INDEX(SPLIT($A$2,""_""),1)&amp;""\""&amp;INDEX(SPLIT($A$2,""_""),2)&amp;""\""&amp;SUBSTITUTE(SUBST"&amp;"ITUTE(SUBSTITUTE(SUBSTITUTE(SUBSTITUTE(INDEX(Hairstyles!$C:$C,MATCH($B703,Hairstyles!$F:$F,0)),"" "",""""),""'"",""""),""("",""""),"")"",""""),""-"",""_"")&amp;""_""&amp;$A$2)"),"")</f>
        <v/>
      </c>
    </row>
    <row r="704">
      <c r="C704" s="12" t="str">
        <f>IFERROR(__xludf.DUMMYFUNCTION("IF($B704="""","""",SUBSTITUTE(SUBSTITUTE(SUBSTITUTE(SUBSTITUTE(INDEX(Hairstyles!$A:$A,MATCH($B704,Hairstyles!$F:$F,0)),"" "",""""),""'"",""""),""("",""""),"")"","""")&amp;""\""&amp;INDEX(SPLIT($A$2,""_""),1)&amp;""\""&amp;INDEX(SPLIT($A$2,""_""),2)&amp;""\""&amp;SUBSTITUTE(SUBST"&amp;"ITUTE(SUBSTITUTE(SUBSTITUTE(SUBSTITUTE(INDEX(Hairstyles!$C:$C,MATCH($B704,Hairstyles!$F:$F,0)),"" "",""""),""'"",""""),""("",""""),"")"",""""),""-"",""_"")&amp;""_""&amp;$A$2)"),"")</f>
        <v/>
      </c>
    </row>
    <row r="705">
      <c r="C705" s="12" t="str">
        <f>IFERROR(__xludf.DUMMYFUNCTION("IF($B705="""","""",SUBSTITUTE(SUBSTITUTE(SUBSTITUTE(SUBSTITUTE(INDEX(Hairstyles!$A:$A,MATCH($B705,Hairstyles!$F:$F,0)),"" "",""""),""'"",""""),""("",""""),"")"","""")&amp;""\""&amp;INDEX(SPLIT($A$2,""_""),1)&amp;""\""&amp;INDEX(SPLIT($A$2,""_""),2)&amp;""\""&amp;SUBSTITUTE(SUBST"&amp;"ITUTE(SUBSTITUTE(SUBSTITUTE(SUBSTITUTE(INDEX(Hairstyles!$C:$C,MATCH($B705,Hairstyles!$F:$F,0)),"" "",""""),""'"",""""),""("",""""),"")"",""""),""-"",""_"")&amp;""_""&amp;$A$2)"),"")</f>
        <v/>
      </c>
    </row>
    <row r="706">
      <c r="C706" s="12" t="str">
        <f>IFERROR(__xludf.DUMMYFUNCTION("IF($B706="""","""",SUBSTITUTE(SUBSTITUTE(SUBSTITUTE(SUBSTITUTE(INDEX(Hairstyles!$A:$A,MATCH($B706,Hairstyles!$F:$F,0)),"" "",""""),""'"",""""),""("",""""),"")"","""")&amp;""\""&amp;INDEX(SPLIT($A$2,""_""),1)&amp;""\""&amp;INDEX(SPLIT($A$2,""_""),2)&amp;""\""&amp;SUBSTITUTE(SUBST"&amp;"ITUTE(SUBSTITUTE(SUBSTITUTE(SUBSTITUTE(INDEX(Hairstyles!$C:$C,MATCH($B706,Hairstyles!$F:$F,0)),"" "",""""),""'"",""""),""("",""""),"")"",""""),""-"",""_"")&amp;""_""&amp;$A$2)"),"")</f>
        <v/>
      </c>
    </row>
    <row r="707">
      <c r="C707" s="12" t="str">
        <f>IFERROR(__xludf.DUMMYFUNCTION("IF($B707="""","""",SUBSTITUTE(SUBSTITUTE(SUBSTITUTE(SUBSTITUTE(INDEX(Hairstyles!$A:$A,MATCH($B707,Hairstyles!$F:$F,0)),"" "",""""),""'"",""""),""("",""""),"")"","""")&amp;""\""&amp;INDEX(SPLIT($A$2,""_""),1)&amp;""\""&amp;INDEX(SPLIT($A$2,""_""),2)&amp;""\""&amp;SUBSTITUTE(SUBST"&amp;"ITUTE(SUBSTITUTE(SUBSTITUTE(SUBSTITUTE(INDEX(Hairstyles!$C:$C,MATCH($B707,Hairstyles!$F:$F,0)),"" "",""""),""'"",""""),""("",""""),"")"",""""),""-"",""_"")&amp;""_""&amp;$A$2)"),"")</f>
        <v/>
      </c>
    </row>
    <row r="708">
      <c r="C708" s="12" t="str">
        <f>IFERROR(__xludf.DUMMYFUNCTION("IF($B708="""","""",SUBSTITUTE(SUBSTITUTE(SUBSTITUTE(SUBSTITUTE(INDEX(Hairstyles!$A:$A,MATCH($B708,Hairstyles!$F:$F,0)),"" "",""""),""'"",""""),""("",""""),"")"","""")&amp;""\""&amp;INDEX(SPLIT($A$2,""_""),1)&amp;""\""&amp;INDEX(SPLIT($A$2,""_""),2)&amp;""\""&amp;SUBSTITUTE(SUBST"&amp;"ITUTE(SUBSTITUTE(SUBSTITUTE(SUBSTITUTE(INDEX(Hairstyles!$C:$C,MATCH($B708,Hairstyles!$F:$F,0)),"" "",""""),""'"",""""),""("",""""),"")"",""""),""-"",""_"")&amp;""_""&amp;$A$2)"),"")</f>
        <v/>
      </c>
    </row>
    <row r="709">
      <c r="C709" s="12" t="str">
        <f>IFERROR(__xludf.DUMMYFUNCTION("IF($B709="""","""",SUBSTITUTE(SUBSTITUTE(SUBSTITUTE(SUBSTITUTE(INDEX(Hairstyles!$A:$A,MATCH($B709,Hairstyles!$F:$F,0)),"" "",""""),""'"",""""),""("",""""),"")"","""")&amp;""\""&amp;INDEX(SPLIT($A$2,""_""),1)&amp;""\""&amp;INDEX(SPLIT($A$2,""_""),2)&amp;""\""&amp;SUBSTITUTE(SUBST"&amp;"ITUTE(SUBSTITUTE(SUBSTITUTE(SUBSTITUTE(INDEX(Hairstyles!$C:$C,MATCH($B709,Hairstyles!$F:$F,0)),"" "",""""),""'"",""""),""("",""""),"")"",""""),""-"",""_"")&amp;""_""&amp;$A$2)"),"")</f>
        <v/>
      </c>
    </row>
    <row r="710">
      <c r="C710" s="12" t="str">
        <f>IFERROR(__xludf.DUMMYFUNCTION("IF($B710="""","""",SUBSTITUTE(SUBSTITUTE(SUBSTITUTE(SUBSTITUTE(INDEX(Hairstyles!$A:$A,MATCH($B710,Hairstyles!$F:$F,0)),"" "",""""),""'"",""""),""("",""""),"")"","""")&amp;""\""&amp;INDEX(SPLIT($A$2,""_""),1)&amp;""\""&amp;INDEX(SPLIT($A$2,""_""),2)&amp;""\""&amp;SUBSTITUTE(SUBST"&amp;"ITUTE(SUBSTITUTE(SUBSTITUTE(SUBSTITUTE(INDEX(Hairstyles!$C:$C,MATCH($B710,Hairstyles!$F:$F,0)),"" "",""""),""'"",""""),""("",""""),"")"",""""),""-"",""_"")&amp;""_""&amp;$A$2)"),"")</f>
        <v/>
      </c>
    </row>
    <row r="711">
      <c r="C711" s="12" t="str">
        <f>IFERROR(__xludf.DUMMYFUNCTION("IF($B711="""","""",SUBSTITUTE(SUBSTITUTE(SUBSTITUTE(SUBSTITUTE(INDEX(Hairstyles!$A:$A,MATCH($B711,Hairstyles!$F:$F,0)),"" "",""""),""'"",""""),""("",""""),"")"","""")&amp;""\""&amp;INDEX(SPLIT($A$2,""_""),1)&amp;""\""&amp;INDEX(SPLIT($A$2,""_""),2)&amp;""\""&amp;SUBSTITUTE(SUBST"&amp;"ITUTE(SUBSTITUTE(SUBSTITUTE(SUBSTITUTE(INDEX(Hairstyles!$C:$C,MATCH($B711,Hairstyles!$F:$F,0)),"" "",""""),""'"",""""),""("",""""),"")"",""""),""-"",""_"")&amp;""_""&amp;$A$2)"),"")</f>
        <v/>
      </c>
    </row>
    <row r="712">
      <c r="C712" s="12" t="str">
        <f>IFERROR(__xludf.DUMMYFUNCTION("IF($B712="""","""",SUBSTITUTE(SUBSTITUTE(SUBSTITUTE(SUBSTITUTE(INDEX(Hairstyles!$A:$A,MATCH($B712,Hairstyles!$F:$F,0)),"" "",""""),""'"",""""),""("",""""),"")"","""")&amp;""\""&amp;INDEX(SPLIT($A$2,""_""),1)&amp;""\""&amp;INDEX(SPLIT($A$2,""_""),2)&amp;""\""&amp;SUBSTITUTE(SUBST"&amp;"ITUTE(SUBSTITUTE(SUBSTITUTE(SUBSTITUTE(INDEX(Hairstyles!$C:$C,MATCH($B712,Hairstyles!$F:$F,0)),"" "",""""),""'"",""""),""("",""""),"")"",""""),""-"",""_"")&amp;""_""&amp;$A$2)"),"")</f>
        <v/>
      </c>
    </row>
    <row r="713">
      <c r="C713" s="12" t="str">
        <f>IFERROR(__xludf.DUMMYFUNCTION("IF($B713="""","""",SUBSTITUTE(SUBSTITUTE(SUBSTITUTE(SUBSTITUTE(INDEX(Hairstyles!$A:$A,MATCH($B713,Hairstyles!$F:$F,0)),"" "",""""),""'"",""""),""("",""""),"")"","""")&amp;""\""&amp;INDEX(SPLIT($A$2,""_""),1)&amp;""\""&amp;INDEX(SPLIT($A$2,""_""),2)&amp;""\""&amp;SUBSTITUTE(SUBST"&amp;"ITUTE(SUBSTITUTE(SUBSTITUTE(SUBSTITUTE(INDEX(Hairstyles!$C:$C,MATCH($B713,Hairstyles!$F:$F,0)),"" "",""""),""'"",""""),""("",""""),"")"",""""),""-"",""_"")&amp;""_""&amp;$A$2)"),"")</f>
        <v/>
      </c>
    </row>
    <row r="714">
      <c r="C714" s="12" t="str">
        <f>IFERROR(__xludf.DUMMYFUNCTION("IF($B714="""","""",SUBSTITUTE(SUBSTITUTE(SUBSTITUTE(SUBSTITUTE(INDEX(Hairstyles!$A:$A,MATCH($B714,Hairstyles!$F:$F,0)),"" "",""""),""'"",""""),""("",""""),"")"","""")&amp;""\""&amp;INDEX(SPLIT($A$2,""_""),1)&amp;""\""&amp;INDEX(SPLIT($A$2,""_""),2)&amp;""\""&amp;SUBSTITUTE(SUBST"&amp;"ITUTE(SUBSTITUTE(SUBSTITUTE(SUBSTITUTE(INDEX(Hairstyles!$C:$C,MATCH($B714,Hairstyles!$F:$F,0)),"" "",""""),""'"",""""),""("",""""),"")"",""""),""-"",""_"")&amp;""_""&amp;$A$2)"),"")</f>
        <v/>
      </c>
    </row>
    <row r="715">
      <c r="C715" s="12" t="str">
        <f>IFERROR(__xludf.DUMMYFUNCTION("IF($B715="""","""",SUBSTITUTE(SUBSTITUTE(SUBSTITUTE(SUBSTITUTE(INDEX(Hairstyles!$A:$A,MATCH($B715,Hairstyles!$F:$F,0)),"" "",""""),""'"",""""),""("",""""),"")"","""")&amp;""\""&amp;INDEX(SPLIT($A$2,""_""),1)&amp;""\""&amp;INDEX(SPLIT($A$2,""_""),2)&amp;""\""&amp;SUBSTITUTE(SUBST"&amp;"ITUTE(SUBSTITUTE(SUBSTITUTE(SUBSTITUTE(INDEX(Hairstyles!$C:$C,MATCH($B715,Hairstyles!$F:$F,0)),"" "",""""),""'"",""""),""("",""""),"")"",""""),""-"",""_"")&amp;""_""&amp;$A$2)"),"")</f>
        <v/>
      </c>
    </row>
    <row r="716">
      <c r="C716" s="12" t="str">
        <f>IFERROR(__xludf.DUMMYFUNCTION("IF($B716="""","""",SUBSTITUTE(SUBSTITUTE(SUBSTITUTE(SUBSTITUTE(INDEX(Hairstyles!$A:$A,MATCH($B716,Hairstyles!$F:$F,0)),"" "",""""),""'"",""""),""("",""""),"")"","""")&amp;""\""&amp;INDEX(SPLIT($A$2,""_""),1)&amp;""\""&amp;INDEX(SPLIT($A$2,""_""),2)&amp;""\""&amp;SUBSTITUTE(SUBST"&amp;"ITUTE(SUBSTITUTE(SUBSTITUTE(SUBSTITUTE(INDEX(Hairstyles!$C:$C,MATCH($B716,Hairstyles!$F:$F,0)),"" "",""""),""'"",""""),""("",""""),"")"",""""),""-"",""_"")&amp;""_""&amp;$A$2)"),"")</f>
        <v/>
      </c>
    </row>
    <row r="717">
      <c r="C717" s="12" t="str">
        <f>IFERROR(__xludf.DUMMYFUNCTION("IF($B717="""","""",SUBSTITUTE(SUBSTITUTE(SUBSTITUTE(SUBSTITUTE(INDEX(Hairstyles!$A:$A,MATCH($B717,Hairstyles!$F:$F,0)),"" "",""""),""'"",""""),""("",""""),"")"","""")&amp;""\""&amp;INDEX(SPLIT($A$2,""_""),1)&amp;""\""&amp;INDEX(SPLIT($A$2,""_""),2)&amp;""\""&amp;SUBSTITUTE(SUBST"&amp;"ITUTE(SUBSTITUTE(SUBSTITUTE(SUBSTITUTE(INDEX(Hairstyles!$C:$C,MATCH($B717,Hairstyles!$F:$F,0)),"" "",""""),""'"",""""),""("",""""),"")"",""""),""-"",""_"")&amp;""_""&amp;$A$2)"),"")</f>
        <v/>
      </c>
    </row>
    <row r="718">
      <c r="C718" s="12" t="str">
        <f>IFERROR(__xludf.DUMMYFUNCTION("IF($B718="""","""",SUBSTITUTE(SUBSTITUTE(SUBSTITUTE(SUBSTITUTE(INDEX(Hairstyles!$A:$A,MATCH($B718,Hairstyles!$F:$F,0)),"" "",""""),""'"",""""),""("",""""),"")"","""")&amp;""\""&amp;INDEX(SPLIT($A$2,""_""),1)&amp;""\""&amp;INDEX(SPLIT($A$2,""_""),2)&amp;""\""&amp;SUBSTITUTE(SUBST"&amp;"ITUTE(SUBSTITUTE(SUBSTITUTE(SUBSTITUTE(INDEX(Hairstyles!$C:$C,MATCH($B718,Hairstyles!$F:$F,0)),"" "",""""),""'"",""""),""("",""""),"")"",""""),""-"",""_"")&amp;""_""&amp;$A$2)"),"")</f>
        <v/>
      </c>
    </row>
    <row r="719">
      <c r="C719" s="12" t="str">
        <f>IFERROR(__xludf.DUMMYFUNCTION("IF($B719="""","""",SUBSTITUTE(SUBSTITUTE(SUBSTITUTE(SUBSTITUTE(INDEX(Hairstyles!$A:$A,MATCH($B719,Hairstyles!$F:$F,0)),"" "",""""),""'"",""""),""("",""""),"")"","""")&amp;""\""&amp;INDEX(SPLIT($A$2,""_""),1)&amp;""\""&amp;INDEX(SPLIT($A$2,""_""),2)&amp;""\""&amp;SUBSTITUTE(SUBST"&amp;"ITUTE(SUBSTITUTE(SUBSTITUTE(SUBSTITUTE(INDEX(Hairstyles!$C:$C,MATCH($B719,Hairstyles!$F:$F,0)),"" "",""""),""'"",""""),""("",""""),"")"",""""),""-"",""_"")&amp;""_""&amp;$A$2)"),"")</f>
        <v/>
      </c>
    </row>
    <row r="720">
      <c r="C720" s="12" t="str">
        <f>IFERROR(__xludf.DUMMYFUNCTION("IF($B720="""","""",SUBSTITUTE(SUBSTITUTE(SUBSTITUTE(SUBSTITUTE(INDEX(Hairstyles!$A:$A,MATCH($B720,Hairstyles!$F:$F,0)),"" "",""""),""'"",""""),""("",""""),"")"","""")&amp;""\""&amp;INDEX(SPLIT($A$2,""_""),1)&amp;""\""&amp;INDEX(SPLIT($A$2,""_""),2)&amp;""\""&amp;SUBSTITUTE(SUBST"&amp;"ITUTE(SUBSTITUTE(SUBSTITUTE(SUBSTITUTE(INDEX(Hairstyles!$C:$C,MATCH($B720,Hairstyles!$F:$F,0)),"" "",""""),""'"",""""),""("",""""),"")"",""""),""-"",""_"")&amp;""_""&amp;$A$2)"),"")</f>
        <v/>
      </c>
    </row>
    <row r="721">
      <c r="C721" s="12" t="str">
        <f>IFERROR(__xludf.DUMMYFUNCTION("IF($B721="""","""",SUBSTITUTE(SUBSTITUTE(SUBSTITUTE(SUBSTITUTE(INDEX(Hairstyles!$A:$A,MATCH($B721,Hairstyles!$F:$F,0)),"" "",""""),""'"",""""),""("",""""),"")"","""")&amp;""\""&amp;INDEX(SPLIT($A$2,""_""),1)&amp;""\""&amp;INDEX(SPLIT($A$2,""_""),2)&amp;""\""&amp;SUBSTITUTE(SUBST"&amp;"ITUTE(SUBSTITUTE(SUBSTITUTE(SUBSTITUTE(INDEX(Hairstyles!$C:$C,MATCH($B721,Hairstyles!$F:$F,0)),"" "",""""),""'"",""""),""("",""""),"")"",""""),""-"",""_"")&amp;""_""&amp;$A$2)"),"")</f>
        <v/>
      </c>
    </row>
    <row r="722">
      <c r="C722" s="12" t="str">
        <f>IFERROR(__xludf.DUMMYFUNCTION("IF($B722="""","""",SUBSTITUTE(SUBSTITUTE(SUBSTITUTE(SUBSTITUTE(INDEX(Hairstyles!$A:$A,MATCH($B722,Hairstyles!$F:$F,0)),"" "",""""),""'"",""""),""("",""""),"")"","""")&amp;""\""&amp;INDEX(SPLIT($A$2,""_""),1)&amp;""\""&amp;INDEX(SPLIT($A$2,""_""),2)&amp;""\""&amp;SUBSTITUTE(SUBST"&amp;"ITUTE(SUBSTITUTE(SUBSTITUTE(SUBSTITUTE(INDEX(Hairstyles!$C:$C,MATCH($B722,Hairstyles!$F:$F,0)),"" "",""""),""'"",""""),""("",""""),"")"",""""),""-"",""_"")&amp;""_""&amp;$A$2)"),"")</f>
        <v/>
      </c>
    </row>
    <row r="723">
      <c r="C723" s="12" t="str">
        <f>IFERROR(__xludf.DUMMYFUNCTION("IF($B723="""","""",SUBSTITUTE(SUBSTITUTE(SUBSTITUTE(SUBSTITUTE(INDEX(Hairstyles!$A:$A,MATCH($B723,Hairstyles!$F:$F,0)),"" "",""""),""'"",""""),""("",""""),"")"","""")&amp;""\""&amp;INDEX(SPLIT($A$2,""_""),1)&amp;""\""&amp;INDEX(SPLIT($A$2,""_""),2)&amp;""\""&amp;SUBSTITUTE(SUBST"&amp;"ITUTE(SUBSTITUTE(SUBSTITUTE(SUBSTITUTE(INDEX(Hairstyles!$C:$C,MATCH($B723,Hairstyles!$F:$F,0)),"" "",""""),""'"",""""),""("",""""),"")"",""""),""-"",""_"")&amp;""_""&amp;$A$2)"),"")</f>
        <v/>
      </c>
    </row>
    <row r="724">
      <c r="C724" s="12" t="str">
        <f>IFERROR(__xludf.DUMMYFUNCTION("IF($B724="""","""",SUBSTITUTE(SUBSTITUTE(SUBSTITUTE(SUBSTITUTE(INDEX(Hairstyles!$A:$A,MATCH($B724,Hairstyles!$F:$F,0)),"" "",""""),""'"",""""),""("",""""),"")"","""")&amp;""\""&amp;INDEX(SPLIT($A$2,""_""),1)&amp;""\""&amp;INDEX(SPLIT($A$2,""_""),2)&amp;""\""&amp;SUBSTITUTE(SUBST"&amp;"ITUTE(SUBSTITUTE(SUBSTITUTE(SUBSTITUTE(INDEX(Hairstyles!$C:$C,MATCH($B724,Hairstyles!$F:$F,0)),"" "",""""),""'"",""""),""("",""""),"")"",""""),""-"",""_"")&amp;""_""&amp;$A$2)"),"")</f>
        <v/>
      </c>
    </row>
    <row r="725">
      <c r="C725" s="12" t="str">
        <f>IFERROR(__xludf.DUMMYFUNCTION("IF($B725="""","""",SUBSTITUTE(SUBSTITUTE(SUBSTITUTE(SUBSTITUTE(INDEX(Hairstyles!$A:$A,MATCH($B725,Hairstyles!$F:$F,0)),"" "",""""),""'"",""""),""("",""""),"")"","""")&amp;""\""&amp;INDEX(SPLIT($A$2,""_""),1)&amp;""\""&amp;INDEX(SPLIT($A$2,""_""),2)&amp;""\""&amp;SUBSTITUTE(SUBST"&amp;"ITUTE(SUBSTITUTE(SUBSTITUTE(SUBSTITUTE(INDEX(Hairstyles!$C:$C,MATCH($B725,Hairstyles!$F:$F,0)),"" "",""""),""'"",""""),""("",""""),"")"",""""),""-"",""_"")&amp;""_""&amp;$A$2)"),"")</f>
        <v/>
      </c>
    </row>
    <row r="726">
      <c r="C726" s="12" t="str">
        <f>IFERROR(__xludf.DUMMYFUNCTION("IF($B726="""","""",SUBSTITUTE(SUBSTITUTE(SUBSTITUTE(SUBSTITUTE(INDEX(Hairstyles!$A:$A,MATCH($B726,Hairstyles!$F:$F,0)),"" "",""""),""'"",""""),""("",""""),"")"","""")&amp;""\""&amp;INDEX(SPLIT($A$2,""_""),1)&amp;""\""&amp;INDEX(SPLIT($A$2,""_""),2)&amp;""\""&amp;SUBSTITUTE(SUBST"&amp;"ITUTE(SUBSTITUTE(SUBSTITUTE(SUBSTITUTE(INDEX(Hairstyles!$C:$C,MATCH($B726,Hairstyles!$F:$F,0)),"" "",""""),""'"",""""),""("",""""),"")"",""""),""-"",""_"")&amp;""_""&amp;$A$2)"),"")</f>
        <v/>
      </c>
    </row>
    <row r="727">
      <c r="C727" s="12" t="str">
        <f>IFERROR(__xludf.DUMMYFUNCTION("IF($B727="""","""",SUBSTITUTE(SUBSTITUTE(SUBSTITUTE(SUBSTITUTE(INDEX(Hairstyles!$A:$A,MATCH($B727,Hairstyles!$F:$F,0)),"" "",""""),""'"",""""),""("",""""),"")"","""")&amp;""\""&amp;INDEX(SPLIT($A$2,""_""),1)&amp;""\""&amp;INDEX(SPLIT($A$2,""_""),2)&amp;""\""&amp;SUBSTITUTE(SUBST"&amp;"ITUTE(SUBSTITUTE(SUBSTITUTE(SUBSTITUTE(INDEX(Hairstyles!$C:$C,MATCH($B727,Hairstyles!$F:$F,0)),"" "",""""),""'"",""""),""("",""""),"")"",""""),""-"",""_"")&amp;""_""&amp;$A$2)"),"")</f>
        <v/>
      </c>
    </row>
    <row r="728">
      <c r="C728" s="12" t="str">
        <f>IFERROR(__xludf.DUMMYFUNCTION("IF($B728="""","""",SUBSTITUTE(SUBSTITUTE(SUBSTITUTE(SUBSTITUTE(INDEX(Hairstyles!$A:$A,MATCH($B728,Hairstyles!$F:$F,0)),"" "",""""),""'"",""""),""("",""""),"")"","""")&amp;""\""&amp;INDEX(SPLIT($A$2,""_""),1)&amp;""\""&amp;INDEX(SPLIT($A$2,""_""),2)&amp;""\""&amp;SUBSTITUTE(SUBST"&amp;"ITUTE(SUBSTITUTE(SUBSTITUTE(SUBSTITUTE(INDEX(Hairstyles!$C:$C,MATCH($B728,Hairstyles!$F:$F,0)),"" "",""""),""'"",""""),""("",""""),"")"",""""),""-"",""_"")&amp;""_""&amp;$A$2)"),"")</f>
        <v/>
      </c>
    </row>
    <row r="729">
      <c r="C729" s="12" t="str">
        <f>IFERROR(__xludf.DUMMYFUNCTION("IF($B729="""","""",SUBSTITUTE(SUBSTITUTE(SUBSTITUTE(SUBSTITUTE(INDEX(Hairstyles!$A:$A,MATCH($B729,Hairstyles!$F:$F,0)),"" "",""""),""'"",""""),""("",""""),"")"","""")&amp;""\""&amp;INDEX(SPLIT($A$2,""_""),1)&amp;""\""&amp;INDEX(SPLIT($A$2,""_""),2)&amp;""\""&amp;SUBSTITUTE(SUBST"&amp;"ITUTE(SUBSTITUTE(SUBSTITUTE(SUBSTITUTE(INDEX(Hairstyles!$C:$C,MATCH($B729,Hairstyles!$F:$F,0)),"" "",""""),""'"",""""),""("",""""),"")"",""""),""-"",""_"")&amp;""_""&amp;$A$2)"),"")</f>
        <v/>
      </c>
    </row>
    <row r="730">
      <c r="C730" s="12" t="str">
        <f>IFERROR(__xludf.DUMMYFUNCTION("IF($B730="""","""",SUBSTITUTE(SUBSTITUTE(SUBSTITUTE(SUBSTITUTE(INDEX(Hairstyles!$A:$A,MATCH($B730,Hairstyles!$F:$F,0)),"" "",""""),""'"",""""),""("",""""),"")"","""")&amp;""\""&amp;INDEX(SPLIT($A$2,""_""),1)&amp;""\""&amp;INDEX(SPLIT($A$2,""_""),2)&amp;""\""&amp;SUBSTITUTE(SUBST"&amp;"ITUTE(SUBSTITUTE(SUBSTITUTE(SUBSTITUTE(INDEX(Hairstyles!$C:$C,MATCH($B730,Hairstyles!$F:$F,0)),"" "",""""),""'"",""""),""("",""""),"")"",""""),""-"",""_"")&amp;""_""&amp;$A$2)"),"")</f>
        <v/>
      </c>
    </row>
    <row r="731">
      <c r="C731" s="12" t="str">
        <f>IFERROR(__xludf.DUMMYFUNCTION("IF($B731="""","""",SUBSTITUTE(SUBSTITUTE(SUBSTITUTE(SUBSTITUTE(INDEX(Hairstyles!$A:$A,MATCH($B731,Hairstyles!$F:$F,0)),"" "",""""),""'"",""""),""("",""""),"")"","""")&amp;""\""&amp;INDEX(SPLIT($A$2,""_""),1)&amp;""\""&amp;INDEX(SPLIT($A$2,""_""),2)&amp;""\""&amp;SUBSTITUTE(SUBST"&amp;"ITUTE(SUBSTITUTE(SUBSTITUTE(SUBSTITUTE(INDEX(Hairstyles!$C:$C,MATCH($B731,Hairstyles!$F:$F,0)),"" "",""""),""'"",""""),""("",""""),"")"",""""),""-"",""_"")&amp;""_""&amp;$A$2)"),"")</f>
        <v/>
      </c>
    </row>
    <row r="732">
      <c r="C732" s="12" t="str">
        <f>IFERROR(__xludf.DUMMYFUNCTION("IF($B732="""","""",SUBSTITUTE(SUBSTITUTE(SUBSTITUTE(SUBSTITUTE(INDEX(Hairstyles!$A:$A,MATCH($B732,Hairstyles!$F:$F,0)),"" "",""""),""'"",""""),""("",""""),"")"","""")&amp;""\""&amp;INDEX(SPLIT($A$2,""_""),1)&amp;""\""&amp;INDEX(SPLIT($A$2,""_""),2)&amp;""\""&amp;SUBSTITUTE(SUBST"&amp;"ITUTE(SUBSTITUTE(SUBSTITUTE(SUBSTITUTE(INDEX(Hairstyles!$C:$C,MATCH($B732,Hairstyles!$F:$F,0)),"" "",""""),""'"",""""),""("",""""),"")"",""""),""-"",""_"")&amp;""_""&amp;$A$2)"),"")</f>
        <v/>
      </c>
    </row>
    <row r="733">
      <c r="C733" s="12" t="str">
        <f>IFERROR(__xludf.DUMMYFUNCTION("IF($B733="""","""",SUBSTITUTE(SUBSTITUTE(SUBSTITUTE(SUBSTITUTE(INDEX(Hairstyles!$A:$A,MATCH($B733,Hairstyles!$F:$F,0)),"" "",""""),""'"",""""),""("",""""),"")"","""")&amp;""\""&amp;INDEX(SPLIT($A$2,""_""),1)&amp;""\""&amp;INDEX(SPLIT($A$2,""_""),2)&amp;""\""&amp;SUBSTITUTE(SUBST"&amp;"ITUTE(SUBSTITUTE(SUBSTITUTE(SUBSTITUTE(INDEX(Hairstyles!$C:$C,MATCH($B733,Hairstyles!$F:$F,0)),"" "",""""),""'"",""""),""("",""""),"")"",""""),""-"",""_"")&amp;""_""&amp;$A$2)"),"")</f>
        <v/>
      </c>
    </row>
    <row r="734">
      <c r="C734" s="12" t="str">
        <f>IFERROR(__xludf.DUMMYFUNCTION("IF($B734="""","""",SUBSTITUTE(SUBSTITUTE(SUBSTITUTE(SUBSTITUTE(INDEX(Hairstyles!$A:$A,MATCH($B734,Hairstyles!$F:$F,0)),"" "",""""),""'"",""""),""("",""""),"")"","""")&amp;""\""&amp;INDEX(SPLIT($A$2,""_""),1)&amp;""\""&amp;INDEX(SPLIT($A$2,""_""),2)&amp;""\""&amp;SUBSTITUTE(SUBST"&amp;"ITUTE(SUBSTITUTE(SUBSTITUTE(SUBSTITUTE(INDEX(Hairstyles!$C:$C,MATCH($B734,Hairstyles!$F:$F,0)),"" "",""""),""'"",""""),""("",""""),"")"",""""),""-"",""_"")&amp;""_""&amp;$A$2)"),"")</f>
        <v/>
      </c>
    </row>
    <row r="735">
      <c r="C735" s="12" t="str">
        <f>IFERROR(__xludf.DUMMYFUNCTION("IF($B735="""","""",SUBSTITUTE(SUBSTITUTE(SUBSTITUTE(SUBSTITUTE(INDEX(Hairstyles!$A:$A,MATCH($B735,Hairstyles!$F:$F,0)),"" "",""""),""'"",""""),""("",""""),"")"","""")&amp;""\""&amp;INDEX(SPLIT($A$2,""_""),1)&amp;""\""&amp;INDEX(SPLIT($A$2,""_""),2)&amp;""\""&amp;SUBSTITUTE(SUBST"&amp;"ITUTE(SUBSTITUTE(SUBSTITUTE(SUBSTITUTE(INDEX(Hairstyles!$C:$C,MATCH($B735,Hairstyles!$F:$F,0)),"" "",""""),""'"",""""),""("",""""),"")"",""""),""-"",""_"")&amp;""_""&amp;$A$2)"),"")</f>
        <v/>
      </c>
    </row>
    <row r="736">
      <c r="C736" s="12" t="str">
        <f>IFERROR(__xludf.DUMMYFUNCTION("IF($B736="""","""",SUBSTITUTE(SUBSTITUTE(SUBSTITUTE(SUBSTITUTE(INDEX(Hairstyles!$A:$A,MATCH($B736,Hairstyles!$F:$F,0)),"" "",""""),""'"",""""),""("",""""),"")"","""")&amp;""\""&amp;INDEX(SPLIT($A$2,""_""),1)&amp;""\""&amp;INDEX(SPLIT($A$2,""_""),2)&amp;""\""&amp;SUBSTITUTE(SUBST"&amp;"ITUTE(SUBSTITUTE(SUBSTITUTE(SUBSTITUTE(INDEX(Hairstyles!$C:$C,MATCH($B736,Hairstyles!$F:$F,0)),"" "",""""),""'"",""""),""("",""""),"")"",""""),""-"",""_"")&amp;""_""&amp;$A$2)"),"")</f>
        <v/>
      </c>
    </row>
    <row r="737">
      <c r="C737" s="12" t="str">
        <f>IFERROR(__xludf.DUMMYFUNCTION("IF($B737="""","""",SUBSTITUTE(SUBSTITUTE(SUBSTITUTE(SUBSTITUTE(INDEX(Hairstyles!$A:$A,MATCH($B737,Hairstyles!$F:$F,0)),"" "",""""),""'"",""""),""("",""""),"")"","""")&amp;""\""&amp;INDEX(SPLIT($A$2,""_""),1)&amp;""\""&amp;INDEX(SPLIT($A$2,""_""),2)&amp;""\""&amp;SUBSTITUTE(SUBST"&amp;"ITUTE(SUBSTITUTE(SUBSTITUTE(SUBSTITUTE(INDEX(Hairstyles!$C:$C,MATCH($B737,Hairstyles!$F:$F,0)),"" "",""""),""'"",""""),""("",""""),"")"",""""),""-"",""_"")&amp;""_""&amp;$A$2)"),"")</f>
        <v/>
      </c>
    </row>
    <row r="738">
      <c r="C738" s="12" t="str">
        <f>IFERROR(__xludf.DUMMYFUNCTION("IF($B738="""","""",SUBSTITUTE(SUBSTITUTE(SUBSTITUTE(SUBSTITUTE(INDEX(Hairstyles!$A:$A,MATCH($B738,Hairstyles!$F:$F,0)),"" "",""""),""'"",""""),""("",""""),"")"","""")&amp;""\""&amp;INDEX(SPLIT($A$2,""_""),1)&amp;""\""&amp;INDEX(SPLIT($A$2,""_""),2)&amp;""\""&amp;SUBSTITUTE(SUBST"&amp;"ITUTE(SUBSTITUTE(SUBSTITUTE(SUBSTITUTE(INDEX(Hairstyles!$C:$C,MATCH($B738,Hairstyles!$F:$F,0)),"" "",""""),""'"",""""),""("",""""),"")"",""""),""-"",""_"")&amp;""_""&amp;$A$2)"),"")</f>
        <v/>
      </c>
    </row>
    <row r="739">
      <c r="C739" s="12" t="str">
        <f>IFERROR(__xludf.DUMMYFUNCTION("IF($B739="""","""",SUBSTITUTE(SUBSTITUTE(SUBSTITUTE(SUBSTITUTE(INDEX(Hairstyles!$A:$A,MATCH($B739,Hairstyles!$F:$F,0)),"" "",""""),""'"",""""),""("",""""),"")"","""")&amp;""\""&amp;INDEX(SPLIT($A$2,""_""),1)&amp;""\""&amp;INDEX(SPLIT($A$2,""_""),2)&amp;""\""&amp;SUBSTITUTE(SUBST"&amp;"ITUTE(SUBSTITUTE(SUBSTITUTE(SUBSTITUTE(INDEX(Hairstyles!$C:$C,MATCH($B739,Hairstyles!$F:$F,0)),"" "",""""),""'"",""""),""("",""""),"")"",""""),""-"",""_"")&amp;""_""&amp;$A$2)"),"")</f>
        <v/>
      </c>
    </row>
    <row r="740">
      <c r="C740" s="12" t="str">
        <f>IFERROR(__xludf.DUMMYFUNCTION("IF($B740="""","""",SUBSTITUTE(SUBSTITUTE(SUBSTITUTE(SUBSTITUTE(INDEX(Hairstyles!$A:$A,MATCH($B740,Hairstyles!$F:$F,0)),"" "",""""),""'"",""""),""("",""""),"")"","""")&amp;""\""&amp;INDEX(SPLIT($A$2,""_""),1)&amp;""\""&amp;INDEX(SPLIT($A$2,""_""),2)&amp;""\""&amp;SUBSTITUTE(SUBST"&amp;"ITUTE(SUBSTITUTE(SUBSTITUTE(SUBSTITUTE(INDEX(Hairstyles!$C:$C,MATCH($B740,Hairstyles!$F:$F,0)),"" "",""""),""'"",""""),""("",""""),"")"",""""),""-"",""_"")&amp;""_""&amp;$A$2)"),"")</f>
        <v/>
      </c>
    </row>
    <row r="741">
      <c r="C741" s="12" t="str">
        <f>IFERROR(__xludf.DUMMYFUNCTION("IF($B741="""","""",SUBSTITUTE(SUBSTITUTE(SUBSTITUTE(SUBSTITUTE(INDEX(Hairstyles!$A:$A,MATCH($B741,Hairstyles!$F:$F,0)),"" "",""""),""'"",""""),""("",""""),"")"","""")&amp;""\""&amp;INDEX(SPLIT($A$2,""_""),1)&amp;""\""&amp;INDEX(SPLIT($A$2,""_""),2)&amp;""\""&amp;SUBSTITUTE(SUBST"&amp;"ITUTE(SUBSTITUTE(SUBSTITUTE(SUBSTITUTE(INDEX(Hairstyles!$C:$C,MATCH($B741,Hairstyles!$F:$F,0)),"" "",""""),""'"",""""),""("",""""),"")"",""""),""-"",""_"")&amp;""_""&amp;$A$2)"),"")</f>
        <v/>
      </c>
    </row>
    <row r="742">
      <c r="C742" s="12" t="str">
        <f>IFERROR(__xludf.DUMMYFUNCTION("IF($B742="""","""",SUBSTITUTE(SUBSTITUTE(SUBSTITUTE(SUBSTITUTE(INDEX(Hairstyles!$A:$A,MATCH($B742,Hairstyles!$F:$F,0)),"" "",""""),""'"",""""),""("",""""),"")"","""")&amp;""\""&amp;INDEX(SPLIT($A$2,""_""),1)&amp;""\""&amp;INDEX(SPLIT($A$2,""_""),2)&amp;""\""&amp;SUBSTITUTE(SUBST"&amp;"ITUTE(SUBSTITUTE(SUBSTITUTE(SUBSTITUTE(INDEX(Hairstyles!$C:$C,MATCH($B742,Hairstyles!$F:$F,0)),"" "",""""),""'"",""""),""("",""""),"")"",""""),""-"",""_"")&amp;""_""&amp;$A$2)"),"")</f>
        <v/>
      </c>
    </row>
    <row r="743">
      <c r="C743" s="12" t="str">
        <f>IFERROR(__xludf.DUMMYFUNCTION("IF($B743="""","""",SUBSTITUTE(SUBSTITUTE(SUBSTITUTE(SUBSTITUTE(INDEX(Hairstyles!$A:$A,MATCH($B743,Hairstyles!$F:$F,0)),"" "",""""),""'"",""""),""("",""""),"")"","""")&amp;""\""&amp;INDEX(SPLIT($A$2,""_""),1)&amp;""\""&amp;INDEX(SPLIT($A$2,""_""),2)&amp;""\""&amp;SUBSTITUTE(SUBST"&amp;"ITUTE(SUBSTITUTE(SUBSTITUTE(SUBSTITUTE(INDEX(Hairstyles!$C:$C,MATCH($B743,Hairstyles!$F:$F,0)),"" "",""""),""'"",""""),""("",""""),"")"",""""),""-"",""_"")&amp;""_""&amp;$A$2)"),"")</f>
        <v/>
      </c>
    </row>
    <row r="744">
      <c r="C744" s="12" t="str">
        <f>IFERROR(__xludf.DUMMYFUNCTION("IF($B744="""","""",SUBSTITUTE(SUBSTITUTE(SUBSTITUTE(SUBSTITUTE(INDEX(Hairstyles!$A:$A,MATCH($B744,Hairstyles!$F:$F,0)),"" "",""""),""'"",""""),""("",""""),"")"","""")&amp;""\""&amp;INDEX(SPLIT($A$2,""_""),1)&amp;""\""&amp;INDEX(SPLIT($A$2,""_""),2)&amp;""\""&amp;SUBSTITUTE(SUBST"&amp;"ITUTE(SUBSTITUTE(SUBSTITUTE(SUBSTITUTE(INDEX(Hairstyles!$C:$C,MATCH($B744,Hairstyles!$F:$F,0)),"" "",""""),""'"",""""),""("",""""),"")"",""""),""-"",""_"")&amp;""_""&amp;$A$2)"),"")</f>
        <v/>
      </c>
    </row>
    <row r="745">
      <c r="C745" s="12" t="str">
        <f>IFERROR(__xludf.DUMMYFUNCTION("IF($B745="""","""",SUBSTITUTE(SUBSTITUTE(SUBSTITUTE(SUBSTITUTE(INDEX(Hairstyles!$A:$A,MATCH($B745,Hairstyles!$F:$F,0)),"" "",""""),""'"",""""),""("",""""),"")"","""")&amp;""\""&amp;INDEX(SPLIT($A$2,""_""),1)&amp;""\""&amp;INDEX(SPLIT($A$2,""_""),2)&amp;""\""&amp;SUBSTITUTE(SUBST"&amp;"ITUTE(SUBSTITUTE(SUBSTITUTE(SUBSTITUTE(INDEX(Hairstyles!$C:$C,MATCH($B745,Hairstyles!$F:$F,0)),"" "",""""),""'"",""""),""("",""""),"")"",""""),""-"",""_"")&amp;""_""&amp;$A$2)"),"")</f>
        <v/>
      </c>
    </row>
    <row r="746">
      <c r="C746" s="12" t="str">
        <f>IFERROR(__xludf.DUMMYFUNCTION("IF($B746="""","""",SUBSTITUTE(SUBSTITUTE(SUBSTITUTE(SUBSTITUTE(INDEX(Hairstyles!$A:$A,MATCH($B746,Hairstyles!$F:$F,0)),"" "",""""),""'"",""""),""("",""""),"")"","""")&amp;""\""&amp;INDEX(SPLIT($A$2,""_""),1)&amp;""\""&amp;INDEX(SPLIT($A$2,""_""),2)&amp;""\""&amp;SUBSTITUTE(SUBST"&amp;"ITUTE(SUBSTITUTE(SUBSTITUTE(SUBSTITUTE(INDEX(Hairstyles!$C:$C,MATCH($B746,Hairstyles!$F:$F,0)),"" "",""""),""'"",""""),""("",""""),"")"",""""),""-"",""_"")&amp;""_""&amp;$A$2)"),"")</f>
        <v/>
      </c>
    </row>
    <row r="747">
      <c r="C747" s="12" t="str">
        <f>IFERROR(__xludf.DUMMYFUNCTION("IF($B747="""","""",SUBSTITUTE(SUBSTITUTE(SUBSTITUTE(SUBSTITUTE(INDEX(Hairstyles!$A:$A,MATCH($B747,Hairstyles!$F:$F,0)),"" "",""""),""'"",""""),""("",""""),"")"","""")&amp;""\""&amp;INDEX(SPLIT($A$2,""_""),1)&amp;""\""&amp;INDEX(SPLIT($A$2,""_""),2)&amp;""\""&amp;SUBSTITUTE(SUBST"&amp;"ITUTE(SUBSTITUTE(SUBSTITUTE(SUBSTITUTE(INDEX(Hairstyles!$C:$C,MATCH($B747,Hairstyles!$F:$F,0)),"" "",""""),""'"",""""),""("",""""),"")"",""""),""-"",""_"")&amp;""_""&amp;$A$2)"),"")</f>
        <v/>
      </c>
    </row>
    <row r="748">
      <c r="C748" s="12" t="str">
        <f>IFERROR(__xludf.DUMMYFUNCTION("IF($B748="""","""",SUBSTITUTE(SUBSTITUTE(SUBSTITUTE(SUBSTITUTE(INDEX(Hairstyles!$A:$A,MATCH($B748,Hairstyles!$F:$F,0)),"" "",""""),""'"",""""),""("",""""),"")"","""")&amp;""\""&amp;INDEX(SPLIT($A$2,""_""),1)&amp;""\""&amp;INDEX(SPLIT($A$2,""_""),2)&amp;""\""&amp;SUBSTITUTE(SUBST"&amp;"ITUTE(SUBSTITUTE(SUBSTITUTE(SUBSTITUTE(INDEX(Hairstyles!$C:$C,MATCH($B748,Hairstyles!$F:$F,0)),"" "",""""),""'"",""""),""("",""""),"")"",""""),""-"",""_"")&amp;""_""&amp;$A$2)"),"")</f>
        <v/>
      </c>
    </row>
    <row r="749">
      <c r="C749" s="12" t="str">
        <f>IFERROR(__xludf.DUMMYFUNCTION("IF($B749="""","""",SUBSTITUTE(SUBSTITUTE(SUBSTITUTE(SUBSTITUTE(INDEX(Hairstyles!$A:$A,MATCH($B749,Hairstyles!$F:$F,0)),"" "",""""),""'"",""""),""("",""""),"")"","""")&amp;""\""&amp;INDEX(SPLIT($A$2,""_""),1)&amp;""\""&amp;INDEX(SPLIT($A$2,""_""),2)&amp;""\""&amp;SUBSTITUTE(SUBST"&amp;"ITUTE(SUBSTITUTE(SUBSTITUTE(SUBSTITUTE(INDEX(Hairstyles!$C:$C,MATCH($B749,Hairstyles!$F:$F,0)),"" "",""""),""'"",""""),""("",""""),"")"",""""),""-"",""_"")&amp;""_""&amp;$A$2)"),"")</f>
        <v/>
      </c>
    </row>
    <row r="750">
      <c r="C750" s="12" t="str">
        <f>IFERROR(__xludf.DUMMYFUNCTION("IF($B750="""","""",SUBSTITUTE(SUBSTITUTE(SUBSTITUTE(SUBSTITUTE(INDEX(Hairstyles!$A:$A,MATCH($B750,Hairstyles!$F:$F,0)),"" "",""""),""'"",""""),""("",""""),"")"","""")&amp;""\""&amp;INDEX(SPLIT($A$2,""_""),1)&amp;""\""&amp;INDEX(SPLIT($A$2,""_""),2)&amp;""\""&amp;SUBSTITUTE(SUBST"&amp;"ITUTE(SUBSTITUTE(SUBSTITUTE(SUBSTITUTE(INDEX(Hairstyles!$C:$C,MATCH($B750,Hairstyles!$F:$F,0)),"" "",""""),""'"",""""),""("",""""),"")"",""""),""-"",""_"")&amp;""_""&amp;$A$2)"),"")</f>
        <v/>
      </c>
    </row>
    <row r="751">
      <c r="C751" s="12" t="str">
        <f>IFERROR(__xludf.DUMMYFUNCTION("IF($B751="""","""",SUBSTITUTE(SUBSTITUTE(SUBSTITUTE(SUBSTITUTE(INDEX(Hairstyles!$A:$A,MATCH($B751,Hairstyles!$F:$F,0)),"" "",""""),""'"",""""),""("",""""),"")"","""")&amp;""\""&amp;INDEX(SPLIT($A$2,""_""),1)&amp;""\""&amp;INDEX(SPLIT($A$2,""_""),2)&amp;""\""&amp;SUBSTITUTE(SUBST"&amp;"ITUTE(SUBSTITUTE(SUBSTITUTE(SUBSTITUTE(INDEX(Hairstyles!$C:$C,MATCH($B751,Hairstyles!$F:$F,0)),"" "",""""),""'"",""""),""("",""""),"")"",""""),""-"",""_"")&amp;""_""&amp;$A$2)"),"")</f>
        <v/>
      </c>
    </row>
    <row r="752">
      <c r="C752" s="12" t="str">
        <f>IFERROR(__xludf.DUMMYFUNCTION("IF($B752="""","""",SUBSTITUTE(SUBSTITUTE(SUBSTITUTE(SUBSTITUTE(INDEX(Hairstyles!$A:$A,MATCH($B752,Hairstyles!$F:$F,0)),"" "",""""),""'"",""""),""("",""""),"")"","""")&amp;""\""&amp;INDEX(SPLIT($A$2,""_""),1)&amp;""\""&amp;INDEX(SPLIT($A$2,""_""),2)&amp;""\""&amp;SUBSTITUTE(SUBST"&amp;"ITUTE(SUBSTITUTE(SUBSTITUTE(SUBSTITUTE(INDEX(Hairstyles!$C:$C,MATCH($B752,Hairstyles!$F:$F,0)),"" "",""""),""'"",""""),""("",""""),"")"",""""),""-"",""_"")&amp;""_""&amp;$A$2)"),"")</f>
        <v/>
      </c>
    </row>
    <row r="753">
      <c r="C753" s="12" t="str">
        <f>IFERROR(__xludf.DUMMYFUNCTION("IF($B753="""","""",SUBSTITUTE(SUBSTITUTE(SUBSTITUTE(SUBSTITUTE(INDEX(Hairstyles!$A:$A,MATCH($B753,Hairstyles!$F:$F,0)),"" "",""""),""'"",""""),""("",""""),"")"","""")&amp;""\""&amp;INDEX(SPLIT($A$2,""_""),1)&amp;""\""&amp;INDEX(SPLIT($A$2,""_""),2)&amp;""\""&amp;SUBSTITUTE(SUBST"&amp;"ITUTE(SUBSTITUTE(SUBSTITUTE(SUBSTITUTE(INDEX(Hairstyles!$C:$C,MATCH($B753,Hairstyles!$F:$F,0)),"" "",""""),""'"",""""),""("",""""),"")"",""""),""-"",""_"")&amp;""_""&amp;$A$2)"),"")</f>
        <v/>
      </c>
    </row>
    <row r="754">
      <c r="C754" s="12" t="str">
        <f>IFERROR(__xludf.DUMMYFUNCTION("IF($B754="""","""",SUBSTITUTE(SUBSTITUTE(SUBSTITUTE(SUBSTITUTE(INDEX(Hairstyles!$A:$A,MATCH($B754,Hairstyles!$F:$F,0)),"" "",""""),""'"",""""),""("",""""),"")"","""")&amp;""\""&amp;INDEX(SPLIT($A$2,""_""),1)&amp;""\""&amp;INDEX(SPLIT($A$2,""_""),2)&amp;""\""&amp;SUBSTITUTE(SUBST"&amp;"ITUTE(SUBSTITUTE(SUBSTITUTE(SUBSTITUTE(INDEX(Hairstyles!$C:$C,MATCH($B754,Hairstyles!$F:$F,0)),"" "",""""),""'"",""""),""("",""""),"")"",""""),""-"",""_"")&amp;""_""&amp;$A$2)"),"")</f>
        <v/>
      </c>
    </row>
    <row r="755">
      <c r="C755" s="12" t="str">
        <f>IFERROR(__xludf.DUMMYFUNCTION("IF($B755="""","""",SUBSTITUTE(SUBSTITUTE(SUBSTITUTE(SUBSTITUTE(INDEX(Hairstyles!$A:$A,MATCH($B755,Hairstyles!$F:$F,0)),"" "",""""),""'"",""""),""("",""""),"")"","""")&amp;""\""&amp;INDEX(SPLIT($A$2,""_""),1)&amp;""\""&amp;INDEX(SPLIT($A$2,""_""),2)&amp;""\""&amp;SUBSTITUTE(SUBST"&amp;"ITUTE(SUBSTITUTE(SUBSTITUTE(SUBSTITUTE(INDEX(Hairstyles!$C:$C,MATCH($B755,Hairstyles!$F:$F,0)),"" "",""""),""'"",""""),""("",""""),"")"",""""),""-"",""_"")&amp;""_""&amp;$A$2)"),"")</f>
        <v/>
      </c>
    </row>
    <row r="756">
      <c r="C756" s="12" t="str">
        <f>IFERROR(__xludf.DUMMYFUNCTION("IF($B756="""","""",SUBSTITUTE(SUBSTITUTE(SUBSTITUTE(SUBSTITUTE(INDEX(Hairstyles!$A:$A,MATCH($B756,Hairstyles!$F:$F,0)),"" "",""""),""'"",""""),""("",""""),"")"","""")&amp;""\""&amp;INDEX(SPLIT($A$2,""_""),1)&amp;""\""&amp;INDEX(SPLIT($A$2,""_""),2)&amp;""\""&amp;SUBSTITUTE(SUBST"&amp;"ITUTE(SUBSTITUTE(SUBSTITUTE(SUBSTITUTE(INDEX(Hairstyles!$C:$C,MATCH($B756,Hairstyles!$F:$F,0)),"" "",""""),""'"",""""),""("",""""),"")"",""""),""-"",""_"")&amp;""_""&amp;$A$2)"),"")</f>
        <v/>
      </c>
    </row>
    <row r="757">
      <c r="C757" s="12" t="str">
        <f>IFERROR(__xludf.DUMMYFUNCTION("IF($B757="""","""",SUBSTITUTE(SUBSTITUTE(SUBSTITUTE(SUBSTITUTE(INDEX(Hairstyles!$A:$A,MATCH($B757,Hairstyles!$F:$F,0)),"" "",""""),""'"",""""),""("",""""),"")"","""")&amp;""\""&amp;INDEX(SPLIT($A$2,""_""),1)&amp;""\""&amp;INDEX(SPLIT($A$2,""_""),2)&amp;""\""&amp;SUBSTITUTE(SUBST"&amp;"ITUTE(SUBSTITUTE(SUBSTITUTE(SUBSTITUTE(INDEX(Hairstyles!$C:$C,MATCH($B757,Hairstyles!$F:$F,0)),"" "",""""),""'"",""""),""("",""""),"")"",""""),""-"",""_"")&amp;""_""&amp;$A$2)"),"")</f>
        <v/>
      </c>
    </row>
    <row r="758">
      <c r="C758" s="12" t="str">
        <f>IFERROR(__xludf.DUMMYFUNCTION("IF($B758="""","""",SUBSTITUTE(SUBSTITUTE(SUBSTITUTE(SUBSTITUTE(INDEX(Hairstyles!$A:$A,MATCH($B758,Hairstyles!$F:$F,0)),"" "",""""),""'"",""""),""("",""""),"")"","""")&amp;""\""&amp;INDEX(SPLIT($A$2,""_""),1)&amp;""\""&amp;INDEX(SPLIT($A$2,""_""),2)&amp;""\""&amp;SUBSTITUTE(SUBST"&amp;"ITUTE(SUBSTITUTE(SUBSTITUTE(SUBSTITUTE(INDEX(Hairstyles!$C:$C,MATCH($B758,Hairstyles!$F:$F,0)),"" "",""""),""'"",""""),""("",""""),"")"",""""),""-"",""_"")&amp;""_""&amp;$A$2)"),"")</f>
        <v/>
      </c>
    </row>
    <row r="759">
      <c r="C759" s="12" t="str">
        <f>IFERROR(__xludf.DUMMYFUNCTION("IF($B759="""","""",SUBSTITUTE(SUBSTITUTE(SUBSTITUTE(SUBSTITUTE(INDEX(Hairstyles!$A:$A,MATCH($B759,Hairstyles!$F:$F,0)),"" "",""""),""'"",""""),""("",""""),"")"","""")&amp;""\""&amp;INDEX(SPLIT($A$2,""_""),1)&amp;""\""&amp;INDEX(SPLIT($A$2,""_""),2)&amp;""\""&amp;SUBSTITUTE(SUBST"&amp;"ITUTE(SUBSTITUTE(SUBSTITUTE(SUBSTITUTE(INDEX(Hairstyles!$C:$C,MATCH($B759,Hairstyles!$F:$F,0)),"" "",""""),""'"",""""),""("",""""),"")"",""""),""-"",""_"")&amp;""_""&amp;$A$2)"),"")</f>
        <v/>
      </c>
    </row>
    <row r="760">
      <c r="C760" s="12" t="str">
        <f>IFERROR(__xludf.DUMMYFUNCTION("IF($B760="""","""",SUBSTITUTE(SUBSTITUTE(SUBSTITUTE(SUBSTITUTE(INDEX(Hairstyles!$A:$A,MATCH($B760,Hairstyles!$F:$F,0)),"" "",""""),""'"",""""),""("",""""),"")"","""")&amp;""\""&amp;INDEX(SPLIT($A$2,""_""),1)&amp;""\""&amp;INDEX(SPLIT($A$2,""_""),2)&amp;""\""&amp;SUBSTITUTE(SUBST"&amp;"ITUTE(SUBSTITUTE(SUBSTITUTE(SUBSTITUTE(INDEX(Hairstyles!$C:$C,MATCH($B760,Hairstyles!$F:$F,0)),"" "",""""),""'"",""""),""("",""""),"")"",""""),""-"",""_"")&amp;""_""&amp;$A$2)"),"")</f>
        <v/>
      </c>
    </row>
    <row r="761">
      <c r="C761" s="12" t="str">
        <f>IFERROR(__xludf.DUMMYFUNCTION("IF($B761="""","""",SUBSTITUTE(SUBSTITUTE(SUBSTITUTE(SUBSTITUTE(INDEX(Hairstyles!$A:$A,MATCH($B761,Hairstyles!$F:$F,0)),"" "",""""),""'"",""""),""("",""""),"")"","""")&amp;""\""&amp;INDEX(SPLIT($A$2,""_""),1)&amp;""\""&amp;INDEX(SPLIT($A$2,""_""),2)&amp;""\""&amp;SUBSTITUTE(SUBST"&amp;"ITUTE(SUBSTITUTE(SUBSTITUTE(SUBSTITUTE(INDEX(Hairstyles!$C:$C,MATCH($B761,Hairstyles!$F:$F,0)),"" "",""""),""'"",""""),""("",""""),"")"",""""),""-"",""_"")&amp;""_""&amp;$A$2)"),"")</f>
        <v/>
      </c>
    </row>
    <row r="762">
      <c r="C762" s="12" t="str">
        <f>IFERROR(__xludf.DUMMYFUNCTION("IF($B762="""","""",SUBSTITUTE(SUBSTITUTE(SUBSTITUTE(SUBSTITUTE(INDEX(Hairstyles!$A:$A,MATCH($B762,Hairstyles!$F:$F,0)),"" "",""""),""'"",""""),""("",""""),"")"","""")&amp;""\""&amp;INDEX(SPLIT($A$2,""_""),1)&amp;""\""&amp;INDEX(SPLIT($A$2,""_""),2)&amp;""\""&amp;SUBSTITUTE(SUBST"&amp;"ITUTE(SUBSTITUTE(SUBSTITUTE(SUBSTITUTE(INDEX(Hairstyles!$C:$C,MATCH($B762,Hairstyles!$F:$F,0)),"" "",""""),""'"",""""),""("",""""),"")"",""""),""-"",""_"")&amp;""_""&amp;$A$2)"),"")</f>
        <v/>
      </c>
    </row>
    <row r="763">
      <c r="C763" s="12" t="str">
        <f>IFERROR(__xludf.DUMMYFUNCTION("IF($B763="""","""",SUBSTITUTE(SUBSTITUTE(SUBSTITUTE(SUBSTITUTE(INDEX(Hairstyles!$A:$A,MATCH($B763,Hairstyles!$F:$F,0)),"" "",""""),""'"",""""),""("",""""),"")"","""")&amp;""\""&amp;INDEX(SPLIT($A$2,""_""),1)&amp;""\""&amp;INDEX(SPLIT($A$2,""_""),2)&amp;""\""&amp;SUBSTITUTE(SUBST"&amp;"ITUTE(SUBSTITUTE(SUBSTITUTE(SUBSTITUTE(INDEX(Hairstyles!$C:$C,MATCH($B763,Hairstyles!$F:$F,0)),"" "",""""),""'"",""""),""("",""""),"")"",""""),""-"",""_"")&amp;""_""&amp;$A$2)"),"")</f>
        <v/>
      </c>
    </row>
    <row r="764">
      <c r="C764" s="12" t="str">
        <f>IFERROR(__xludf.DUMMYFUNCTION("IF($B764="""","""",SUBSTITUTE(SUBSTITUTE(SUBSTITUTE(SUBSTITUTE(INDEX(Hairstyles!$A:$A,MATCH($B764,Hairstyles!$F:$F,0)),"" "",""""),""'"",""""),""("",""""),"")"","""")&amp;""\""&amp;INDEX(SPLIT($A$2,""_""),1)&amp;""\""&amp;INDEX(SPLIT($A$2,""_""),2)&amp;""\""&amp;SUBSTITUTE(SUBST"&amp;"ITUTE(SUBSTITUTE(SUBSTITUTE(SUBSTITUTE(INDEX(Hairstyles!$C:$C,MATCH($B764,Hairstyles!$F:$F,0)),"" "",""""),""'"",""""),""("",""""),"")"",""""),""-"",""_"")&amp;""_""&amp;$A$2)"),"")</f>
        <v/>
      </c>
    </row>
    <row r="765">
      <c r="C765" s="12" t="str">
        <f>IFERROR(__xludf.DUMMYFUNCTION("IF($B765="""","""",SUBSTITUTE(SUBSTITUTE(SUBSTITUTE(SUBSTITUTE(INDEX(Hairstyles!$A:$A,MATCH($B765,Hairstyles!$F:$F,0)),"" "",""""),""'"",""""),""("",""""),"")"","""")&amp;""\""&amp;INDEX(SPLIT($A$2,""_""),1)&amp;""\""&amp;INDEX(SPLIT($A$2,""_""),2)&amp;""\""&amp;SUBSTITUTE(SUBST"&amp;"ITUTE(SUBSTITUTE(SUBSTITUTE(SUBSTITUTE(INDEX(Hairstyles!$C:$C,MATCH($B765,Hairstyles!$F:$F,0)),"" "",""""),""'"",""""),""("",""""),"")"",""""),""-"",""_"")&amp;""_""&amp;$A$2)"),"")</f>
        <v/>
      </c>
    </row>
    <row r="766">
      <c r="C766" s="12" t="str">
        <f>IFERROR(__xludf.DUMMYFUNCTION("IF($B766="""","""",SUBSTITUTE(SUBSTITUTE(SUBSTITUTE(SUBSTITUTE(INDEX(Hairstyles!$A:$A,MATCH($B766,Hairstyles!$F:$F,0)),"" "",""""),""'"",""""),""("",""""),"")"","""")&amp;""\""&amp;INDEX(SPLIT($A$2,""_""),1)&amp;""\""&amp;INDEX(SPLIT($A$2,""_""),2)&amp;""\""&amp;SUBSTITUTE(SUBST"&amp;"ITUTE(SUBSTITUTE(SUBSTITUTE(SUBSTITUTE(INDEX(Hairstyles!$C:$C,MATCH($B766,Hairstyles!$F:$F,0)),"" "",""""),""'"",""""),""("",""""),"")"",""""),""-"",""_"")&amp;""_""&amp;$A$2)"),"")</f>
        <v/>
      </c>
    </row>
    <row r="767">
      <c r="C767" s="12" t="str">
        <f>IFERROR(__xludf.DUMMYFUNCTION("IF($B767="""","""",SUBSTITUTE(SUBSTITUTE(SUBSTITUTE(SUBSTITUTE(INDEX(Hairstyles!$A:$A,MATCH($B767,Hairstyles!$F:$F,0)),"" "",""""),""'"",""""),""("",""""),"")"","""")&amp;""\""&amp;INDEX(SPLIT($A$2,""_""),1)&amp;""\""&amp;INDEX(SPLIT($A$2,""_""),2)&amp;""\""&amp;SUBSTITUTE(SUBST"&amp;"ITUTE(SUBSTITUTE(SUBSTITUTE(SUBSTITUTE(INDEX(Hairstyles!$C:$C,MATCH($B767,Hairstyles!$F:$F,0)),"" "",""""),""'"",""""),""("",""""),"")"",""""),""-"",""_"")&amp;""_""&amp;$A$2)"),"")</f>
        <v/>
      </c>
    </row>
    <row r="768">
      <c r="C768" s="12" t="str">
        <f>IFERROR(__xludf.DUMMYFUNCTION("IF($B768="""","""",SUBSTITUTE(SUBSTITUTE(SUBSTITUTE(SUBSTITUTE(INDEX(Hairstyles!$A:$A,MATCH($B768,Hairstyles!$F:$F,0)),"" "",""""),""'"",""""),""("",""""),"")"","""")&amp;""\""&amp;INDEX(SPLIT($A$2,""_""),1)&amp;""\""&amp;INDEX(SPLIT($A$2,""_""),2)&amp;""\""&amp;SUBSTITUTE(SUBST"&amp;"ITUTE(SUBSTITUTE(SUBSTITUTE(SUBSTITUTE(INDEX(Hairstyles!$C:$C,MATCH($B768,Hairstyles!$F:$F,0)),"" "",""""),""'"",""""),""("",""""),"")"",""""),""-"",""_"")&amp;""_""&amp;$A$2)"),"")</f>
        <v/>
      </c>
    </row>
    <row r="769">
      <c r="C769" s="12" t="str">
        <f>IFERROR(__xludf.DUMMYFUNCTION("IF($B769="""","""",SUBSTITUTE(SUBSTITUTE(SUBSTITUTE(SUBSTITUTE(INDEX(Hairstyles!$A:$A,MATCH($B769,Hairstyles!$F:$F,0)),"" "",""""),""'"",""""),""("",""""),"")"","""")&amp;""\""&amp;INDEX(SPLIT($A$2,""_""),1)&amp;""\""&amp;INDEX(SPLIT($A$2,""_""),2)&amp;""\""&amp;SUBSTITUTE(SUBST"&amp;"ITUTE(SUBSTITUTE(SUBSTITUTE(SUBSTITUTE(INDEX(Hairstyles!$C:$C,MATCH($B769,Hairstyles!$F:$F,0)),"" "",""""),""'"",""""),""("",""""),"")"",""""),""-"",""_"")&amp;""_""&amp;$A$2)"),"")</f>
        <v/>
      </c>
    </row>
    <row r="770">
      <c r="C770" s="12" t="str">
        <f>IFERROR(__xludf.DUMMYFUNCTION("IF($B770="""","""",SUBSTITUTE(SUBSTITUTE(SUBSTITUTE(SUBSTITUTE(INDEX(Hairstyles!$A:$A,MATCH($B770,Hairstyles!$F:$F,0)),"" "",""""),""'"",""""),""("",""""),"")"","""")&amp;""\""&amp;INDEX(SPLIT($A$2,""_""),1)&amp;""\""&amp;INDEX(SPLIT($A$2,""_""),2)&amp;""\""&amp;SUBSTITUTE(SUBST"&amp;"ITUTE(SUBSTITUTE(SUBSTITUTE(SUBSTITUTE(INDEX(Hairstyles!$C:$C,MATCH($B770,Hairstyles!$F:$F,0)),"" "",""""),""'"",""""),""("",""""),"")"",""""),""-"",""_"")&amp;""_""&amp;$A$2)"),"")</f>
        <v/>
      </c>
    </row>
    <row r="771">
      <c r="C771" s="12" t="str">
        <f>IFERROR(__xludf.DUMMYFUNCTION("IF($B771="""","""",SUBSTITUTE(SUBSTITUTE(SUBSTITUTE(SUBSTITUTE(INDEX(Hairstyles!$A:$A,MATCH($B771,Hairstyles!$F:$F,0)),"" "",""""),""'"",""""),""("",""""),"")"","""")&amp;""\""&amp;INDEX(SPLIT($A$2,""_""),1)&amp;""\""&amp;INDEX(SPLIT($A$2,""_""),2)&amp;""\""&amp;SUBSTITUTE(SUBST"&amp;"ITUTE(SUBSTITUTE(SUBSTITUTE(SUBSTITUTE(INDEX(Hairstyles!$C:$C,MATCH($B771,Hairstyles!$F:$F,0)),"" "",""""),""'"",""""),""("",""""),"")"",""""),""-"",""_"")&amp;""_""&amp;$A$2)"),"")</f>
        <v/>
      </c>
    </row>
    <row r="772">
      <c r="C772" s="12" t="str">
        <f>IFERROR(__xludf.DUMMYFUNCTION("IF($B772="""","""",SUBSTITUTE(SUBSTITUTE(SUBSTITUTE(SUBSTITUTE(INDEX(Hairstyles!$A:$A,MATCH($B772,Hairstyles!$F:$F,0)),"" "",""""),""'"",""""),""("",""""),"")"","""")&amp;""\""&amp;INDEX(SPLIT($A$2,""_""),1)&amp;""\""&amp;INDEX(SPLIT($A$2,""_""),2)&amp;""\""&amp;SUBSTITUTE(SUBST"&amp;"ITUTE(SUBSTITUTE(SUBSTITUTE(SUBSTITUTE(INDEX(Hairstyles!$C:$C,MATCH($B772,Hairstyles!$F:$F,0)),"" "",""""),""'"",""""),""("",""""),"")"",""""),""-"",""_"")&amp;""_""&amp;$A$2)"),"")</f>
        <v/>
      </c>
    </row>
    <row r="773">
      <c r="C773" s="12" t="str">
        <f>IFERROR(__xludf.DUMMYFUNCTION("IF($B773="""","""",SUBSTITUTE(SUBSTITUTE(SUBSTITUTE(SUBSTITUTE(INDEX(Hairstyles!$A:$A,MATCH($B773,Hairstyles!$F:$F,0)),"" "",""""),""'"",""""),""("",""""),"")"","""")&amp;""\""&amp;INDEX(SPLIT($A$2,""_""),1)&amp;""\""&amp;INDEX(SPLIT($A$2,""_""),2)&amp;""\""&amp;SUBSTITUTE(SUBST"&amp;"ITUTE(SUBSTITUTE(SUBSTITUTE(SUBSTITUTE(INDEX(Hairstyles!$C:$C,MATCH($B773,Hairstyles!$F:$F,0)),"" "",""""),""'"",""""),""("",""""),"")"",""""),""-"",""_"")&amp;""_""&amp;$A$2)"),"")</f>
        <v/>
      </c>
    </row>
    <row r="774">
      <c r="C774" s="12" t="str">
        <f>IFERROR(__xludf.DUMMYFUNCTION("IF($B774="""","""",SUBSTITUTE(SUBSTITUTE(SUBSTITUTE(SUBSTITUTE(INDEX(Hairstyles!$A:$A,MATCH($B774,Hairstyles!$F:$F,0)),"" "",""""),""'"",""""),""("",""""),"")"","""")&amp;""\""&amp;INDEX(SPLIT($A$2,""_""),1)&amp;""\""&amp;INDEX(SPLIT($A$2,""_""),2)&amp;""\""&amp;SUBSTITUTE(SUBST"&amp;"ITUTE(SUBSTITUTE(SUBSTITUTE(SUBSTITUTE(INDEX(Hairstyles!$C:$C,MATCH($B774,Hairstyles!$F:$F,0)),"" "",""""),""'"",""""),""("",""""),"")"",""""),""-"",""_"")&amp;""_""&amp;$A$2)"),"")</f>
        <v/>
      </c>
    </row>
    <row r="775">
      <c r="C775" s="12" t="str">
        <f>IFERROR(__xludf.DUMMYFUNCTION("IF($B775="""","""",SUBSTITUTE(SUBSTITUTE(SUBSTITUTE(SUBSTITUTE(INDEX(Hairstyles!$A:$A,MATCH($B775,Hairstyles!$F:$F,0)),"" "",""""),""'"",""""),""("",""""),"")"","""")&amp;""\""&amp;INDEX(SPLIT($A$2,""_""),1)&amp;""\""&amp;INDEX(SPLIT($A$2,""_""),2)&amp;""\""&amp;SUBSTITUTE(SUBST"&amp;"ITUTE(SUBSTITUTE(SUBSTITUTE(SUBSTITUTE(INDEX(Hairstyles!$C:$C,MATCH($B775,Hairstyles!$F:$F,0)),"" "",""""),""'"",""""),""("",""""),"")"",""""),""-"",""_"")&amp;""_""&amp;$A$2)"),"")</f>
        <v/>
      </c>
    </row>
    <row r="776">
      <c r="C776" s="12" t="str">
        <f>IFERROR(__xludf.DUMMYFUNCTION("IF($B776="""","""",SUBSTITUTE(SUBSTITUTE(SUBSTITUTE(SUBSTITUTE(INDEX(Hairstyles!$A:$A,MATCH($B776,Hairstyles!$F:$F,0)),"" "",""""),""'"",""""),""("",""""),"")"","""")&amp;""\""&amp;INDEX(SPLIT($A$2,""_""),1)&amp;""\""&amp;INDEX(SPLIT($A$2,""_""),2)&amp;""\""&amp;SUBSTITUTE(SUBST"&amp;"ITUTE(SUBSTITUTE(SUBSTITUTE(SUBSTITUTE(INDEX(Hairstyles!$C:$C,MATCH($B776,Hairstyles!$F:$F,0)),"" "",""""),""'"",""""),""("",""""),"")"",""""),""-"",""_"")&amp;""_""&amp;$A$2)"),"")</f>
        <v/>
      </c>
    </row>
    <row r="777">
      <c r="C777" s="12" t="str">
        <f>IFERROR(__xludf.DUMMYFUNCTION("IF($B777="""","""",SUBSTITUTE(SUBSTITUTE(SUBSTITUTE(SUBSTITUTE(INDEX(Hairstyles!$A:$A,MATCH($B777,Hairstyles!$F:$F,0)),"" "",""""),""'"",""""),""("",""""),"")"","""")&amp;""\""&amp;INDEX(SPLIT($A$2,""_""),1)&amp;""\""&amp;INDEX(SPLIT($A$2,""_""),2)&amp;""\""&amp;SUBSTITUTE(SUBST"&amp;"ITUTE(SUBSTITUTE(SUBSTITUTE(SUBSTITUTE(INDEX(Hairstyles!$C:$C,MATCH($B777,Hairstyles!$F:$F,0)),"" "",""""),""'"",""""),""("",""""),"")"",""""),""-"",""_"")&amp;""_""&amp;$A$2)"),"")</f>
        <v/>
      </c>
    </row>
    <row r="778">
      <c r="C778" s="12" t="str">
        <f>IFERROR(__xludf.DUMMYFUNCTION("IF($B778="""","""",SUBSTITUTE(SUBSTITUTE(SUBSTITUTE(SUBSTITUTE(INDEX(Hairstyles!$A:$A,MATCH($B778,Hairstyles!$F:$F,0)),"" "",""""),""'"",""""),""("",""""),"")"","""")&amp;""\""&amp;INDEX(SPLIT($A$2,""_""),1)&amp;""\""&amp;INDEX(SPLIT($A$2,""_""),2)&amp;""\""&amp;SUBSTITUTE(SUBST"&amp;"ITUTE(SUBSTITUTE(SUBSTITUTE(SUBSTITUTE(INDEX(Hairstyles!$C:$C,MATCH($B778,Hairstyles!$F:$F,0)),"" "",""""),""'"",""""),""("",""""),"")"",""""),""-"",""_"")&amp;""_""&amp;$A$2)"),"")</f>
        <v/>
      </c>
    </row>
    <row r="779">
      <c r="C779" s="12" t="str">
        <f>IFERROR(__xludf.DUMMYFUNCTION("IF($B779="""","""",SUBSTITUTE(SUBSTITUTE(SUBSTITUTE(SUBSTITUTE(INDEX(Hairstyles!$A:$A,MATCH($B779,Hairstyles!$F:$F,0)),"" "",""""),""'"",""""),""("",""""),"")"","""")&amp;""\""&amp;INDEX(SPLIT($A$2,""_""),1)&amp;""\""&amp;INDEX(SPLIT($A$2,""_""),2)&amp;""\""&amp;SUBSTITUTE(SUBST"&amp;"ITUTE(SUBSTITUTE(SUBSTITUTE(SUBSTITUTE(INDEX(Hairstyles!$C:$C,MATCH($B779,Hairstyles!$F:$F,0)),"" "",""""),""'"",""""),""("",""""),"")"",""""),""-"",""_"")&amp;""_""&amp;$A$2)"),"")</f>
        <v/>
      </c>
    </row>
    <row r="780">
      <c r="C780" s="12" t="str">
        <f>IFERROR(__xludf.DUMMYFUNCTION("IF($B780="""","""",SUBSTITUTE(SUBSTITUTE(SUBSTITUTE(SUBSTITUTE(INDEX(Hairstyles!$A:$A,MATCH($B780,Hairstyles!$F:$F,0)),"" "",""""),""'"",""""),""("",""""),"")"","""")&amp;""\""&amp;INDEX(SPLIT($A$2,""_""),1)&amp;""\""&amp;INDEX(SPLIT($A$2,""_""),2)&amp;""\""&amp;SUBSTITUTE(SUBST"&amp;"ITUTE(SUBSTITUTE(SUBSTITUTE(SUBSTITUTE(INDEX(Hairstyles!$C:$C,MATCH($B780,Hairstyles!$F:$F,0)),"" "",""""),""'"",""""),""("",""""),"")"",""""),""-"",""_"")&amp;""_""&amp;$A$2)"),"")</f>
        <v/>
      </c>
    </row>
    <row r="781">
      <c r="C781" s="12" t="str">
        <f>IFERROR(__xludf.DUMMYFUNCTION("IF($B781="""","""",SUBSTITUTE(SUBSTITUTE(SUBSTITUTE(SUBSTITUTE(INDEX(Hairstyles!$A:$A,MATCH($B781,Hairstyles!$F:$F,0)),"" "",""""),""'"",""""),""("",""""),"")"","""")&amp;""\""&amp;INDEX(SPLIT($A$2,""_""),1)&amp;""\""&amp;INDEX(SPLIT($A$2,""_""),2)&amp;""\""&amp;SUBSTITUTE(SUBST"&amp;"ITUTE(SUBSTITUTE(SUBSTITUTE(SUBSTITUTE(INDEX(Hairstyles!$C:$C,MATCH($B781,Hairstyles!$F:$F,0)),"" "",""""),""'"",""""),""("",""""),"")"",""""),""-"",""_"")&amp;""_""&amp;$A$2)"),"")</f>
        <v/>
      </c>
    </row>
    <row r="782">
      <c r="C782" s="12" t="str">
        <f>IFERROR(__xludf.DUMMYFUNCTION("IF($B782="""","""",SUBSTITUTE(SUBSTITUTE(SUBSTITUTE(SUBSTITUTE(INDEX(Hairstyles!$A:$A,MATCH($B782,Hairstyles!$F:$F,0)),"" "",""""),""'"",""""),""("",""""),"")"","""")&amp;""\""&amp;INDEX(SPLIT($A$2,""_""),1)&amp;""\""&amp;INDEX(SPLIT($A$2,""_""),2)&amp;""\""&amp;SUBSTITUTE(SUBST"&amp;"ITUTE(SUBSTITUTE(SUBSTITUTE(SUBSTITUTE(INDEX(Hairstyles!$C:$C,MATCH($B782,Hairstyles!$F:$F,0)),"" "",""""),""'"",""""),""("",""""),"")"",""""),""-"",""_"")&amp;""_""&amp;$A$2)"),"")</f>
        <v/>
      </c>
    </row>
    <row r="783">
      <c r="C783" s="12" t="str">
        <f>IFERROR(__xludf.DUMMYFUNCTION("IF($B783="""","""",SUBSTITUTE(SUBSTITUTE(SUBSTITUTE(SUBSTITUTE(INDEX(Hairstyles!$A:$A,MATCH($B783,Hairstyles!$F:$F,0)),"" "",""""),""'"",""""),""("",""""),"")"","""")&amp;""\""&amp;INDEX(SPLIT($A$2,""_""),1)&amp;""\""&amp;INDEX(SPLIT($A$2,""_""),2)&amp;""\""&amp;SUBSTITUTE(SUBST"&amp;"ITUTE(SUBSTITUTE(SUBSTITUTE(SUBSTITUTE(INDEX(Hairstyles!$C:$C,MATCH($B783,Hairstyles!$F:$F,0)),"" "",""""),""'"",""""),""("",""""),"")"",""""),""-"",""_"")&amp;""_""&amp;$A$2)"),"")</f>
        <v/>
      </c>
    </row>
    <row r="784">
      <c r="C784" s="12" t="str">
        <f>IFERROR(__xludf.DUMMYFUNCTION("IF($B784="""","""",SUBSTITUTE(SUBSTITUTE(SUBSTITUTE(SUBSTITUTE(INDEX(Hairstyles!$A:$A,MATCH($B784,Hairstyles!$F:$F,0)),"" "",""""),""'"",""""),""("",""""),"")"","""")&amp;""\""&amp;INDEX(SPLIT($A$2,""_""),1)&amp;""\""&amp;INDEX(SPLIT($A$2,""_""),2)&amp;""\""&amp;SUBSTITUTE(SUBST"&amp;"ITUTE(SUBSTITUTE(SUBSTITUTE(SUBSTITUTE(INDEX(Hairstyles!$C:$C,MATCH($B784,Hairstyles!$F:$F,0)),"" "",""""),""'"",""""),""("",""""),"")"",""""),""-"",""_"")&amp;""_""&amp;$A$2)"),"")</f>
        <v/>
      </c>
    </row>
    <row r="785">
      <c r="C785" s="12" t="str">
        <f>IFERROR(__xludf.DUMMYFUNCTION("IF($B785="""","""",SUBSTITUTE(SUBSTITUTE(SUBSTITUTE(SUBSTITUTE(INDEX(Hairstyles!$A:$A,MATCH($B785,Hairstyles!$F:$F,0)),"" "",""""),""'"",""""),""("",""""),"")"","""")&amp;""\""&amp;INDEX(SPLIT($A$2,""_""),1)&amp;""\""&amp;INDEX(SPLIT($A$2,""_""),2)&amp;""\""&amp;SUBSTITUTE(SUBST"&amp;"ITUTE(SUBSTITUTE(SUBSTITUTE(SUBSTITUTE(INDEX(Hairstyles!$C:$C,MATCH($B785,Hairstyles!$F:$F,0)),"" "",""""),""'"",""""),""("",""""),"")"",""""),""-"",""_"")&amp;""_""&amp;$A$2)"),"")</f>
        <v/>
      </c>
    </row>
    <row r="786">
      <c r="C786" s="12" t="str">
        <f>IFERROR(__xludf.DUMMYFUNCTION("IF($B786="""","""",SUBSTITUTE(SUBSTITUTE(SUBSTITUTE(SUBSTITUTE(INDEX(Hairstyles!$A:$A,MATCH($B786,Hairstyles!$F:$F,0)),"" "",""""),""'"",""""),""("",""""),"")"","""")&amp;""\""&amp;INDEX(SPLIT($A$2,""_""),1)&amp;""\""&amp;INDEX(SPLIT($A$2,""_""),2)&amp;""\""&amp;SUBSTITUTE(SUBST"&amp;"ITUTE(SUBSTITUTE(SUBSTITUTE(SUBSTITUTE(INDEX(Hairstyles!$C:$C,MATCH($B786,Hairstyles!$F:$F,0)),"" "",""""),""'"",""""),""("",""""),"")"",""""),""-"",""_"")&amp;""_""&amp;$A$2)"),"")</f>
        <v/>
      </c>
    </row>
    <row r="787">
      <c r="C787" s="12" t="str">
        <f>IFERROR(__xludf.DUMMYFUNCTION("IF($B787="""","""",SUBSTITUTE(SUBSTITUTE(SUBSTITUTE(SUBSTITUTE(INDEX(Hairstyles!$A:$A,MATCH($B787,Hairstyles!$F:$F,0)),"" "",""""),""'"",""""),""("",""""),"")"","""")&amp;""\""&amp;INDEX(SPLIT($A$2,""_""),1)&amp;""\""&amp;INDEX(SPLIT($A$2,""_""),2)&amp;""\""&amp;SUBSTITUTE(SUBST"&amp;"ITUTE(SUBSTITUTE(SUBSTITUTE(SUBSTITUTE(INDEX(Hairstyles!$C:$C,MATCH($B787,Hairstyles!$F:$F,0)),"" "",""""),""'"",""""),""("",""""),"")"",""""),""-"",""_"")&amp;""_""&amp;$A$2)"),"")</f>
        <v/>
      </c>
    </row>
    <row r="788">
      <c r="C788" s="12" t="str">
        <f>IFERROR(__xludf.DUMMYFUNCTION("IF($B788="""","""",SUBSTITUTE(SUBSTITUTE(SUBSTITUTE(SUBSTITUTE(INDEX(Hairstyles!$A:$A,MATCH($B788,Hairstyles!$F:$F,0)),"" "",""""),""'"",""""),""("",""""),"")"","""")&amp;""\""&amp;INDEX(SPLIT($A$2,""_""),1)&amp;""\""&amp;INDEX(SPLIT($A$2,""_""),2)&amp;""\""&amp;SUBSTITUTE(SUBST"&amp;"ITUTE(SUBSTITUTE(SUBSTITUTE(SUBSTITUTE(INDEX(Hairstyles!$C:$C,MATCH($B788,Hairstyles!$F:$F,0)),"" "",""""),""'"",""""),""("",""""),"")"",""""),""-"",""_"")&amp;""_""&amp;$A$2)"),"")</f>
        <v/>
      </c>
    </row>
    <row r="789">
      <c r="C789" s="12" t="str">
        <f>IFERROR(__xludf.DUMMYFUNCTION("IF($B789="""","""",SUBSTITUTE(SUBSTITUTE(SUBSTITUTE(SUBSTITUTE(INDEX(Hairstyles!$A:$A,MATCH($B789,Hairstyles!$F:$F,0)),"" "",""""),""'"",""""),""("",""""),"")"","""")&amp;""\""&amp;INDEX(SPLIT($A$2,""_""),1)&amp;""\""&amp;INDEX(SPLIT($A$2,""_""),2)&amp;""\""&amp;SUBSTITUTE(SUBST"&amp;"ITUTE(SUBSTITUTE(SUBSTITUTE(SUBSTITUTE(INDEX(Hairstyles!$C:$C,MATCH($B789,Hairstyles!$F:$F,0)),"" "",""""),""'"",""""),""("",""""),"")"",""""),""-"",""_"")&amp;""_""&amp;$A$2)"),"")</f>
        <v/>
      </c>
    </row>
    <row r="790">
      <c r="C790" s="12" t="str">
        <f>IFERROR(__xludf.DUMMYFUNCTION("IF($B790="""","""",SUBSTITUTE(SUBSTITUTE(SUBSTITUTE(SUBSTITUTE(INDEX(Hairstyles!$A:$A,MATCH($B790,Hairstyles!$F:$F,0)),"" "",""""),""'"",""""),""("",""""),"")"","""")&amp;""\""&amp;INDEX(SPLIT($A$2,""_""),1)&amp;""\""&amp;INDEX(SPLIT($A$2,""_""),2)&amp;""\""&amp;SUBSTITUTE(SUBST"&amp;"ITUTE(SUBSTITUTE(SUBSTITUTE(SUBSTITUTE(INDEX(Hairstyles!$C:$C,MATCH($B790,Hairstyles!$F:$F,0)),"" "",""""),""'"",""""),""("",""""),"")"",""""),""-"",""_"")&amp;""_""&amp;$A$2)"),"")</f>
        <v/>
      </c>
    </row>
    <row r="791">
      <c r="C791" s="12" t="str">
        <f>IFERROR(__xludf.DUMMYFUNCTION("IF($B791="""","""",SUBSTITUTE(SUBSTITUTE(SUBSTITUTE(SUBSTITUTE(INDEX(Hairstyles!$A:$A,MATCH($B791,Hairstyles!$F:$F,0)),"" "",""""),""'"",""""),""("",""""),"")"","""")&amp;""\""&amp;INDEX(SPLIT($A$2,""_""),1)&amp;""\""&amp;INDEX(SPLIT($A$2,""_""),2)&amp;""\""&amp;SUBSTITUTE(SUBST"&amp;"ITUTE(SUBSTITUTE(SUBSTITUTE(SUBSTITUTE(INDEX(Hairstyles!$C:$C,MATCH($B791,Hairstyles!$F:$F,0)),"" "",""""),""'"",""""),""("",""""),"")"",""""),""-"",""_"")&amp;""_""&amp;$A$2)"),"")</f>
        <v/>
      </c>
    </row>
    <row r="792">
      <c r="C792" s="12" t="str">
        <f>IFERROR(__xludf.DUMMYFUNCTION("IF($B792="""","""",SUBSTITUTE(SUBSTITUTE(SUBSTITUTE(SUBSTITUTE(INDEX(Hairstyles!$A:$A,MATCH($B792,Hairstyles!$F:$F,0)),"" "",""""),""'"",""""),""("",""""),"")"","""")&amp;""\""&amp;INDEX(SPLIT($A$2,""_""),1)&amp;""\""&amp;INDEX(SPLIT($A$2,""_""),2)&amp;""\""&amp;SUBSTITUTE(SUBST"&amp;"ITUTE(SUBSTITUTE(SUBSTITUTE(SUBSTITUTE(INDEX(Hairstyles!$C:$C,MATCH($B792,Hairstyles!$F:$F,0)),"" "",""""),""'"",""""),""("",""""),"")"",""""),""-"",""_"")&amp;""_""&amp;$A$2)"),"")</f>
        <v/>
      </c>
    </row>
    <row r="793">
      <c r="C793" s="12" t="str">
        <f>IFERROR(__xludf.DUMMYFUNCTION("IF($B793="""","""",SUBSTITUTE(SUBSTITUTE(SUBSTITUTE(SUBSTITUTE(INDEX(Hairstyles!$A:$A,MATCH($B793,Hairstyles!$F:$F,0)),"" "",""""),""'"",""""),""("",""""),"")"","""")&amp;""\""&amp;INDEX(SPLIT($A$2,""_""),1)&amp;""\""&amp;INDEX(SPLIT($A$2,""_""),2)&amp;""\""&amp;SUBSTITUTE(SUBST"&amp;"ITUTE(SUBSTITUTE(SUBSTITUTE(SUBSTITUTE(INDEX(Hairstyles!$C:$C,MATCH($B793,Hairstyles!$F:$F,0)),"" "",""""),""'"",""""),""("",""""),"")"",""""),""-"",""_"")&amp;""_""&amp;$A$2)"),"")</f>
        <v/>
      </c>
    </row>
    <row r="794">
      <c r="C794" s="12" t="str">
        <f>IFERROR(__xludf.DUMMYFUNCTION("IF($B794="""","""",SUBSTITUTE(SUBSTITUTE(SUBSTITUTE(SUBSTITUTE(INDEX(Hairstyles!$A:$A,MATCH($B794,Hairstyles!$F:$F,0)),"" "",""""),""'"",""""),""("",""""),"")"","""")&amp;""\""&amp;INDEX(SPLIT($A$2,""_""),1)&amp;""\""&amp;INDEX(SPLIT($A$2,""_""),2)&amp;""\""&amp;SUBSTITUTE(SUBST"&amp;"ITUTE(SUBSTITUTE(SUBSTITUTE(SUBSTITUTE(INDEX(Hairstyles!$C:$C,MATCH($B794,Hairstyles!$F:$F,0)),"" "",""""),""'"",""""),""("",""""),"")"",""""),""-"",""_"")&amp;""_""&amp;$A$2)"),"")</f>
        <v/>
      </c>
    </row>
    <row r="795">
      <c r="C795" s="12" t="str">
        <f>IFERROR(__xludf.DUMMYFUNCTION("IF($B795="""","""",SUBSTITUTE(SUBSTITUTE(SUBSTITUTE(SUBSTITUTE(INDEX(Hairstyles!$A:$A,MATCH($B795,Hairstyles!$F:$F,0)),"" "",""""),""'"",""""),""("",""""),"")"","""")&amp;""\""&amp;INDEX(SPLIT($A$2,""_""),1)&amp;""\""&amp;INDEX(SPLIT($A$2,""_""),2)&amp;""\""&amp;SUBSTITUTE(SUBST"&amp;"ITUTE(SUBSTITUTE(SUBSTITUTE(SUBSTITUTE(INDEX(Hairstyles!$C:$C,MATCH($B795,Hairstyles!$F:$F,0)),"" "",""""),""'"",""""),""("",""""),"")"",""""),""-"",""_"")&amp;""_""&amp;$A$2)"),"")</f>
        <v/>
      </c>
    </row>
    <row r="796">
      <c r="C796" s="12" t="str">
        <f>IFERROR(__xludf.DUMMYFUNCTION("IF($B796="""","""",SUBSTITUTE(SUBSTITUTE(SUBSTITUTE(SUBSTITUTE(INDEX(Hairstyles!$A:$A,MATCH($B796,Hairstyles!$F:$F,0)),"" "",""""),""'"",""""),""("",""""),"")"","""")&amp;""\""&amp;INDEX(SPLIT($A$2,""_""),1)&amp;""\""&amp;INDEX(SPLIT($A$2,""_""),2)&amp;""\""&amp;SUBSTITUTE(SUBST"&amp;"ITUTE(SUBSTITUTE(SUBSTITUTE(SUBSTITUTE(INDEX(Hairstyles!$C:$C,MATCH($B796,Hairstyles!$F:$F,0)),"" "",""""),""'"",""""),""("",""""),"")"",""""),""-"",""_"")&amp;""_""&amp;$A$2)"),"")</f>
        <v/>
      </c>
    </row>
    <row r="797">
      <c r="C797" s="12" t="str">
        <f>IFERROR(__xludf.DUMMYFUNCTION("IF($B797="""","""",SUBSTITUTE(SUBSTITUTE(SUBSTITUTE(SUBSTITUTE(INDEX(Hairstyles!$A:$A,MATCH($B797,Hairstyles!$F:$F,0)),"" "",""""),""'"",""""),""("",""""),"")"","""")&amp;""\""&amp;INDEX(SPLIT($A$2,""_""),1)&amp;""\""&amp;INDEX(SPLIT($A$2,""_""),2)&amp;""\""&amp;SUBSTITUTE(SUBST"&amp;"ITUTE(SUBSTITUTE(SUBSTITUTE(SUBSTITUTE(INDEX(Hairstyles!$C:$C,MATCH($B797,Hairstyles!$F:$F,0)),"" "",""""),""'"",""""),""("",""""),"")"",""""),""-"",""_"")&amp;""_""&amp;$A$2)"),"")</f>
        <v/>
      </c>
    </row>
    <row r="798">
      <c r="C798" s="12" t="str">
        <f>IFERROR(__xludf.DUMMYFUNCTION("IF($B798="""","""",SUBSTITUTE(SUBSTITUTE(SUBSTITUTE(SUBSTITUTE(INDEX(Hairstyles!$A:$A,MATCH($B798,Hairstyles!$F:$F,0)),"" "",""""),""'"",""""),""("",""""),"")"","""")&amp;""\""&amp;INDEX(SPLIT($A$2,""_""),1)&amp;""\""&amp;INDEX(SPLIT($A$2,""_""),2)&amp;""\""&amp;SUBSTITUTE(SUBST"&amp;"ITUTE(SUBSTITUTE(SUBSTITUTE(SUBSTITUTE(INDEX(Hairstyles!$C:$C,MATCH($B798,Hairstyles!$F:$F,0)),"" "",""""),""'"",""""),""("",""""),"")"",""""),""-"",""_"")&amp;""_""&amp;$A$2)"),"")</f>
        <v/>
      </c>
    </row>
    <row r="799">
      <c r="C799" s="12" t="str">
        <f>IFERROR(__xludf.DUMMYFUNCTION("IF($B799="""","""",SUBSTITUTE(SUBSTITUTE(SUBSTITUTE(SUBSTITUTE(INDEX(Hairstyles!$A:$A,MATCH($B799,Hairstyles!$F:$F,0)),"" "",""""),""'"",""""),""("",""""),"")"","""")&amp;""\""&amp;INDEX(SPLIT($A$2,""_""),1)&amp;""\""&amp;INDEX(SPLIT($A$2,""_""),2)&amp;""\""&amp;SUBSTITUTE(SUBST"&amp;"ITUTE(SUBSTITUTE(SUBSTITUTE(SUBSTITUTE(INDEX(Hairstyles!$C:$C,MATCH($B799,Hairstyles!$F:$F,0)),"" "",""""),""'"",""""),""("",""""),"")"",""""),""-"",""_"")&amp;""_""&amp;$A$2)"),"")</f>
        <v/>
      </c>
    </row>
    <row r="800">
      <c r="C800" s="12" t="str">
        <f>IFERROR(__xludf.DUMMYFUNCTION("IF($B800="""","""",SUBSTITUTE(SUBSTITUTE(SUBSTITUTE(SUBSTITUTE(INDEX(Hairstyles!$A:$A,MATCH($B800,Hairstyles!$F:$F,0)),"" "",""""),""'"",""""),""("",""""),"")"","""")&amp;""\""&amp;INDEX(SPLIT($A$2,""_""),1)&amp;""\""&amp;INDEX(SPLIT($A$2,""_""),2)&amp;""\""&amp;SUBSTITUTE(SUBST"&amp;"ITUTE(SUBSTITUTE(SUBSTITUTE(SUBSTITUTE(INDEX(Hairstyles!$C:$C,MATCH($B800,Hairstyles!$F:$F,0)),"" "",""""),""'"",""""),""("",""""),"")"",""""),""-"",""_"")&amp;""_""&amp;$A$2)"),"")</f>
        <v/>
      </c>
    </row>
    <row r="801">
      <c r="C801" s="12" t="str">
        <f>IFERROR(__xludf.DUMMYFUNCTION("IF($B801="""","""",SUBSTITUTE(SUBSTITUTE(SUBSTITUTE(SUBSTITUTE(INDEX(Hairstyles!$A:$A,MATCH($B801,Hairstyles!$F:$F,0)),"" "",""""),""'"",""""),""("",""""),"")"","""")&amp;""\""&amp;INDEX(SPLIT($A$2,""_""),1)&amp;""\""&amp;INDEX(SPLIT($A$2,""_""),2)&amp;""\""&amp;SUBSTITUTE(SUBST"&amp;"ITUTE(SUBSTITUTE(SUBSTITUTE(SUBSTITUTE(INDEX(Hairstyles!$C:$C,MATCH($B801,Hairstyles!$F:$F,0)),"" "",""""),""'"",""""),""("",""""),"")"",""""),""-"",""_"")&amp;""_""&amp;$A$2)"),"")</f>
        <v/>
      </c>
    </row>
    <row r="802">
      <c r="C802" s="12" t="str">
        <f>IFERROR(__xludf.DUMMYFUNCTION("IF($B802="""","""",SUBSTITUTE(SUBSTITUTE(SUBSTITUTE(SUBSTITUTE(INDEX(Hairstyles!$A:$A,MATCH($B802,Hairstyles!$F:$F,0)),"" "",""""),""'"",""""),""("",""""),"")"","""")&amp;""\""&amp;INDEX(SPLIT($A$2,""_""),1)&amp;""\""&amp;INDEX(SPLIT($A$2,""_""),2)&amp;""\""&amp;SUBSTITUTE(SUBST"&amp;"ITUTE(SUBSTITUTE(SUBSTITUTE(SUBSTITUTE(INDEX(Hairstyles!$C:$C,MATCH($B802,Hairstyles!$F:$F,0)),"" "",""""),""'"",""""),""("",""""),"")"",""""),""-"",""_"")&amp;""_""&amp;$A$2)"),"")</f>
        <v/>
      </c>
    </row>
    <row r="803">
      <c r="C803" s="12" t="str">
        <f>IFERROR(__xludf.DUMMYFUNCTION("IF($B803="""","""",SUBSTITUTE(SUBSTITUTE(SUBSTITUTE(SUBSTITUTE(INDEX(Hairstyles!$A:$A,MATCH($B803,Hairstyles!$F:$F,0)),"" "",""""),""'"",""""),""("",""""),"")"","""")&amp;""\""&amp;INDEX(SPLIT($A$2,""_""),1)&amp;""\""&amp;INDEX(SPLIT($A$2,""_""),2)&amp;""\""&amp;SUBSTITUTE(SUBST"&amp;"ITUTE(SUBSTITUTE(SUBSTITUTE(SUBSTITUTE(INDEX(Hairstyles!$C:$C,MATCH($B803,Hairstyles!$F:$F,0)),"" "",""""),""'"",""""),""("",""""),"")"",""""),""-"",""_"")&amp;""_""&amp;$A$2)"),"")</f>
        <v/>
      </c>
    </row>
    <row r="804">
      <c r="C804" s="12" t="str">
        <f>IFERROR(__xludf.DUMMYFUNCTION("IF($B804="""","""",SUBSTITUTE(SUBSTITUTE(SUBSTITUTE(SUBSTITUTE(INDEX(Hairstyles!$A:$A,MATCH($B804,Hairstyles!$F:$F,0)),"" "",""""),""'"",""""),""("",""""),"")"","""")&amp;""\""&amp;INDEX(SPLIT($A$2,""_""),1)&amp;""\""&amp;INDEX(SPLIT($A$2,""_""),2)&amp;""\""&amp;SUBSTITUTE(SUBST"&amp;"ITUTE(SUBSTITUTE(SUBSTITUTE(SUBSTITUTE(INDEX(Hairstyles!$C:$C,MATCH($B804,Hairstyles!$F:$F,0)),"" "",""""),""'"",""""),""("",""""),"")"",""""),""-"",""_"")&amp;""_""&amp;$A$2)"),"")</f>
        <v/>
      </c>
    </row>
    <row r="805">
      <c r="C805" s="12" t="str">
        <f>IFERROR(__xludf.DUMMYFUNCTION("IF($B805="""","""",SUBSTITUTE(SUBSTITUTE(SUBSTITUTE(SUBSTITUTE(INDEX(Hairstyles!$A:$A,MATCH($B805,Hairstyles!$F:$F,0)),"" "",""""),""'"",""""),""("",""""),"")"","""")&amp;""\""&amp;INDEX(SPLIT($A$2,""_""),1)&amp;""\""&amp;INDEX(SPLIT($A$2,""_""),2)&amp;""\""&amp;SUBSTITUTE(SUBST"&amp;"ITUTE(SUBSTITUTE(SUBSTITUTE(SUBSTITUTE(INDEX(Hairstyles!$C:$C,MATCH($B805,Hairstyles!$F:$F,0)),"" "",""""),""'"",""""),""("",""""),"")"",""""),""-"",""_"")&amp;""_""&amp;$A$2)"),"")</f>
        <v/>
      </c>
    </row>
    <row r="806">
      <c r="C806" s="12" t="str">
        <f>IFERROR(__xludf.DUMMYFUNCTION("IF($B806="""","""",SUBSTITUTE(SUBSTITUTE(SUBSTITUTE(SUBSTITUTE(INDEX(Hairstyles!$A:$A,MATCH($B806,Hairstyles!$F:$F,0)),"" "",""""),""'"",""""),""("",""""),"")"","""")&amp;""\""&amp;INDEX(SPLIT($A$2,""_""),1)&amp;""\""&amp;INDEX(SPLIT($A$2,""_""),2)&amp;""\""&amp;SUBSTITUTE(SUBST"&amp;"ITUTE(SUBSTITUTE(SUBSTITUTE(SUBSTITUTE(INDEX(Hairstyles!$C:$C,MATCH($B806,Hairstyles!$F:$F,0)),"" "",""""),""'"",""""),""("",""""),"")"",""""),""-"",""_"")&amp;""_""&amp;$A$2)"),"")</f>
        <v/>
      </c>
    </row>
    <row r="807">
      <c r="C807" s="12" t="str">
        <f>IFERROR(__xludf.DUMMYFUNCTION("IF($B807="""","""",SUBSTITUTE(SUBSTITUTE(SUBSTITUTE(SUBSTITUTE(INDEX(Hairstyles!$A:$A,MATCH($B807,Hairstyles!$F:$F,0)),"" "",""""),""'"",""""),""("",""""),"")"","""")&amp;""\""&amp;INDEX(SPLIT($A$2,""_""),1)&amp;""\""&amp;INDEX(SPLIT($A$2,""_""),2)&amp;""\""&amp;SUBSTITUTE(SUBST"&amp;"ITUTE(SUBSTITUTE(SUBSTITUTE(SUBSTITUTE(INDEX(Hairstyles!$C:$C,MATCH($B807,Hairstyles!$F:$F,0)),"" "",""""),""'"",""""),""("",""""),"")"",""""),""-"",""_"")&amp;""_""&amp;$A$2)"),"")</f>
        <v/>
      </c>
    </row>
    <row r="808">
      <c r="C808" s="12" t="str">
        <f>IFERROR(__xludf.DUMMYFUNCTION("IF($B808="""","""",SUBSTITUTE(SUBSTITUTE(SUBSTITUTE(SUBSTITUTE(INDEX(Hairstyles!$A:$A,MATCH($B808,Hairstyles!$F:$F,0)),"" "",""""),""'"",""""),""("",""""),"")"","""")&amp;""\""&amp;INDEX(SPLIT($A$2,""_""),1)&amp;""\""&amp;INDEX(SPLIT($A$2,""_""),2)&amp;""\""&amp;SUBSTITUTE(SUBST"&amp;"ITUTE(SUBSTITUTE(SUBSTITUTE(SUBSTITUTE(INDEX(Hairstyles!$C:$C,MATCH($B808,Hairstyles!$F:$F,0)),"" "",""""),""'"",""""),""("",""""),"")"",""""),""-"",""_"")&amp;""_""&amp;$A$2)"),"")</f>
        <v/>
      </c>
    </row>
    <row r="809">
      <c r="C809" s="12" t="str">
        <f>IFERROR(__xludf.DUMMYFUNCTION("IF($B809="""","""",SUBSTITUTE(SUBSTITUTE(SUBSTITUTE(SUBSTITUTE(INDEX(Hairstyles!$A:$A,MATCH($B809,Hairstyles!$F:$F,0)),"" "",""""),""'"",""""),""("",""""),"")"","""")&amp;""\""&amp;INDEX(SPLIT($A$2,""_""),1)&amp;""\""&amp;INDEX(SPLIT($A$2,""_""),2)&amp;""\""&amp;SUBSTITUTE(SUBST"&amp;"ITUTE(SUBSTITUTE(SUBSTITUTE(SUBSTITUTE(INDEX(Hairstyles!$C:$C,MATCH($B809,Hairstyles!$F:$F,0)),"" "",""""),""'"",""""),""("",""""),"")"",""""),""-"",""_"")&amp;""_""&amp;$A$2)"),"")</f>
        <v/>
      </c>
    </row>
    <row r="810">
      <c r="C810" s="12" t="str">
        <f>IFERROR(__xludf.DUMMYFUNCTION("IF($B810="""","""",SUBSTITUTE(SUBSTITUTE(SUBSTITUTE(SUBSTITUTE(INDEX(Hairstyles!$A:$A,MATCH($B810,Hairstyles!$F:$F,0)),"" "",""""),""'"",""""),""("",""""),"")"","""")&amp;""\""&amp;INDEX(SPLIT($A$2,""_""),1)&amp;""\""&amp;INDEX(SPLIT($A$2,""_""),2)&amp;""\""&amp;SUBSTITUTE(SUBST"&amp;"ITUTE(SUBSTITUTE(SUBSTITUTE(SUBSTITUTE(INDEX(Hairstyles!$C:$C,MATCH($B810,Hairstyles!$F:$F,0)),"" "",""""),""'"",""""),""("",""""),"")"",""""),""-"",""_"")&amp;""_""&amp;$A$2)"),"")</f>
        <v/>
      </c>
    </row>
    <row r="811">
      <c r="C811" s="12" t="str">
        <f>IFERROR(__xludf.DUMMYFUNCTION("IF($B811="""","""",SUBSTITUTE(SUBSTITUTE(SUBSTITUTE(SUBSTITUTE(INDEX(Hairstyles!$A:$A,MATCH($B811,Hairstyles!$F:$F,0)),"" "",""""),""'"",""""),""("",""""),"")"","""")&amp;""\""&amp;INDEX(SPLIT($A$2,""_""),1)&amp;""\""&amp;INDEX(SPLIT($A$2,""_""),2)&amp;""\""&amp;SUBSTITUTE(SUBST"&amp;"ITUTE(SUBSTITUTE(SUBSTITUTE(SUBSTITUTE(INDEX(Hairstyles!$C:$C,MATCH($B811,Hairstyles!$F:$F,0)),"" "",""""),""'"",""""),""("",""""),"")"",""""),""-"",""_"")&amp;""_""&amp;$A$2)"),"")</f>
        <v/>
      </c>
    </row>
    <row r="812">
      <c r="C812" s="12" t="str">
        <f>IFERROR(__xludf.DUMMYFUNCTION("IF($B812="""","""",SUBSTITUTE(SUBSTITUTE(SUBSTITUTE(SUBSTITUTE(INDEX(Hairstyles!$A:$A,MATCH($B812,Hairstyles!$F:$F,0)),"" "",""""),""'"",""""),""("",""""),"")"","""")&amp;""\""&amp;INDEX(SPLIT($A$2,""_""),1)&amp;""\""&amp;INDEX(SPLIT($A$2,""_""),2)&amp;""\""&amp;SUBSTITUTE(SUBST"&amp;"ITUTE(SUBSTITUTE(SUBSTITUTE(SUBSTITUTE(INDEX(Hairstyles!$C:$C,MATCH($B812,Hairstyles!$F:$F,0)),"" "",""""),""'"",""""),""("",""""),"")"",""""),""-"",""_"")&amp;""_""&amp;$A$2)"),"")</f>
        <v/>
      </c>
    </row>
    <row r="813">
      <c r="C813" s="12" t="str">
        <f>IFERROR(__xludf.DUMMYFUNCTION("IF($B813="""","""",SUBSTITUTE(SUBSTITUTE(SUBSTITUTE(SUBSTITUTE(INDEX(Hairstyles!$A:$A,MATCH($B813,Hairstyles!$F:$F,0)),"" "",""""),""'"",""""),""("",""""),"")"","""")&amp;""\""&amp;INDEX(SPLIT($A$2,""_""),1)&amp;""\""&amp;INDEX(SPLIT($A$2,""_""),2)&amp;""\""&amp;SUBSTITUTE(SUBST"&amp;"ITUTE(SUBSTITUTE(SUBSTITUTE(SUBSTITUTE(INDEX(Hairstyles!$C:$C,MATCH($B813,Hairstyles!$F:$F,0)),"" "",""""),""'"",""""),""("",""""),"")"",""""),""-"",""_"")&amp;""_""&amp;$A$2)"),"")</f>
        <v/>
      </c>
    </row>
    <row r="814">
      <c r="C814" s="12" t="str">
        <f>IFERROR(__xludf.DUMMYFUNCTION("IF($B814="""","""",SUBSTITUTE(SUBSTITUTE(SUBSTITUTE(SUBSTITUTE(INDEX(Hairstyles!$A:$A,MATCH($B814,Hairstyles!$F:$F,0)),"" "",""""),""'"",""""),""("",""""),"")"","""")&amp;""\""&amp;INDEX(SPLIT($A$2,""_""),1)&amp;""\""&amp;INDEX(SPLIT($A$2,""_""),2)&amp;""\""&amp;SUBSTITUTE(SUBST"&amp;"ITUTE(SUBSTITUTE(SUBSTITUTE(SUBSTITUTE(INDEX(Hairstyles!$C:$C,MATCH($B814,Hairstyles!$F:$F,0)),"" "",""""),""'"",""""),""("",""""),"")"",""""),""-"",""_"")&amp;""_""&amp;$A$2)"),"")</f>
        <v/>
      </c>
    </row>
    <row r="815">
      <c r="C815" s="12" t="str">
        <f>IFERROR(__xludf.DUMMYFUNCTION("IF($B815="""","""",SUBSTITUTE(SUBSTITUTE(SUBSTITUTE(SUBSTITUTE(INDEX(Hairstyles!$A:$A,MATCH($B815,Hairstyles!$F:$F,0)),"" "",""""),""'"",""""),""("",""""),"")"","""")&amp;""\""&amp;INDEX(SPLIT($A$2,""_""),1)&amp;""\""&amp;INDEX(SPLIT($A$2,""_""),2)&amp;""\""&amp;SUBSTITUTE(SUBST"&amp;"ITUTE(SUBSTITUTE(SUBSTITUTE(SUBSTITUTE(INDEX(Hairstyles!$C:$C,MATCH($B815,Hairstyles!$F:$F,0)),"" "",""""),""'"",""""),""("",""""),"")"",""""),""-"",""_"")&amp;""_""&amp;$A$2)"),"")</f>
        <v/>
      </c>
    </row>
    <row r="816">
      <c r="C816" s="12" t="str">
        <f>IFERROR(__xludf.DUMMYFUNCTION("IF($B816="""","""",SUBSTITUTE(SUBSTITUTE(SUBSTITUTE(SUBSTITUTE(INDEX(Hairstyles!$A:$A,MATCH($B816,Hairstyles!$F:$F,0)),"" "",""""),""'"",""""),""("",""""),"")"","""")&amp;""\""&amp;INDEX(SPLIT($A$2,""_""),1)&amp;""\""&amp;INDEX(SPLIT($A$2,""_""),2)&amp;""\""&amp;SUBSTITUTE(SUBST"&amp;"ITUTE(SUBSTITUTE(SUBSTITUTE(SUBSTITUTE(INDEX(Hairstyles!$C:$C,MATCH($B816,Hairstyles!$F:$F,0)),"" "",""""),""'"",""""),""("",""""),"")"",""""),""-"",""_"")&amp;""_""&amp;$A$2)"),"")</f>
        <v/>
      </c>
    </row>
    <row r="817">
      <c r="C817" s="12" t="str">
        <f>IFERROR(__xludf.DUMMYFUNCTION("IF($B817="""","""",SUBSTITUTE(SUBSTITUTE(SUBSTITUTE(SUBSTITUTE(INDEX(Hairstyles!$A:$A,MATCH($B817,Hairstyles!$F:$F,0)),"" "",""""),""'"",""""),""("",""""),"")"","""")&amp;""\""&amp;INDEX(SPLIT($A$2,""_""),1)&amp;""\""&amp;INDEX(SPLIT($A$2,""_""),2)&amp;""\""&amp;SUBSTITUTE(SUBST"&amp;"ITUTE(SUBSTITUTE(SUBSTITUTE(SUBSTITUTE(INDEX(Hairstyles!$C:$C,MATCH($B817,Hairstyles!$F:$F,0)),"" "",""""),""'"",""""),""("",""""),"")"",""""),""-"",""_"")&amp;""_""&amp;$A$2)"),"")</f>
        <v/>
      </c>
    </row>
    <row r="818">
      <c r="C818" s="12" t="str">
        <f>IFERROR(__xludf.DUMMYFUNCTION("IF($B818="""","""",SUBSTITUTE(SUBSTITUTE(SUBSTITUTE(SUBSTITUTE(INDEX(Hairstyles!$A:$A,MATCH($B818,Hairstyles!$F:$F,0)),"" "",""""),""'"",""""),""("",""""),"")"","""")&amp;""\""&amp;INDEX(SPLIT($A$2,""_""),1)&amp;""\""&amp;INDEX(SPLIT($A$2,""_""),2)&amp;""\""&amp;SUBSTITUTE(SUBST"&amp;"ITUTE(SUBSTITUTE(SUBSTITUTE(SUBSTITUTE(INDEX(Hairstyles!$C:$C,MATCH($B818,Hairstyles!$F:$F,0)),"" "",""""),""'"",""""),""("",""""),"")"",""""),""-"",""_"")&amp;""_""&amp;$A$2)"),"")</f>
        <v/>
      </c>
    </row>
    <row r="819">
      <c r="C819" s="12" t="str">
        <f>IFERROR(__xludf.DUMMYFUNCTION("IF($B819="""","""",SUBSTITUTE(SUBSTITUTE(SUBSTITUTE(SUBSTITUTE(INDEX(Hairstyles!$A:$A,MATCH($B819,Hairstyles!$F:$F,0)),"" "",""""),""'"",""""),""("",""""),"")"","""")&amp;""\""&amp;INDEX(SPLIT($A$2,""_""),1)&amp;""\""&amp;INDEX(SPLIT($A$2,""_""),2)&amp;""\""&amp;SUBSTITUTE(SUBST"&amp;"ITUTE(SUBSTITUTE(SUBSTITUTE(SUBSTITUTE(INDEX(Hairstyles!$C:$C,MATCH($B819,Hairstyles!$F:$F,0)),"" "",""""),""'"",""""),""("",""""),"")"",""""),""-"",""_"")&amp;""_""&amp;$A$2)"),"")</f>
        <v/>
      </c>
    </row>
    <row r="820">
      <c r="C820" s="12" t="str">
        <f>IFERROR(__xludf.DUMMYFUNCTION("IF($B820="""","""",SUBSTITUTE(SUBSTITUTE(SUBSTITUTE(SUBSTITUTE(INDEX(Hairstyles!$A:$A,MATCH($B820,Hairstyles!$F:$F,0)),"" "",""""),""'"",""""),""("",""""),"")"","""")&amp;""\""&amp;INDEX(SPLIT($A$2,""_""),1)&amp;""\""&amp;INDEX(SPLIT($A$2,""_""),2)&amp;""\""&amp;SUBSTITUTE(SUBST"&amp;"ITUTE(SUBSTITUTE(SUBSTITUTE(SUBSTITUTE(INDEX(Hairstyles!$C:$C,MATCH($B820,Hairstyles!$F:$F,0)),"" "",""""),""'"",""""),""("",""""),"")"",""""),""-"",""_"")&amp;""_""&amp;$A$2)"),"")</f>
        <v/>
      </c>
    </row>
    <row r="821">
      <c r="C821" s="12" t="str">
        <f>IFERROR(__xludf.DUMMYFUNCTION("IF($B821="""","""",SUBSTITUTE(SUBSTITUTE(SUBSTITUTE(SUBSTITUTE(INDEX(Hairstyles!$A:$A,MATCH($B821,Hairstyles!$F:$F,0)),"" "",""""),""'"",""""),""("",""""),"")"","""")&amp;""\""&amp;INDEX(SPLIT($A$2,""_""),1)&amp;""\""&amp;INDEX(SPLIT($A$2,""_""),2)&amp;""\""&amp;SUBSTITUTE(SUBST"&amp;"ITUTE(SUBSTITUTE(SUBSTITUTE(SUBSTITUTE(INDEX(Hairstyles!$C:$C,MATCH($B821,Hairstyles!$F:$F,0)),"" "",""""),""'"",""""),""("",""""),"")"",""""),""-"",""_"")&amp;""_""&amp;$A$2)"),"")</f>
        <v/>
      </c>
    </row>
    <row r="822">
      <c r="C822" s="12" t="str">
        <f>IFERROR(__xludf.DUMMYFUNCTION("IF($B822="""","""",SUBSTITUTE(SUBSTITUTE(SUBSTITUTE(SUBSTITUTE(INDEX(Hairstyles!$A:$A,MATCH($B822,Hairstyles!$F:$F,0)),"" "",""""),""'"",""""),""("",""""),"")"","""")&amp;""\""&amp;INDEX(SPLIT($A$2,""_""),1)&amp;""\""&amp;INDEX(SPLIT($A$2,""_""),2)&amp;""\""&amp;SUBSTITUTE(SUBST"&amp;"ITUTE(SUBSTITUTE(SUBSTITUTE(SUBSTITUTE(INDEX(Hairstyles!$C:$C,MATCH($B822,Hairstyles!$F:$F,0)),"" "",""""),""'"",""""),""("",""""),"")"",""""),""-"",""_"")&amp;""_""&amp;$A$2)"),"")</f>
        <v/>
      </c>
    </row>
    <row r="823">
      <c r="C823" s="12" t="str">
        <f>IFERROR(__xludf.DUMMYFUNCTION("IF($B823="""","""",SUBSTITUTE(SUBSTITUTE(SUBSTITUTE(SUBSTITUTE(INDEX(Hairstyles!$A:$A,MATCH($B823,Hairstyles!$F:$F,0)),"" "",""""),""'"",""""),""("",""""),"")"","""")&amp;""\""&amp;INDEX(SPLIT($A$2,""_""),1)&amp;""\""&amp;INDEX(SPLIT($A$2,""_""),2)&amp;""\""&amp;SUBSTITUTE(SUBST"&amp;"ITUTE(SUBSTITUTE(SUBSTITUTE(SUBSTITUTE(INDEX(Hairstyles!$C:$C,MATCH($B823,Hairstyles!$F:$F,0)),"" "",""""),""'"",""""),""("",""""),"")"",""""),""-"",""_"")&amp;""_""&amp;$A$2)"),"")</f>
        <v/>
      </c>
    </row>
    <row r="824">
      <c r="C824" s="12" t="str">
        <f>IFERROR(__xludf.DUMMYFUNCTION("IF($B824="""","""",SUBSTITUTE(SUBSTITUTE(SUBSTITUTE(SUBSTITUTE(INDEX(Hairstyles!$A:$A,MATCH($B824,Hairstyles!$F:$F,0)),"" "",""""),""'"",""""),""("",""""),"")"","""")&amp;""\""&amp;INDEX(SPLIT($A$2,""_""),1)&amp;""\""&amp;INDEX(SPLIT($A$2,""_""),2)&amp;""\""&amp;SUBSTITUTE(SUBST"&amp;"ITUTE(SUBSTITUTE(SUBSTITUTE(SUBSTITUTE(INDEX(Hairstyles!$C:$C,MATCH($B824,Hairstyles!$F:$F,0)),"" "",""""),""'"",""""),""("",""""),"")"",""""),""-"",""_"")&amp;""_""&amp;$A$2)"),"")</f>
        <v/>
      </c>
    </row>
    <row r="825">
      <c r="C825" s="12" t="str">
        <f>IFERROR(__xludf.DUMMYFUNCTION("IF($B825="""","""",SUBSTITUTE(SUBSTITUTE(SUBSTITUTE(SUBSTITUTE(INDEX(Hairstyles!$A:$A,MATCH($B825,Hairstyles!$F:$F,0)),"" "",""""),""'"",""""),""("",""""),"")"","""")&amp;""\""&amp;INDEX(SPLIT($A$2,""_""),1)&amp;""\""&amp;INDEX(SPLIT($A$2,""_""),2)&amp;""\""&amp;SUBSTITUTE(SUBST"&amp;"ITUTE(SUBSTITUTE(SUBSTITUTE(SUBSTITUTE(INDEX(Hairstyles!$C:$C,MATCH($B825,Hairstyles!$F:$F,0)),"" "",""""),""'"",""""),""("",""""),"")"",""""),""-"",""_"")&amp;""_""&amp;$A$2)"),"")</f>
        <v/>
      </c>
    </row>
    <row r="826">
      <c r="C826" s="12" t="str">
        <f>IFERROR(__xludf.DUMMYFUNCTION("IF($B826="""","""",SUBSTITUTE(SUBSTITUTE(SUBSTITUTE(SUBSTITUTE(INDEX(Hairstyles!$A:$A,MATCH($B826,Hairstyles!$F:$F,0)),"" "",""""),""'"",""""),""("",""""),"")"","""")&amp;""\""&amp;INDEX(SPLIT($A$2,""_""),1)&amp;""\""&amp;INDEX(SPLIT($A$2,""_""),2)&amp;""\""&amp;SUBSTITUTE(SUBST"&amp;"ITUTE(SUBSTITUTE(SUBSTITUTE(SUBSTITUTE(INDEX(Hairstyles!$C:$C,MATCH($B826,Hairstyles!$F:$F,0)),"" "",""""),""'"",""""),""("",""""),"")"",""""),""-"",""_"")&amp;""_""&amp;$A$2)"),"")</f>
        <v/>
      </c>
    </row>
    <row r="827">
      <c r="C827" s="12" t="str">
        <f>IFERROR(__xludf.DUMMYFUNCTION("IF($B827="""","""",SUBSTITUTE(SUBSTITUTE(SUBSTITUTE(SUBSTITUTE(INDEX(Hairstyles!$A:$A,MATCH($B827,Hairstyles!$F:$F,0)),"" "",""""),""'"",""""),""("",""""),"")"","""")&amp;""\""&amp;INDEX(SPLIT($A$2,""_""),1)&amp;""\""&amp;INDEX(SPLIT($A$2,""_""),2)&amp;""\""&amp;SUBSTITUTE(SUBST"&amp;"ITUTE(SUBSTITUTE(SUBSTITUTE(SUBSTITUTE(INDEX(Hairstyles!$C:$C,MATCH($B827,Hairstyles!$F:$F,0)),"" "",""""),""'"",""""),""("",""""),"")"",""""),""-"",""_"")&amp;""_""&amp;$A$2)"),"")</f>
        <v/>
      </c>
    </row>
    <row r="828">
      <c r="C828" s="12" t="str">
        <f>IFERROR(__xludf.DUMMYFUNCTION("IF($B828="""","""",SUBSTITUTE(SUBSTITUTE(SUBSTITUTE(SUBSTITUTE(INDEX(Hairstyles!$A:$A,MATCH($B828,Hairstyles!$F:$F,0)),"" "",""""),""'"",""""),""("",""""),"")"","""")&amp;""\""&amp;INDEX(SPLIT($A$2,""_""),1)&amp;""\""&amp;INDEX(SPLIT($A$2,""_""),2)&amp;""\""&amp;SUBSTITUTE(SUBST"&amp;"ITUTE(SUBSTITUTE(SUBSTITUTE(SUBSTITUTE(INDEX(Hairstyles!$C:$C,MATCH($B828,Hairstyles!$F:$F,0)),"" "",""""),""'"",""""),""("",""""),"")"",""""),""-"",""_"")&amp;""_""&amp;$A$2)"),"")</f>
        <v/>
      </c>
    </row>
    <row r="829">
      <c r="C829" s="12" t="str">
        <f>IFERROR(__xludf.DUMMYFUNCTION("IF($B829="""","""",SUBSTITUTE(SUBSTITUTE(SUBSTITUTE(SUBSTITUTE(INDEX(Hairstyles!$A:$A,MATCH($B829,Hairstyles!$F:$F,0)),"" "",""""),""'"",""""),""("",""""),"")"","""")&amp;""\""&amp;INDEX(SPLIT($A$2,""_""),1)&amp;""\""&amp;INDEX(SPLIT($A$2,""_""),2)&amp;""\""&amp;SUBSTITUTE(SUBST"&amp;"ITUTE(SUBSTITUTE(SUBSTITUTE(SUBSTITUTE(INDEX(Hairstyles!$C:$C,MATCH($B829,Hairstyles!$F:$F,0)),"" "",""""),""'"",""""),""("",""""),"")"",""""),""-"",""_"")&amp;""_""&amp;$A$2)"),"")</f>
        <v/>
      </c>
    </row>
    <row r="830">
      <c r="C830" s="12" t="str">
        <f>IFERROR(__xludf.DUMMYFUNCTION("IF($B830="""","""",SUBSTITUTE(SUBSTITUTE(SUBSTITUTE(SUBSTITUTE(INDEX(Hairstyles!$A:$A,MATCH($B830,Hairstyles!$F:$F,0)),"" "",""""),""'"",""""),""("",""""),"")"","""")&amp;""\""&amp;INDEX(SPLIT($A$2,""_""),1)&amp;""\""&amp;INDEX(SPLIT($A$2,""_""),2)&amp;""\""&amp;SUBSTITUTE(SUBST"&amp;"ITUTE(SUBSTITUTE(SUBSTITUTE(SUBSTITUTE(INDEX(Hairstyles!$C:$C,MATCH($B830,Hairstyles!$F:$F,0)),"" "",""""),""'"",""""),""("",""""),"")"",""""),""-"",""_"")&amp;""_""&amp;$A$2)"),"")</f>
        <v/>
      </c>
    </row>
    <row r="831">
      <c r="C831" s="12" t="str">
        <f>IFERROR(__xludf.DUMMYFUNCTION("IF($B831="""","""",SUBSTITUTE(SUBSTITUTE(SUBSTITUTE(SUBSTITUTE(INDEX(Hairstyles!$A:$A,MATCH($B831,Hairstyles!$F:$F,0)),"" "",""""),""'"",""""),""("",""""),"")"","""")&amp;""\""&amp;INDEX(SPLIT($A$2,""_""),1)&amp;""\""&amp;INDEX(SPLIT($A$2,""_""),2)&amp;""\""&amp;SUBSTITUTE(SUBST"&amp;"ITUTE(SUBSTITUTE(SUBSTITUTE(SUBSTITUTE(INDEX(Hairstyles!$C:$C,MATCH($B831,Hairstyles!$F:$F,0)),"" "",""""),""'"",""""),""("",""""),"")"",""""),""-"",""_"")&amp;""_""&amp;$A$2)"),"")</f>
        <v/>
      </c>
    </row>
    <row r="832">
      <c r="C832" s="12" t="str">
        <f>IFERROR(__xludf.DUMMYFUNCTION("IF($B832="""","""",SUBSTITUTE(SUBSTITUTE(SUBSTITUTE(SUBSTITUTE(INDEX(Hairstyles!$A:$A,MATCH($B832,Hairstyles!$F:$F,0)),"" "",""""),""'"",""""),""("",""""),"")"","""")&amp;""\""&amp;INDEX(SPLIT($A$2,""_""),1)&amp;""\""&amp;INDEX(SPLIT($A$2,""_""),2)&amp;""\""&amp;SUBSTITUTE(SUBST"&amp;"ITUTE(SUBSTITUTE(SUBSTITUTE(SUBSTITUTE(INDEX(Hairstyles!$C:$C,MATCH($B832,Hairstyles!$F:$F,0)),"" "",""""),""'"",""""),""("",""""),"")"",""""),""-"",""_"")&amp;""_""&amp;$A$2)"),"")</f>
        <v/>
      </c>
    </row>
    <row r="833">
      <c r="C833" s="12" t="str">
        <f>IFERROR(__xludf.DUMMYFUNCTION("IF($B833="""","""",SUBSTITUTE(SUBSTITUTE(SUBSTITUTE(SUBSTITUTE(INDEX(Hairstyles!$A:$A,MATCH($B833,Hairstyles!$F:$F,0)),"" "",""""),""'"",""""),""("",""""),"")"","""")&amp;""\""&amp;INDEX(SPLIT($A$2,""_""),1)&amp;""\""&amp;INDEX(SPLIT($A$2,""_""),2)&amp;""\""&amp;SUBSTITUTE(SUBST"&amp;"ITUTE(SUBSTITUTE(SUBSTITUTE(SUBSTITUTE(INDEX(Hairstyles!$C:$C,MATCH($B833,Hairstyles!$F:$F,0)),"" "",""""),""'"",""""),""("",""""),"")"",""""),""-"",""_"")&amp;""_""&amp;$A$2)"),"")</f>
        <v/>
      </c>
    </row>
    <row r="834">
      <c r="C834" s="12" t="str">
        <f>IFERROR(__xludf.DUMMYFUNCTION("IF($B834="""","""",SUBSTITUTE(SUBSTITUTE(SUBSTITUTE(SUBSTITUTE(INDEX(Hairstyles!$A:$A,MATCH($B834,Hairstyles!$F:$F,0)),"" "",""""),""'"",""""),""("",""""),"")"","""")&amp;""\""&amp;INDEX(SPLIT($A$2,""_""),1)&amp;""\""&amp;INDEX(SPLIT($A$2,""_""),2)&amp;""\""&amp;SUBSTITUTE(SUBST"&amp;"ITUTE(SUBSTITUTE(SUBSTITUTE(SUBSTITUTE(INDEX(Hairstyles!$C:$C,MATCH($B834,Hairstyles!$F:$F,0)),"" "",""""),""'"",""""),""("",""""),"")"",""""),""-"",""_"")&amp;""_""&amp;$A$2)"),"")</f>
        <v/>
      </c>
    </row>
    <row r="835">
      <c r="C835" s="12" t="str">
        <f>IFERROR(__xludf.DUMMYFUNCTION("IF($B835="""","""",SUBSTITUTE(SUBSTITUTE(SUBSTITUTE(SUBSTITUTE(INDEX(Hairstyles!$A:$A,MATCH($B835,Hairstyles!$F:$F,0)),"" "",""""),""'"",""""),""("",""""),"")"","""")&amp;""\""&amp;INDEX(SPLIT($A$2,""_""),1)&amp;""\""&amp;INDEX(SPLIT($A$2,""_""),2)&amp;""\""&amp;SUBSTITUTE(SUBST"&amp;"ITUTE(SUBSTITUTE(SUBSTITUTE(SUBSTITUTE(INDEX(Hairstyles!$C:$C,MATCH($B835,Hairstyles!$F:$F,0)),"" "",""""),""'"",""""),""("",""""),"")"",""""),""-"",""_"")&amp;""_""&amp;$A$2)"),"")</f>
        <v/>
      </c>
    </row>
    <row r="836">
      <c r="C836" s="12" t="str">
        <f>IFERROR(__xludf.DUMMYFUNCTION("IF($B836="""","""",SUBSTITUTE(SUBSTITUTE(SUBSTITUTE(SUBSTITUTE(INDEX(Hairstyles!$A:$A,MATCH($B836,Hairstyles!$F:$F,0)),"" "",""""),""'"",""""),""("",""""),"")"","""")&amp;""\""&amp;INDEX(SPLIT($A$2,""_""),1)&amp;""\""&amp;INDEX(SPLIT($A$2,""_""),2)&amp;""\""&amp;SUBSTITUTE(SUBST"&amp;"ITUTE(SUBSTITUTE(SUBSTITUTE(SUBSTITUTE(INDEX(Hairstyles!$C:$C,MATCH($B836,Hairstyles!$F:$F,0)),"" "",""""),""'"",""""),""("",""""),"")"",""""),""-"",""_"")&amp;""_""&amp;$A$2)"),"")</f>
        <v/>
      </c>
    </row>
    <row r="837">
      <c r="C837" s="12" t="str">
        <f>IFERROR(__xludf.DUMMYFUNCTION("IF($B837="""","""",SUBSTITUTE(SUBSTITUTE(SUBSTITUTE(SUBSTITUTE(INDEX(Hairstyles!$A:$A,MATCH($B837,Hairstyles!$F:$F,0)),"" "",""""),""'"",""""),""("",""""),"")"","""")&amp;""\""&amp;INDEX(SPLIT($A$2,""_""),1)&amp;""\""&amp;INDEX(SPLIT($A$2,""_""),2)&amp;""\""&amp;SUBSTITUTE(SUBST"&amp;"ITUTE(SUBSTITUTE(SUBSTITUTE(SUBSTITUTE(INDEX(Hairstyles!$C:$C,MATCH($B837,Hairstyles!$F:$F,0)),"" "",""""),""'"",""""),""("",""""),"")"",""""),""-"",""_"")&amp;""_""&amp;$A$2)"),"")</f>
        <v/>
      </c>
    </row>
    <row r="838">
      <c r="C838" s="12" t="str">
        <f>IFERROR(__xludf.DUMMYFUNCTION("IF($B838="""","""",SUBSTITUTE(SUBSTITUTE(SUBSTITUTE(SUBSTITUTE(INDEX(Hairstyles!$A:$A,MATCH($B838,Hairstyles!$F:$F,0)),"" "",""""),""'"",""""),""("",""""),"")"","""")&amp;""\""&amp;INDEX(SPLIT($A$2,""_""),1)&amp;""\""&amp;INDEX(SPLIT($A$2,""_""),2)&amp;""\""&amp;SUBSTITUTE(SUBST"&amp;"ITUTE(SUBSTITUTE(SUBSTITUTE(SUBSTITUTE(INDEX(Hairstyles!$C:$C,MATCH($B838,Hairstyles!$F:$F,0)),"" "",""""),""'"",""""),""("",""""),"")"",""""),""-"",""_"")&amp;""_""&amp;$A$2)"),"")</f>
        <v/>
      </c>
    </row>
    <row r="839">
      <c r="C839" s="12" t="str">
        <f>IFERROR(__xludf.DUMMYFUNCTION("IF($B839="""","""",SUBSTITUTE(SUBSTITUTE(SUBSTITUTE(SUBSTITUTE(INDEX(Hairstyles!$A:$A,MATCH($B839,Hairstyles!$F:$F,0)),"" "",""""),""'"",""""),""("",""""),"")"","""")&amp;""\""&amp;INDEX(SPLIT($A$2,""_""),1)&amp;""\""&amp;INDEX(SPLIT($A$2,""_""),2)&amp;""\""&amp;SUBSTITUTE(SUBST"&amp;"ITUTE(SUBSTITUTE(SUBSTITUTE(SUBSTITUTE(INDEX(Hairstyles!$C:$C,MATCH($B839,Hairstyles!$F:$F,0)),"" "",""""),""'"",""""),""("",""""),"")"",""""),""-"",""_"")&amp;""_""&amp;$A$2)"),"")</f>
        <v/>
      </c>
    </row>
    <row r="840">
      <c r="C840" s="12" t="str">
        <f>IFERROR(__xludf.DUMMYFUNCTION("IF($B840="""","""",SUBSTITUTE(SUBSTITUTE(SUBSTITUTE(SUBSTITUTE(INDEX(Hairstyles!$A:$A,MATCH($B840,Hairstyles!$F:$F,0)),"" "",""""),""'"",""""),""("",""""),"")"","""")&amp;""\""&amp;INDEX(SPLIT($A$2,""_""),1)&amp;""\""&amp;INDEX(SPLIT($A$2,""_""),2)&amp;""\""&amp;SUBSTITUTE(SUBST"&amp;"ITUTE(SUBSTITUTE(SUBSTITUTE(SUBSTITUTE(INDEX(Hairstyles!$C:$C,MATCH($B840,Hairstyles!$F:$F,0)),"" "",""""),""'"",""""),""("",""""),"")"",""""),""-"",""_"")&amp;""_""&amp;$A$2)"),"")</f>
        <v/>
      </c>
    </row>
    <row r="841">
      <c r="C841" s="12" t="str">
        <f>IFERROR(__xludf.DUMMYFUNCTION("IF($B841="""","""",SUBSTITUTE(SUBSTITUTE(SUBSTITUTE(SUBSTITUTE(INDEX(Hairstyles!$A:$A,MATCH($B841,Hairstyles!$F:$F,0)),"" "",""""),""'"",""""),""("",""""),"")"","""")&amp;""\""&amp;INDEX(SPLIT($A$2,""_""),1)&amp;""\""&amp;INDEX(SPLIT($A$2,""_""),2)&amp;""\""&amp;SUBSTITUTE(SUBST"&amp;"ITUTE(SUBSTITUTE(SUBSTITUTE(SUBSTITUTE(INDEX(Hairstyles!$C:$C,MATCH($B841,Hairstyles!$F:$F,0)),"" "",""""),""'"",""""),""("",""""),"")"",""""),""-"",""_"")&amp;""_""&amp;$A$2)"),"")</f>
        <v/>
      </c>
    </row>
    <row r="842">
      <c r="C842" s="12" t="str">
        <f>IFERROR(__xludf.DUMMYFUNCTION("IF($B842="""","""",SUBSTITUTE(SUBSTITUTE(SUBSTITUTE(SUBSTITUTE(INDEX(Hairstyles!$A:$A,MATCH($B842,Hairstyles!$F:$F,0)),"" "",""""),""'"",""""),""("",""""),"")"","""")&amp;""\""&amp;INDEX(SPLIT($A$2,""_""),1)&amp;""\""&amp;INDEX(SPLIT($A$2,""_""),2)&amp;""\""&amp;SUBSTITUTE(SUBST"&amp;"ITUTE(SUBSTITUTE(SUBSTITUTE(SUBSTITUTE(INDEX(Hairstyles!$C:$C,MATCH($B842,Hairstyles!$F:$F,0)),"" "",""""),""'"",""""),""("",""""),"")"",""""),""-"",""_"")&amp;""_""&amp;$A$2)"),"")</f>
        <v/>
      </c>
    </row>
    <row r="843">
      <c r="C843" s="12" t="str">
        <f>IFERROR(__xludf.DUMMYFUNCTION("IF($B843="""","""",SUBSTITUTE(SUBSTITUTE(SUBSTITUTE(SUBSTITUTE(INDEX(Hairstyles!$A:$A,MATCH($B843,Hairstyles!$F:$F,0)),"" "",""""),""'"",""""),""("",""""),"")"","""")&amp;""\""&amp;INDEX(SPLIT($A$2,""_""),1)&amp;""\""&amp;INDEX(SPLIT($A$2,""_""),2)&amp;""\""&amp;SUBSTITUTE(SUBST"&amp;"ITUTE(SUBSTITUTE(SUBSTITUTE(SUBSTITUTE(INDEX(Hairstyles!$C:$C,MATCH($B843,Hairstyles!$F:$F,0)),"" "",""""),""'"",""""),""("",""""),"")"",""""),""-"",""_"")&amp;""_""&amp;$A$2)"),"")</f>
        <v/>
      </c>
    </row>
    <row r="844">
      <c r="C844" s="12" t="str">
        <f>IFERROR(__xludf.DUMMYFUNCTION("IF($B844="""","""",SUBSTITUTE(SUBSTITUTE(SUBSTITUTE(SUBSTITUTE(INDEX(Hairstyles!$A:$A,MATCH($B844,Hairstyles!$F:$F,0)),"" "",""""),""'"",""""),""("",""""),"")"","""")&amp;""\""&amp;INDEX(SPLIT($A$2,""_""),1)&amp;""\""&amp;INDEX(SPLIT($A$2,""_""),2)&amp;""\""&amp;SUBSTITUTE(SUBST"&amp;"ITUTE(SUBSTITUTE(SUBSTITUTE(SUBSTITUTE(INDEX(Hairstyles!$C:$C,MATCH($B844,Hairstyles!$F:$F,0)),"" "",""""),""'"",""""),""("",""""),"")"",""""),""-"",""_"")&amp;""_""&amp;$A$2)"),"")</f>
        <v/>
      </c>
    </row>
    <row r="845">
      <c r="C845" s="12" t="str">
        <f>IFERROR(__xludf.DUMMYFUNCTION("IF($B845="""","""",SUBSTITUTE(SUBSTITUTE(SUBSTITUTE(SUBSTITUTE(INDEX(Hairstyles!$A:$A,MATCH($B845,Hairstyles!$F:$F,0)),"" "",""""),""'"",""""),""("",""""),"")"","""")&amp;""\""&amp;INDEX(SPLIT($A$2,""_""),1)&amp;""\""&amp;INDEX(SPLIT($A$2,""_""),2)&amp;""\""&amp;SUBSTITUTE(SUBST"&amp;"ITUTE(SUBSTITUTE(SUBSTITUTE(SUBSTITUTE(INDEX(Hairstyles!$C:$C,MATCH($B845,Hairstyles!$F:$F,0)),"" "",""""),""'"",""""),""("",""""),"")"",""""),""-"",""_"")&amp;""_""&amp;$A$2)"),"")</f>
        <v/>
      </c>
    </row>
    <row r="846">
      <c r="C846" s="12" t="str">
        <f>IFERROR(__xludf.DUMMYFUNCTION("IF($B846="""","""",SUBSTITUTE(SUBSTITUTE(SUBSTITUTE(SUBSTITUTE(INDEX(Hairstyles!$A:$A,MATCH($B846,Hairstyles!$F:$F,0)),"" "",""""),""'"",""""),""("",""""),"")"","""")&amp;""\""&amp;INDEX(SPLIT($A$2,""_""),1)&amp;""\""&amp;INDEX(SPLIT($A$2,""_""),2)&amp;""\""&amp;SUBSTITUTE(SUBST"&amp;"ITUTE(SUBSTITUTE(SUBSTITUTE(SUBSTITUTE(INDEX(Hairstyles!$C:$C,MATCH($B846,Hairstyles!$F:$F,0)),"" "",""""),""'"",""""),""("",""""),"")"",""""),""-"",""_"")&amp;""_""&amp;$A$2)"),"")</f>
        <v/>
      </c>
    </row>
    <row r="847">
      <c r="C847" s="12" t="str">
        <f>IFERROR(__xludf.DUMMYFUNCTION("IF($B847="""","""",SUBSTITUTE(SUBSTITUTE(SUBSTITUTE(SUBSTITUTE(INDEX(Hairstyles!$A:$A,MATCH($B847,Hairstyles!$F:$F,0)),"" "",""""),""'"",""""),""("",""""),"")"","""")&amp;""\""&amp;INDEX(SPLIT($A$2,""_""),1)&amp;""\""&amp;INDEX(SPLIT($A$2,""_""),2)&amp;""\""&amp;SUBSTITUTE(SUBST"&amp;"ITUTE(SUBSTITUTE(SUBSTITUTE(SUBSTITUTE(INDEX(Hairstyles!$C:$C,MATCH($B847,Hairstyles!$F:$F,0)),"" "",""""),""'"",""""),""("",""""),"")"",""""),""-"",""_"")&amp;""_""&amp;$A$2)"),"")</f>
        <v/>
      </c>
    </row>
    <row r="848">
      <c r="C848" s="12" t="str">
        <f>IFERROR(__xludf.DUMMYFUNCTION("IF($B848="""","""",SUBSTITUTE(SUBSTITUTE(SUBSTITUTE(SUBSTITUTE(INDEX(Hairstyles!$A:$A,MATCH($B848,Hairstyles!$F:$F,0)),"" "",""""),""'"",""""),""("",""""),"")"","""")&amp;""\""&amp;INDEX(SPLIT($A$2,""_""),1)&amp;""\""&amp;INDEX(SPLIT($A$2,""_""),2)&amp;""\""&amp;SUBSTITUTE(SUBST"&amp;"ITUTE(SUBSTITUTE(SUBSTITUTE(SUBSTITUTE(INDEX(Hairstyles!$C:$C,MATCH($B848,Hairstyles!$F:$F,0)),"" "",""""),""'"",""""),""("",""""),"")"",""""),""-"",""_"")&amp;""_""&amp;$A$2)"),"")</f>
        <v/>
      </c>
    </row>
    <row r="849">
      <c r="C849" s="12" t="str">
        <f>IFERROR(__xludf.DUMMYFUNCTION("IF($B849="""","""",SUBSTITUTE(SUBSTITUTE(SUBSTITUTE(SUBSTITUTE(INDEX(Hairstyles!$A:$A,MATCH($B849,Hairstyles!$F:$F,0)),"" "",""""),""'"",""""),""("",""""),"")"","""")&amp;""\""&amp;INDEX(SPLIT($A$2,""_""),1)&amp;""\""&amp;INDEX(SPLIT($A$2,""_""),2)&amp;""\""&amp;SUBSTITUTE(SUBST"&amp;"ITUTE(SUBSTITUTE(SUBSTITUTE(SUBSTITUTE(INDEX(Hairstyles!$C:$C,MATCH($B849,Hairstyles!$F:$F,0)),"" "",""""),""'"",""""),""("",""""),"")"",""""),""-"",""_"")&amp;""_""&amp;$A$2)"),"")</f>
        <v/>
      </c>
    </row>
    <row r="850">
      <c r="C850" s="12" t="str">
        <f>IFERROR(__xludf.DUMMYFUNCTION("IF($B850="""","""",SUBSTITUTE(SUBSTITUTE(SUBSTITUTE(SUBSTITUTE(INDEX(Hairstyles!$A:$A,MATCH($B850,Hairstyles!$F:$F,0)),"" "",""""),""'"",""""),""("",""""),"")"","""")&amp;""\""&amp;INDEX(SPLIT($A$2,""_""),1)&amp;""\""&amp;INDEX(SPLIT($A$2,""_""),2)&amp;""\""&amp;SUBSTITUTE(SUBST"&amp;"ITUTE(SUBSTITUTE(SUBSTITUTE(SUBSTITUTE(INDEX(Hairstyles!$C:$C,MATCH($B850,Hairstyles!$F:$F,0)),"" "",""""),""'"",""""),""("",""""),"")"",""""),""-"",""_"")&amp;""_""&amp;$A$2)"),"")</f>
        <v/>
      </c>
    </row>
    <row r="851">
      <c r="C851" s="12" t="str">
        <f>IFERROR(__xludf.DUMMYFUNCTION("IF($B851="""","""",SUBSTITUTE(SUBSTITUTE(SUBSTITUTE(SUBSTITUTE(INDEX(Hairstyles!$A:$A,MATCH($B851,Hairstyles!$F:$F,0)),"" "",""""),""'"",""""),""("",""""),"")"","""")&amp;""\""&amp;INDEX(SPLIT($A$2,""_""),1)&amp;""\""&amp;INDEX(SPLIT($A$2,""_""),2)&amp;""\""&amp;SUBSTITUTE(SUBST"&amp;"ITUTE(SUBSTITUTE(SUBSTITUTE(SUBSTITUTE(INDEX(Hairstyles!$C:$C,MATCH($B851,Hairstyles!$F:$F,0)),"" "",""""),""'"",""""),""("",""""),"")"",""""),""-"",""_"")&amp;""_""&amp;$A$2)"),"")</f>
        <v/>
      </c>
    </row>
    <row r="852">
      <c r="C852" s="12" t="str">
        <f>IFERROR(__xludf.DUMMYFUNCTION("IF($B852="""","""",SUBSTITUTE(SUBSTITUTE(SUBSTITUTE(SUBSTITUTE(INDEX(Hairstyles!$A:$A,MATCH($B852,Hairstyles!$F:$F,0)),"" "",""""),""'"",""""),""("",""""),"")"","""")&amp;""\""&amp;INDEX(SPLIT($A$2,""_""),1)&amp;""\""&amp;INDEX(SPLIT($A$2,""_""),2)&amp;""\""&amp;SUBSTITUTE(SUBST"&amp;"ITUTE(SUBSTITUTE(SUBSTITUTE(SUBSTITUTE(INDEX(Hairstyles!$C:$C,MATCH($B852,Hairstyles!$F:$F,0)),"" "",""""),""'"",""""),""("",""""),"")"",""""),""-"",""_"")&amp;""_""&amp;$A$2)"),"")</f>
        <v/>
      </c>
    </row>
    <row r="853">
      <c r="C853" s="12" t="str">
        <f>IFERROR(__xludf.DUMMYFUNCTION("IF($B853="""","""",SUBSTITUTE(SUBSTITUTE(SUBSTITUTE(SUBSTITUTE(INDEX(Hairstyles!$A:$A,MATCH($B853,Hairstyles!$F:$F,0)),"" "",""""),""'"",""""),""("",""""),"")"","""")&amp;""\""&amp;INDEX(SPLIT($A$2,""_""),1)&amp;""\""&amp;INDEX(SPLIT($A$2,""_""),2)&amp;""\""&amp;SUBSTITUTE(SUBST"&amp;"ITUTE(SUBSTITUTE(SUBSTITUTE(SUBSTITUTE(INDEX(Hairstyles!$C:$C,MATCH($B853,Hairstyles!$F:$F,0)),"" "",""""),""'"",""""),""("",""""),"")"",""""),""-"",""_"")&amp;""_""&amp;$A$2)"),"")</f>
        <v/>
      </c>
    </row>
    <row r="854">
      <c r="C854" s="12" t="str">
        <f>IFERROR(__xludf.DUMMYFUNCTION("IF($B854="""","""",SUBSTITUTE(SUBSTITUTE(SUBSTITUTE(SUBSTITUTE(INDEX(Hairstyles!$A:$A,MATCH($B854,Hairstyles!$F:$F,0)),"" "",""""),""'"",""""),""("",""""),"")"","""")&amp;""\""&amp;INDEX(SPLIT($A$2,""_""),1)&amp;""\""&amp;INDEX(SPLIT($A$2,""_""),2)&amp;""\""&amp;SUBSTITUTE(SUBST"&amp;"ITUTE(SUBSTITUTE(SUBSTITUTE(SUBSTITUTE(INDEX(Hairstyles!$C:$C,MATCH($B854,Hairstyles!$F:$F,0)),"" "",""""),""'"",""""),""("",""""),"")"",""""),""-"",""_"")&amp;""_""&amp;$A$2)"),"")</f>
        <v/>
      </c>
    </row>
    <row r="855">
      <c r="C855" s="12" t="str">
        <f>IFERROR(__xludf.DUMMYFUNCTION("IF($B855="""","""",SUBSTITUTE(SUBSTITUTE(SUBSTITUTE(SUBSTITUTE(INDEX(Hairstyles!$A:$A,MATCH($B855,Hairstyles!$F:$F,0)),"" "",""""),""'"",""""),""("",""""),"")"","""")&amp;""\""&amp;INDEX(SPLIT($A$2,""_""),1)&amp;""\""&amp;INDEX(SPLIT($A$2,""_""),2)&amp;""\""&amp;SUBSTITUTE(SUBST"&amp;"ITUTE(SUBSTITUTE(SUBSTITUTE(SUBSTITUTE(INDEX(Hairstyles!$C:$C,MATCH($B855,Hairstyles!$F:$F,0)),"" "",""""),""'"",""""),""("",""""),"")"",""""),""-"",""_"")&amp;""_""&amp;$A$2)"),"")</f>
        <v/>
      </c>
    </row>
    <row r="856">
      <c r="C856" s="12" t="str">
        <f>IFERROR(__xludf.DUMMYFUNCTION("IF($B856="""","""",SUBSTITUTE(SUBSTITUTE(SUBSTITUTE(SUBSTITUTE(INDEX(Hairstyles!$A:$A,MATCH($B856,Hairstyles!$F:$F,0)),"" "",""""),""'"",""""),""("",""""),"")"","""")&amp;""\""&amp;INDEX(SPLIT($A$2,""_""),1)&amp;""\""&amp;INDEX(SPLIT($A$2,""_""),2)&amp;""\""&amp;SUBSTITUTE(SUBST"&amp;"ITUTE(SUBSTITUTE(SUBSTITUTE(SUBSTITUTE(INDEX(Hairstyles!$C:$C,MATCH($B856,Hairstyles!$F:$F,0)),"" "",""""),""'"",""""),""("",""""),"")"",""""),""-"",""_"")&amp;""_""&amp;$A$2)"),"")</f>
        <v/>
      </c>
    </row>
    <row r="857">
      <c r="C857" s="12" t="str">
        <f>IFERROR(__xludf.DUMMYFUNCTION("IF($B857="""","""",SUBSTITUTE(SUBSTITUTE(SUBSTITUTE(SUBSTITUTE(INDEX(Hairstyles!$A:$A,MATCH($B857,Hairstyles!$F:$F,0)),"" "",""""),""'"",""""),""("",""""),"")"","""")&amp;""\""&amp;INDEX(SPLIT($A$2,""_""),1)&amp;""\""&amp;INDEX(SPLIT($A$2,""_""),2)&amp;""\""&amp;SUBSTITUTE(SUBST"&amp;"ITUTE(SUBSTITUTE(SUBSTITUTE(SUBSTITUTE(INDEX(Hairstyles!$C:$C,MATCH($B857,Hairstyles!$F:$F,0)),"" "",""""),""'"",""""),""("",""""),"")"",""""),""-"",""_"")&amp;""_""&amp;$A$2)"),"")</f>
        <v/>
      </c>
    </row>
    <row r="858">
      <c r="C858" s="12" t="str">
        <f>IFERROR(__xludf.DUMMYFUNCTION("IF($B858="""","""",SUBSTITUTE(SUBSTITUTE(SUBSTITUTE(SUBSTITUTE(INDEX(Hairstyles!$A:$A,MATCH($B858,Hairstyles!$F:$F,0)),"" "",""""),""'"",""""),""("",""""),"")"","""")&amp;""\""&amp;INDEX(SPLIT($A$2,""_""),1)&amp;""\""&amp;INDEX(SPLIT($A$2,""_""),2)&amp;""\""&amp;SUBSTITUTE(SUBST"&amp;"ITUTE(SUBSTITUTE(SUBSTITUTE(SUBSTITUTE(INDEX(Hairstyles!$C:$C,MATCH($B858,Hairstyles!$F:$F,0)),"" "",""""),""'"",""""),""("",""""),"")"",""""),""-"",""_"")&amp;""_""&amp;$A$2)"),"")</f>
        <v/>
      </c>
    </row>
    <row r="859">
      <c r="C859" s="12" t="str">
        <f>IFERROR(__xludf.DUMMYFUNCTION("IF($B859="""","""",SUBSTITUTE(SUBSTITUTE(SUBSTITUTE(SUBSTITUTE(INDEX(Hairstyles!$A:$A,MATCH($B859,Hairstyles!$F:$F,0)),"" "",""""),""'"",""""),""("",""""),"")"","""")&amp;""\""&amp;INDEX(SPLIT($A$2,""_""),1)&amp;""\""&amp;INDEX(SPLIT($A$2,""_""),2)&amp;""\""&amp;SUBSTITUTE(SUBST"&amp;"ITUTE(SUBSTITUTE(SUBSTITUTE(SUBSTITUTE(INDEX(Hairstyles!$C:$C,MATCH($B859,Hairstyles!$F:$F,0)),"" "",""""),""'"",""""),""("",""""),"")"",""""),""-"",""_"")&amp;""_""&amp;$A$2)"),"")</f>
        <v/>
      </c>
    </row>
    <row r="860">
      <c r="C860" s="12" t="str">
        <f>IFERROR(__xludf.DUMMYFUNCTION("IF($B860="""","""",SUBSTITUTE(SUBSTITUTE(SUBSTITUTE(SUBSTITUTE(INDEX(Hairstyles!$A:$A,MATCH($B860,Hairstyles!$F:$F,0)),"" "",""""),""'"",""""),""("",""""),"")"","""")&amp;""\""&amp;INDEX(SPLIT($A$2,""_""),1)&amp;""\""&amp;INDEX(SPLIT($A$2,""_""),2)&amp;""\""&amp;SUBSTITUTE(SUBST"&amp;"ITUTE(SUBSTITUTE(SUBSTITUTE(SUBSTITUTE(INDEX(Hairstyles!$C:$C,MATCH($B860,Hairstyles!$F:$F,0)),"" "",""""),""'"",""""),""("",""""),"")"",""""),""-"",""_"")&amp;""_""&amp;$A$2)"),"")</f>
        <v/>
      </c>
    </row>
    <row r="861">
      <c r="C861" s="12" t="str">
        <f>IFERROR(__xludf.DUMMYFUNCTION("IF($B861="""","""",SUBSTITUTE(SUBSTITUTE(SUBSTITUTE(SUBSTITUTE(INDEX(Hairstyles!$A:$A,MATCH($B861,Hairstyles!$F:$F,0)),"" "",""""),""'"",""""),""("",""""),"")"","""")&amp;""\""&amp;INDEX(SPLIT($A$2,""_""),1)&amp;""\""&amp;INDEX(SPLIT($A$2,""_""),2)&amp;""\""&amp;SUBSTITUTE(SUBST"&amp;"ITUTE(SUBSTITUTE(SUBSTITUTE(SUBSTITUTE(INDEX(Hairstyles!$C:$C,MATCH($B861,Hairstyles!$F:$F,0)),"" "",""""),""'"",""""),""("",""""),"")"",""""),""-"",""_"")&amp;""_""&amp;$A$2)"),"")</f>
        <v/>
      </c>
    </row>
    <row r="862">
      <c r="C862" s="12" t="str">
        <f>IFERROR(__xludf.DUMMYFUNCTION("IF($B862="""","""",SUBSTITUTE(SUBSTITUTE(SUBSTITUTE(SUBSTITUTE(INDEX(Hairstyles!$A:$A,MATCH($B862,Hairstyles!$F:$F,0)),"" "",""""),""'"",""""),""("",""""),"")"","""")&amp;""\""&amp;INDEX(SPLIT($A$2,""_""),1)&amp;""\""&amp;INDEX(SPLIT($A$2,""_""),2)&amp;""\""&amp;SUBSTITUTE(SUBST"&amp;"ITUTE(SUBSTITUTE(SUBSTITUTE(SUBSTITUTE(INDEX(Hairstyles!$C:$C,MATCH($B862,Hairstyles!$F:$F,0)),"" "",""""),""'"",""""),""("",""""),"")"",""""),""-"",""_"")&amp;""_""&amp;$A$2)"),"")</f>
        <v/>
      </c>
    </row>
    <row r="863">
      <c r="C863" s="12" t="str">
        <f>IFERROR(__xludf.DUMMYFUNCTION("IF($B863="""","""",SUBSTITUTE(SUBSTITUTE(SUBSTITUTE(SUBSTITUTE(INDEX(Hairstyles!$A:$A,MATCH($B863,Hairstyles!$F:$F,0)),"" "",""""),""'"",""""),""("",""""),"")"","""")&amp;""\""&amp;INDEX(SPLIT($A$2,""_""),1)&amp;""\""&amp;INDEX(SPLIT($A$2,""_""),2)&amp;""\""&amp;SUBSTITUTE(SUBST"&amp;"ITUTE(SUBSTITUTE(SUBSTITUTE(SUBSTITUTE(INDEX(Hairstyles!$C:$C,MATCH($B863,Hairstyles!$F:$F,0)),"" "",""""),""'"",""""),""("",""""),"")"",""""),""-"",""_"")&amp;""_""&amp;$A$2)"),"")</f>
        <v/>
      </c>
    </row>
    <row r="864">
      <c r="C864" s="12" t="str">
        <f>IFERROR(__xludf.DUMMYFUNCTION("IF($B864="""","""",SUBSTITUTE(SUBSTITUTE(SUBSTITUTE(SUBSTITUTE(INDEX(Hairstyles!$A:$A,MATCH($B864,Hairstyles!$F:$F,0)),"" "",""""),""'"",""""),""("",""""),"")"","""")&amp;""\""&amp;INDEX(SPLIT($A$2,""_""),1)&amp;""\""&amp;INDEX(SPLIT($A$2,""_""),2)&amp;""\""&amp;SUBSTITUTE(SUBST"&amp;"ITUTE(SUBSTITUTE(SUBSTITUTE(SUBSTITUTE(INDEX(Hairstyles!$C:$C,MATCH($B864,Hairstyles!$F:$F,0)),"" "",""""),""'"",""""),""("",""""),"")"",""""),""-"",""_"")&amp;""_""&amp;$A$2)"),"")</f>
        <v/>
      </c>
    </row>
    <row r="865">
      <c r="C865" s="12" t="str">
        <f>IFERROR(__xludf.DUMMYFUNCTION("IF($B865="""","""",SUBSTITUTE(SUBSTITUTE(SUBSTITUTE(SUBSTITUTE(INDEX(Hairstyles!$A:$A,MATCH($B865,Hairstyles!$F:$F,0)),"" "",""""),""'"",""""),""("",""""),"")"","""")&amp;""\""&amp;INDEX(SPLIT($A$2,""_""),1)&amp;""\""&amp;INDEX(SPLIT($A$2,""_""),2)&amp;""\""&amp;SUBSTITUTE(SUBST"&amp;"ITUTE(SUBSTITUTE(SUBSTITUTE(SUBSTITUTE(INDEX(Hairstyles!$C:$C,MATCH($B865,Hairstyles!$F:$F,0)),"" "",""""),""'"",""""),""("",""""),"")"",""""),""-"",""_"")&amp;""_""&amp;$A$2)"),"")</f>
        <v/>
      </c>
    </row>
    <row r="866">
      <c r="C866" s="12" t="str">
        <f>IFERROR(__xludf.DUMMYFUNCTION("IF($B866="""","""",SUBSTITUTE(SUBSTITUTE(SUBSTITUTE(SUBSTITUTE(INDEX(Hairstyles!$A:$A,MATCH($B866,Hairstyles!$F:$F,0)),"" "",""""),""'"",""""),""("",""""),"")"","""")&amp;""\""&amp;INDEX(SPLIT($A$2,""_""),1)&amp;""\""&amp;INDEX(SPLIT($A$2,""_""),2)&amp;""\""&amp;SUBSTITUTE(SUBST"&amp;"ITUTE(SUBSTITUTE(SUBSTITUTE(SUBSTITUTE(INDEX(Hairstyles!$C:$C,MATCH($B866,Hairstyles!$F:$F,0)),"" "",""""),""'"",""""),""("",""""),"")"",""""),""-"",""_"")&amp;""_""&amp;$A$2)"),"")</f>
        <v/>
      </c>
    </row>
    <row r="867">
      <c r="C867" s="12" t="str">
        <f>IFERROR(__xludf.DUMMYFUNCTION("IF($B867="""","""",SUBSTITUTE(SUBSTITUTE(SUBSTITUTE(SUBSTITUTE(INDEX(Hairstyles!$A:$A,MATCH($B867,Hairstyles!$F:$F,0)),"" "",""""),""'"",""""),""("",""""),"")"","""")&amp;""\""&amp;INDEX(SPLIT($A$2,""_""),1)&amp;""\""&amp;INDEX(SPLIT($A$2,""_""),2)&amp;""\""&amp;SUBSTITUTE(SUBST"&amp;"ITUTE(SUBSTITUTE(SUBSTITUTE(SUBSTITUTE(INDEX(Hairstyles!$C:$C,MATCH($B867,Hairstyles!$F:$F,0)),"" "",""""),""'"",""""),""("",""""),"")"",""""),""-"",""_"")&amp;""_""&amp;$A$2)"),"")</f>
        <v/>
      </c>
    </row>
    <row r="868">
      <c r="C868" s="12" t="str">
        <f>IFERROR(__xludf.DUMMYFUNCTION("IF($B868="""","""",SUBSTITUTE(SUBSTITUTE(SUBSTITUTE(SUBSTITUTE(INDEX(Hairstyles!$A:$A,MATCH($B868,Hairstyles!$F:$F,0)),"" "",""""),""'"",""""),""("",""""),"")"","""")&amp;""\""&amp;INDEX(SPLIT($A$2,""_""),1)&amp;""\""&amp;INDEX(SPLIT($A$2,""_""),2)&amp;""\""&amp;SUBSTITUTE(SUBST"&amp;"ITUTE(SUBSTITUTE(SUBSTITUTE(SUBSTITUTE(INDEX(Hairstyles!$C:$C,MATCH($B868,Hairstyles!$F:$F,0)),"" "",""""),""'"",""""),""("",""""),"")"",""""),""-"",""_"")&amp;""_""&amp;$A$2)"),"")</f>
        <v/>
      </c>
    </row>
    <row r="869">
      <c r="C869" s="12" t="str">
        <f>IFERROR(__xludf.DUMMYFUNCTION("IF($B869="""","""",SUBSTITUTE(SUBSTITUTE(SUBSTITUTE(SUBSTITUTE(INDEX(Hairstyles!$A:$A,MATCH($B869,Hairstyles!$F:$F,0)),"" "",""""),""'"",""""),""("",""""),"")"","""")&amp;""\""&amp;INDEX(SPLIT($A$2,""_""),1)&amp;""\""&amp;INDEX(SPLIT($A$2,""_""),2)&amp;""\""&amp;SUBSTITUTE(SUBST"&amp;"ITUTE(SUBSTITUTE(SUBSTITUTE(SUBSTITUTE(INDEX(Hairstyles!$C:$C,MATCH($B869,Hairstyles!$F:$F,0)),"" "",""""),""'"",""""),""("",""""),"")"",""""),""-"",""_"")&amp;""_""&amp;$A$2)"),"")</f>
        <v/>
      </c>
    </row>
    <row r="870">
      <c r="C870" s="12" t="str">
        <f>IFERROR(__xludf.DUMMYFUNCTION("IF($B870="""","""",SUBSTITUTE(SUBSTITUTE(SUBSTITUTE(SUBSTITUTE(INDEX(Hairstyles!$A:$A,MATCH($B870,Hairstyles!$F:$F,0)),"" "",""""),""'"",""""),""("",""""),"")"","""")&amp;""\""&amp;INDEX(SPLIT($A$2,""_""),1)&amp;""\""&amp;INDEX(SPLIT($A$2,""_""),2)&amp;""\""&amp;SUBSTITUTE(SUBST"&amp;"ITUTE(SUBSTITUTE(SUBSTITUTE(SUBSTITUTE(INDEX(Hairstyles!$C:$C,MATCH($B870,Hairstyles!$F:$F,0)),"" "",""""),""'"",""""),""("",""""),"")"",""""),""-"",""_"")&amp;""_""&amp;$A$2)"),"")</f>
        <v/>
      </c>
    </row>
    <row r="871">
      <c r="C871" s="12" t="str">
        <f>IFERROR(__xludf.DUMMYFUNCTION("IF($B871="""","""",SUBSTITUTE(SUBSTITUTE(SUBSTITUTE(SUBSTITUTE(INDEX(Hairstyles!$A:$A,MATCH($B871,Hairstyles!$F:$F,0)),"" "",""""),""'"",""""),""("",""""),"")"","""")&amp;""\""&amp;INDEX(SPLIT($A$2,""_""),1)&amp;""\""&amp;INDEX(SPLIT($A$2,""_""),2)&amp;""\""&amp;SUBSTITUTE(SUBST"&amp;"ITUTE(SUBSTITUTE(SUBSTITUTE(SUBSTITUTE(INDEX(Hairstyles!$C:$C,MATCH($B871,Hairstyles!$F:$F,0)),"" "",""""),""'"",""""),""("",""""),"")"",""""),""-"",""_"")&amp;""_""&amp;$A$2)"),"")</f>
        <v/>
      </c>
    </row>
    <row r="872">
      <c r="C872" s="12" t="str">
        <f>IFERROR(__xludf.DUMMYFUNCTION("IF($B872="""","""",SUBSTITUTE(SUBSTITUTE(SUBSTITUTE(SUBSTITUTE(INDEX(Hairstyles!$A:$A,MATCH($B872,Hairstyles!$F:$F,0)),"" "",""""),""'"",""""),""("",""""),"")"","""")&amp;""\""&amp;INDEX(SPLIT($A$2,""_""),1)&amp;""\""&amp;INDEX(SPLIT($A$2,""_""),2)&amp;""\""&amp;SUBSTITUTE(SUBST"&amp;"ITUTE(SUBSTITUTE(SUBSTITUTE(SUBSTITUTE(INDEX(Hairstyles!$C:$C,MATCH($B872,Hairstyles!$F:$F,0)),"" "",""""),""'"",""""),""("",""""),"")"",""""),""-"",""_"")&amp;""_""&amp;$A$2)"),"")</f>
        <v/>
      </c>
    </row>
    <row r="873">
      <c r="C873" s="12" t="str">
        <f>IFERROR(__xludf.DUMMYFUNCTION("IF($B873="""","""",SUBSTITUTE(SUBSTITUTE(SUBSTITUTE(SUBSTITUTE(INDEX(Hairstyles!$A:$A,MATCH($B873,Hairstyles!$F:$F,0)),"" "",""""),""'"",""""),""("",""""),"")"","""")&amp;""\""&amp;INDEX(SPLIT($A$2,""_""),1)&amp;""\""&amp;INDEX(SPLIT($A$2,""_""),2)&amp;""\""&amp;SUBSTITUTE(SUBST"&amp;"ITUTE(SUBSTITUTE(SUBSTITUTE(SUBSTITUTE(INDEX(Hairstyles!$C:$C,MATCH($B873,Hairstyles!$F:$F,0)),"" "",""""),""'"",""""),""("",""""),"")"",""""),""-"",""_"")&amp;""_""&amp;$A$2)"),"")</f>
        <v/>
      </c>
    </row>
    <row r="874">
      <c r="C874" s="12" t="str">
        <f>IFERROR(__xludf.DUMMYFUNCTION("IF($B874="""","""",SUBSTITUTE(SUBSTITUTE(SUBSTITUTE(SUBSTITUTE(INDEX(Hairstyles!$A:$A,MATCH($B874,Hairstyles!$F:$F,0)),"" "",""""),""'"",""""),""("",""""),"")"","""")&amp;""\""&amp;INDEX(SPLIT($A$2,""_""),1)&amp;""\""&amp;INDEX(SPLIT($A$2,""_""),2)&amp;""\""&amp;SUBSTITUTE(SUBST"&amp;"ITUTE(SUBSTITUTE(SUBSTITUTE(SUBSTITUTE(INDEX(Hairstyles!$C:$C,MATCH($B874,Hairstyles!$F:$F,0)),"" "",""""),""'"",""""),""("",""""),"")"",""""),""-"",""_"")&amp;""_""&amp;$A$2)"),"")</f>
        <v/>
      </c>
    </row>
    <row r="875">
      <c r="C875" s="12" t="str">
        <f>IFERROR(__xludf.DUMMYFUNCTION("IF($B875="""","""",SUBSTITUTE(SUBSTITUTE(SUBSTITUTE(SUBSTITUTE(INDEX(Hairstyles!$A:$A,MATCH($B875,Hairstyles!$F:$F,0)),"" "",""""),""'"",""""),""("",""""),"")"","""")&amp;""\""&amp;INDEX(SPLIT($A$2,""_""),1)&amp;""\""&amp;INDEX(SPLIT($A$2,""_""),2)&amp;""\""&amp;SUBSTITUTE(SUBST"&amp;"ITUTE(SUBSTITUTE(SUBSTITUTE(SUBSTITUTE(INDEX(Hairstyles!$C:$C,MATCH($B875,Hairstyles!$F:$F,0)),"" "",""""),""'"",""""),""("",""""),"")"",""""),""-"",""_"")&amp;""_""&amp;$A$2)"),"")</f>
        <v/>
      </c>
    </row>
    <row r="876">
      <c r="C876" s="12" t="str">
        <f>IFERROR(__xludf.DUMMYFUNCTION("IF($B876="""","""",SUBSTITUTE(SUBSTITUTE(SUBSTITUTE(SUBSTITUTE(INDEX(Hairstyles!$A:$A,MATCH($B876,Hairstyles!$F:$F,0)),"" "",""""),""'"",""""),""("",""""),"")"","""")&amp;""\""&amp;INDEX(SPLIT($A$2,""_""),1)&amp;""\""&amp;INDEX(SPLIT($A$2,""_""),2)&amp;""\""&amp;SUBSTITUTE(SUBST"&amp;"ITUTE(SUBSTITUTE(SUBSTITUTE(SUBSTITUTE(INDEX(Hairstyles!$C:$C,MATCH($B876,Hairstyles!$F:$F,0)),"" "",""""),""'"",""""),""("",""""),"")"",""""),""-"",""_"")&amp;""_""&amp;$A$2)"),"")</f>
        <v/>
      </c>
    </row>
    <row r="877">
      <c r="C877" s="12" t="str">
        <f>IFERROR(__xludf.DUMMYFUNCTION("IF($B877="""","""",SUBSTITUTE(SUBSTITUTE(SUBSTITUTE(SUBSTITUTE(INDEX(Hairstyles!$A:$A,MATCH($B877,Hairstyles!$F:$F,0)),"" "",""""),""'"",""""),""("",""""),"")"","""")&amp;""\""&amp;INDEX(SPLIT($A$2,""_""),1)&amp;""\""&amp;INDEX(SPLIT($A$2,""_""),2)&amp;""\""&amp;SUBSTITUTE(SUBST"&amp;"ITUTE(SUBSTITUTE(SUBSTITUTE(SUBSTITUTE(INDEX(Hairstyles!$C:$C,MATCH($B877,Hairstyles!$F:$F,0)),"" "",""""),""'"",""""),""("",""""),"")"",""""),""-"",""_"")&amp;""_""&amp;$A$2)"),"")</f>
        <v/>
      </c>
    </row>
    <row r="878">
      <c r="C878" s="12" t="str">
        <f>IFERROR(__xludf.DUMMYFUNCTION("IF($B878="""","""",SUBSTITUTE(SUBSTITUTE(SUBSTITUTE(SUBSTITUTE(INDEX(Hairstyles!$A:$A,MATCH($B878,Hairstyles!$F:$F,0)),"" "",""""),""'"",""""),""("",""""),"")"","""")&amp;""\""&amp;INDEX(SPLIT($A$2,""_""),1)&amp;""\""&amp;INDEX(SPLIT($A$2,""_""),2)&amp;""\""&amp;SUBSTITUTE(SUBST"&amp;"ITUTE(SUBSTITUTE(SUBSTITUTE(SUBSTITUTE(INDEX(Hairstyles!$C:$C,MATCH($B878,Hairstyles!$F:$F,0)),"" "",""""),""'"",""""),""("",""""),"")"",""""),""-"",""_"")&amp;""_""&amp;$A$2)"),"")</f>
        <v/>
      </c>
    </row>
    <row r="879">
      <c r="C879" s="12" t="str">
        <f>IFERROR(__xludf.DUMMYFUNCTION("IF($B879="""","""",SUBSTITUTE(SUBSTITUTE(SUBSTITUTE(SUBSTITUTE(INDEX(Hairstyles!$A:$A,MATCH($B879,Hairstyles!$F:$F,0)),"" "",""""),""'"",""""),""("",""""),"")"","""")&amp;""\""&amp;INDEX(SPLIT($A$2,""_""),1)&amp;""\""&amp;INDEX(SPLIT($A$2,""_""),2)&amp;""\""&amp;SUBSTITUTE(SUBST"&amp;"ITUTE(SUBSTITUTE(SUBSTITUTE(SUBSTITUTE(INDEX(Hairstyles!$C:$C,MATCH($B879,Hairstyles!$F:$F,0)),"" "",""""),""'"",""""),""("",""""),"")"",""""),""-"",""_"")&amp;""_""&amp;$A$2)"),"")</f>
        <v/>
      </c>
    </row>
    <row r="880">
      <c r="C880" s="12" t="str">
        <f>IFERROR(__xludf.DUMMYFUNCTION("IF($B880="""","""",SUBSTITUTE(SUBSTITUTE(SUBSTITUTE(SUBSTITUTE(INDEX(Hairstyles!$A:$A,MATCH($B880,Hairstyles!$F:$F,0)),"" "",""""),""'"",""""),""("",""""),"")"","""")&amp;""\""&amp;INDEX(SPLIT($A$2,""_""),1)&amp;""\""&amp;INDEX(SPLIT($A$2,""_""),2)&amp;""\""&amp;SUBSTITUTE(SUBST"&amp;"ITUTE(SUBSTITUTE(SUBSTITUTE(SUBSTITUTE(INDEX(Hairstyles!$C:$C,MATCH($B880,Hairstyles!$F:$F,0)),"" "",""""),""'"",""""),""("",""""),"")"",""""),""-"",""_"")&amp;""_""&amp;$A$2)"),"")</f>
        <v/>
      </c>
    </row>
    <row r="881">
      <c r="C881" s="12" t="str">
        <f>IFERROR(__xludf.DUMMYFUNCTION("IF($B881="""","""",SUBSTITUTE(SUBSTITUTE(SUBSTITUTE(SUBSTITUTE(INDEX(Hairstyles!$A:$A,MATCH($B881,Hairstyles!$F:$F,0)),"" "",""""),""'"",""""),""("",""""),"")"","""")&amp;""\""&amp;INDEX(SPLIT($A$2,""_""),1)&amp;""\""&amp;INDEX(SPLIT($A$2,""_""),2)&amp;""\""&amp;SUBSTITUTE(SUBST"&amp;"ITUTE(SUBSTITUTE(SUBSTITUTE(SUBSTITUTE(INDEX(Hairstyles!$C:$C,MATCH($B881,Hairstyles!$F:$F,0)),"" "",""""),""'"",""""),""("",""""),"")"",""""),""-"",""_"")&amp;""_""&amp;$A$2)"),"")</f>
        <v/>
      </c>
    </row>
    <row r="882">
      <c r="C882" s="12" t="str">
        <f>IFERROR(__xludf.DUMMYFUNCTION("IF($B882="""","""",SUBSTITUTE(SUBSTITUTE(SUBSTITUTE(SUBSTITUTE(INDEX(Hairstyles!$A:$A,MATCH($B882,Hairstyles!$F:$F,0)),"" "",""""),""'"",""""),""("",""""),"")"","""")&amp;""\""&amp;INDEX(SPLIT($A$2,""_""),1)&amp;""\""&amp;INDEX(SPLIT($A$2,""_""),2)&amp;""\""&amp;SUBSTITUTE(SUBST"&amp;"ITUTE(SUBSTITUTE(SUBSTITUTE(SUBSTITUTE(INDEX(Hairstyles!$C:$C,MATCH($B882,Hairstyles!$F:$F,0)),"" "",""""),""'"",""""),""("",""""),"")"",""""),""-"",""_"")&amp;""_""&amp;$A$2)"),"")</f>
        <v/>
      </c>
    </row>
    <row r="883">
      <c r="C883" s="12" t="str">
        <f>IFERROR(__xludf.DUMMYFUNCTION("IF($B883="""","""",SUBSTITUTE(SUBSTITUTE(SUBSTITUTE(SUBSTITUTE(INDEX(Hairstyles!$A:$A,MATCH($B883,Hairstyles!$F:$F,0)),"" "",""""),""'"",""""),""("",""""),"")"","""")&amp;""\""&amp;INDEX(SPLIT($A$2,""_""),1)&amp;""\""&amp;INDEX(SPLIT($A$2,""_""),2)&amp;""\""&amp;SUBSTITUTE(SUBST"&amp;"ITUTE(SUBSTITUTE(SUBSTITUTE(SUBSTITUTE(INDEX(Hairstyles!$C:$C,MATCH($B883,Hairstyles!$F:$F,0)),"" "",""""),""'"",""""),""("",""""),"")"",""""),""-"",""_"")&amp;""_""&amp;$A$2)"),"")</f>
        <v/>
      </c>
    </row>
    <row r="884">
      <c r="C884" s="12" t="str">
        <f>IFERROR(__xludf.DUMMYFUNCTION("IF($B884="""","""",SUBSTITUTE(SUBSTITUTE(SUBSTITUTE(SUBSTITUTE(INDEX(Hairstyles!$A:$A,MATCH($B884,Hairstyles!$F:$F,0)),"" "",""""),""'"",""""),""("",""""),"")"","""")&amp;""\""&amp;INDEX(SPLIT($A$2,""_""),1)&amp;""\""&amp;INDEX(SPLIT($A$2,""_""),2)&amp;""\""&amp;SUBSTITUTE(SUBST"&amp;"ITUTE(SUBSTITUTE(SUBSTITUTE(SUBSTITUTE(INDEX(Hairstyles!$C:$C,MATCH($B884,Hairstyles!$F:$F,0)),"" "",""""),""'"",""""),""("",""""),"")"",""""),""-"",""_"")&amp;""_""&amp;$A$2)"),"")</f>
        <v/>
      </c>
    </row>
    <row r="885">
      <c r="C885" s="12" t="str">
        <f>IFERROR(__xludf.DUMMYFUNCTION("IF($B885="""","""",SUBSTITUTE(SUBSTITUTE(SUBSTITUTE(SUBSTITUTE(INDEX(Hairstyles!$A:$A,MATCH($B885,Hairstyles!$F:$F,0)),"" "",""""),""'"",""""),""("",""""),"")"","""")&amp;""\""&amp;INDEX(SPLIT($A$2,""_""),1)&amp;""\""&amp;INDEX(SPLIT($A$2,""_""),2)&amp;""\""&amp;SUBSTITUTE(SUBST"&amp;"ITUTE(SUBSTITUTE(SUBSTITUTE(SUBSTITUTE(INDEX(Hairstyles!$C:$C,MATCH($B885,Hairstyles!$F:$F,0)),"" "",""""),""'"",""""),""("",""""),"")"",""""),""-"",""_"")&amp;""_""&amp;$A$2)"),"")</f>
        <v/>
      </c>
    </row>
    <row r="886">
      <c r="C886" s="12" t="str">
        <f>IFERROR(__xludf.DUMMYFUNCTION("IF($B886="""","""",SUBSTITUTE(SUBSTITUTE(SUBSTITUTE(SUBSTITUTE(INDEX(Hairstyles!$A:$A,MATCH($B886,Hairstyles!$F:$F,0)),"" "",""""),""'"",""""),""("",""""),"")"","""")&amp;""\""&amp;INDEX(SPLIT($A$2,""_""),1)&amp;""\""&amp;INDEX(SPLIT($A$2,""_""),2)&amp;""\""&amp;SUBSTITUTE(SUBST"&amp;"ITUTE(SUBSTITUTE(SUBSTITUTE(SUBSTITUTE(INDEX(Hairstyles!$C:$C,MATCH($B886,Hairstyles!$F:$F,0)),"" "",""""),""'"",""""),""("",""""),"")"",""""),""-"",""_"")&amp;""_""&amp;$A$2)"),"")</f>
        <v/>
      </c>
    </row>
    <row r="887">
      <c r="C887" s="12" t="str">
        <f>IFERROR(__xludf.DUMMYFUNCTION("IF($B887="""","""",SUBSTITUTE(SUBSTITUTE(SUBSTITUTE(SUBSTITUTE(INDEX(Hairstyles!$A:$A,MATCH($B887,Hairstyles!$F:$F,0)),"" "",""""),""'"",""""),""("",""""),"")"","""")&amp;""\""&amp;INDEX(SPLIT($A$2,""_""),1)&amp;""\""&amp;INDEX(SPLIT($A$2,""_""),2)&amp;""\""&amp;SUBSTITUTE(SUBST"&amp;"ITUTE(SUBSTITUTE(SUBSTITUTE(SUBSTITUTE(INDEX(Hairstyles!$C:$C,MATCH($B887,Hairstyles!$F:$F,0)),"" "",""""),""'"",""""),""("",""""),"")"",""""),""-"",""_"")&amp;""_""&amp;$A$2)"),"")</f>
        <v/>
      </c>
    </row>
    <row r="888">
      <c r="C888" s="12" t="str">
        <f>IFERROR(__xludf.DUMMYFUNCTION("IF($B888="""","""",SUBSTITUTE(SUBSTITUTE(SUBSTITUTE(SUBSTITUTE(INDEX(Hairstyles!$A:$A,MATCH($B888,Hairstyles!$F:$F,0)),"" "",""""),""'"",""""),""("",""""),"")"","""")&amp;""\""&amp;INDEX(SPLIT($A$2,""_""),1)&amp;""\""&amp;INDEX(SPLIT($A$2,""_""),2)&amp;""\""&amp;SUBSTITUTE(SUBST"&amp;"ITUTE(SUBSTITUTE(SUBSTITUTE(SUBSTITUTE(INDEX(Hairstyles!$C:$C,MATCH($B888,Hairstyles!$F:$F,0)),"" "",""""),""'"",""""),""("",""""),"")"",""""),""-"",""_"")&amp;""_""&amp;$A$2)"),"")</f>
        <v/>
      </c>
    </row>
    <row r="889">
      <c r="C889" s="12" t="str">
        <f>IFERROR(__xludf.DUMMYFUNCTION("IF($B889="""","""",SUBSTITUTE(SUBSTITUTE(SUBSTITUTE(SUBSTITUTE(INDEX(Hairstyles!$A:$A,MATCH($B889,Hairstyles!$F:$F,0)),"" "",""""),""'"",""""),""("",""""),"")"","""")&amp;""\""&amp;INDEX(SPLIT($A$2,""_""),1)&amp;""\""&amp;INDEX(SPLIT($A$2,""_""),2)&amp;""\""&amp;SUBSTITUTE(SUBST"&amp;"ITUTE(SUBSTITUTE(SUBSTITUTE(SUBSTITUTE(INDEX(Hairstyles!$C:$C,MATCH($B889,Hairstyles!$F:$F,0)),"" "",""""),""'"",""""),""("",""""),"")"",""""),""-"",""_"")&amp;""_""&amp;$A$2)"),"")</f>
        <v/>
      </c>
    </row>
    <row r="890">
      <c r="C890" s="12" t="str">
        <f>IFERROR(__xludf.DUMMYFUNCTION("IF($B890="""","""",SUBSTITUTE(SUBSTITUTE(SUBSTITUTE(SUBSTITUTE(INDEX(Hairstyles!$A:$A,MATCH($B890,Hairstyles!$F:$F,0)),"" "",""""),""'"",""""),""("",""""),"")"","""")&amp;""\""&amp;INDEX(SPLIT($A$2,""_""),1)&amp;""\""&amp;INDEX(SPLIT($A$2,""_""),2)&amp;""\""&amp;SUBSTITUTE(SUBST"&amp;"ITUTE(SUBSTITUTE(SUBSTITUTE(SUBSTITUTE(INDEX(Hairstyles!$C:$C,MATCH($B890,Hairstyles!$F:$F,0)),"" "",""""),""'"",""""),""("",""""),"")"",""""),""-"",""_"")&amp;""_""&amp;$A$2)"),"")</f>
        <v/>
      </c>
    </row>
    <row r="891">
      <c r="C891" s="12" t="str">
        <f>IFERROR(__xludf.DUMMYFUNCTION("IF($B891="""","""",SUBSTITUTE(SUBSTITUTE(SUBSTITUTE(SUBSTITUTE(INDEX(Hairstyles!$A:$A,MATCH($B891,Hairstyles!$F:$F,0)),"" "",""""),""'"",""""),""("",""""),"")"","""")&amp;""\""&amp;INDEX(SPLIT($A$2,""_""),1)&amp;""\""&amp;INDEX(SPLIT($A$2,""_""),2)&amp;""\""&amp;SUBSTITUTE(SUBST"&amp;"ITUTE(SUBSTITUTE(SUBSTITUTE(SUBSTITUTE(INDEX(Hairstyles!$C:$C,MATCH($B891,Hairstyles!$F:$F,0)),"" "",""""),""'"",""""),""("",""""),"")"",""""),""-"",""_"")&amp;""_""&amp;$A$2)"),"")</f>
        <v/>
      </c>
    </row>
    <row r="892">
      <c r="C892" s="12" t="str">
        <f>IFERROR(__xludf.DUMMYFUNCTION("IF($B892="""","""",SUBSTITUTE(SUBSTITUTE(SUBSTITUTE(SUBSTITUTE(INDEX(Hairstyles!$A:$A,MATCH($B892,Hairstyles!$F:$F,0)),"" "",""""),""'"",""""),""("",""""),"")"","""")&amp;""\""&amp;INDEX(SPLIT($A$2,""_""),1)&amp;""\""&amp;INDEX(SPLIT($A$2,""_""),2)&amp;""\""&amp;SUBSTITUTE(SUBST"&amp;"ITUTE(SUBSTITUTE(SUBSTITUTE(SUBSTITUTE(INDEX(Hairstyles!$C:$C,MATCH($B892,Hairstyles!$F:$F,0)),"" "",""""),""'"",""""),""("",""""),"")"",""""),""-"",""_"")&amp;""_""&amp;$A$2)"),"")</f>
        <v/>
      </c>
    </row>
    <row r="893">
      <c r="C893" s="12" t="str">
        <f>IFERROR(__xludf.DUMMYFUNCTION("IF($B893="""","""",SUBSTITUTE(SUBSTITUTE(SUBSTITUTE(SUBSTITUTE(INDEX(Hairstyles!$A:$A,MATCH($B893,Hairstyles!$F:$F,0)),"" "",""""),""'"",""""),""("",""""),"")"","""")&amp;""\""&amp;INDEX(SPLIT($A$2,""_""),1)&amp;""\""&amp;INDEX(SPLIT($A$2,""_""),2)&amp;""\""&amp;SUBSTITUTE(SUBST"&amp;"ITUTE(SUBSTITUTE(SUBSTITUTE(SUBSTITUTE(INDEX(Hairstyles!$C:$C,MATCH($B893,Hairstyles!$F:$F,0)),"" "",""""),""'"",""""),""("",""""),"")"",""""),""-"",""_"")&amp;""_""&amp;$A$2)"),"")</f>
        <v/>
      </c>
    </row>
    <row r="894">
      <c r="C894" s="12" t="str">
        <f>IFERROR(__xludf.DUMMYFUNCTION("IF($B894="""","""",SUBSTITUTE(SUBSTITUTE(SUBSTITUTE(SUBSTITUTE(INDEX(Hairstyles!$A:$A,MATCH($B894,Hairstyles!$F:$F,0)),"" "",""""),""'"",""""),""("",""""),"")"","""")&amp;""\""&amp;INDEX(SPLIT($A$2,""_""),1)&amp;""\""&amp;INDEX(SPLIT($A$2,""_""),2)&amp;""\""&amp;SUBSTITUTE(SUBST"&amp;"ITUTE(SUBSTITUTE(SUBSTITUTE(SUBSTITUTE(INDEX(Hairstyles!$C:$C,MATCH($B894,Hairstyles!$F:$F,0)),"" "",""""),""'"",""""),""("",""""),"")"",""""),""-"",""_"")&amp;""_""&amp;$A$2)"),"")</f>
        <v/>
      </c>
    </row>
    <row r="895">
      <c r="C895" s="12" t="str">
        <f>IFERROR(__xludf.DUMMYFUNCTION("IF($B895="""","""",SUBSTITUTE(SUBSTITUTE(SUBSTITUTE(SUBSTITUTE(INDEX(Hairstyles!$A:$A,MATCH($B895,Hairstyles!$F:$F,0)),"" "",""""),""'"",""""),""("",""""),"")"","""")&amp;""\""&amp;INDEX(SPLIT($A$2,""_""),1)&amp;""\""&amp;INDEX(SPLIT($A$2,""_""),2)&amp;""\""&amp;SUBSTITUTE(SUBST"&amp;"ITUTE(SUBSTITUTE(SUBSTITUTE(SUBSTITUTE(INDEX(Hairstyles!$C:$C,MATCH($B895,Hairstyles!$F:$F,0)),"" "",""""),""'"",""""),""("",""""),"")"",""""),""-"",""_"")&amp;""_""&amp;$A$2)"),"")</f>
        <v/>
      </c>
    </row>
    <row r="896">
      <c r="C896" s="12" t="str">
        <f>IFERROR(__xludf.DUMMYFUNCTION("IF($B896="""","""",SUBSTITUTE(SUBSTITUTE(SUBSTITUTE(SUBSTITUTE(INDEX(Hairstyles!$A:$A,MATCH($B896,Hairstyles!$F:$F,0)),"" "",""""),""'"",""""),""("",""""),"")"","""")&amp;""\""&amp;INDEX(SPLIT($A$2,""_""),1)&amp;""\""&amp;INDEX(SPLIT($A$2,""_""),2)&amp;""\""&amp;SUBSTITUTE(SUBST"&amp;"ITUTE(SUBSTITUTE(SUBSTITUTE(SUBSTITUTE(INDEX(Hairstyles!$C:$C,MATCH($B896,Hairstyles!$F:$F,0)),"" "",""""),""'"",""""),""("",""""),"")"",""""),""-"",""_"")&amp;""_""&amp;$A$2)"),"")</f>
        <v/>
      </c>
    </row>
    <row r="897">
      <c r="C897" s="12" t="str">
        <f>IFERROR(__xludf.DUMMYFUNCTION("IF($B897="""","""",SUBSTITUTE(SUBSTITUTE(SUBSTITUTE(SUBSTITUTE(INDEX(Hairstyles!$A:$A,MATCH($B897,Hairstyles!$F:$F,0)),"" "",""""),""'"",""""),""("",""""),"")"","""")&amp;""\""&amp;INDEX(SPLIT($A$2,""_""),1)&amp;""\""&amp;INDEX(SPLIT($A$2,""_""),2)&amp;""\""&amp;SUBSTITUTE(SUBST"&amp;"ITUTE(SUBSTITUTE(SUBSTITUTE(SUBSTITUTE(INDEX(Hairstyles!$C:$C,MATCH($B897,Hairstyles!$F:$F,0)),"" "",""""),""'"",""""),""("",""""),"")"",""""),""-"",""_"")&amp;""_""&amp;$A$2)"),"")</f>
        <v/>
      </c>
    </row>
    <row r="898">
      <c r="C898" s="12" t="str">
        <f>IFERROR(__xludf.DUMMYFUNCTION("IF($B898="""","""",SUBSTITUTE(SUBSTITUTE(SUBSTITUTE(SUBSTITUTE(INDEX(Hairstyles!$A:$A,MATCH($B898,Hairstyles!$F:$F,0)),"" "",""""),""'"",""""),""("",""""),"")"","""")&amp;""\""&amp;INDEX(SPLIT($A$2,""_""),1)&amp;""\""&amp;INDEX(SPLIT($A$2,""_""),2)&amp;""\""&amp;SUBSTITUTE(SUBST"&amp;"ITUTE(SUBSTITUTE(SUBSTITUTE(SUBSTITUTE(INDEX(Hairstyles!$C:$C,MATCH($B898,Hairstyles!$F:$F,0)),"" "",""""),""'"",""""),""("",""""),"")"",""""),""-"",""_"")&amp;""_""&amp;$A$2)"),"")</f>
        <v/>
      </c>
    </row>
    <row r="899">
      <c r="C899" s="12" t="str">
        <f>IFERROR(__xludf.DUMMYFUNCTION("IF($B899="""","""",SUBSTITUTE(SUBSTITUTE(SUBSTITUTE(SUBSTITUTE(INDEX(Hairstyles!$A:$A,MATCH($B899,Hairstyles!$F:$F,0)),"" "",""""),""'"",""""),""("",""""),"")"","""")&amp;""\""&amp;INDEX(SPLIT($A$2,""_""),1)&amp;""\""&amp;INDEX(SPLIT($A$2,""_""),2)&amp;""\""&amp;SUBSTITUTE(SUBST"&amp;"ITUTE(SUBSTITUTE(SUBSTITUTE(SUBSTITUTE(INDEX(Hairstyles!$C:$C,MATCH($B899,Hairstyles!$F:$F,0)),"" "",""""),""'"",""""),""("",""""),"")"",""""),""-"",""_"")&amp;""_""&amp;$A$2)"),"")</f>
        <v/>
      </c>
    </row>
    <row r="900">
      <c r="C900" s="12" t="str">
        <f>IFERROR(__xludf.DUMMYFUNCTION("IF($B900="""","""",SUBSTITUTE(SUBSTITUTE(SUBSTITUTE(SUBSTITUTE(INDEX(Hairstyles!$A:$A,MATCH($B900,Hairstyles!$F:$F,0)),"" "",""""),""'"",""""),""("",""""),"")"","""")&amp;""\""&amp;INDEX(SPLIT($A$2,""_""),1)&amp;""\""&amp;INDEX(SPLIT($A$2,""_""),2)&amp;""\""&amp;SUBSTITUTE(SUBST"&amp;"ITUTE(SUBSTITUTE(SUBSTITUTE(SUBSTITUTE(INDEX(Hairstyles!$C:$C,MATCH($B900,Hairstyles!$F:$F,0)),"" "",""""),""'"",""""),""("",""""),"")"",""""),""-"",""_"")&amp;""_""&amp;$A$2)"),"")</f>
        <v/>
      </c>
    </row>
    <row r="901">
      <c r="C901" s="12" t="str">
        <f>IFERROR(__xludf.DUMMYFUNCTION("IF($B901="""","""",SUBSTITUTE(SUBSTITUTE(SUBSTITUTE(SUBSTITUTE(INDEX(Hairstyles!$A:$A,MATCH($B901,Hairstyles!$F:$F,0)),"" "",""""),""'"",""""),""("",""""),"")"","""")&amp;""\""&amp;INDEX(SPLIT($A$2,""_""),1)&amp;""\""&amp;INDEX(SPLIT($A$2,""_""),2)&amp;""\""&amp;SUBSTITUTE(SUBST"&amp;"ITUTE(SUBSTITUTE(SUBSTITUTE(SUBSTITUTE(INDEX(Hairstyles!$C:$C,MATCH($B901,Hairstyles!$F:$F,0)),"" "",""""),""'"",""""),""("",""""),"")"",""""),""-"",""_"")&amp;""_""&amp;$A$2)"),"")</f>
        <v/>
      </c>
    </row>
    <row r="902">
      <c r="C902" s="12" t="str">
        <f>IFERROR(__xludf.DUMMYFUNCTION("IF($B902="""","""",SUBSTITUTE(SUBSTITUTE(SUBSTITUTE(SUBSTITUTE(INDEX(Hairstyles!$A:$A,MATCH($B902,Hairstyles!$F:$F,0)),"" "",""""),""'"",""""),""("",""""),"")"","""")&amp;""\""&amp;INDEX(SPLIT($A$2,""_""),1)&amp;""\""&amp;INDEX(SPLIT($A$2,""_""),2)&amp;""\""&amp;SUBSTITUTE(SUBST"&amp;"ITUTE(SUBSTITUTE(SUBSTITUTE(SUBSTITUTE(INDEX(Hairstyles!$C:$C,MATCH($B902,Hairstyles!$F:$F,0)),"" "",""""),""'"",""""),""("",""""),"")"",""""),""-"",""_"")&amp;""_""&amp;$A$2)"),"")</f>
        <v/>
      </c>
    </row>
    <row r="903">
      <c r="C903" s="12" t="str">
        <f>IFERROR(__xludf.DUMMYFUNCTION("IF($B903="""","""",SUBSTITUTE(SUBSTITUTE(SUBSTITUTE(SUBSTITUTE(INDEX(Hairstyles!$A:$A,MATCH($B903,Hairstyles!$F:$F,0)),"" "",""""),""'"",""""),""("",""""),"")"","""")&amp;""\""&amp;INDEX(SPLIT($A$2,""_""),1)&amp;""\""&amp;INDEX(SPLIT($A$2,""_""),2)&amp;""\""&amp;SUBSTITUTE(SUBST"&amp;"ITUTE(SUBSTITUTE(SUBSTITUTE(SUBSTITUTE(INDEX(Hairstyles!$C:$C,MATCH($B903,Hairstyles!$F:$F,0)),"" "",""""),""'"",""""),""("",""""),"")"",""""),""-"",""_"")&amp;""_""&amp;$A$2)"),"")</f>
        <v/>
      </c>
    </row>
    <row r="904">
      <c r="C904" s="12" t="str">
        <f>IFERROR(__xludf.DUMMYFUNCTION("IF($B904="""","""",SUBSTITUTE(SUBSTITUTE(SUBSTITUTE(SUBSTITUTE(INDEX(Hairstyles!$A:$A,MATCH($B904,Hairstyles!$F:$F,0)),"" "",""""),""'"",""""),""("",""""),"")"","""")&amp;""\""&amp;INDEX(SPLIT($A$2,""_""),1)&amp;""\""&amp;INDEX(SPLIT($A$2,""_""),2)&amp;""\""&amp;SUBSTITUTE(SUBST"&amp;"ITUTE(SUBSTITUTE(SUBSTITUTE(SUBSTITUTE(INDEX(Hairstyles!$C:$C,MATCH($B904,Hairstyles!$F:$F,0)),"" "",""""),""'"",""""),""("",""""),"")"",""""),""-"",""_"")&amp;""_""&amp;$A$2)"),"")</f>
        <v/>
      </c>
    </row>
    <row r="905">
      <c r="C905" s="12" t="str">
        <f>IFERROR(__xludf.DUMMYFUNCTION("IF($B905="""","""",SUBSTITUTE(SUBSTITUTE(SUBSTITUTE(SUBSTITUTE(INDEX(Hairstyles!$A:$A,MATCH($B905,Hairstyles!$F:$F,0)),"" "",""""),""'"",""""),""("",""""),"")"","""")&amp;""\""&amp;INDEX(SPLIT($A$2,""_""),1)&amp;""\""&amp;INDEX(SPLIT($A$2,""_""),2)&amp;""\""&amp;SUBSTITUTE(SUBST"&amp;"ITUTE(SUBSTITUTE(SUBSTITUTE(SUBSTITUTE(INDEX(Hairstyles!$C:$C,MATCH($B905,Hairstyles!$F:$F,0)),"" "",""""),""'"",""""),""("",""""),"")"",""""),""-"",""_"")&amp;""_""&amp;$A$2)"),"")</f>
        <v/>
      </c>
    </row>
    <row r="906">
      <c r="C906" s="12" t="str">
        <f>IFERROR(__xludf.DUMMYFUNCTION("IF($B906="""","""",SUBSTITUTE(SUBSTITUTE(SUBSTITUTE(SUBSTITUTE(INDEX(Hairstyles!$A:$A,MATCH($B906,Hairstyles!$F:$F,0)),"" "",""""),""'"",""""),""("",""""),"")"","""")&amp;""\""&amp;INDEX(SPLIT($A$2,""_""),1)&amp;""\""&amp;INDEX(SPLIT($A$2,""_""),2)&amp;""\""&amp;SUBSTITUTE(SUBST"&amp;"ITUTE(SUBSTITUTE(SUBSTITUTE(SUBSTITUTE(INDEX(Hairstyles!$C:$C,MATCH($B906,Hairstyles!$F:$F,0)),"" "",""""),""'"",""""),""("",""""),"")"",""""),""-"",""_"")&amp;""_""&amp;$A$2)"),"")</f>
        <v/>
      </c>
    </row>
    <row r="907">
      <c r="C907" s="12" t="str">
        <f>IFERROR(__xludf.DUMMYFUNCTION("IF($B907="""","""",SUBSTITUTE(SUBSTITUTE(SUBSTITUTE(SUBSTITUTE(INDEX(Hairstyles!$A:$A,MATCH($B907,Hairstyles!$F:$F,0)),"" "",""""),""'"",""""),""("",""""),"")"","""")&amp;""\""&amp;INDEX(SPLIT($A$2,""_""),1)&amp;""\""&amp;INDEX(SPLIT($A$2,""_""),2)&amp;""\""&amp;SUBSTITUTE(SUBST"&amp;"ITUTE(SUBSTITUTE(SUBSTITUTE(SUBSTITUTE(INDEX(Hairstyles!$C:$C,MATCH($B907,Hairstyles!$F:$F,0)),"" "",""""),""'"",""""),""("",""""),"")"",""""),""-"",""_"")&amp;""_""&amp;$A$2)"),"")</f>
        <v/>
      </c>
    </row>
    <row r="908">
      <c r="C908" s="12" t="str">
        <f>IFERROR(__xludf.DUMMYFUNCTION("IF($B908="""","""",SUBSTITUTE(SUBSTITUTE(SUBSTITUTE(SUBSTITUTE(INDEX(Hairstyles!$A:$A,MATCH($B908,Hairstyles!$F:$F,0)),"" "",""""),""'"",""""),""("",""""),"")"","""")&amp;""\""&amp;INDEX(SPLIT($A$2,""_""),1)&amp;""\""&amp;INDEX(SPLIT($A$2,""_""),2)&amp;""\""&amp;SUBSTITUTE(SUBST"&amp;"ITUTE(SUBSTITUTE(SUBSTITUTE(SUBSTITUTE(INDEX(Hairstyles!$C:$C,MATCH($B908,Hairstyles!$F:$F,0)),"" "",""""),""'"",""""),""("",""""),"")"",""""),""-"",""_"")&amp;""_""&amp;$A$2)"),"")</f>
        <v/>
      </c>
    </row>
    <row r="909">
      <c r="C909" s="12" t="str">
        <f>IFERROR(__xludf.DUMMYFUNCTION("IF($B909="""","""",SUBSTITUTE(SUBSTITUTE(SUBSTITUTE(SUBSTITUTE(INDEX(Hairstyles!$A:$A,MATCH($B909,Hairstyles!$F:$F,0)),"" "",""""),""'"",""""),""("",""""),"")"","""")&amp;""\""&amp;INDEX(SPLIT($A$2,""_""),1)&amp;""\""&amp;INDEX(SPLIT($A$2,""_""),2)&amp;""\""&amp;SUBSTITUTE(SUBST"&amp;"ITUTE(SUBSTITUTE(SUBSTITUTE(SUBSTITUTE(INDEX(Hairstyles!$C:$C,MATCH($B909,Hairstyles!$F:$F,0)),"" "",""""),""'"",""""),""("",""""),"")"",""""),""-"",""_"")&amp;""_""&amp;$A$2)"),"")</f>
        <v/>
      </c>
    </row>
    <row r="910">
      <c r="C910" s="12" t="str">
        <f>IFERROR(__xludf.DUMMYFUNCTION("IF($B910="""","""",SUBSTITUTE(SUBSTITUTE(SUBSTITUTE(SUBSTITUTE(INDEX(Hairstyles!$A:$A,MATCH($B910,Hairstyles!$F:$F,0)),"" "",""""),""'"",""""),""("",""""),"")"","""")&amp;""\""&amp;INDEX(SPLIT($A$2,""_""),1)&amp;""\""&amp;INDEX(SPLIT($A$2,""_""),2)&amp;""\""&amp;SUBSTITUTE(SUBST"&amp;"ITUTE(SUBSTITUTE(SUBSTITUTE(SUBSTITUTE(INDEX(Hairstyles!$C:$C,MATCH($B910,Hairstyles!$F:$F,0)),"" "",""""),""'"",""""),""("",""""),"")"",""""),""-"",""_"")&amp;""_""&amp;$A$2)"),"")</f>
        <v/>
      </c>
    </row>
    <row r="911">
      <c r="C911" s="12" t="str">
        <f>IFERROR(__xludf.DUMMYFUNCTION("IF($B911="""","""",SUBSTITUTE(SUBSTITUTE(SUBSTITUTE(SUBSTITUTE(INDEX(Hairstyles!$A:$A,MATCH($B911,Hairstyles!$F:$F,0)),"" "",""""),""'"",""""),""("",""""),"")"","""")&amp;""\""&amp;INDEX(SPLIT($A$2,""_""),1)&amp;""\""&amp;INDEX(SPLIT($A$2,""_""),2)&amp;""\""&amp;SUBSTITUTE(SUBST"&amp;"ITUTE(SUBSTITUTE(SUBSTITUTE(SUBSTITUTE(INDEX(Hairstyles!$C:$C,MATCH($B911,Hairstyles!$F:$F,0)),"" "",""""),""'"",""""),""("",""""),"")"",""""),""-"",""_"")&amp;""_""&amp;$A$2)"),"")</f>
        <v/>
      </c>
    </row>
    <row r="912">
      <c r="C912" s="12" t="str">
        <f>IFERROR(__xludf.DUMMYFUNCTION("IF($B912="""","""",SUBSTITUTE(SUBSTITUTE(SUBSTITUTE(SUBSTITUTE(INDEX(Hairstyles!$A:$A,MATCH($B912,Hairstyles!$F:$F,0)),"" "",""""),""'"",""""),""("",""""),"")"","""")&amp;""\""&amp;INDEX(SPLIT($A$2,""_""),1)&amp;""\""&amp;INDEX(SPLIT($A$2,""_""),2)&amp;""\""&amp;SUBSTITUTE(SUBST"&amp;"ITUTE(SUBSTITUTE(SUBSTITUTE(SUBSTITUTE(INDEX(Hairstyles!$C:$C,MATCH($B912,Hairstyles!$F:$F,0)),"" "",""""),""'"",""""),""("",""""),"")"",""""),""-"",""_"")&amp;""_""&amp;$A$2)"),"")</f>
        <v/>
      </c>
    </row>
    <row r="913">
      <c r="C913" s="12" t="str">
        <f>IFERROR(__xludf.DUMMYFUNCTION("IF($B913="""","""",SUBSTITUTE(SUBSTITUTE(SUBSTITUTE(SUBSTITUTE(INDEX(Hairstyles!$A:$A,MATCH($B913,Hairstyles!$F:$F,0)),"" "",""""),""'"",""""),""("",""""),"")"","""")&amp;""\""&amp;INDEX(SPLIT($A$2,""_""),1)&amp;""\""&amp;INDEX(SPLIT($A$2,""_""),2)&amp;""\""&amp;SUBSTITUTE(SUBST"&amp;"ITUTE(SUBSTITUTE(SUBSTITUTE(SUBSTITUTE(INDEX(Hairstyles!$C:$C,MATCH($B913,Hairstyles!$F:$F,0)),"" "",""""),""'"",""""),""("",""""),"")"",""""),""-"",""_"")&amp;""_""&amp;$A$2)"),"")</f>
        <v/>
      </c>
    </row>
    <row r="914">
      <c r="C914" s="12" t="str">
        <f>IFERROR(__xludf.DUMMYFUNCTION("IF($B914="""","""",SUBSTITUTE(SUBSTITUTE(SUBSTITUTE(SUBSTITUTE(INDEX(Hairstyles!$A:$A,MATCH($B914,Hairstyles!$F:$F,0)),"" "",""""),""'"",""""),""("",""""),"")"","""")&amp;""\""&amp;INDEX(SPLIT($A$2,""_""),1)&amp;""\""&amp;INDEX(SPLIT($A$2,""_""),2)&amp;""\""&amp;SUBSTITUTE(SUBST"&amp;"ITUTE(SUBSTITUTE(SUBSTITUTE(SUBSTITUTE(INDEX(Hairstyles!$C:$C,MATCH($B914,Hairstyles!$F:$F,0)),"" "",""""),""'"",""""),""("",""""),"")"",""""),""-"",""_"")&amp;""_""&amp;$A$2)"),"")</f>
        <v/>
      </c>
    </row>
    <row r="915">
      <c r="C915" s="12" t="str">
        <f>IFERROR(__xludf.DUMMYFUNCTION("IF($B915="""","""",SUBSTITUTE(SUBSTITUTE(SUBSTITUTE(SUBSTITUTE(INDEX(Hairstyles!$A:$A,MATCH($B915,Hairstyles!$F:$F,0)),"" "",""""),""'"",""""),""("",""""),"")"","""")&amp;""\""&amp;INDEX(SPLIT($A$2,""_""),1)&amp;""\""&amp;INDEX(SPLIT($A$2,""_""),2)&amp;""\""&amp;SUBSTITUTE(SUBST"&amp;"ITUTE(SUBSTITUTE(SUBSTITUTE(SUBSTITUTE(INDEX(Hairstyles!$C:$C,MATCH($B915,Hairstyles!$F:$F,0)),"" "",""""),""'"",""""),""("",""""),"")"",""""),""-"",""_"")&amp;""_""&amp;$A$2)"),"")</f>
        <v/>
      </c>
    </row>
    <row r="916">
      <c r="C916" s="12" t="str">
        <f>IFERROR(__xludf.DUMMYFUNCTION("IF($B916="""","""",SUBSTITUTE(SUBSTITUTE(SUBSTITUTE(SUBSTITUTE(INDEX(Hairstyles!$A:$A,MATCH($B916,Hairstyles!$F:$F,0)),"" "",""""),""'"",""""),""("",""""),"")"","""")&amp;""\""&amp;INDEX(SPLIT($A$2,""_""),1)&amp;""\""&amp;INDEX(SPLIT($A$2,""_""),2)&amp;""\""&amp;SUBSTITUTE(SUBST"&amp;"ITUTE(SUBSTITUTE(SUBSTITUTE(SUBSTITUTE(INDEX(Hairstyles!$C:$C,MATCH($B916,Hairstyles!$F:$F,0)),"" "",""""),""'"",""""),""("",""""),"")"",""""),""-"",""_"")&amp;""_""&amp;$A$2)"),"")</f>
        <v/>
      </c>
    </row>
    <row r="917">
      <c r="C917" s="12" t="str">
        <f>IFERROR(__xludf.DUMMYFUNCTION("IF($B917="""","""",SUBSTITUTE(SUBSTITUTE(SUBSTITUTE(SUBSTITUTE(INDEX(Hairstyles!$A:$A,MATCH($B917,Hairstyles!$F:$F,0)),"" "",""""),""'"",""""),""("",""""),"")"","""")&amp;""\""&amp;INDEX(SPLIT($A$2,""_""),1)&amp;""\""&amp;INDEX(SPLIT($A$2,""_""),2)&amp;""\""&amp;SUBSTITUTE(SUBST"&amp;"ITUTE(SUBSTITUTE(SUBSTITUTE(SUBSTITUTE(INDEX(Hairstyles!$C:$C,MATCH($B917,Hairstyles!$F:$F,0)),"" "",""""),""'"",""""),""("",""""),"")"",""""),""-"",""_"")&amp;""_""&amp;$A$2)"),"")</f>
        <v/>
      </c>
    </row>
    <row r="918">
      <c r="C918" s="12" t="str">
        <f>IFERROR(__xludf.DUMMYFUNCTION("IF($B918="""","""",SUBSTITUTE(SUBSTITUTE(SUBSTITUTE(SUBSTITUTE(INDEX(Hairstyles!$A:$A,MATCH($B918,Hairstyles!$F:$F,0)),"" "",""""),""'"",""""),""("",""""),"")"","""")&amp;""\""&amp;INDEX(SPLIT($A$2,""_""),1)&amp;""\""&amp;INDEX(SPLIT($A$2,""_""),2)&amp;""\""&amp;SUBSTITUTE(SUBST"&amp;"ITUTE(SUBSTITUTE(SUBSTITUTE(SUBSTITUTE(INDEX(Hairstyles!$C:$C,MATCH($B918,Hairstyles!$F:$F,0)),"" "",""""),""'"",""""),""("",""""),"")"",""""),""-"",""_"")&amp;""_""&amp;$A$2)"),"")</f>
        <v/>
      </c>
    </row>
    <row r="919">
      <c r="C919" s="12" t="str">
        <f>IFERROR(__xludf.DUMMYFUNCTION("IF($B919="""","""",SUBSTITUTE(SUBSTITUTE(SUBSTITUTE(SUBSTITUTE(INDEX(Hairstyles!$A:$A,MATCH($B919,Hairstyles!$F:$F,0)),"" "",""""),""'"",""""),""("",""""),"")"","""")&amp;""\""&amp;INDEX(SPLIT($A$2,""_""),1)&amp;""\""&amp;INDEX(SPLIT($A$2,""_""),2)&amp;""\""&amp;SUBSTITUTE(SUBST"&amp;"ITUTE(SUBSTITUTE(SUBSTITUTE(SUBSTITUTE(INDEX(Hairstyles!$C:$C,MATCH($B919,Hairstyles!$F:$F,0)),"" "",""""),""'"",""""),""("",""""),"")"",""""),""-"",""_"")&amp;""_""&amp;$A$2)"),"")</f>
        <v/>
      </c>
    </row>
    <row r="920">
      <c r="C920" s="12" t="str">
        <f>IFERROR(__xludf.DUMMYFUNCTION("IF($B920="""","""",SUBSTITUTE(SUBSTITUTE(SUBSTITUTE(SUBSTITUTE(INDEX(Hairstyles!$A:$A,MATCH($B920,Hairstyles!$F:$F,0)),"" "",""""),""'"",""""),""("",""""),"")"","""")&amp;""\""&amp;INDEX(SPLIT($A$2,""_""),1)&amp;""\""&amp;INDEX(SPLIT($A$2,""_""),2)&amp;""\""&amp;SUBSTITUTE(SUBST"&amp;"ITUTE(SUBSTITUTE(SUBSTITUTE(SUBSTITUTE(INDEX(Hairstyles!$C:$C,MATCH($B920,Hairstyles!$F:$F,0)),"" "",""""),""'"",""""),""("",""""),"")"",""""),""-"",""_"")&amp;""_""&amp;$A$2)"),"")</f>
        <v/>
      </c>
    </row>
    <row r="921">
      <c r="C921" s="12" t="str">
        <f>IFERROR(__xludf.DUMMYFUNCTION("IF($B921="""","""",SUBSTITUTE(SUBSTITUTE(SUBSTITUTE(SUBSTITUTE(INDEX(Hairstyles!$A:$A,MATCH($B921,Hairstyles!$F:$F,0)),"" "",""""),""'"",""""),""("",""""),"")"","""")&amp;""\""&amp;INDEX(SPLIT($A$2,""_""),1)&amp;""\""&amp;INDEX(SPLIT($A$2,""_""),2)&amp;""\""&amp;SUBSTITUTE(SUBST"&amp;"ITUTE(SUBSTITUTE(SUBSTITUTE(SUBSTITUTE(INDEX(Hairstyles!$C:$C,MATCH($B921,Hairstyles!$F:$F,0)),"" "",""""),""'"",""""),""("",""""),"")"",""""),""-"",""_"")&amp;""_""&amp;$A$2)"),"")</f>
        <v/>
      </c>
    </row>
    <row r="922">
      <c r="C922" s="12" t="str">
        <f>IFERROR(__xludf.DUMMYFUNCTION("IF($B922="""","""",SUBSTITUTE(SUBSTITUTE(SUBSTITUTE(SUBSTITUTE(INDEX(Hairstyles!$A:$A,MATCH($B922,Hairstyles!$F:$F,0)),"" "",""""),""'"",""""),""("",""""),"")"","""")&amp;""\""&amp;INDEX(SPLIT($A$2,""_""),1)&amp;""\""&amp;INDEX(SPLIT($A$2,""_""),2)&amp;""\""&amp;SUBSTITUTE(SUBST"&amp;"ITUTE(SUBSTITUTE(SUBSTITUTE(SUBSTITUTE(INDEX(Hairstyles!$C:$C,MATCH($B922,Hairstyles!$F:$F,0)),"" "",""""),""'"",""""),""("",""""),"")"",""""),""-"",""_"")&amp;""_""&amp;$A$2)"),"")</f>
        <v/>
      </c>
    </row>
    <row r="923">
      <c r="C923" s="12" t="str">
        <f>IFERROR(__xludf.DUMMYFUNCTION("IF($B923="""","""",SUBSTITUTE(SUBSTITUTE(SUBSTITUTE(SUBSTITUTE(INDEX(Hairstyles!$A:$A,MATCH($B923,Hairstyles!$F:$F,0)),"" "",""""),""'"",""""),""("",""""),"")"","""")&amp;""\""&amp;INDEX(SPLIT($A$2,""_""),1)&amp;""\""&amp;INDEX(SPLIT($A$2,""_""),2)&amp;""\""&amp;SUBSTITUTE(SUBST"&amp;"ITUTE(SUBSTITUTE(SUBSTITUTE(SUBSTITUTE(INDEX(Hairstyles!$C:$C,MATCH($B923,Hairstyles!$F:$F,0)),"" "",""""),""'"",""""),""("",""""),"")"",""""),""-"",""_"")&amp;""_""&amp;$A$2)"),"")</f>
        <v/>
      </c>
    </row>
    <row r="924">
      <c r="C924" s="12" t="str">
        <f>IFERROR(__xludf.DUMMYFUNCTION("IF($B924="""","""",SUBSTITUTE(SUBSTITUTE(SUBSTITUTE(SUBSTITUTE(INDEX(Hairstyles!$A:$A,MATCH($B924,Hairstyles!$F:$F,0)),"" "",""""),""'"",""""),""("",""""),"")"","""")&amp;""\""&amp;INDEX(SPLIT($A$2,""_""),1)&amp;""\""&amp;INDEX(SPLIT($A$2,""_""),2)&amp;""\""&amp;SUBSTITUTE(SUBST"&amp;"ITUTE(SUBSTITUTE(SUBSTITUTE(SUBSTITUTE(INDEX(Hairstyles!$C:$C,MATCH($B924,Hairstyles!$F:$F,0)),"" "",""""),""'"",""""),""("",""""),"")"",""""),""-"",""_"")&amp;""_""&amp;$A$2)"),"")</f>
        <v/>
      </c>
    </row>
    <row r="925">
      <c r="C925" s="12" t="str">
        <f>IFERROR(__xludf.DUMMYFUNCTION("IF($B925="""","""",SUBSTITUTE(SUBSTITUTE(SUBSTITUTE(SUBSTITUTE(INDEX(Hairstyles!$A:$A,MATCH($B925,Hairstyles!$F:$F,0)),"" "",""""),""'"",""""),""("",""""),"")"","""")&amp;""\""&amp;INDEX(SPLIT($A$2,""_""),1)&amp;""\""&amp;INDEX(SPLIT($A$2,""_""),2)&amp;""\""&amp;SUBSTITUTE(SUBST"&amp;"ITUTE(SUBSTITUTE(SUBSTITUTE(SUBSTITUTE(INDEX(Hairstyles!$C:$C,MATCH($B925,Hairstyles!$F:$F,0)),"" "",""""),""'"",""""),""("",""""),"")"",""""),""-"",""_"")&amp;""_""&amp;$A$2)"),"")</f>
        <v/>
      </c>
    </row>
    <row r="926">
      <c r="C926" s="12" t="str">
        <f>IFERROR(__xludf.DUMMYFUNCTION("IF($B926="""","""",SUBSTITUTE(SUBSTITUTE(SUBSTITUTE(SUBSTITUTE(INDEX(Hairstyles!$A:$A,MATCH($B926,Hairstyles!$F:$F,0)),"" "",""""),""'"",""""),""("",""""),"")"","""")&amp;""\""&amp;INDEX(SPLIT($A$2,""_""),1)&amp;""\""&amp;INDEX(SPLIT($A$2,""_""),2)&amp;""\""&amp;SUBSTITUTE(SUBST"&amp;"ITUTE(SUBSTITUTE(SUBSTITUTE(SUBSTITUTE(INDEX(Hairstyles!$C:$C,MATCH($B926,Hairstyles!$F:$F,0)),"" "",""""),""'"",""""),""("",""""),"")"",""""),""-"",""_"")&amp;""_""&amp;$A$2)"),"")</f>
        <v/>
      </c>
    </row>
    <row r="927">
      <c r="C927" s="12" t="str">
        <f>IFERROR(__xludf.DUMMYFUNCTION("IF($B927="""","""",SUBSTITUTE(SUBSTITUTE(SUBSTITUTE(SUBSTITUTE(INDEX(Hairstyles!$A:$A,MATCH($B927,Hairstyles!$F:$F,0)),"" "",""""),""'"",""""),""("",""""),"")"","""")&amp;""\""&amp;INDEX(SPLIT($A$2,""_""),1)&amp;""\""&amp;INDEX(SPLIT($A$2,""_""),2)&amp;""\""&amp;SUBSTITUTE(SUBST"&amp;"ITUTE(SUBSTITUTE(SUBSTITUTE(SUBSTITUTE(INDEX(Hairstyles!$C:$C,MATCH($B927,Hairstyles!$F:$F,0)),"" "",""""),""'"",""""),""("",""""),"")"",""""),""-"",""_"")&amp;""_""&amp;$A$2)"),"")</f>
        <v/>
      </c>
    </row>
    <row r="928">
      <c r="C928" s="12" t="str">
        <f>IFERROR(__xludf.DUMMYFUNCTION("IF($B928="""","""",SUBSTITUTE(SUBSTITUTE(SUBSTITUTE(SUBSTITUTE(INDEX(Hairstyles!$A:$A,MATCH($B928,Hairstyles!$F:$F,0)),"" "",""""),""'"",""""),""("",""""),"")"","""")&amp;""\""&amp;INDEX(SPLIT($A$2,""_""),1)&amp;""\""&amp;INDEX(SPLIT($A$2,""_""),2)&amp;""\""&amp;SUBSTITUTE(SUBST"&amp;"ITUTE(SUBSTITUTE(SUBSTITUTE(SUBSTITUTE(INDEX(Hairstyles!$C:$C,MATCH($B928,Hairstyles!$F:$F,0)),"" "",""""),""'"",""""),""("",""""),"")"",""""),""-"",""_"")&amp;""_""&amp;$A$2)"),"")</f>
        <v/>
      </c>
    </row>
    <row r="929">
      <c r="C929" s="12" t="str">
        <f>IFERROR(__xludf.DUMMYFUNCTION("IF($B929="""","""",SUBSTITUTE(SUBSTITUTE(SUBSTITUTE(SUBSTITUTE(INDEX(Hairstyles!$A:$A,MATCH($B929,Hairstyles!$F:$F,0)),"" "",""""),""'"",""""),""("",""""),"")"","""")&amp;""\""&amp;INDEX(SPLIT($A$2,""_""),1)&amp;""\""&amp;INDEX(SPLIT($A$2,""_""),2)&amp;""\""&amp;SUBSTITUTE(SUBST"&amp;"ITUTE(SUBSTITUTE(SUBSTITUTE(SUBSTITUTE(INDEX(Hairstyles!$C:$C,MATCH($B929,Hairstyles!$F:$F,0)),"" "",""""),""'"",""""),""("",""""),"")"",""""),""-"",""_"")&amp;""_""&amp;$A$2)"),"")</f>
        <v/>
      </c>
    </row>
    <row r="930">
      <c r="C930" s="12" t="str">
        <f>IFERROR(__xludf.DUMMYFUNCTION("IF($B930="""","""",SUBSTITUTE(SUBSTITUTE(SUBSTITUTE(SUBSTITUTE(INDEX(Hairstyles!$A:$A,MATCH($B930,Hairstyles!$F:$F,0)),"" "",""""),""'"",""""),""("",""""),"")"","""")&amp;""\""&amp;INDEX(SPLIT($A$2,""_""),1)&amp;""\""&amp;INDEX(SPLIT($A$2,""_""),2)&amp;""\""&amp;SUBSTITUTE(SUBST"&amp;"ITUTE(SUBSTITUTE(SUBSTITUTE(SUBSTITUTE(INDEX(Hairstyles!$C:$C,MATCH($B930,Hairstyles!$F:$F,0)),"" "",""""),""'"",""""),""("",""""),"")"",""""),""-"",""_"")&amp;""_""&amp;$A$2)"),"")</f>
        <v/>
      </c>
    </row>
    <row r="931">
      <c r="C931" s="12" t="str">
        <f>IFERROR(__xludf.DUMMYFUNCTION("IF($B931="""","""",SUBSTITUTE(SUBSTITUTE(SUBSTITUTE(SUBSTITUTE(INDEX(Hairstyles!$A:$A,MATCH($B931,Hairstyles!$F:$F,0)),"" "",""""),""'"",""""),""("",""""),"")"","""")&amp;""\""&amp;INDEX(SPLIT($A$2,""_""),1)&amp;""\""&amp;INDEX(SPLIT($A$2,""_""),2)&amp;""\""&amp;SUBSTITUTE(SUBST"&amp;"ITUTE(SUBSTITUTE(SUBSTITUTE(SUBSTITUTE(INDEX(Hairstyles!$C:$C,MATCH($B931,Hairstyles!$F:$F,0)),"" "",""""),""'"",""""),""("",""""),"")"",""""),""-"",""_"")&amp;""_""&amp;$A$2)"),"")</f>
        <v/>
      </c>
    </row>
    <row r="932">
      <c r="C932" s="12" t="str">
        <f>IFERROR(__xludf.DUMMYFUNCTION("IF($B932="""","""",SUBSTITUTE(SUBSTITUTE(SUBSTITUTE(SUBSTITUTE(INDEX(Hairstyles!$A:$A,MATCH($B932,Hairstyles!$F:$F,0)),"" "",""""),""'"",""""),""("",""""),"")"","""")&amp;""\""&amp;INDEX(SPLIT($A$2,""_""),1)&amp;""\""&amp;INDEX(SPLIT($A$2,""_""),2)&amp;""\""&amp;SUBSTITUTE(SUBST"&amp;"ITUTE(SUBSTITUTE(SUBSTITUTE(SUBSTITUTE(INDEX(Hairstyles!$C:$C,MATCH($B932,Hairstyles!$F:$F,0)),"" "",""""),""'"",""""),""("",""""),"")"",""""),""-"",""_"")&amp;""_""&amp;$A$2)"),"")</f>
        <v/>
      </c>
    </row>
    <row r="933">
      <c r="C933" s="12" t="str">
        <f>IFERROR(__xludf.DUMMYFUNCTION("IF($B933="""","""",SUBSTITUTE(SUBSTITUTE(SUBSTITUTE(SUBSTITUTE(INDEX(Hairstyles!$A:$A,MATCH($B933,Hairstyles!$F:$F,0)),"" "",""""),""'"",""""),""("",""""),"")"","""")&amp;""\""&amp;INDEX(SPLIT($A$2,""_""),1)&amp;""\""&amp;INDEX(SPLIT($A$2,""_""),2)&amp;""\""&amp;SUBSTITUTE(SUBST"&amp;"ITUTE(SUBSTITUTE(SUBSTITUTE(SUBSTITUTE(INDEX(Hairstyles!$C:$C,MATCH($B933,Hairstyles!$F:$F,0)),"" "",""""),""'"",""""),""("",""""),"")"",""""),""-"",""_"")&amp;""_""&amp;$A$2)"),"")</f>
        <v/>
      </c>
    </row>
    <row r="934">
      <c r="C934" s="12" t="str">
        <f>IFERROR(__xludf.DUMMYFUNCTION("IF($B934="""","""",SUBSTITUTE(SUBSTITUTE(SUBSTITUTE(SUBSTITUTE(INDEX(Hairstyles!$A:$A,MATCH($B934,Hairstyles!$F:$F,0)),"" "",""""),""'"",""""),""("",""""),"")"","""")&amp;""\""&amp;INDEX(SPLIT($A$2,""_""),1)&amp;""\""&amp;INDEX(SPLIT($A$2,""_""),2)&amp;""\""&amp;SUBSTITUTE(SUBST"&amp;"ITUTE(SUBSTITUTE(SUBSTITUTE(SUBSTITUTE(INDEX(Hairstyles!$C:$C,MATCH($B934,Hairstyles!$F:$F,0)),"" "",""""),""'"",""""),""("",""""),"")"",""""),""-"",""_"")&amp;""_""&amp;$A$2)"),"")</f>
        <v/>
      </c>
    </row>
    <row r="935">
      <c r="C935" s="12" t="str">
        <f>IFERROR(__xludf.DUMMYFUNCTION("IF($B935="""","""",SUBSTITUTE(SUBSTITUTE(SUBSTITUTE(SUBSTITUTE(INDEX(Hairstyles!$A:$A,MATCH($B935,Hairstyles!$F:$F,0)),"" "",""""),""'"",""""),""("",""""),"")"","""")&amp;""\""&amp;INDEX(SPLIT($A$2,""_""),1)&amp;""\""&amp;INDEX(SPLIT($A$2,""_""),2)&amp;""\""&amp;SUBSTITUTE(SUBST"&amp;"ITUTE(SUBSTITUTE(SUBSTITUTE(SUBSTITUTE(INDEX(Hairstyles!$C:$C,MATCH($B935,Hairstyles!$F:$F,0)),"" "",""""),""'"",""""),""("",""""),"")"",""""),""-"",""_"")&amp;""_""&amp;$A$2)"),"")</f>
        <v/>
      </c>
    </row>
    <row r="936">
      <c r="C936" s="12" t="str">
        <f>IFERROR(__xludf.DUMMYFUNCTION("IF($B936="""","""",SUBSTITUTE(SUBSTITUTE(SUBSTITUTE(SUBSTITUTE(INDEX(Hairstyles!$A:$A,MATCH($B936,Hairstyles!$F:$F,0)),"" "",""""),""'"",""""),""("",""""),"")"","""")&amp;""\""&amp;INDEX(SPLIT($A$2,""_""),1)&amp;""\""&amp;INDEX(SPLIT($A$2,""_""),2)&amp;""\""&amp;SUBSTITUTE(SUBST"&amp;"ITUTE(SUBSTITUTE(SUBSTITUTE(SUBSTITUTE(INDEX(Hairstyles!$C:$C,MATCH($B936,Hairstyles!$F:$F,0)),"" "",""""),""'"",""""),""("",""""),"")"",""""),""-"",""_"")&amp;""_""&amp;$A$2)"),"")</f>
        <v/>
      </c>
    </row>
    <row r="937">
      <c r="C937" s="12" t="str">
        <f>IFERROR(__xludf.DUMMYFUNCTION("IF($B937="""","""",SUBSTITUTE(SUBSTITUTE(SUBSTITUTE(SUBSTITUTE(INDEX(Hairstyles!$A:$A,MATCH($B937,Hairstyles!$F:$F,0)),"" "",""""),""'"",""""),""("",""""),"")"","""")&amp;""\""&amp;INDEX(SPLIT($A$2,""_""),1)&amp;""\""&amp;INDEX(SPLIT($A$2,""_""),2)&amp;""\""&amp;SUBSTITUTE(SUBST"&amp;"ITUTE(SUBSTITUTE(SUBSTITUTE(SUBSTITUTE(INDEX(Hairstyles!$C:$C,MATCH($B937,Hairstyles!$F:$F,0)),"" "",""""),""'"",""""),""("",""""),"")"",""""),""-"",""_"")&amp;""_""&amp;$A$2)"),"")</f>
        <v/>
      </c>
    </row>
    <row r="938">
      <c r="C938" s="12" t="str">
        <f>IFERROR(__xludf.DUMMYFUNCTION("IF($B938="""","""",SUBSTITUTE(SUBSTITUTE(SUBSTITUTE(SUBSTITUTE(INDEX(Hairstyles!$A:$A,MATCH($B938,Hairstyles!$F:$F,0)),"" "",""""),""'"",""""),""("",""""),"")"","""")&amp;""\""&amp;INDEX(SPLIT($A$2,""_""),1)&amp;""\""&amp;INDEX(SPLIT($A$2,""_""),2)&amp;""\""&amp;SUBSTITUTE(SUBST"&amp;"ITUTE(SUBSTITUTE(SUBSTITUTE(SUBSTITUTE(INDEX(Hairstyles!$C:$C,MATCH($B938,Hairstyles!$F:$F,0)),"" "",""""),""'"",""""),""("",""""),"")"",""""),""-"",""_"")&amp;""_""&amp;$A$2)"),"")</f>
        <v/>
      </c>
    </row>
    <row r="939">
      <c r="C939" s="12" t="str">
        <f>IFERROR(__xludf.DUMMYFUNCTION("IF($B939="""","""",SUBSTITUTE(SUBSTITUTE(SUBSTITUTE(SUBSTITUTE(INDEX(Hairstyles!$A:$A,MATCH($B939,Hairstyles!$F:$F,0)),"" "",""""),""'"",""""),""("",""""),"")"","""")&amp;""\""&amp;INDEX(SPLIT($A$2,""_""),1)&amp;""\""&amp;INDEX(SPLIT($A$2,""_""),2)&amp;""\""&amp;SUBSTITUTE(SUBST"&amp;"ITUTE(SUBSTITUTE(SUBSTITUTE(SUBSTITUTE(INDEX(Hairstyles!$C:$C,MATCH($B939,Hairstyles!$F:$F,0)),"" "",""""),""'"",""""),""("",""""),"")"",""""),""-"",""_"")&amp;""_""&amp;$A$2)"),"")</f>
        <v/>
      </c>
    </row>
    <row r="940">
      <c r="C940" s="12" t="str">
        <f>IFERROR(__xludf.DUMMYFUNCTION("IF($B940="""","""",SUBSTITUTE(SUBSTITUTE(SUBSTITUTE(SUBSTITUTE(INDEX(Hairstyles!$A:$A,MATCH($B940,Hairstyles!$F:$F,0)),"" "",""""),""'"",""""),""("",""""),"")"","""")&amp;""\""&amp;INDEX(SPLIT($A$2,""_""),1)&amp;""\""&amp;INDEX(SPLIT($A$2,""_""),2)&amp;""\""&amp;SUBSTITUTE(SUBST"&amp;"ITUTE(SUBSTITUTE(SUBSTITUTE(SUBSTITUTE(INDEX(Hairstyles!$C:$C,MATCH($B940,Hairstyles!$F:$F,0)),"" "",""""),""'"",""""),""("",""""),"")"",""""),""-"",""_"")&amp;""_""&amp;$A$2)"),"")</f>
        <v/>
      </c>
    </row>
    <row r="941">
      <c r="C941" s="12" t="str">
        <f>IFERROR(__xludf.DUMMYFUNCTION("IF($B941="""","""",SUBSTITUTE(SUBSTITUTE(SUBSTITUTE(SUBSTITUTE(INDEX(Hairstyles!$A:$A,MATCH($B941,Hairstyles!$F:$F,0)),"" "",""""),""'"",""""),""("",""""),"")"","""")&amp;""\""&amp;INDEX(SPLIT($A$2,""_""),1)&amp;""\""&amp;INDEX(SPLIT($A$2,""_""),2)&amp;""\""&amp;SUBSTITUTE(SUBST"&amp;"ITUTE(SUBSTITUTE(SUBSTITUTE(SUBSTITUTE(INDEX(Hairstyles!$C:$C,MATCH($B941,Hairstyles!$F:$F,0)),"" "",""""),""'"",""""),""("",""""),"")"",""""),""-"",""_"")&amp;""_""&amp;$A$2)"),"")</f>
        <v/>
      </c>
    </row>
    <row r="942">
      <c r="C942" s="12" t="str">
        <f>IFERROR(__xludf.DUMMYFUNCTION("IF($B942="""","""",SUBSTITUTE(SUBSTITUTE(SUBSTITUTE(SUBSTITUTE(INDEX(Hairstyles!$A:$A,MATCH($B942,Hairstyles!$F:$F,0)),"" "",""""),""'"",""""),""("",""""),"")"","""")&amp;""\""&amp;INDEX(SPLIT($A$2,""_""),1)&amp;""\""&amp;INDEX(SPLIT($A$2,""_""),2)&amp;""\""&amp;SUBSTITUTE(SUBST"&amp;"ITUTE(SUBSTITUTE(SUBSTITUTE(SUBSTITUTE(INDEX(Hairstyles!$C:$C,MATCH($B942,Hairstyles!$F:$F,0)),"" "",""""),""'"",""""),""("",""""),"")"",""""),""-"",""_"")&amp;""_""&amp;$A$2)"),"")</f>
        <v/>
      </c>
    </row>
    <row r="943">
      <c r="C943" s="12" t="str">
        <f>IFERROR(__xludf.DUMMYFUNCTION("IF($B943="""","""",SUBSTITUTE(SUBSTITUTE(SUBSTITUTE(SUBSTITUTE(INDEX(Hairstyles!$A:$A,MATCH($B943,Hairstyles!$F:$F,0)),"" "",""""),""'"",""""),""("",""""),"")"","""")&amp;""\""&amp;INDEX(SPLIT($A$2,""_""),1)&amp;""\""&amp;INDEX(SPLIT($A$2,""_""),2)&amp;""\""&amp;SUBSTITUTE(SUBST"&amp;"ITUTE(SUBSTITUTE(SUBSTITUTE(SUBSTITUTE(INDEX(Hairstyles!$C:$C,MATCH($B943,Hairstyles!$F:$F,0)),"" "",""""),""'"",""""),""("",""""),"")"",""""),""-"",""_"")&amp;""_""&amp;$A$2)"),"")</f>
        <v/>
      </c>
    </row>
    <row r="944">
      <c r="C944" s="12" t="str">
        <f>IFERROR(__xludf.DUMMYFUNCTION("IF($B944="""","""",SUBSTITUTE(SUBSTITUTE(SUBSTITUTE(SUBSTITUTE(INDEX(Hairstyles!$A:$A,MATCH($B944,Hairstyles!$F:$F,0)),"" "",""""),""'"",""""),""("",""""),"")"","""")&amp;""\""&amp;INDEX(SPLIT($A$2,""_""),1)&amp;""\""&amp;INDEX(SPLIT($A$2,""_""),2)&amp;""\""&amp;SUBSTITUTE(SUBST"&amp;"ITUTE(SUBSTITUTE(SUBSTITUTE(SUBSTITUTE(INDEX(Hairstyles!$C:$C,MATCH($B944,Hairstyles!$F:$F,0)),"" "",""""),""'"",""""),""("",""""),"")"",""""),""-"",""_"")&amp;""_""&amp;$A$2)"),"")</f>
        <v/>
      </c>
    </row>
    <row r="945">
      <c r="C945" s="12" t="str">
        <f>IFERROR(__xludf.DUMMYFUNCTION("IF($B945="""","""",SUBSTITUTE(SUBSTITUTE(SUBSTITUTE(SUBSTITUTE(INDEX(Hairstyles!$A:$A,MATCH($B945,Hairstyles!$F:$F,0)),"" "",""""),""'"",""""),""("",""""),"")"","""")&amp;""\""&amp;INDEX(SPLIT($A$2,""_""),1)&amp;""\""&amp;INDEX(SPLIT($A$2,""_""),2)&amp;""\""&amp;SUBSTITUTE(SUBST"&amp;"ITUTE(SUBSTITUTE(SUBSTITUTE(SUBSTITUTE(INDEX(Hairstyles!$C:$C,MATCH($B945,Hairstyles!$F:$F,0)),"" "",""""),""'"",""""),""("",""""),"")"",""""),""-"",""_"")&amp;""_""&amp;$A$2)"),"")</f>
        <v/>
      </c>
    </row>
    <row r="946">
      <c r="C946" s="12" t="str">
        <f>IFERROR(__xludf.DUMMYFUNCTION("IF($B946="""","""",SUBSTITUTE(SUBSTITUTE(SUBSTITUTE(SUBSTITUTE(INDEX(Hairstyles!$A:$A,MATCH($B946,Hairstyles!$F:$F,0)),"" "",""""),""'"",""""),""("",""""),"")"","""")&amp;""\""&amp;INDEX(SPLIT($A$2,""_""),1)&amp;""\""&amp;INDEX(SPLIT($A$2,""_""),2)&amp;""\""&amp;SUBSTITUTE(SUBST"&amp;"ITUTE(SUBSTITUTE(SUBSTITUTE(SUBSTITUTE(INDEX(Hairstyles!$C:$C,MATCH($B946,Hairstyles!$F:$F,0)),"" "",""""),""'"",""""),""("",""""),"")"",""""),""-"",""_"")&amp;""_""&amp;$A$2)"),"")</f>
        <v/>
      </c>
    </row>
    <row r="947">
      <c r="C947" s="12" t="str">
        <f>IFERROR(__xludf.DUMMYFUNCTION("IF($B947="""","""",SUBSTITUTE(SUBSTITUTE(SUBSTITUTE(SUBSTITUTE(INDEX(Hairstyles!$A:$A,MATCH($B947,Hairstyles!$F:$F,0)),"" "",""""),""'"",""""),""("",""""),"")"","""")&amp;""\""&amp;INDEX(SPLIT($A$2,""_""),1)&amp;""\""&amp;INDEX(SPLIT($A$2,""_""),2)&amp;""\""&amp;SUBSTITUTE(SUBST"&amp;"ITUTE(SUBSTITUTE(SUBSTITUTE(SUBSTITUTE(INDEX(Hairstyles!$C:$C,MATCH($B947,Hairstyles!$F:$F,0)),"" "",""""),""'"",""""),""("",""""),"")"",""""),""-"",""_"")&amp;""_""&amp;$A$2)"),"")</f>
        <v/>
      </c>
    </row>
    <row r="948">
      <c r="C948" s="12" t="str">
        <f>IFERROR(__xludf.DUMMYFUNCTION("IF($B948="""","""",SUBSTITUTE(SUBSTITUTE(SUBSTITUTE(SUBSTITUTE(INDEX(Hairstyles!$A:$A,MATCH($B948,Hairstyles!$F:$F,0)),"" "",""""),""'"",""""),""("",""""),"")"","""")&amp;""\""&amp;INDEX(SPLIT($A$2,""_""),1)&amp;""\""&amp;INDEX(SPLIT($A$2,""_""),2)&amp;""\""&amp;SUBSTITUTE(SUBST"&amp;"ITUTE(SUBSTITUTE(SUBSTITUTE(SUBSTITUTE(INDEX(Hairstyles!$C:$C,MATCH($B948,Hairstyles!$F:$F,0)),"" "",""""),""'"",""""),""("",""""),"")"",""""),""-"",""_"")&amp;""_""&amp;$A$2)"),"")</f>
        <v/>
      </c>
    </row>
    <row r="949">
      <c r="C949" s="12" t="str">
        <f>IFERROR(__xludf.DUMMYFUNCTION("IF($B949="""","""",SUBSTITUTE(SUBSTITUTE(SUBSTITUTE(SUBSTITUTE(INDEX(Hairstyles!$A:$A,MATCH($B949,Hairstyles!$F:$F,0)),"" "",""""),""'"",""""),""("",""""),"")"","""")&amp;""\""&amp;INDEX(SPLIT($A$2,""_""),1)&amp;""\""&amp;INDEX(SPLIT($A$2,""_""),2)&amp;""\""&amp;SUBSTITUTE(SUBST"&amp;"ITUTE(SUBSTITUTE(SUBSTITUTE(SUBSTITUTE(INDEX(Hairstyles!$C:$C,MATCH($B949,Hairstyles!$F:$F,0)),"" "",""""),""'"",""""),""("",""""),"")"",""""),""-"",""_"")&amp;""_""&amp;$A$2)"),"")</f>
        <v/>
      </c>
    </row>
    <row r="950">
      <c r="C950" s="12" t="str">
        <f>IFERROR(__xludf.DUMMYFUNCTION("IF($B950="""","""",SUBSTITUTE(SUBSTITUTE(SUBSTITUTE(SUBSTITUTE(INDEX(Hairstyles!$A:$A,MATCH($B950,Hairstyles!$F:$F,0)),"" "",""""),""'"",""""),""("",""""),"")"","""")&amp;""\""&amp;INDEX(SPLIT($A$2,""_""),1)&amp;""\""&amp;INDEX(SPLIT($A$2,""_""),2)&amp;""\""&amp;SUBSTITUTE(SUBST"&amp;"ITUTE(SUBSTITUTE(SUBSTITUTE(SUBSTITUTE(INDEX(Hairstyles!$C:$C,MATCH($B950,Hairstyles!$F:$F,0)),"" "",""""),""'"",""""),""("",""""),"")"",""""),""-"",""_"")&amp;""_""&amp;$A$2)"),"")</f>
        <v/>
      </c>
    </row>
    <row r="951">
      <c r="C951" s="12" t="str">
        <f>IFERROR(__xludf.DUMMYFUNCTION("IF($B951="""","""",SUBSTITUTE(SUBSTITUTE(SUBSTITUTE(SUBSTITUTE(INDEX(Hairstyles!$A:$A,MATCH($B951,Hairstyles!$F:$F,0)),"" "",""""),""'"",""""),""("",""""),"")"","""")&amp;""\""&amp;INDEX(SPLIT($A$2,""_""),1)&amp;""\""&amp;INDEX(SPLIT($A$2,""_""),2)&amp;""\""&amp;SUBSTITUTE(SUBST"&amp;"ITUTE(SUBSTITUTE(SUBSTITUTE(SUBSTITUTE(INDEX(Hairstyles!$C:$C,MATCH($B951,Hairstyles!$F:$F,0)),"" "",""""),""'"",""""),""("",""""),"")"",""""),""-"",""_"")&amp;""_""&amp;$A$2)"),"")</f>
        <v/>
      </c>
    </row>
    <row r="952">
      <c r="C952" s="12" t="str">
        <f>IFERROR(__xludf.DUMMYFUNCTION("IF($B952="""","""",SUBSTITUTE(SUBSTITUTE(SUBSTITUTE(SUBSTITUTE(INDEX(Hairstyles!$A:$A,MATCH($B952,Hairstyles!$F:$F,0)),"" "",""""),""'"",""""),""("",""""),"")"","""")&amp;""\""&amp;INDEX(SPLIT($A$2,""_""),1)&amp;""\""&amp;INDEX(SPLIT($A$2,""_""),2)&amp;""\""&amp;SUBSTITUTE(SUBST"&amp;"ITUTE(SUBSTITUTE(SUBSTITUTE(SUBSTITUTE(INDEX(Hairstyles!$C:$C,MATCH($B952,Hairstyles!$F:$F,0)),"" "",""""),""'"",""""),""("",""""),"")"",""""),""-"",""_"")&amp;""_""&amp;$A$2)"),"")</f>
        <v/>
      </c>
    </row>
    <row r="953">
      <c r="C953" s="12" t="str">
        <f>IFERROR(__xludf.DUMMYFUNCTION("IF($B953="""","""",SUBSTITUTE(SUBSTITUTE(SUBSTITUTE(SUBSTITUTE(INDEX(Hairstyles!$A:$A,MATCH($B953,Hairstyles!$F:$F,0)),"" "",""""),""'"",""""),""("",""""),"")"","""")&amp;""\""&amp;INDEX(SPLIT($A$2,""_""),1)&amp;""\""&amp;INDEX(SPLIT($A$2,""_""),2)&amp;""\""&amp;SUBSTITUTE(SUBST"&amp;"ITUTE(SUBSTITUTE(SUBSTITUTE(SUBSTITUTE(INDEX(Hairstyles!$C:$C,MATCH($B953,Hairstyles!$F:$F,0)),"" "",""""),""'"",""""),""("",""""),"")"",""""),""-"",""_"")&amp;""_""&amp;$A$2)"),"")</f>
        <v/>
      </c>
    </row>
    <row r="954">
      <c r="C954" s="12" t="str">
        <f>IFERROR(__xludf.DUMMYFUNCTION("IF($B954="""","""",SUBSTITUTE(SUBSTITUTE(SUBSTITUTE(SUBSTITUTE(INDEX(Hairstyles!$A:$A,MATCH($B954,Hairstyles!$F:$F,0)),"" "",""""),""'"",""""),""("",""""),"")"","""")&amp;""\""&amp;INDEX(SPLIT($A$2,""_""),1)&amp;""\""&amp;INDEX(SPLIT($A$2,""_""),2)&amp;""\""&amp;SUBSTITUTE(SUBST"&amp;"ITUTE(SUBSTITUTE(SUBSTITUTE(SUBSTITUTE(INDEX(Hairstyles!$C:$C,MATCH($B954,Hairstyles!$F:$F,0)),"" "",""""),""'"",""""),""("",""""),"")"",""""),""-"",""_"")&amp;""_""&amp;$A$2)"),"")</f>
        <v/>
      </c>
    </row>
    <row r="955">
      <c r="C955" s="12" t="str">
        <f>IFERROR(__xludf.DUMMYFUNCTION("IF($B955="""","""",SUBSTITUTE(SUBSTITUTE(SUBSTITUTE(SUBSTITUTE(INDEX(Hairstyles!$A:$A,MATCH($B955,Hairstyles!$F:$F,0)),"" "",""""),""'"",""""),""("",""""),"")"","""")&amp;""\""&amp;INDEX(SPLIT($A$2,""_""),1)&amp;""\""&amp;INDEX(SPLIT($A$2,""_""),2)&amp;""\""&amp;SUBSTITUTE(SUBST"&amp;"ITUTE(SUBSTITUTE(SUBSTITUTE(SUBSTITUTE(INDEX(Hairstyles!$C:$C,MATCH($B955,Hairstyles!$F:$F,0)),"" "",""""),""'"",""""),""("",""""),"")"",""""),""-"",""_"")&amp;""_""&amp;$A$2)"),"")</f>
        <v/>
      </c>
    </row>
    <row r="956">
      <c r="C956" s="12" t="str">
        <f>IFERROR(__xludf.DUMMYFUNCTION("IF($B956="""","""",SUBSTITUTE(SUBSTITUTE(SUBSTITUTE(SUBSTITUTE(INDEX(Hairstyles!$A:$A,MATCH($B956,Hairstyles!$F:$F,0)),"" "",""""),""'"",""""),""("",""""),"")"","""")&amp;""\""&amp;INDEX(SPLIT($A$2,""_""),1)&amp;""\""&amp;INDEX(SPLIT($A$2,""_""),2)&amp;""\""&amp;SUBSTITUTE(SUBST"&amp;"ITUTE(SUBSTITUTE(SUBSTITUTE(SUBSTITUTE(INDEX(Hairstyles!$C:$C,MATCH($B956,Hairstyles!$F:$F,0)),"" "",""""),""'"",""""),""("",""""),"")"",""""),""-"",""_"")&amp;""_""&amp;$A$2)"),"")</f>
        <v/>
      </c>
    </row>
    <row r="957">
      <c r="C957" s="12" t="str">
        <f>IFERROR(__xludf.DUMMYFUNCTION("IF($B957="""","""",SUBSTITUTE(SUBSTITUTE(SUBSTITUTE(SUBSTITUTE(INDEX(Hairstyles!$A:$A,MATCH($B957,Hairstyles!$F:$F,0)),"" "",""""),""'"",""""),""("",""""),"")"","""")&amp;""\""&amp;INDEX(SPLIT($A$2,""_""),1)&amp;""\""&amp;INDEX(SPLIT($A$2,""_""),2)&amp;""\""&amp;SUBSTITUTE(SUBST"&amp;"ITUTE(SUBSTITUTE(SUBSTITUTE(SUBSTITUTE(INDEX(Hairstyles!$C:$C,MATCH($B957,Hairstyles!$F:$F,0)),"" "",""""),""'"",""""),""("",""""),"")"",""""),""-"",""_"")&amp;""_""&amp;$A$2)"),"")</f>
        <v/>
      </c>
    </row>
    <row r="958">
      <c r="C958" s="12" t="str">
        <f>IFERROR(__xludf.DUMMYFUNCTION("IF($B958="""","""",SUBSTITUTE(SUBSTITUTE(SUBSTITUTE(SUBSTITUTE(INDEX(Hairstyles!$A:$A,MATCH($B958,Hairstyles!$F:$F,0)),"" "",""""),""'"",""""),""("",""""),"")"","""")&amp;""\""&amp;INDEX(SPLIT($A$2,""_""),1)&amp;""\""&amp;INDEX(SPLIT($A$2,""_""),2)&amp;""\""&amp;SUBSTITUTE(SUBST"&amp;"ITUTE(SUBSTITUTE(SUBSTITUTE(SUBSTITUTE(INDEX(Hairstyles!$C:$C,MATCH($B958,Hairstyles!$F:$F,0)),"" "",""""),""'"",""""),""("",""""),"")"",""""),""-"",""_"")&amp;""_""&amp;$A$2)"),"")</f>
        <v/>
      </c>
    </row>
    <row r="959">
      <c r="C959" s="12" t="str">
        <f>IFERROR(__xludf.DUMMYFUNCTION("IF($B959="""","""",SUBSTITUTE(SUBSTITUTE(SUBSTITUTE(SUBSTITUTE(INDEX(Hairstyles!$A:$A,MATCH($B959,Hairstyles!$F:$F,0)),"" "",""""),""'"",""""),""("",""""),"")"","""")&amp;""\""&amp;INDEX(SPLIT($A$2,""_""),1)&amp;""\""&amp;INDEX(SPLIT($A$2,""_""),2)&amp;""\""&amp;SUBSTITUTE(SUBST"&amp;"ITUTE(SUBSTITUTE(SUBSTITUTE(SUBSTITUTE(INDEX(Hairstyles!$C:$C,MATCH($B959,Hairstyles!$F:$F,0)),"" "",""""),""'"",""""),""("",""""),"")"",""""),""-"",""_"")&amp;""_""&amp;$A$2)"),"")</f>
        <v/>
      </c>
    </row>
    <row r="960">
      <c r="C960" s="12" t="str">
        <f>IFERROR(__xludf.DUMMYFUNCTION("IF($B960="""","""",SUBSTITUTE(SUBSTITUTE(SUBSTITUTE(SUBSTITUTE(INDEX(Hairstyles!$A:$A,MATCH($B960,Hairstyles!$F:$F,0)),"" "",""""),""'"",""""),""("",""""),"")"","""")&amp;""\""&amp;INDEX(SPLIT($A$2,""_""),1)&amp;""\""&amp;INDEX(SPLIT($A$2,""_""),2)&amp;""\""&amp;SUBSTITUTE(SUBST"&amp;"ITUTE(SUBSTITUTE(SUBSTITUTE(SUBSTITUTE(INDEX(Hairstyles!$C:$C,MATCH($B960,Hairstyles!$F:$F,0)),"" "",""""),""'"",""""),""("",""""),"")"",""""),""-"",""_"")&amp;""_""&amp;$A$2)"),"")</f>
        <v/>
      </c>
    </row>
    <row r="961">
      <c r="C961" s="12" t="str">
        <f>IFERROR(__xludf.DUMMYFUNCTION("IF($B961="""","""",SUBSTITUTE(SUBSTITUTE(SUBSTITUTE(SUBSTITUTE(INDEX(Hairstyles!$A:$A,MATCH($B961,Hairstyles!$F:$F,0)),"" "",""""),""'"",""""),""("",""""),"")"","""")&amp;""\""&amp;INDEX(SPLIT($A$2,""_""),1)&amp;""\""&amp;INDEX(SPLIT($A$2,""_""),2)&amp;""\""&amp;SUBSTITUTE(SUBST"&amp;"ITUTE(SUBSTITUTE(SUBSTITUTE(SUBSTITUTE(INDEX(Hairstyles!$C:$C,MATCH($B961,Hairstyles!$F:$F,0)),"" "",""""),""'"",""""),""("",""""),"")"",""""),""-"",""_"")&amp;""_""&amp;$A$2)"),"")</f>
        <v/>
      </c>
    </row>
    <row r="962">
      <c r="C962" s="12" t="str">
        <f>IFERROR(__xludf.DUMMYFUNCTION("IF($B962="""","""",SUBSTITUTE(SUBSTITUTE(SUBSTITUTE(SUBSTITUTE(INDEX(Hairstyles!$A:$A,MATCH($B962,Hairstyles!$F:$F,0)),"" "",""""),""'"",""""),""("",""""),"")"","""")&amp;""\""&amp;INDEX(SPLIT($A$2,""_""),1)&amp;""\""&amp;INDEX(SPLIT($A$2,""_""),2)&amp;""\""&amp;SUBSTITUTE(SUBST"&amp;"ITUTE(SUBSTITUTE(SUBSTITUTE(SUBSTITUTE(INDEX(Hairstyles!$C:$C,MATCH($B962,Hairstyles!$F:$F,0)),"" "",""""),""'"",""""),""("",""""),"")"",""""),""-"",""_"")&amp;""_""&amp;$A$2)"),"")</f>
        <v/>
      </c>
    </row>
    <row r="963">
      <c r="C963" s="12" t="str">
        <f>IFERROR(__xludf.DUMMYFUNCTION("IF($B963="""","""",SUBSTITUTE(SUBSTITUTE(SUBSTITUTE(SUBSTITUTE(INDEX(Hairstyles!$A:$A,MATCH($B963,Hairstyles!$F:$F,0)),"" "",""""),""'"",""""),""("",""""),"")"","""")&amp;""\""&amp;INDEX(SPLIT($A$2,""_""),1)&amp;""\""&amp;INDEX(SPLIT($A$2,""_""),2)&amp;""\""&amp;SUBSTITUTE(SUBST"&amp;"ITUTE(SUBSTITUTE(SUBSTITUTE(SUBSTITUTE(INDEX(Hairstyles!$C:$C,MATCH($B963,Hairstyles!$F:$F,0)),"" "",""""),""'"",""""),""("",""""),"")"",""""),""-"",""_"")&amp;""_""&amp;$A$2)"),"")</f>
        <v/>
      </c>
    </row>
    <row r="964">
      <c r="C964" s="12" t="str">
        <f>IFERROR(__xludf.DUMMYFUNCTION("IF($B964="""","""",SUBSTITUTE(SUBSTITUTE(SUBSTITUTE(SUBSTITUTE(INDEX(Hairstyles!$A:$A,MATCH($B964,Hairstyles!$F:$F,0)),"" "",""""),""'"",""""),""("",""""),"")"","""")&amp;""\""&amp;INDEX(SPLIT($A$2,""_""),1)&amp;""\""&amp;INDEX(SPLIT($A$2,""_""),2)&amp;""\""&amp;SUBSTITUTE(SUBST"&amp;"ITUTE(SUBSTITUTE(SUBSTITUTE(SUBSTITUTE(INDEX(Hairstyles!$C:$C,MATCH($B964,Hairstyles!$F:$F,0)),"" "",""""),""'"",""""),""("",""""),"")"",""""),""-"",""_"")&amp;""_""&amp;$A$2)"),"")</f>
        <v/>
      </c>
    </row>
    <row r="965">
      <c r="C965" s="12" t="str">
        <f>IFERROR(__xludf.DUMMYFUNCTION("IF($B965="""","""",SUBSTITUTE(SUBSTITUTE(SUBSTITUTE(SUBSTITUTE(INDEX(Hairstyles!$A:$A,MATCH($B965,Hairstyles!$F:$F,0)),"" "",""""),""'"",""""),""("",""""),"")"","""")&amp;""\""&amp;INDEX(SPLIT($A$2,""_""),1)&amp;""\""&amp;INDEX(SPLIT($A$2,""_""),2)&amp;""\""&amp;SUBSTITUTE(SUBST"&amp;"ITUTE(SUBSTITUTE(SUBSTITUTE(SUBSTITUTE(INDEX(Hairstyles!$C:$C,MATCH($B965,Hairstyles!$F:$F,0)),"" "",""""),""'"",""""),""("",""""),"")"",""""),""-"",""_"")&amp;""_""&amp;$A$2)"),"")</f>
        <v/>
      </c>
    </row>
    <row r="966">
      <c r="C966" s="12" t="str">
        <f>IFERROR(__xludf.DUMMYFUNCTION("IF($B966="""","""",SUBSTITUTE(SUBSTITUTE(SUBSTITUTE(SUBSTITUTE(INDEX(Hairstyles!$A:$A,MATCH($B966,Hairstyles!$F:$F,0)),"" "",""""),""'"",""""),""("",""""),"")"","""")&amp;""\""&amp;INDEX(SPLIT($A$2,""_""),1)&amp;""\""&amp;INDEX(SPLIT($A$2,""_""),2)&amp;""\""&amp;SUBSTITUTE(SUBST"&amp;"ITUTE(SUBSTITUTE(SUBSTITUTE(SUBSTITUTE(INDEX(Hairstyles!$C:$C,MATCH($B966,Hairstyles!$F:$F,0)),"" "",""""),""'"",""""),""("",""""),"")"",""""),""-"",""_"")&amp;""_""&amp;$A$2)"),"")</f>
        <v/>
      </c>
    </row>
    <row r="967">
      <c r="C967" s="12" t="str">
        <f>IFERROR(__xludf.DUMMYFUNCTION("IF($B967="""","""",SUBSTITUTE(SUBSTITUTE(SUBSTITUTE(SUBSTITUTE(INDEX(Hairstyles!$A:$A,MATCH($B967,Hairstyles!$F:$F,0)),"" "",""""),""'"",""""),""("",""""),"")"","""")&amp;""\""&amp;INDEX(SPLIT($A$2,""_""),1)&amp;""\""&amp;INDEX(SPLIT($A$2,""_""),2)&amp;""\""&amp;SUBSTITUTE(SUBST"&amp;"ITUTE(SUBSTITUTE(SUBSTITUTE(SUBSTITUTE(INDEX(Hairstyles!$C:$C,MATCH($B967,Hairstyles!$F:$F,0)),"" "",""""),""'"",""""),""("",""""),"")"",""""),""-"",""_"")&amp;""_""&amp;$A$2)"),"")</f>
        <v/>
      </c>
    </row>
    <row r="968">
      <c r="C968" s="12" t="str">
        <f>IFERROR(__xludf.DUMMYFUNCTION("IF($B968="""","""",SUBSTITUTE(SUBSTITUTE(SUBSTITUTE(SUBSTITUTE(INDEX(Hairstyles!$A:$A,MATCH($B968,Hairstyles!$F:$F,0)),"" "",""""),""'"",""""),""("",""""),"")"","""")&amp;""\""&amp;INDEX(SPLIT($A$2,""_""),1)&amp;""\""&amp;INDEX(SPLIT($A$2,""_""),2)&amp;""\""&amp;SUBSTITUTE(SUBST"&amp;"ITUTE(SUBSTITUTE(SUBSTITUTE(SUBSTITUTE(INDEX(Hairstyles!$C:$C,MATCH($B968,Hairstyles!$F:$F,0)),"" "",""""),""'"",""""),""("",""""),"")"",""""),""-"",""_"")&amp;""_""&amp;$A$2)"),"")</f>
        <v/>
      </c>
    </row>
    <row r="969">
      <c r="C969" s="12" t="str">
        <f>IFERROR(__xludf.DUMMYFUNCTION("IF($B969="""","""",SUBSTITUTE(SUBSTITUTE(SUBSTITUTE(SUBSTITUTE(INDEX(Hairstyles!$A:$A,MATCH($B969,Hairstyles!$F:$F,0)),"" "",""""),""'"",""""),""("",""""),"")"","""")&amp;""\""&amp;INDEX(SPLIT($A$2,""_""),1)&amp;""\""&amp;INDEX(SPLIT($A$2,""_""),2)&amp;""\""&amp;SUBSTITUTE(SUBST"&amp;"ITUTE(SUBSTITUTE(SUBSTITUTE(SUBSTITUTE(INDEX(Hairstyles!$C:$C,MATCH($B969,Hairstyles!$F:$F,0)),"" "",""""),""'"",""""),""("",""""),"")"",""""),""-"",""_"")&amp;""_""&amp;$A$2)"),"")</f>
        <v/>
      </c>
    </row>
    <row r="970">
      <c r="C970" s="12" t="str">
        <f>IFERROR(__xludf.DUMMYFUNCTION("IF($B970="""","""",SUBSTITUTE(SUBSTITUTE(SUBSTITUTE(SUBSTITUTE(INDEX(Hairstyles!$A:$A,MATCH($B970,Hairstyles!$F:$F,0)),"" "",""""),""'"",""""),""("",""""),"")"","""")&amp;""\""&amp;INDEX(SPLIT($A$2,""_""),1)&amp;""\""&amp;INDEX(SPLIT($A$2,""_""),2)&amp;""\""&amp;SUBSTITUTE(SUBST"&amp;"ITUTE(SUBSTITUTE(SUBSTITUTE(SUBSTITUTE(INDEX(Hairstyles!$C:$C,MATCH($B970,Hairstyles!$F:$F,0)),"" "",""""),""'"",""""),""("",""""),"")"",""""),""-"",""_"")&amp;""_""&amp;$A$2)"),"")</f>
        <v/>
      </c>
    </row>
    <row r="971">
      <c r="C971" s="12" t="str">
        <f>IFERROR(__xludf.DUMMYFUNCTION("IF($B971="""","""",SUBSTITUTE(SUBSTITUTE(SUBSTITUTE(SUBSTITUTE(INDEX(Hairstyles!$A:$A,MATCH($B971,Hairstyles!$F:$F,0)),"" "",""""),""'"",""""),""("",""""),"")"","""")&amp;""\""&amp;INDEX(SPLIT($A$2,""_""),1)&amp;""\""&amp;INDEX(SPLIT($A$2,""_""),2)&amp;""\""&amp;SUBSTITUTE(SUBST"&amp;"ITUTE(SUBSTITUTE(SUBSTITUTE(SUBSTITUTE(INDEX(Hairstyles!$C:$C,MATCH($B971,Hairstyles!$F:$F,0)),"" "",""""),""'"",""""),""("",""""),"")"",""""),""-"",""_"")&amp;""_""&amp;$A$2)"),"")</f>
        <v/>
      </c>
    </row>
    <row r="972">
      <c r="C972" s="12" t="str">
        <f>IFERROR(__xludf.DUMMYFUNCTION("IF($B972="""","""",SUBSTITUTE(SUBSTITUTE(SUBSTITUTE(SUBSTITUTE(INDEX(Hairstyles!$A:$A,MATCH($B972,Hairstyles!$F:$F,0)),"" "",""""),""'"",""""),""("",""""),"")"","""")&amp;""\""&amp;INDEX(SPLIT($A$2,""_""),1)&amp;""\""&amp;INDEX(SPLIT($A$2,""_""),2)&amp;""\""&amp;SUBSTITUTE(SUBST"&amp;"ITUTE(SUBSTITUTE(SUBSTITUTE(SUBSTITUTE(INDEX(Hairstyles!$C:$C,MATCH($B972,Hairstyles!$F:$F,0)),"" "",""""),""'"",""""),""("",""""),"")"",""""),""-"",""_"")&amp;""_""&amp;$A$2)"),"")</f>
        <v/>
      </c>
    </row>
    <row r="973">
      <c r="C973" s="12" t="str">
        <f>IFERROR(__xludf.DUMMYFUNCTION("IF($B973="""","""",SUBSTITUTE(SUBSTITUTE(SUBSTITUTE(SUBSTITUTE(INDEX(Hairstyles!$A:$A,MATCH($B973,Hairstyles!$F:$F,0)),"" "",""""),""'"",""""),""("",""""),"")"","""")&amp;""\""&amp;INDEX(SPLIT($A$2,""_""),1)&amp;""\""&amp;INDEX(SPLIT($A$2,""_""),2)&amp;""\""&amp;SUBSTITUTE(SUBST"&amp;"ITUTE(SUBSTITUTE(SUBSTITUTE(SUBSTITUTE(INDEX(Hairstyles!$C:$C,MATCH($B973,Hairstyles!$F:$F,0)),"" "",""""),""'"",""""),""("",""""),"")"",""""),""-"",""_"")&amp;""_""&amp;$A$2)"),"")</f>
        <v/>
      </c>
    </row>
    <row r="974">
      <c r="C974" s="12" t="str">
        <f>IFERROR(__xludf.DUMMYFUNCTION("IF($B974="""","""",SUBSTITUTE(SUBSTITUTE(SUBSTITUTE(SUBSTITUTE(INDEX(Hairstyles!$A:$A,MATCH($B974,Hairstyles!$F:$F,0)),"" "",""""),""'"",""""),""("",""""),"")"","""")&amp;""\""&amp;INDEX(SPLIT($A$2,""_""),1)&amp;""\""&amp;INDEX(SPLIT($A$2,""_""),2)&amp;""\""&amp;SUBSTITUTE(SUBST"&amp;"ITUTE(SUBSTITUTE(SUBSTITUTE(SUBSTITUTE(INDEX(Hairstyles!$C:$C,MATCH($B974,Hairstyles!$F:$F,0)),"" "",""""),""'"",""""),""("",""""),"")"",""""),""-"",""_"")&amp;""_""&amp;$A$2)"),"")</f>
        <v/>
      </c>
    </row>
    <row r="975">
      <c r="C975" s="12" t="str">
        <f>IFERROR(__xludf.DUMMYFUNCTION("IF($B975="""","""",SUBSTITUTE(SUBSTITUTE(SUBSTITUTE(SUBSTITUTE(INDEX(Hairstyles!$A:$A,MATCH($B975,Hairstyles!$F:$F,0)),"" "",""""),""'"",""""),""("",""""),"")"","""")&amp;""\""&amp;INDEX(SPLIT($A$2,""_""),1)&amp;""\""&amp;INDEX(SPLIT($A$2,""_""),2)&amp;""\""&amp;SUBSTITUTE(SUBST"&amp;"ITUTE(SUBSTITUTE(SUBSTITUTE(SUBSTITUTE(INDEX(Hairstyles!$C:$C,MATCH($B975,Hairstyles!$F:$F,0)),"" "",""""),""'"",""""),""("",""""),"")"",""""),""-"",""_"")&amp;""_""&amp;$A$2)"),"")</f>
        <v/>
      </c>
    </row>
    <row r="976">
      <c r="C976" s="12" t="str">
        <f>IFERROR(__xludf.DUMMYFUNCTION("IF($B976="""","""",SUBSTITUTE(SUBSTITUTE(SUBSTITUTE(SUBSTITUTE(INDEX(Hairstyles!$A:$A,MATCH($B976,Hairstyles!$F:$F,0)),"" "",""""),""'"",""""),""("",""""),"")"","""")&amp;""\""&amp;INDEX(SPLIT($A$2,""_""),1)&amp;""\""&amp;INDEX(SPLIT($A$2,""_""),2)&amp;""\""&amp;SUBSTITUTE(SUBST"&amp;"ITUTE(SUBSTITUTE(SUBSTITUTE(SUBSTITUTE(INDEX(Hairstyles!$C:$C,MATCH($B976,Hairstyles!$F:$F,0)),"" "",""""),""'"",""""),""("",""""),"")"",""""),""-"",""_"")&amp;""_""&amp;$A$2)"),"")</f>
        <v/>
      </c>
    </row>
    <row r="977">
      <c r="C977" s="12" t="str">
        <f>IFERROR(__xludf.DUMMYFUNCTION("IF($B977="""","""",SUBSTITUTE(SUBSTITUTE(SUBSTITUTE(SUBSTITUTE(INDEX(Hairstyles!$A:$A,MATCH($B977,Hairstyles!$F:$F,0)),"" "",""""),""'"",""""),""("",""""),"")"","""")&amp;""\""&amp;INDEX(SPLIT($A$2,""_""),1)&amp;""\""&amp;INDEX(SPLIT($A$2,""_""),2)&amp;""\""&amp;SUBSTITUTE(SUBST"&amp;"ITUTE(SUBSTITUTE(SUBSTITUTE(SUBSTITUTE(INDEX(Hairstyles!$C:$C,MATCH($B977,Hairstyles!$F:$F,0)),"" "",""""),""'"",""""),""("",""""),"")"",""""),""-"",""_"")&amp;""_""&amp;$A$2)"),"")</f>
        <v/>
      </c>
    </row>
    <row r="978">
      <c r="C978" s="12" t="str">
        <f>IFERROR(__xludf.DUMMYFUNCTION("IF($B978="""","""",SUBSTITUTE(SUBSTITUTE(SUBSTITUTE(SUBSTITUTE(INDEX(Hairstyles!$A:$A,MATCH($B978,Hairstyles!$F:$F,0)),"" "",""""),""'"",""""),""("",""""),"")"","""")&amp;""\""&amp;INDEX(SPLIT($A$2,""_""),1)&amp;""\""&amp;INDEX(SPLIT($A$2,""_""),2)&amp;""\""&amp;SUBSTITUTE(SUBST"&amp;"ITUTE(SUBSTITUTE(SUBSTITUTE(SUBSTITUTE(INDEX(Hairstyles!$C:$C,MATCH($B978,Hairstyles!$F:$F,0)),"" "",""""),""'"",""""),""("",""""),"")"",""""),""-"",""_"")&amp;""_""&amp;$A$2)"),"")</f>
        <v/>
      </c>
    </row>
    <row r="979">
      <c r="C979" s="12" t="str">
        <f>IFERROR(__xludf.DUMMYFUNCTION("IF($B979="""","""",SUBSTITUTE(SUBSTITUTE(SUBSTITUTE(SUBSTITUTE(INDEX(Hairstyles!$A:$A,MATCH($B979,Hairstyles!$F:$F,0)),"" "",""""),""'"",""""),""("",""""),"")"","""")&amp;""\""&amp;INDEX(SPLIT($A$2,""_""),1)&amp;""\""&amp;INDEX(SPLIT($A$2,""_""),2)&amp;""\""&amp;SUBSTITUTE(SUBST"&amp;"ITUTE(SUBSTITUTE(SUBSTITUTE(SUBSTITUTE(INDEX(Hairstyles!$C:$C,MATCH($B979,Hairstyles!$F:$F,0)),"" "",""""),""'"",""""),""("",""""),"")"",""""),""-"",""_"")&amp;""_""&amp;$A$2)"),"")</f>
        <v/>
      </c>
    </row>
    <row r="980">
      <c r="C980" s="12" t="str">
        <f>IFERROR(__xludf.DUMMYFUNCTION("IF($B980="""","""",SUBSTITUTE(SUBSTITUTE(SUBSTITUTE(SUBSTITUTE(INDEX(Hairstyles!$A:$A,MATCH($B980,Hairstyles!$F:$F,0)),"" "",""""),""'"",""""),""("",""""),"")"","""")&amp;""\""&amp;INDEX(SPLIT($A$2,""_""),1)&amp;""\""&amp;INDEX(SPLIT($A$2,""_""),2)&amp;""\""&amp;SUBSTITUTE(SUBST"&amp;"ITUTE(SUBSTITUTE(SUBSTITUTE(SUBSTITUTE(INDEX(Hairstyles!$C:$C,MATCH($B980,Hairstyles!$F:$F,0)),"" "",""""),""'"",""""),""("",""""),"")"",""""),""-"",""_"")&amp;""_""&amp;$A$2)"),"")</f>
        <v/>
      </c>
    </row>
    <row r="981">
      <c r="C981" s="12" t="str">
        <f>IFERROR(__xludf.DUMMYFUNCTION("IF($B981="""","""",SUBSTITUTE(SUBSTITUTE(SUBSTITUTE(SUBSTITUTE(INDEX(Hairstyles!$A:$A,MATCH($B981,Hairstyles!$F:$F,0)),"" "",""""),""'"",""""),""("",""""),"")"","""")&amp;""\""&amp;INDEX(SPLIT($A$2,""_""),1)&amp;""\""&amp;INDEX(SPLIT($A$2,""_""),2)&amp;""\""&amp;SUBSTITUTE(SUBST"&amp;"ITUTE(SUBSTITUTE(SUBSTITUTE(SUBSTITUTE(INDEX(Hairstyles!$C:$C,MATCH($B981,Hairstyles!$F:$F,0)),"" "",""""),""'"",""""),""("",""""),"")"",""""),""-"",""_"")&amp;""_""&amp;$A$2)"),"")</f>
        <v/>
      </c>
    </row>
    <row r="982">
      <c r="C982" s="12" t="str">
        <f>IFERROR(__xludf.DUMMYFUNCTION("IF($B982="""","""",SUBSTITUTE(SUBSTITUTE(SUBSTITUTE(SUBSTITUTE(INDEX(Hairstyles!$A:$A,MATCH($B982,Hairstyles!$F:$F,0)),"" "",""""),""'"",""""),""("",""""),"")"","""")&amp;""\""&amp;INDEX(SPLIT($A$2,""_""),1)&amp;""\""&amp;INDEX(SPLIT($A$2,""_""),2)&amp;""\""&amp;SUBSTITUTE(SUBST"&amp;"ITUTE(SUBSTITUTE(SUBSTITUTE(SUBSTITUTE(INDEX(Hairstyles!$C:$C,MATCH($B982,Hairstyles!$F:$F,0)),"" "",""""),""'"",""""),""("",""""),"")"",""""),""-"",""_"")&amp;""_""&amp;$A$2)"),"")</f>
        <v/>
      </c>
    </row>
    <row r="983">
      <c r="C983" s="12" t="str">
        <f>IFERROR(__xludf.DUMMYFUNCTION("IF($B983="""","""",SUBSTITUTE(SUBSTITUTE(SUBSTITUTE(SUBSTITUTE(INDEX(Hairstyles!$A:$A,MATCH($B983,Hairstyles!$F:$F,0)),"" "",""""),""'"",""""),""("",""""),"")"","""")&amp;""\""&amp;INDEX(SPLIT($A$2,""_""),1)&amp;""\""&amp;INDEX(SPLIT($A$2,""_""),2)&amp;""\""&amp;SUBSTITUTE(SUBST"&amp;"ITUTE(SUBSTITUTE(SUBSTITUTE(SUBSTITUTE(INDEX(Hairstyles!$C:$C,MATCH($B983,Hairstyles!$F:$F,0)),"" "",""""),""'"",""""),""("",""""),"")"",""""),""-"",""_"")&amp;""_""&amp;$A$2)"),"")</f>
        <v/>
      </c>
    </row>
    <row r="984">
      <c r="C984" s="12" t="str">
        <f>IFERROR(__xludf.DUMMYFUNCTION("IF($B984="""","""",SUBSTITUTE(SUBSTITUTE(SUBSTITUTE(SUBSTITUTE(INDEX(Hairstyles!$A:$A,MATCH($B984,Hairstyles!$F:$F,0)),"" "",""""),""'"",""""),""("",""""),"")"","""")&amp;""\""&amp;INDEX(SPLIT($A$2,""_""),1)&amp;""\""&amp;INDEX(SPLIT($A$2,""_""),2)&amp;""\""&amp;SUBSTITUTE(SUBST"&amp;"ITUTE(SUBSTITUTE(SUBSTITUTE(SUBSTITUTE(INDEX(Hairstyles!$C:$C,MATCH($B984,Hairstyles!$F:$F,0)),"" "",""""),""'"",""""),""("",""""),"")"",""""),""-"",""_"")&amp;""_""&amp;$A$2)"),"")</f>
        <v/>
      </c>
    </row>
    <row r="985">
      <c r="C985" s="12" t="str">
        <f>IFERROR(__xludf.DUMMYFUNCTION("IF($B985="""","""",SUBSTITUTE(SUBSTITUTE(SUBSTITUTE(SUBSTITUTE(INDEX(Hairstyles!$A:$A,MATCH($B985,Hairstyles!$F:$F,0)),"" "",""""),""'"",""""),""("",""""),"")"","""")&amp;""\""&amp;INDEX(SPLIT($A$2,""_""),1)&amp;""\""&amp;INDEX(SPLIT($A$2,""_""),2)&amp;""\""&amp;SUBSTITUTE(SUBST"&amp;"ITUTE(SUBSTITUTE(SUBSTITUTE(SUBSTITUTE(INDEX(Hairstyles!$C:$C,MATCH($B985,Hairstyles!$F:$F,0)),"" "",""""),""'"",""""),""("",""""),"")"",""""),""-"",""_"")&amp;""_""&amp;$A$2)"),"")</f>
        <v/>
      </c>
    </row>
    <row r="986">
      <c r="C986" s="12" t="str">
        <f>IFERROR(__xludf.DUMMYFUNCTION("IF($B986="""","""",SUBSTITUTE(SUBSTITUTE(SUBSTITUTE(SUBSTITUTE(INDEX(Hairstyles!$A:$A,MATCH($B986,Hairstyles!$F:$F,0)),"" "",""""),""'"",""""),""("",""""),"")"","""")&amp;""\""&amp;INDEX(SPLIT($A$2,""_""),1)&amp;""\""&amp;INDEX(SPLIT($A$2,""_""),2)&amp;""\""&amp;SUBSTITUTE(SUBST"&amp;"ITUTE(SUBSTITUTE(SUBSTITUTE(SUBSTITUTE(INDEX(Hairstyles!$C:$C,MATCH($B986,Hairstyles!$F:$F,0)),"" "",""""),""'"",""""),""("",""""),"")"",""""),""-"",""_"")&amp;""_""&amp;$A$2)"),"")</f>
        <v/>
      </c>
    </row>
    <row r="987">
      <c r="C987" s="12" t="str">
        <f>IFERROR(__xludf.DUMMYFUNCTION("IF($B987="""","""",SUBSTITUTE(SUBSTITUTE(SUBSTITUTE(SUBSTITUTE(INDEX(Hairstyles!$A:$A,MATCH($B987,Hairstyles!$F:$F,0)),"" "",""""),""'"",""""),""("",""""),"")"","""")&amp;""\""&amp;INDEX(SPLIT($A$2,""_""),1)&amp;""\""&amp;INDEX(SPLIT($A$2,""_""),2)&amp;""\""&amp;SUBSTITUTE(SUBST"&amp;"ITUTE(SUBSTITUTE(SUBSTITUTE(SUBSTITUTE(INDEX(Hairstyles!$C:$C,MATCH($B987,Hairstyles!$F:$F,0)),"" "",""""),""'"",""""),""("",""""),"")"",""""),""-"",""_"")&amp;""_""&amp;$A$2)"),"")</f>
        <v/>
      </c>
    </row>
    <row r="988">
      <c r="C988" s="12" t="str">
        <f>IFERROR(__xludf.DUMMYFUNCTION("IF($B988="""","""",SUBSTITUTE(SUBSTITUTE(SUBSTITUTE(SUBSTITUTE(INDEX(Hairstyles!$A:$A,MATCH($B988,Hairstyles!$F:$F,0)),"" "",""""),""'"",""""),""("",""""),"")"","""")&amp;""\""&amp;INDEX(SPLIT($A$2,""_""),1)&amp;""\""&amp;INDEX(SPLIT($A$2,""_""),2)&amp;""\""&amp;SUBSTITUTE(SUBST"&amp;"ITUTE(SUBSTITUTE(SUBSTITUTE(SUBSTITUTE(INDEX(Hairstyles!$C:$C,MATCH($B988,Hairstyles!$F:$F,0)),"" "",""""),""'"",""""),""("",""""),"")"",""""),""-"",""_"")&amp;""_""&amp;$A$2)"),"")</f>
        <v/>
      </c>
    </row>
    <row r="989">
      <c r="C989" s="12" t="str">
        <f>IFERROR(__xludf.DUMMYFUNCTION("IF($B989="""","""",SUBSTITUTE(SUBSTITUTE(SUBSTITUTE(SUBSTITUTE(INDEX(Hairstyles!$A:$A,MATCH($B989,Hairstyles!$F:$F,0)),"" "",""""),""'"",""""),""("",""""),"")"","""")&amp;""\""&amp;INDEX(SPLIT($A$2,""_""),1)&amp;""\""&amp;INDEX(SPLIT($A$2,""_""),2)&amp;""\""&amp;SUBSTITUTE(SUBST"&amp;"ITUTE(SUBSTITUTE(SUBSTITUTE(SUBSTITUTE(INDEX(Hairstyles!$C:$C,MATCH($B989,Hairstyles!$F:$F,0)),"" "",""""),""'"",""""),""("",""""),"")"",""""),""-"",""_"")&amp;""_""&amp;$A$2)"),"")</f>
        <v/>
      </c>
    </row>
    <row r="990">
      <c r="C990" s="12" t="str">
        <f>IFERROR(__xludf.DUMMYFUNCTION("IF($B990="""","""",SUBSTITUTE(SUBSTITUTE(SUBSTITUTE(SUBSTITUTE(INDEX(Hairstyles!$A:$A,MATCH($B990,Hairstyles!$F:$F,0)),"" "",""""),""'"",""""),""("",""""),"")"","""")&amp;""\""&amp;INDEX(SPLIT($A$2,""_""),1)&amp;""\""&amp;INDEX(SPLIT($A$2,""_""),2)&amp;""\""&amp;SUBSTITUTE(SUBST"&amp;"ITUTE(SUBSTITUTE(SUBSTITUTE(SUBSTITUTE(INDEX(Hairstyles!$C:$C,MATCH($B990,Hairstyles!$F:$F,0)),"" "",""""),""'"",""""),""("",""""),"")"",""""),""-"",""_"")&amp;""_""&amp;$A$2)"),"")</f>
        <v/>
      </c>
    </row>
    <row r="991">
      <c r="C991" s="12" t="str">
        <f>IFERROR(__xludf.DUMMYFUNCTION("IF($B991="""","""",SUBSTITUTE(SUBSTITUTE(SUBSTITUTE(SUBSTITUTE(INDEX(Hairstyles!$A:$A,MATCH($B991,Hairstyles!$F:$F,0)),"" "",""""),""'"",""""),""("",""""),"")"","""")&amp;""\""&amp;INDEX(SPLIT($A$2,""_""),1)&amp;""\""&amp;INDEX(SPLIT($A$2,""_""),2)&amp;""\""&amp;SUBSTITUTE(SUBST"&amp;"ITUTE(SUBSTITUTE(SUBSTITUTE(SUBSTITUTE(INDEX(Hairstyles!$C:$C,MATCH($B991,Hairstyles!$F:$F,0)),"" "",""""),""'"",""""),""("",""""),"")"",""""),""-"",""_"")&amp;""_""&amp;$A$2)"),"")</f>
        <v/>
      </c>
    </row>
    <row r="992">
      <c r="C992" s="12" t="str">
        <f>IFERROR(__xludf.DUMMYFUNCTION("IF($B992="""","""",SUBSTITUTE(SUBSTITUTE(SUBSTITUTE(SUBSTITUTE(INDEX(Hairstyles!$A:$A,MATCH($B992,Hairstyles!$F:$F,0)),"" "",""""),""'"",""""),""("",""""),"")"","""")&amp;""\""&amp;INDEX(SPLIT($A$2,""_""),1)&amp;""\""&amp;INDEX(SPLIT($A$2,""_""),2)&amp;""\""&amp;SUBSTITUTE(SUBST"&amp;"ITUTE(SUBSTITUTE(SUBSTITUTE(SUBSTITUTE(INDEX(Hairstyles!$C:$C,MATCH($B992,Hairstyles!$F:$F,0)),"" "",""""),""'"",""""),""("",""""),"")"",""""),""-"",""_"")&amp;""_""&amp;$A$2)"),"")</f>
        <v/>
      </c>
    </row>
    <row r="993">
      <c r="C993" s="12" t="str">
        <f>IFERROR(__xludf.DUMMYFUNCTION("IF($B993="""","""",SUBSTITUTE(SUBSTITUTE(SUBSTITUTE(SUBSTITUTE(INDEX(Hairstyles!$A:$A,MATCH($B993,Hairstyles!$F:$F,0)),"" "",""""),""'"",""""),""("",""""),"")"","""")&amp;""\""&amp;INDEX(SPLIT($A$2,""_""),1)&amp;""\""&amp;INDEX(SPLIT($A$2,""_""),2)&amp;""\""&amp;SUBSTITUTE(SUBST"&amp;"ITUTE(SUBSTITUTE(SUBSTITUTE(SUBSTITUTE(INDEX(Hairstyles!$C:$C,MATCH($B993,Hairstyles!$F:$F,0)),"" "",""""),""'"",""""),""("",""""),"")"",""""),""-"",""_"")&amp;""_""&amp;$A$2)"),"")</f>
        <v/>
      </c>
    </row>
    <row r="994">
      <c r="C994" s="12" t="str">
        <f>IFERROR(__xludf.DUMMYFUNCTION("IF($B994="""","""",SUBSTITUTE(SUBSTITUTE(SUBSTITUTE(SUBSTITUTE(INDEX(Hairstyles!$A:$A,MATCH($B994,Hairstyles!$F:$F,0)),"" "",""""),""'"",""""),""("",""""),"")"","""")&amp;""\""&amp;INDEX(SPLIT($A$2,""_""),1)&amp;""\""&amp;INDEX(SPLIT($A$2,""_""),2)&amp;""\""&amp;SUBSTITUTE(SUBST"&amp;"ITUTE(SUBSTITUTE(SUBSTITUTE(SUBSTITUTE(INDEX(Hairstyles!$C:$C,MATCH($B994,Hairstyles!$F:$F,0)),"" "",""""),""'"",""""),""("",""""),"")"",""""),""-"",""_"")&amp;""_""&amp;$A$2)"),"")</f>
        <v/>
      </c>
    </row>
    <row r="995">
      <c r="C995" s="12" t="str">
        <f>IFERROR(__xludf.DUMMYFUNCTION("IF($B995="""","""",SUBSTITUTE(SUBSTITUTE(SUBSTITUTE(SUBSTITUTE(INDEX(Hairstyles!$A:$A,MATCH($B995,Hairstyles!$F:$F,0)),"" "",""""),""'"",""""),""("",""""),"")"","""")&amp;""\""&amp;INDEX(SPLIT($A$2,""_""),1)&amp;""\""&amp;INDEX(SPLIT($A$2,""_""),2)&amp;""\""&amp;SUBSTITUTE(SUBST"&amp;"ITUTE(SUBSTITUTE(SUBSTITUTE(SUBSTITUTE(INDEX(Hairstyles!$C:$C,MATCH($B995,Hairstyles!$F:$F,0)),"" "",""""),""'"",""""),""("",""""),"")"",""""),""-"",""_"")&amp;""_""&amp;$A$2)"),"")</f>
        <v/>
      </c>
    </row>
    <row r="996">
      <c r="C996" s="12" t="str">
        <f>IFERROR(__xludf.DUMMYFUNCTION("IF($B996="""","""",SUBSTITUTE(SUBSTITUTE(SUBSTITUTE(SUBSTITUTE(INDEX(Hairstyles!$A:$A,MATCH($B996,Hairstyles!$F:$F,0)),"" "",""""),""'"",""""),""("",""""),"")"","""")&amp;""\""&amp;INDEX(SPLIT($A$2,""_""),1)&amp;""\""&amp;INDEX(SPLIT($A$2,""_""),2)&amp;""\""&amp;SUBSTITUTE(SUBST"&amp;"ITUTE(SUBSTITUTE(SUBSTITUTE(SUBSTITUTE(INDEX(Hairstyles!$C:$C,MATCH($B996,Hairstyles!$F:$F,0)),"" "",""""),""'"",""""),""("",""""),"")"",""""),""-"",""_"")&amp;""_""&amp;$A$2)"),"")</f>
        <v/>
      </c>
    </row>
    <row r="997">
      <c r="C997" s="12" t="str">
        <f>IFERROR(__xludf.DUMMYFUNCTION("IF($B997="""","""",SUBSTITUTE(SUBSTITUTE(SUBSTITUTE(SUBSTITUTE(INDEX(Hairstyles!$A:$A,MATCH($B997,Hairstyles!$F:$F,0)),"" "",""""),""'"",""""),""("",""""),"")"","""")&amp;""\""&amp;INDEX(SPLIT($A$2,""_""),1)&amp;""\""&amp;INDEX(SPLIT($A$2,""_""),2)&amp;""\""&amp;SUBSTITUTE(SUBST"&amp;"ITUTE(SUBSTITUTE(SUBSTITUTE(SUBSTITUTE(INDEX(Hairstyles!$C:$C,MATCH($B997,Hairstyles!$F:$F,0)),"" "",""""),""'"",""""),""("",""""),"")"",""""),""-"",""_"")&amp;""_""&amp;$A$2)"),"")</f>
        <v/>
      </c>
    </row>
    <row r="998">
      <c r="C998" s="12" t="str">
        <f>IFERROR(__xludf.DUMMYFUNCTION("IF($B998="""","""",SUBSTITUTE(SUBSTITUTE(SUBSTITUTE(SUBSTITUTE(INDEX(Hairstyles!$A:$A,MATCH($B998,Hairstyles!$F:$F,0)),"" "",""""),""'"",""""),""("",""""),"")"","""")&amp;""\""&amp;INDEX(SPLIT($A$2,""_""),1)&amp;""\""&amp;INDEX(SPLIT($A$2,""_""),2)&amp;""\""&amp;SUBSTITUTE(SUBST"&amp;"ITUTE(SUBSTITUTE(SUBSTITUTE(SUBSTITUTE(INDEX(Hairstyles!$C:$C,MATCH($B998,Hairstyles!$F:$F,0)),"" "",""""),""'"",""""),""("",""""),"")"",""""),""-"",""_"")&amp;""_""&amp;$A$2)"),"")</f>
        <v/>
      </c>
    </row>
    <row r="999">
      <c r="C999" s="12" t="str">
        <f>IFERROR(__xludf.DUMMYFUNCTION("IF($B999="""","""",SUBSTITUTE(SUBSTITUTE(SUBSTITUTE(SUBSTITUTE(INDEX(Hairstyles!$A:$A,MATCH($B999,Hairstyles!$F:$F,0)),"" "",""""),""'"",""""),""("",""""),"")"","""")&amp;""\""&amp;INDEX(SPLIT($A$2,""_""),1)&amp;""\""&amp;INDEX(SPLIT($A$2,""_""),2)&amp;""\""&amp;SUBSTITUTE(SUBST"&amp;"ITUTE(SUBSTITUTE(SUBSTITUTE(SUBSTITUTE(INDEX(Hairstyles!$C:$C,MATCH($B999,Hairstyles!$F:$F,0)),"" "",""""),""'"",""""),""("",""""),"")"",""""),""-"",""_"")&amp;""_""&amp;$A$2)"),"")</f>
        <v/>
      </c>
    </row>
    <row r="1000">
      <c r="C1000" s="12" t="str">
        <f>IFERROR(__xludf.DUMMYFUNCTION("IF($B1000="""","""",SUBSTITUTE(SUBSTITUTE(SUBSTITUTE(SUBSTITUTE(INDEX(Hairstyles!$A:$A,MATCH($B1000,Hairstyles!$F:$F,0)),"" "",""""),""'"",""""),""("",""""),"")"","""")&amp;""\""&amp;INDEX(SPLIT($A$2,""_""),1)&amp;""\""&amp;INDEX(SPLIT($A$2,""_""),2)&amp;""\""&amp;SUBSTITUTE(SUB"&amp;"STITUTE(SUBSTITUTE(SUBSTITUTE(SUBSTITUTE(INDEX(Hairstyles!$C:$C,MATCH($B1000,Hairstyles!$F:$F,0)),"" "",""""),""'"",""""),""("",""""),"")"",""""),""-"",""_"")&amp;""_""&amp;$A$2)"),"")</f>
        <v/>
      </c>
    </row>
  </sheetData>
  <drawing r:id="rId1"/>
</worksheet>
</file>